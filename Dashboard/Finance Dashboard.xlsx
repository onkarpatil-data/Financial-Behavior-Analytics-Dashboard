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Onkar_Patil\Desktop\Projects\Excel\"/>
    </mc:Choice>
  </mc:AlternateContent>
  <xr:revisionPtr revIDLastSave="0" documentId="13_ncr:1_{5CCC9847-AEEE-4362-8CBF-72ADEBB22EC0}" xr6:coauthVersionLast="47" xr6:coauthVersionMax="47" xr10:uidLastSave="{00000000-0000-0000-0000-000000000000}"/>
  <bookViews>
    <workbookView xWindow="-110" yWindow="-110" windowWidth="19420" windowHeight="11500" xr2:uid="{8D46DC35-7B35-4B5A-8A2A-F023DB08E5AE}"/>
  </bookViews>
  <sheets>
    <sheet name="Dashboard" sheetId="3" r:id="rId1"/>
    <sheet name="Dataset" sheetId="1" r:id="rId2"/>
    <sheet name="Tables" sheetId="6" r:id="rId3"/>
    <sheet name="Pivot Tables" sheetId="7" r:id="rId4"/>
  </sheets>
  <definedNames>
    <definedName name="Slicer_Cash_Flow_Status1">#N/A</definedName>
    <definedName name="Slicer_Financial_Scenario1">#N/A</definedName>
    <definedName name="Slicer_Income_Type1">#N/A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4" i="6" l="1"/>
  <c r="D77" i="6"/>
  <c r="B8" i="6"/>
  <c r="D76" i="6"/>
  <c r="B5" i="6"/>
  <c r="B11" i="6"/>
  <c r="H79" i="6"/>
  <c r="H80" i="6"/>
  <c r="H76" i="6"/>
  <c r="B2" i="6"/>
  <c r="B14" i="6"/>
  <c r="E3" i="6"/>
  <c r="D75" i="6"/>
  <c r="H75" i="6"/>
  <c r="E12" i="6"/>
  <c r="E6" i="6"/>
  <c r="H83" i="6"/>
  <c r="D78" i="6" l="1"/>
  <c r="E75" i="6" s="1"/>
  <c r="E77" i="6" l="1"/>
  <c r="E76" i="6"/>
</calcChain>
</file>

<file path=xl/sharedStrings.xml><?xml version="1.0" encoding="utf-8"?>
<sst xmlns="http://schemas.openxmlformats.org/spreadsheetml/2006/main" count="15165" uniqueCount="79">
  <si>
    <t>Date</t>
  </si>
  <si>
    <t>Month</t>
  </si>
  <si>
    <t>User_Id</t>
  </si>
  <si>
    <t>Monthly_Income</t>
  </si>
  <si>
    <t>Monthly_Expense_Total</t>
  </si>
  <si>
    <t>Net_Savings</t>
  </si>
  <si>
    <t>Expense_Ratio</t>
  </si>
  <si>
    <t>Savings_Rate</t>
  </si>
  <si>
    <t>Budget_Goal</t>
  </si>
  <si>
    <t>Financial_Scenario</t>
  </si>
  <si>
    <t>Credit_Score</t>
  </si>
  <si>
    <t>Debt_To_Income_Ratio</t>
  </si>
  <si>
    <t>Loan_Payment</t>
  </si>
  <si>
    <t>Debit_Ratio</t>
  </si>
  <si>
    <t>Investment_Amount</t>
  </si>
  <si>
    <t>Investment_Ratio</t>
  </si>
  <si>
    <t>Subscription_Services</t>
  </si>
  <si>
    <t>Emergency_Fund</t>
  </si>
  <si>
    <t>Transaction_Count</t>
  </si>
  <si>
    <t>Fraud_Flag</t>
  </si>
  <si>
    <t>Discretionary_Spending</t>
  </si>
  <si>
    <t>Essential_Spending</t>
  </si>
  <si>
    <t>Income_Type</t>
  </si>
  <si>
    <t>Rent_Or_Mortgage</t>
  </si>
  <si>
    <t>Category</t>
  </si>
  <si>
    <t>Cash_Flow_Status</t>
  </si>
  <si>
    <t>Financial_Advice_Score</t>
  </si>
  <si>
    <t>Financial_Stress_Level</t>
  </si>
  <si>
    <t>Actual_Savings</t>
  </si>
  <si>
    <t>Savings_Goal_Met</t>
  </si>
  <si>
    <t>Inflation</t>
  </si>
  <si>
    <t>Freelance</t>
  </si>
  <si>
    <t>Investments</t>
  </si>
  <si>
    <t>Positive</t>
  </si>
  <si>
    <t>Low</t>
  </si>
  <si>
    <t>Normal</t>
  </si>
  <si>
    <t>Salary</t>
  </si>
  <si>
    <t>Insurance</t>
  </si>
  <si>
    <t>High</t>
  </si>
  <si>
    <t>Recession</t>
  </si>
  <si>
    <t>Dining Out</t>
  </si>
  <si>
    <t>Transportation</t>
  </si>
  <si>
    <t>Neutral</t>
  </si>
  <si>
    <t>Medium</t>
  </si>
  <si>
    <t>Negative</t>
  </si>
  <si>
    <t>Utilities</t>
  </si>
  <si>
    <t>Education</t>
  </si>
  <si>
    <t>Healthcare</t>
  </si>
  <si>
    <t>Groceries</t>
  </si>
  <si>
    <t>Mixed</t>
  </si>
  <si>
    <t>Rent</t>
  </si>
  <si>
    <t>Entertainment</t>
  </si>
  <si>
    <t>Row Labels</t>
  </si>
  <si>
    <t>Grand Total</t>
  </si>
  <si>
    <t>2019</t>
  </si>
  <si>
    <t>2020</t>
  </si>
  <si>
    <t>2021</t>
  </si>
  <si>
    <t>2022</t>
  </si>
  <si>
    <t>2023</t>
  </si>
  <si>
    <t>Sum of Monthly_Income</t>
  </si>
  <si>
    <t>Sum of Monthly_Expense_Total</t>
  </si>
  <si>
    <t>Sum of Net_Savings</t>
  </si>
  <si>
    <t>Average of Savings_Rate</t>
  </si>
  <si>
    <t>Sum of Fraud_Flag</t>
  </si>
  <si>
    <t>Sum of Actual_Savings</t>
  </si>
  <si>
    <t>Sum of Budget_Goal</t>
  </si>
  <si>
    <t>Average of Expense_Ratio</t>
  </si>
  <si>
    <t>Average of Monthly_Income</t>
  </si>
  <si>
    <t>Average of Monthly_Expense_Total</t>
  </si>
  <si>
    <t>Average of Emergency_Fund</t>
  </si>
  <si>
    <t>Average of Subscription_Services</t>
  </si>
  <si>
    <t>Others</t>
  </si>
  <si>
    <t>Monthly Income VS Monthly Expense</t>
  </si>
  <si>
    <t>Actual Savings VS Budget Goal</t>
  </si>
  <si>
    <t>Expenses According To Category</t>
  </si>
  <si>
    <t>Yearly Frauds</t>
  </si>
  <si>
    <t>Avg Savings Rate Vs Expense Ratio</t>
  </si>
  <si>
    <t>KPI`S</t>
  </si>
  <si>
    <t>Secondary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</si>
</sst>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 #,##0.00;[Red]&quot;₹&quot;\ \-#,##0.00"/>
    <numFmt numFmtId="44" formatCode="_ &quot;₹&quot;\ * #,##0.00_ ;_ &quot;₹&quot;\ * \-#,##0.00_ ;_ &quot;₹&quot;\ * &quot;-&quot;??_ ;_ @_ "/>
    <numFmt numFmtId="164" formatCode="&quot;₹&quot;\ #,##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theme="0" tint="-4.9989318521683403E-2"/>
        <bgColor indexed="64"/>
      </patternFill>
    </fill>
    <fill>
      <patternFill patternType="solid">
        <fgColor theme="0"/>
        <bgColor theme="5" tint="0.79998168889431442"/>
      </patternFill>
    </fill>
  </fills>
  <borders count="6">
    <border>
      <left/>
      <right/>
      <top/>
      <bottom/>
      <diagonal/>
    </border>
    <border>
      <left/>
      <right/>
      <top style="thin">
        <color theme="5" tint="0.39997558519241921"/>
      </top>
      <bottom/>
      <diagonal/>
    </border>
    <border>
      <left style="thick">
        <color indexed="64"/>
      </left>
      <right style="thick">
        <color indexed="64"/>
      </right>
      <top style="thick">
        <color indexed="64"/>
      </top>
      <bottom style="thick">
        <color indexed="64"/>
      </bottom>
      <diagonal/>
    </border>
    <border>
      <left style="thick">
        <color indexed="64"/>
      </left>
      <right/>
      <top/>
      <bottom/>
      <diagonal/>
    </border>
    <border>
      <left/>
      <right style="thick">
        <color indexed="64"/>
      </right>
      <top/>
      <bottom/>
      <diagonal/>
    </border>
    <border>
      <left/>
      <right/>
      <top/>
      <bottom style="thick">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17" fontId="0" fillId="0" borderId="0" xfId="0" applyNumberFormat="1"/>
    <xf numFmtId="8"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9" fontId="0" fillId="0" borderId="0" xfId="2" applyFont="1"/>
    <xf numFmtId="0" fontId="2" fillId="0" borderId="0" xfId="0" applyFont="1"/>
    <xf numFmtId="164" fontId="0" fillId="0" borderId="0" xfId="1" applyNumberFormat="1" applyFont="1"/>
    <xf numFmtId="0" fontId="0" fillId="0" borderId="3" xfId="0" applyBorder="1"/>
    <xf numFmtId="0" fontId="0" fillId="0" borderId="4" xfId="0" applyBorder="1"/>
    <xf numFmtId="164" fontId="0" fillId="0" borderId="5" xfId="0" applyNumberFormat="1" applyBorder="1"/>
    <xf numFmtId="8" fontId="0" fillId="0" borderId="2" xfId="0" applyNumberFormat="1" applyBorder="1"/>
    <xf numFmtId="0" fontId="0" fillId="0" borderId="2" xfId="0" applyBorder="1"/>
    <xf numFmtId="0" fontId="2" fillId="4" borderId="1" xfId="0" applyFont="1" applyFill="1" applyBorder="1" applyAlignment="1">
      <alignment horizontal="left"/>
    </xf>
    <xf numFmtId="0" fontId="2" fillId="4" borderId="1" xfId="0" applyFont="1" applyFill="1" applyBorder="1"/>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xf numFmtId="0" fontId="0" fillId="0" borderId="2" xfId="0" applyNumberFormat="1" applyBorder="1"/>
    <xf numFmtId="0" fontId="0" fillId="3" borderId="0" xfId="0" applyFont="1" applyFill="1" applyAlignment="1">
      <alignment horizontal="left"/>
    </xf>
    <xf numFmtId="0" fontId="0" fillId="3" borderId="0" xfId="0" applyNumberFormat="1" applyFont="1" applyFill="1"/>
    <xf numFmtId="8" fontId="0" fillId="3" borderId="0" xfId="0" applyNumberFormat="1" applyFont="1" applyFill="1"/>
    <xf numFmtId="0" fontId="0" fillId="0" borderId="0" xfId="0" applyFont="1" applyFill="1" applyAlignment="1"/>
    <xf numFmtId="0" fontId="0" fillId="0" borderId="0" xfId="0" applyNumberFormat="1" applyFont="1" applyFill="1" applyAlignment="1"/>
    <xf numFmtId="8" fontId="0" fillId="0" borderId="0" xfId="0" applyNumberFormat="1" applyFont="1" applyFill="1" applyAlignment="1"/>
    <xf numFmtId="0" fontId="0" fillId="0" borderId="0" xfId="0" applyFont="1" applyFill="1" applyAlignment="1">
      <alignment horizontal="left"/>
    </xf>
    <xf numFmtId="0" fontId="0" fillId="0" borderId="0" xfId="0" applyNumberFormat="1" applyFont="1" applyFill="1" applyAlignment="1">
      <alignment horizontal="left"/>
    </xf>
  </cellXfs>
  <cellStyles count="3">
    <cellStyle name="Currency" xfId="1" builtinId="4"/>
    <cellStyle name="Normal" xfId="0" builtinId="0"/>
    <cellStyle name="Percent" xfId="2" builtinId="5"/>
  </cellStyles>
  <dxfs count="754">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dxf>
    <dxf>
      <fill>
        <patternFill patternType="none">
          <fgColor indexed="64"/>
          <bgColor indexed="65"/>
        </patternFill>
      </fill>
      <alignment horizontal="left"/>
    </dxf>
    <dxf>
      <fill>
        <patternFill patternType="none">
          <fgColor indexed="64"/>
          <bgColor indexed="65"/>
        </patternFill>
      </fill>
      <alignment horizontal="left"/>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1"/>
      </font>
    </dxf>
    <dxf>
      <font>
        <color theme="1"/>
      </font>
    </dxf>
    <dxf>
      <font>
        <color theme="1"/>
      </font>
    </dxf>
    <dxf>
      <font>
        <color theme="1"/>
      </font>
    </dxf>
    <dxf>
      <font>
        <color theme="1"/>
      </font>
    </dxf>
    <dxf>
      <font>
        <color theme="1"/>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none">
          <fgColor indexed="64"/>
          <bgColor indexed="65"/>
        </patternFill>
      </fill>
      <alignment horizontal="left"/>
    </dxf>
    <dxf>
      <fill>
        <patternFill patternType="none">
          <fgColor indexed="64"/>
          <bgColor indexed="65"/>
        </patternFill>
      </fill>
      <alignment horizontal="left"/>
    </dxf>
    <dxf>
      <fill>
        <patternFill patternType="none">
          <fgColor indexed="64"/>
          <bgColor indexed="65"/>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fill>
        <patternFill patternType="none">
          <fgColor indexed="64"/>
          <bgColor indexed="65"/>
        </patternFill>
      </fill>
      <alignment horizontal="left"/>
    </dxf>
    <dxf>
      <fill>
        <patternFill patternType="none">
          <fgColor indexed="64"/>
          <bgColor indexed="65"/>
        </patternFill>
      </fill>
      <alignment horizontal="left"/>
    </dxf>
    <dxf>
      <numFmt numFmtId="0" formatCode="General"/>
      <fill>
        <patternFill patternType="none">
          <fgColor indexed="64"/>
          <bgColor indexed="65"/>
        </patternFill>
      </fill>
      <alignment horizontal="left"/>
    </dxf>
    <dxf>
      <numFmt numFmtId="0" formatCode="General"/>
      <fill>
        <patternFill patternType="none">
          <fgColor indexed="64"/>
          <bgColor indexed="65"/>
        </patternFill>
      </fill>
      <alignment horizontal="left"/>
    </dxf>
    <dxf>
      <fill>
        <patternFill patternType="none">
          <fgColor indexed="64"/>
          <bgColor indexed="65"/>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1"/>
      </font>
    </dxf>
    <dxf>
      <font>
        <color theme="1"/>
      </font>
    </dxf>
    <dxf>
      <font>
        <color theme="1"/>
      </font>
    </dxf>
    <dxf>
      <font>
        <color theme="1"/>
      </font>
    </dxf>
    <dxf>
      <font>
        <color theme="1"/>
      </font>
    </dxf>
    <dxf>
      <font>
        <color theme="1"/>
      </font>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font>
        <color theme="0"/>
      </font>
      <fill>
        <patternFill patternType="solid">
          <fgColor indexed="64"/>
          <bgColor theme="5" tint="-0.249977111117893"/>
        </patternFill>
      </fill>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12" formatCode="&quot;₹&quot;\ #,##0.00;[Red]&quot;₹&quot;\ \-#,##0.00"/>
    </dxf>
    <dxf>
      <numFmt numFmtId="22" formatCode="mmm/yy"/>
    </dxf>
    <dxf>
      <numFmt numFmtId="19" formatCode="dd/mm/yyyy"/>
    </dxf>
    <dxf>
      <font>
        <b/>
        <color theme="1"/>
      </font>
      <border>
        <bottom style="thin">
          <color rgb="FF4F81BD"/>
        </bottom>
        <vertical/>
        <horizontal/>
      </border>
    </dxf>
    <dxf>
      <font>
        <color theme="1"/>
      </font>
      <border diagonalUp="0" diagonalDown="0">
        <left/>
        <right/>
        <top/>
        <bottom/>
        <vertical/>
        <horizontal/>
      </border>
    </dxf>
    <dxf>
      <fill>
        <patternFill>
          <bgColor theme="4" tint="0.79998168889431442"/>
        </patternFill>
      </fill>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3" defaultTableStyle="TableStyleMedium2" defaultPivotStyle="PivotStyleLight16">
    <tableStyle name="hi" pivot="0" table="0" count="10" xr9:uid="{74C856CF-34FA-42E0-93F4-95CDD487BB2A}">
      <tableStyleElement type="wholeTable" dxfId="753"/>
      <tableStyleElement type="headerRow" dxfId="752"/>
    </tableStyle>
    <tableStyle name="Slicer Style 1" pivot="0" table="0" count="1" xr9:uid="{CB493295-5F70-4E6C-B924-F086648DA267}">
      <tableStyleElement type="wholeTable" dxfId="751"/>
    </tableStyle>
    <tableStyle name="SlicerStyleOther2 2" pivot="0" table="0" count="10" xr9:uid="{53EC76E2-2B43-4FC0-B745-F458B659EADE}">
      <tableStyleElement type="wholeTable" dxfId="750"/>
      <tableStyleElement type="headerRow" dxfId="749"/>
    </tableStyle>
  </tableStyles>
  <colors>
    <mruColors>
      <color rgb="FFFF3300"/>
      <color rgb="FF1F4E79"/>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i">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Dashboard.xlsx]Tables!PivotTable15</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10568283579443"/>
          <c:y val="7.1759668292602746E-2"/>
          <c:w val="0.56467314278167446"/>
          <c:h val="0.77690396840725384"/>
        </c:manualLayout>
      </c:layout>
      <c:lineChart>
        <c:grouping val="standard"/>
        <c:varyColors val="0"/>
        <c:ser>
          <c:idx val="0"/>
          <c:order val="0"/>
          <c:tx>
            <c:strRef>
              <c:f>Tables!$B$17</c:f>
              <c:strCache>
                <c:ptCount val="1"/>
                <c:pt idx="0">
                  <c:v>Sum of Monthly_Income</c:v>
                </c:pt>
              </c:strCache>
            </c:strRef>
          </c:tx>
          <c:spPr>
            <a:ln w="28575" cap="rnd">
              <a:solidFill>
                <a:schemeClr val="accent1"/>
              </a:solidFill>
              <a:round/>
            </a:ln>
            <a:effectLst>
              <a:glow rad="63500">
                <a:schemeClr val="accent2">
                  <a:satMod val="175000"/>
                  <a:alpha val="40000"/>
                </a:schemeClr>
              </a:glow>
            </a:effectLst>
          </c:spPr>
          <c:marker>
            <c:symbol val="none"/>
          </c:marker>
          <c:cat>
            <c:strRef>
              <c:f>Tables!$A$18:$A$23</c:f>
              <c:strCache>
                <c:ptCount val="5"/>
                <c:pt idx="0">
                  <c:v>2019</c:v>
                </c:pt>
                <c:pt idx="1">
                  <c:v>2020</c:v>
                </c:pt>
                <c:pt idx="2">
                  <c:v>2021</c:v>
                </c:pt>
                <c:pt idx="3">
                  <c:v>2022</c:v>
                </c:pt>
                <c:pt idx="4">
                  <c:v>2023</c:v>
                </c:pt>
              </c:strCache>
            </c:strRef>
          </c:cat>
          <c:val>
            <c:numRef>
              <c:f>Tables!$B$18:$B$23</c:f>
              <c:numCache>
                <c:formatCode>"₹"#,##0.00_);[Red]\("₹"#,##0.00\)</c:formatCode>
                <c:ptCount val="5"/>
                <c:pt idx="0">
                  <c:v>2599931.0599999987</c:v>
                </c:pt>
                <c:pt idx="1">
                  <c:v>2412986.7900000005</c:v>
                </c:pt>
                <c:pt idx="2">
                  <c:v>2338867.6000000034</c:v>
                </c:pt>
                <c:pt idx="3">
                  <c:v>2416203.2099999995</c:v>
                </c:pt>
                <c:pt idx="4">
                  <c:v>2244813.3799999985</c:v>
                </c:pt>
              </c:numCache>
            </c:numRef>
          </c:val>
          <c:smooth val="0"/>
          <c:extLst>
            <c:ext xmlns:c16="http://schemas.microsoft.com/office/drawing/2014/chart" uri="{C3380CC4-5D6E-409C-BE32-E72D297353CC}">
              <c16:uniqueId val="{00000000-3BFC-42BF-9C49-032E170C038B}"/>
            </c:ext>
          </c:extLst>
        </c:ser>
        <c:ser>
          <c:idx val="1"/>
          <c:order val="1"/>
          <c:tx>
            <c:strRef>
              <c:f>Tables!$C$17</c:f>
              <c:strCache>
                <c:ptCount val="1"/>
                <c:pt idx="0">
                  <c:v>Sum of Monthly_Expense_Total</c:v>
                </c:pt>
              </c:strCache>
            </c:strRef>
          </c:tx>
          <c:spPr>
            <a:ln w="28575" cap="rnd">
              <a:solidFill>
                <a:schemeClr val="accent2"/>
              </a:solidFill>
              <a:round/>
            </a:ln>
            <a:effectLst>
              <a:glow rad="63500">
                <a:schemeClr val="accent1">
                  <a:satMod val="175000"/>
                  <a:alpha val="40000"/>
                </a:schemeClr>
              </a:glow>
            </a:effectLst>
          </c:spPr>
          <c:marker>
            <c:symbol val="none"/>
          </c:marker>
          <c:cat>
            <c:strRef>
              <c:f>Tables!$A$18:$A$23</c:f>
              <c:strCache>
                <c:ptCount val="5"/>
                <c:pt idx="0">
                  <c:v>2019</c:v>
                </c:pt>
                <c:pt idx="1">
                  <c:v>2020</c:v>
                </c:pt>
                <c:pt idx="2">
                  <c:v>2021</c:v>
                </c:pt>
                <c:pt idx="3">
                  <c:v>2022</c:v>
                </c:pt>
                <c:pt idx="4">
                  <c:v>2023</c:v>
                </c:pt>
              </c:strCache>
            </c:strRef>
          </c:cat>
          <c:val>
            <c:numRef>
              <c:f>Tables!$C$18:$C$23</c:f>
              <c:numCache>
                <c:formatCode>"₹"#,##0.00_);[Red]\("₹"#,##0.00\)</c:formatCode>
                <c:ptCount val="5"/>
                <c:pt idx="0">
                  <c:v>1968028.0899999994</c:v>
                </c:pt>
                <c:pt idx="1">
                  <c:v>1778517.5700000003</c:v>
                </c:pt>
                <c:pt idx="2">
                  <c:v>1807187.1899999995</c:v>
                </c:pt>
                <c:pt idx="3">
                  <c:v>1812961.9400000006</c:v>
                </c:pt>
                <c:pt idx="4">
                  <c:v>1668351.8999999973</c:v>
                </c:pt>
              </c:numCache>
            </c:numRef>
          </c:val>
          <c:smooth val="0"/>
          <c:extLst>
            <c:ext xmlns:c16="http://schemas.microsoft.com/office/drawing/2014/chart" uri="{C3380CC4-5D6E-409C-BE32-E72D297353CC}">
              <c16:uniqueId val="{00000001-3BFC-42BF-9C49-032E170C038B}"/>
            </c:ext>
          </c:extLst>
        </c:ser>
        <c:dLbls>
          <c:showLegendKey val="0"/>
          <c:showVal val="0"/>
          <c:showCatName val="0"/>
          <c:showSerName val="0"/>
          <c:showPercent val="0"/>
          <c:showBubbleSize val="0"/>
        </c:dLbls>
        <c:smooth val="0"/>
        <c:axId val="1190504288"/>
        <c:axId val="1190513408"/>
      </c:lineChart>
      <c:catAx>
        <c:axId val="11905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90513408"/>
        <c:crosses val="autoZero"/>
        <c:auto val="1"/>
        <c:lblAlgn val="ctr"/>
        <c:lblOffset val="100"/>
        <c:noMultiLvlLbl val="0"/>
      </c:catAx>
      <c:valAx>
        <c:axId val="1190513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90504288"/>
        <c:crosses val="autoZero"/>
        <c:crossBetween val="between"/>
      </c:valAx>
      <c:spPr>
        <a:noFill/>
        <a:ln>
          <a:noFill/>
        </a:ln>
        <a:effectLst/>
      </c:spPr>
    </c:plotArea>
    <c:legend>
      <c:legendPos val="r"/>
      <c:layout>
        <c:manualLayout>
          <c:xMode val="edge"/>
          <c:yMode val="edge"/>
          <c:x val="0.79841770166302062"/>
          <c:y val="5.2315212433274291E-2"/>
          <c:w val="0.18294331648622236"/>
          <c:h val="0.84318072546610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Dashboard.xlsx]Tables!PivotTable16</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Tables!$B$28</c:f>
              <c:strCache>
                <c:ptCount val="1"/>
                <c:pt idx="0">
                  <c:v>Sum of Actual_Savings</c:v>
                </c:pt>
              </c:strCache>
            </c:strRef>
          </c:tx>
          <c:spPr>
            <a:solidFill>
              <a:schemeClr val="accent1"/>
            </a:solidFill>
            <a:ln>
              <a:noFill/>
            </a:ln>
            <a:effectLst>
              <a:glow rad="63500">
                <a:schemeClr val="accent2">
                  <a:satMod val="175000"/>
                  <a:alpha val="40000"/>
                </a:schemeClr>
              </a:glow>
            </a:effectLst>
          </c:spPr>
          <c:invertIfNegative val="0"/>
          <c:cat>
            <c:strRef>
              <c:f>Tables!$A$29:$A$34</c:f>
              <c:strCache>
                <c:ptCount val="5"/>
                <c:pt idx="0">
                  <c:v>2019</c:v>
                </c:pt>
                <c:pt idx="1">
                  <c:v>2020</c:v>
                </c:pt>
                <c:pt idx="2">
                  <c:v>2021</c:v>
                </c:pt>
                <c:pt idx="3">
                  <c:v>2022</c:v>
                </c:pt>
                <c:pt idx="4">
                  <c:v>2023</c:v>
                </c:pt>
              </c:strCache>
            </c:strRef>
          </c:cat>
          <c:val>
            <c:numRef>
              <c:f>Tables!$B$29:$B$34</c:f>
              <c:numCache>
                <c:formatCode>General</c:formatCode>
                <c:ptCount val="5"/>
                <c:pt idx="0">
                  <c:v>731057.59999999974</c:v>
                </c:pt>
                <c:pt idx="1">
                  <c:v>729006.17000000039</c:v>
                </c:pt>
                <c:pt idx="2">
                  <c:v>649478.5499999997</c:v>
                </c:pt>
                <c:pt idx="3">
                  <c:v>699120.83999999973</c:v>
                </c:pt>
                <c:pt idx="4">
                  <c:v>660592.21</c:v>
                </c:pt>
              </c:numCache>
            </c:numRef>
          </c:val>
          <c:extLst>
            <c:ext xmlns:c16="http://schemas.microsoft.com/office/drawing/2014/chart" uri="{C3380CC4-5D6E-409C-BE32-E72D297353CC}">
              <c16:uniqueId val="{00000000-0D06-4BE2-9723-DADD7E5FBD1A}"/>
            </c:ext>
          </c:extLst>
        </c:ser>
        <c:ser>
          <c:idx val="1"/>
          <c:order val="1"/>
          <c:tx>
            <c:strRef>
              <c:f>Tables!$C$28</c:f>
              <c:strCache>
                <c:ptCount val="1"/>
                <c:pt idx="0">
                  <c:v>Sum of Budget_Goal</c:v>
                </c:pt>
              </c:strCache>
            </c:strRef>
          </c:tx>
          <c:spPr>
            <a:solidFill>
              <a:schemeClr val="accent2"/>
            </a:solidFill>
            <a:ln>
              <a:noFill/>
            </a:ln>
            <a:effectLst>
              <a:glow rad="63500">
                <a:schemeClr val="accent1">
                  <a:satMod val="175000"/>
                  <a:alpha val="40000"/>
                </a:schemeClr>
              </a:glow>
            </a:effectLst>
          </c:spPr>
          <c:invertIfNegative val="0"/>
          <c:cat>
            <c:strRef>
              <c:f>Tables!$A$29:$A$34</c:f>
              <c:strCache>
                <c:ptCount val="5"/>
                <c:pt idx="0">
                  <c:v>2019</c:v>
                </c:pt>
                <c:pt idx="1">
                  <c:v>2020</c:v>
                </c:pt>
                <c:pt idx="2">
                  <c:v>2021</c:v>
                </c:pt>
                <c:pt idx="3">
                  <c:v>2022</c:v>
                </c:pt>
                <c:pt idx="4">
                  <c:v>2023</c:v>
                </c:pt>
              </c:strCache>
            </c:strRef>
          </c:cat>
          <c:val>
            <c:numRef>
              <c:f>Tables!$C$29:$C$34</c:f>
              <c:numCache>
                <c:formatCode>General</c:formatCode>
                <c:ptCount val="5"/>
                <c:pt idx="0">
                  <c:v>1834921.4000000004</c:v>
                </c:pt>
                <c:pt idx="1">
                  <c:v>1680673.8199999984</c:v>
                </c:pt>
                <c:pt idx="2">
                  <c:v>1695554.9799999991</c:v>
                </c:pt>
                <c:pt idx="3">
                  <c:v>1678956.3299999975</c:v>
                </c:pt>
                <c:pt idx="4">
                  <c:v>1543104.86</c:v>
                </c:pt>
              </c:numCache>
            </c:numRef>
          </c:val>
          <c:extLst>
            <c:ext xmlns:c16="http://schemas.microsoft.com/office/drawing/2014/chart" uri="{C3380CC4-5D6E-409C-BE32-E72D297353CC}">
              <c16:uniqueId val="{00000001-0D06-4BE2-9723-DADD7E5FBD1A}"/>
            </c:ext>
          </c:extLst>
        </c:ser>
        <c:dLbls>
          <c:showLegendKey val="0"/>
          <c:showVal val="0"/>
          <c:showCatName val="0"/>
          <c:showSerName val="0"/>
          <c:showPercent val="0"/>
          <c:showBubbleSize val="0"/>
        </c:dLbls>
        <c:gapWidth val="219"/>
        <c:overlap val="-27"/>
        <c:axId val="1190530688"/>
        <c:axId val="1190531168"/>
      </c:barChart>
      <c:catAx>
        <c:axId val="119053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90531168"/>
        <c:crosses val="autoZero"/>
        <c:auto val="1"/>
        <c:lblAlgn val="ctr"/>
        <c:lblOffset val="100"/>
        <c:noMultiLvlLbl val="0"/>
      </c:catAx>
      <c:valAx>
        <c:axId val="119053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9053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Dashboard.xlsx]Tables!PivotTable17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a:glow rad="63500">
              <a:schemeClr val="accent4">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glow rad="63500">
              <a:schemeClr val="accent4">
                <a:satMod val="175000"/>
                <a:alpha val="40000"/>
              </a:schemeClr>
            </a:glow>
          </a:effectLst>
        </c:spPr>
      </c:pivotFmt>
      <c:pivotFmt>
        <c:idx val="14"/>
        <c:spPr>
          <a:solidFill>
            <a:schemeClr val="accent1"/>
          </a:solidFill>
          <a:ln w="19050">
            <a:solidFill>
              <a:schemeClr val="lt1"/>
            </a:solidFill>
          </a:ln>
          <a:effectLst>
            <a:glow rad="63500">
              <a:schemeClr val="accent4">
                <a:satMod val="175000"/>
                <a:alpha val="40000"/>
              </a:schemeClr>
            </a:glow>
          </a:effectLst>
        </c:spPr>
      </c:pivotFmt>
      <c:pivotFmt>
        <c:idx val="15"/>
        <c:spPr>
          <a:solidFill>
            <a:schemeClr val="accent1"/>
          </a:solidFill>
          <a:ln w="19050">
            <a:solidFill>
              <a:schemeClr val="lt1"/>
            </a:solidFill>
          </a:ln>
          <a:effectLst>
            <a:glow rad="63500">
              <a:schemeClr val="accent4">
                <a:satMod val="175000"/>
                <a:alpha val="40000"/>
              </a:schemeClr>
            </a:glow>
          </a:effectLst>
        </c:spPr>
      </c:pivotFmt>
      <c:pivotFmt>
        <c:idx val="16"/>
        <c:spPr>
          <a:solidFill>
            <a:schemeClr val="accent1"/>
          </a:solidFill>
          <a:ln w="19050">
            <a:solidFill>
              <a:schemeClr val="lt1"/>
            </a:solidFill>
          </a:ln>
          <a:effectLst>
            <a:glow rad="63500">
              <a:schemeClr val="accent4">
                <a:satMod val="175000"/>
                <a:alpha val="40000"/>
              </a:schemeClr>
            </a:glow>
          </a:effectLst>
        </c:spPr>
      </c:pivotFmt>
      <c:pivotFmt>
        <c:idx val="17"/>
        <c:spPr>
          <a:solidFill>
            <a:schemeClr val="accent1"/>
          </a:solidFill>
          <a:ln w="19050">
            <a:solidFill>
              <a:schemeClr val="lt1"/>
            </a:solidFill>
          </a:ln>
          <a:effectLst>
            <a:glow rad="63500">
              <a:schemeClr val="accent4">
                <a:satMod val="175000"/>
                <a:alpha val="40000"/>
              </a:schemeClr>
            </a:glow>
          </a:effectLst>
        </c:spPr>
      </c:pivotFmt>
      <c:pivotFmt>
        <c:idx val="18"/>
        <c:spPr>
          <a:solidFill>
            <a:schemeClr val="accent1"/>
          </a:solidFill>
          <a:ln w="19050">
            <a:solidFill>
              <a:schemeClr val="lt1"/>
            </a:solidFill>
          </a:ln>
          <a:effectLst>
            <a:glow rad="63500">
              <a:schemeClr val="accent4">
                <a:satMod val="175000"/>
                <a:alpha val="40000"/>
              </a:schemeClr>
            </a:glow>
          </a:effectLst>
        </c:spPr>
      </c:pivotFmt>
      <c:pivotFmt>
        <c:idx val="19"/>
        <c:spPr>
          <a:solidFill>
            <a:schemeClr val="accent1"/>
          </a:solidFill>
          <a:ln w="19050">
            <a:solidFill>
              <a:schemeClr val="lt1"/>
            </a:solidFill>
          </a:ln>
          <a:effectLst>
            <a:glow rad="63500">
              <a:schemeClr val="accent4">
                <a:satMod val="175000"/>
                <a:alpha val="40000"/>
              </a:schemeClr>
            </a:glow>
          </a:effectLst>
        </c:spPr>
      </c:pivotFmt>
      <c:pivotFmt>
        <c:idx val="20"/>
        <c:spPr>
          <a:solidFill>
            <a:schemeClr val="accent1"/>
          </a:solidFill>
          <a:ln w="19050">
            <a:solidFill>
              <a:schemeClr val="lt1"/>
            </a:solidFill>
          </a:ln>
          <a:effectLst>
            <a:glow rad="63500">
              <a:schemeClr val="accent4">
                <a:satMod val="175000"/>
                <a:alpha val="40000"/>
              </a:schemeClr>
            </a:glow>
          </a:effectLst>
        </c:spPr>
      </c:pivotFmt>
      <c:pivotFmt>
        <c:idx val="21"/>
        <c:spPr>
          <a:solidFill>
            <a:schemeClr val="accent1"/>
          </a:solidFill>
          <a:ln w="19050">
            <a:solidFill>
              <a:schemeClr val="lt1"/>
            </a:solidFill>
          </a:ln>
          <a:effectLst>
            <a:glow rad="63500">
              <a:schemeClr val="accent4">
                <a:satMod val="175000"/>
                <a:alpha val="40000"/>
              </a:schemeClr>
            </a:glow>
          </a:effectLst>
        </c:spPr>
      </c:pivotFmt>
      <c:pivotFmt>
        <c:idx val="22"/>
        <c:spPr>
          <a:solidFill>
            <a:schemeClr val="accent1"/>
          </a:solidFill>
          <a:ln w="19050">
            <a:solidFill>
              <a:schemeClr val="lt1"/>
            </a:solidFill>
          </a:ln>
          <a:effectLst>
            <a:glow rad="63500">
              <a:schemeClr val="accent4">
                <a:satMod val="175000"/>
                <a:alpha val="40000"/>
              </a:schemeClr>
            </a:glow>
          </a:effectLst>
        </c:spPr>
      </c:pivotFmt>
    </c:pivotFmts>
    <c:plotArea>
      <c:layout/>
      <c:doughnutChart>
        <c:varyColors val="1"/>
        <c:ser>
          <c:idx val="0"/>
          <c:order val="0"/>
          <c:tx>
            <c:strRef>
              <c:f>Tables!$B$39</c:f>
              <c:strCache>
                <c:ptCount val="1"/>
                <c:pt idx="0">
                  <c:v>Total</c:v>
                </c:pt>
              </c:strCache>
            </c:strRef>
          </c:tx>
          <c:spPr>
            <a:effectLst>
              <a:glow rad="63500">
                <a:schemeClr val="accent4">
                  <a:satMod val="175000"/>
                  <a:alpha val="40000"/>
                </a:schemeClr>
              </a:glow>
            </a:effectLst>
          </c:spPr>
          <c:dPt>
            <c:idx val="0"/>
            <c:bubble3D val="0"/>
            <c:spPr>
              <a:solidFill>
                <a:schemeClr val="accent1"/>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1-F541-4071-AFC0-38B37DD5C015}"/>
              </c:ext>
            </c:extLst>
          </c:dPt>
          <c:dPt>
            <c:idx val="1"/>
            <c:bubble3D val="0"/>
            <c:spPr>
              <a:solidFill>
                <a:schemeClr val="accent2"/>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3-F541-4071-AFC0-38B37DD5C015}"/>
              </c:ext>
            </c:extLst>
          </c:dPt>
          <c:dPt>
            <c:idx val="2"/>
            <c:bubble3D val="0"/>
            <c:spPr>
              <a:solidFill>
                <a:schemeClr val="accent3"/>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5-F541-4071-AFC0-38B37DD5C015}"/>
              </c:ext>
            </c:extLst>
          </c:dPt>
          <c:dPt>
            <c:idx val="3"/>
            <c:bubble3D val="0"/>
            <c:spPr>
              <a:solidFill>
                <a:schemeClr val="accent4"/>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7-F541-4071-AFC0-38B37DD5C015}"/>
              </c:ext>
            </c:extLst>
          </c:dPt>
          <c:dPt>
            <c:idx val="4"/>
            <c:bubble3D val="0"/>
            <c:spPr>
              <a:solidFill>
                <a:schemeClr val="accent5"/>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9-F541-4071-AFC0-38B37DD5C015}"/>
              </c:ext>
            </c:extLst>
          </c:dPt>
          <c:dPt>
            <c:idx val="5"/>
            <c:bubble3D val="0"/>
            <c:spPr>
              <a:solidFill>
                <a:schemeClr val="accent6"/>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B-F541-4071-AFC0-38B37DD5C015}"/>
              </c:ext>
            </c:extLst>
          </c:dPt>
          <c:dPt>
            <c:idx val="6"/>
            <c:bubble3D val="0"/>
            <c:spPr>
              <a:solidFill>
                <a:schemeClr val="accent1">
                  <a:lumMod val="60000"/>
                </a:schemeClr>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D-F541-4071-AFC0-38B37DD5C015}"/>
              </c:ext>
            </c:extLst>
          </c:dPt>
          <c:dPt>
            <c:idx val="7"/>
            <c:bubble3D val="0"/>
            <c:spPr>
              <a:solidFill>
                <a:schemeClr val="accent2">
                  <a:lumMod val="60000"/>
                </a:schemeClr>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0F-F541-4071-AFC0-38B37DD5C015}"/>
              </c:ext>
            </c:extLst>
          </c:dPt>
          <c:dPt>
            <c:idx val="8"/>
            <c:bubble3D val="0"/>
            <c:spPr>
              <a:solidFill>
                <a:schemeClr val="accent3">
                  <a:lumMod val="60000"/>
                </a:schemeClr>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11-F541-4071-AFC0-38B37DD5C015}"/>
              </c:ext>
            </c:extLst>
          </c:dPt>
          <c:dPt>
            <c:idx val="9"/>
            <c:bubble3D val="0"/>
            <c:spPr>
              <a:solidFill>
                <a:schemeClr val="accent4">
                  <a:lumMod val="60000"/>
                </a:schemeClr>
              </a:solidFill>
              <a:ln w="19050">
                <a:solidFill>
                  <a:schemeClr val="lt1"/>
                </a:solidFill>
              </a:ln>
              <a:effectLst>
                <a:glow rad="63500">
                  <a:schemeClr val="accent4">
                    <a:satMod val="175000"/>
                    <a:alpha val="40000"/>
                  </a:schemeClr>
                </a:glow>
              </a:effectLst>
            </c:spPr>
            <c:extLst>
              <c:ext xmlns:c16="http://schemas.microsoft.com/office/drawing/2014/chart" uri="{C3380CC4-5D6E-409C-BE32-E72D297353CC}">
                <c16:uniqueId val="{00000013-F541-4071-AFC0-38B37DD5C015}"/>
              </c:ext>
            </c:extLst>
          </c:dPt>
          <c:cat>
            <c:strRef>
              <c:f>Tables!$A$40:$A$50</c:f>
              <c:strCache>
                <c:ptCount val="10"/>
                <c:pt idx="0">
                  <c:v>Dining Out</c:v>
                </c:pt>
                <c:pt idx="1">
                  <c:v>Education</c:v>
                </c:pt>
                <c:pt idx="2">
                  <c:v>Entertainment</c:v>
                </c:pt>
                <c:pt idx="3">
                  <c:v>Groceries</c:v>
                </c:pt>
                <c:pt idx="4">
                  <c:v>Healthcare</c:v>
                </c:pt>
                <c:pt idx="5">
                  <c:v>Insurance</c:v>
                </c:pt>
                <c:pt idx="6">
                  <c:v>Investments</c:v>
                </c:pt>
                <c:pt idx="7">
                  <c:v>Rent</c:v>
                </c:pt>
                <c:pt idx="8">
                  <c:v>Transportation</c:v>
                </c:pt>
                <c:pt idx="9">
                  <c:v>Utilities</c:v>
                </c:pt>
              </c:strCache>
            </c:strRef>
          </c:cat>
          <c:val>
            <c:numRef>
              <c:f>Tables!$B$40:$B$50</c:f>
              <c:numCache>
                <c:formatCode>"₹"#,##0.00_);[Red]\("₹"#,##0.00\)</c:formatCode>
                <c:ptCount val="10"/>
                <c:pt idx="0">
                  <c:v>937793.16000000015</c:v>
                </c:pt>
                <c:pt idx="1">
                  <c:v>849563.38999999966</c:v>
                </c:pt>
                <c:pt idx="2">
                  <c:v>884818.83000000007</c:v>
                </c:pt>
                <c:pt idx="3">
                  <c:v>947379.5</c:v>
                </c:pt>
                <c:pt idx="4">
                  <c:v>922570.97000000009</c:v>
                </c:pt>
                <c:pt idx="5">
                  <c:v>985392.72999999975</c:v>
                </c:pt>
                <c:pt idx="6">
                  <c:v>846820.25</c:v>
                </c:pt>
                <c:pt idx="7">
                  <c:v>779081.42999999935</c:v>
                </c:pt>
                <c:pt idx="8">
                  <c:v>905593.39999999967</c:v>
                </c:pt>
                <c:pt idx="9">
                  <c:v>976033.02999999956</c:v>
                </c:pt>
              </c:numCache>
            </c:numRef>
          </c:val>
          <c:extLst>
            <c:ext xmlns:c16="http://schemas.microsoft.com/office/drawing/2014/chart" uri="{C3380CC4-5D6E-409C-BE32-E72D297353CC}">
              <c16:uniqueId val="{00000014-F541-4071-AFC0-38B37DD5C015}"/>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Dashboard.xlsx]Tables!PivotTable18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112068470344"/>
          <c:y val="0.25530138127551844"/>
          <c:w val="0.79259691050898262"/>
          <c:h val="0.599804852906895"/>
        </c:manualLayout>
      </c:layout>
      <c:barChart>
        <c:barDir val="bar"/>
        <c:grouping val="clustered"/>
        <c:varyColors val="0"/>
        <c:ser>
          <c:idx val="0"/>
          <c:order val="0"/>
          <c:tx>
            <c:strRef>
              <c:f>Tables!$B$54</c:f>
              <c:strCache>
                <c:ptCount val="1"/>
                <c:pt idx="0">
                  <c:v>Average of Savings_Rate</c:v>
                </c:pt>
              </c:strCache>
            </c:strRef>
          </c:tx>
          <c:spPr>
            <a:solidFill>
              <a:schemeClr val="accent1"/>
            </a:solidFill>
            <a:ln>
              <a:noFill/>
            </a:ln>
            <a:effectLst>
              <a:glow rad="63500">
                <a:schemeClr val="accent2">
                  <a:satMod val="175000"/>
                  <a:alpha val="40000"/>
                </a:schemeClr>
              </a:glow>
            </a:effectLst>
          </c:spPr>
          <c:invertIfNegative val="0"/>
          <c:cat>
            <c:strRef>
              <c:f>Tables!$A$55:$A$58</c:f>
              <c:strCache>
                <c:ptCount val="3"/>
                <c:pt idx="0">
                  <c:v>Inflation</c:v>
                </c:pt>
                <c:pt idx="1">
                  <c:v>Normal</c:v>
                </c:pt>
                <c:pt idx="2">
                  <c:v>Recession</c:v>
                </c:pt>
              </c:strCache>
            </c:strRef>
          </c:cat>
          <c:val>
            <c:numRef>
              <c:f>Tables!$B$55:$B$58</c:f>
              <c:numCache>
                <c:formatCode>General</c:formatCode>
                <c:ptCount val="3"/>
                <c:pt idx="0">
                  <c:v>0.22842592592592612</c:v>
                </c:pt>
                <c:pt idx="1">
                  <c:v>0.22395629672225395</c:v>
                </c:pt>
                <c:pt idx="2">
                  <c:v>0.22872756933115829</c:v>
                </c:pt>
              </c:numCache>
            </c:numRef>
          </c:val>
          <c:extLst>
            <c:ext xmlns:c16="http://schemas.microsoft.com/office/drawing/2014/chart" uri="{C3380CC4-5D6E-409C-BE32-E72D297353CC}">
              <c16:uniqueId val="{00000000-33FA-453A-8DAF-0B63245689F5}"/>
            </c:ext>
          </c:extLst>
        </c:ser>
        <c:ser>
          <c:idx val="1"/>
          <c:order val="1"/>
          <c:tx>
            <c:strRef>
              <c:f>Tables!$C$54</c:f>
              <c:strCache>
                <c:ptCount val="1"/>
                <c:pt idx="0">
                  <c:v>Average of Expense_Ratio</c:v>
                </c:pt>
              </c:strCache>
            </c:strRef>
          </c:tx>
          <c:spPr>
            <a:solidFill>
              <a:schemeClr val="accent2"/>
            </a:solidFill>
            <a:ln>
              <a:noFill/>
            </a:ln>
            <a:effectLst>
              <a:glow rad="63500">
                <a:schemeClr val="accent5">
                  <a:satMod val="175000"/>
                  <a:alpha val="40000"/>
                </a:schemeClr>
              </a:glow>
            </a:effectLst>
          </c:spPr>
          <c:invertIfNegative val="0"/>
          <c:cat>
            <c:strRef>
              <c:f>Tables!$A$55:$A$58</c:f>
              <c:strCache>
                <c:ptCount val="3"/>
                <c:pt idx="0">
                  <c:v>Inflation</c:v>
                </c:pt>
                <c:pt idx="1">
                  <c:v>Normal</c:v>
                </c:pt>
                <c:pt idx="2">
                  <c:v>Recession</c:v>
                </c:pt>
              </c:strCache>
            </c:strRef>
          </c:cat>
          <c:val>
            <c:numRef>
              <c:f>Tables!$C$55:$C$58</c:f>
              <c:numCache>
                <c:formatCode>"₹"#,##0.00_);[Red]\("₹"#,##0.00\)</c:formatCode>
                <c:ptCount val="3"/>
                <c:pt idx="0">
                  <c:v>0.81359567901234575</c:v>
                </c:pt>
                <c:pt idx="1">
                  <c:v>0.80506037952846454</c:v>
                </c:pt>
                <c:pt idx="2">
                  <c:v>0.83938009787928203</c:v>
                </c:pt>
              </c:numCache>
            </c:numRef>
          </c:val>
          <c:extLst>
            <c:ext xmlns:c16="http://schemas.microsoft.com/office/drawing/2014/chart" uri="{C3380CC4-5D6E-409C-BE32-E72D297353CC}">
              <c16:uniqueId val="{00000001-33FA-453A-8DAF-0B63245689F5}"/>
            </c:ext>
          </c:extLst>
        </c:ser>
        <c:dLbls>
          <c:showLegendKey val="0"/>
          <c:showVal val="0"/>
          <c:showCatName val="0"/>
          <c:showSerName val="0"/>
          <c:showPercent val="0"/>
          <c:showBubbleSize val="0"/>
        </c:dLbls>
        <c:gapWidth val="182"/>
        <c:axId val="1040362384"/>
        <c:axId val="1040357104"/>
      </c:barChart>
      <c:catAx>
        <c:axId val="104036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040357104"/>
        <c:crosses val="autoZero"/>
        <c:auto val="1"/>
        <c:lblAlgn val="ctr"/>
        <c:lblOffset val="100"/>
        <c:noMultiLvlLbl val="0"/>
      </c:catAx>
      <c:valAx>
        <c:axId val="1040357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040362384"/>
        <c:crosses val="autoZero"/>
        <c:crossBetween val="between"/>
      </c:valAx>
      <c:spPr>
        <a:noFill/>
        <a:ln>
          <a:noFill/>
        </a:ln>
        <a:effectLst/>
      </c:spPr>
    </c:plotArea>
    <c:legend>
      <c:legendPos val="t"/>
      <c:layout>
        <c:manualLayout>
          <c:xMode val="edge"/>
          <c:yMode val="edge"/>
          <c:x val="0.16488038154202858"/>
          <c:y val="0.11867185878589787"/>
          <c:w val="0.68133391195677884"/>
          <c:h val="0.1054000859670158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Dashboard.xlsx]Tables!PivotTable19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63500">
              <a:schemeClr val="accent6">
                <a:satMod val="175000"/>
                <a:alpha val="40000"/>
              </a:schemeClr>
            </a:glow>
          </a:effectLst>
        </c:spPr>
        <c:marker>
          <c:symbol val="none"/>
        </c:marker>
        <c:dLbl>
          <c:idx val="0"/>
          <c:spPr>
            <a:noFill/>
            <a:ln>
              <a:noFill/>
            </a:ln>
            <a:effectLst>
              <a:glow rad="63500">
                <a:srgbClr val="7030A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Tables!$B$62</c:f>
              <c:strCache>
                <c:ptCount val="1"/>
                <c:pt idx="0">
                  <c:v>Total</c:v>
                </c:pt>
              </c:strCache>
            </c:strRef>
          </c:tx>
          <c:spPr>
            <a:solidFill>
              <a:schemeClr val="accent1"/>
            </a:solidFill>
            <a:ln>
              <a:noFill/>
            </a:ln>
            <a:effectLst>
              <a:glow rad="63500">
                <a:schemeClr val="accent6">
                  <a:satMod val="175000"/>
                  <a:alpha val="40000"/>
                </a:schemeClr>
              </a:glow>
            </a:effectLst>
          </c:spPr>
          <c:invertIfNegative val="0"/>
          <c:dLbls>
            <c:spPr>
              <a:noFill/>
              <a:ln>
                <a:noFill/>
              </a:ln>
              <a:effectLst>
                <a:glow rad="63500">
                  <a:srgbClr val="7030A0">
                    <a:alpha val="40000"/>
                  </a:srgbClr>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Tables!$A$63:$A$68</c:f>
              <c:strCache>
                <c:ptCount val="5"/>
                <c:pt idx="0">
                  <c:v>2019</c:v>
                </c:pt>
                <c:pt idx="1">
                  <c:v>2020</c:v>
                </c:pt>
                <c:pt idx="2">
                  <c:v>2021</c:v>
                </c:pt>
                <c:pt idx="3">
                  <c:v>2022</c:v>
                </c:pt>
                <c:pt idx="4">
                  <c:v>2023</c:v>
                </c:pt>
              </c:strCache>
            </c:strRef>
          </c:cat>
          <c:val>
            <c:numRef>
              <c:f>Tables!$B$63:$B$68</c:f>
              <c:numCache>
                <c:formatCode>General</c:formatCode>
                <c:ptCount val="5"/>
                <c:pt idx="0">
                  <c:v>11</c:v>
                </c:pt>
                <c:pt idx="1">
                  <c:v>14</c:v>
                </c:pt>
                <c:pt idx="2">
                  <c:v>17</c:v>
                </c:pt>
                <c:pt idx="3">
                  <c:v>19</c:v>
                </c:pt>
                <c:pt idx="4">
                  <c:v>10</c:v>
                </c:pt>
              </c:numCache>
            </c:numRef>
          </c:val>
          <c:extLst>
            <c:ext xmlns:c16="http://schemas.microsoft.com/office/drawing/2014/chart" uri="{C3380CC4-5D6E-409C-BE32-E72D297353CC}">
              <c16:uniqueId val="{00000000-5C0E-457F-AB78-5BE9FC475EAE}"/>
            </c:ext>
          </c:extLst>
        </c:ser>
        <c:dLbls>
          <c:dLblPos val="outEnd"/>
          <c:showLegendKey val="0"/>
          <c:showVal val="1"/>
          <c:showCatName val="0"/>
          <c:showSerName val="0"/>
          <c:showPercent val="0"/>
          <c:showBubbleSize val="0"/>
        </c:dLbls>
        <c:gapWidth val="219"/>
        <c:overlap val="-27"/>
        <c:axId val="1187088016"/>
        <c:axId val="1187078416"/>
      </c:barChart>
      <c:catAx>
        <c:axId val="1187088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87078416"/>
        <c:crosses val="autoZero"/>
        <c:auto val="1"/>
        <c:lblAlgn val="ctr"/>
        <c:lblOffset val="100"/>
        <c:noMultiLvlLbl val="0"/>
      </c:catAx>
      <c:valAx>
        <c:axId val="118707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187088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7.6317417708479149E-2"/>
          <c:y val="1.0681881016412398E-2"/>
          <c:w val="0.79022407829115326"/>
          <c:h val="0.88504979491985303"/>
        </c:manualLayout>
      </c:layout>
      <c:doughnutChart>
        <c:varyColors val="1"/>
        <c:ser>
          <c:idx val="0"/>
          <c:order val="0"/>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EBCE-4C97-997F-3FEE51F0957E}"/>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EBCE-4C97-997F-3FEE51F0957E}"/>
              </c:ext>
            </c:extLst>
          </c:dPt>
          <c:cat>
            <c:strRef>
              <c:f>Tables!$G$75:$G$76</c:f>
              <c:strCache>
                <c:ptCount val="2"/>
                <c:pt idx="0">
                  <c:v>Salary</c:v>
                </c:pt>
                <c:pt idx="1">
                  <c:v>Others</c:v>
                </c:pt>
              </c:strCache>
            </c:strRef>
          </c:cat>
          <c:val>
            <c:numRef>
              <c:f>Tables!$H$75:$H$76</c:f>
              <c:numCache>
                <c:formatCode>"₹"\ #,##0.00</c:formatCode>
                <c:ptCount val="2"/>
                <c:pt idx="0">
                  <c:v>4004.0682636954543</c:v>
                </c:pt>
                <c:pt idx="1">
                  <c:v>8033.5330087719849</c:v>
                </c:pt>
              </c:numCache>
            </c:numRef>
          </c:val>
          <c:extLst>
            <c:ext xmlns:c16="http://schemas.microsoft.com/office/drawing/2014/chart" uri="{C3380CC4-5D6E-409C-BE32-E72D297353CC}">
              <c16:uniqueId val="{00000004-EBCE-4C97-997F-3FEE51F0957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6.9021345304751056E-2"/>
          <c:y val="0.10940828746348175"/>
          <c:w val="0.83399994342155948"/>
          <c:h val="0.87371495074096572"/>
        </c:manualLayout>
      </c:layout>
      <c:doughnutChart>
        <c:varyColors val="1"/>
        <c:ser>
          <c:idx val="0"/>
          <c:order val="0"/>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6E6B-4F5C-A069-73972ABABCF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6E6B-4F5C-A069-73972ABABCF8}"/>
              </c:ext>
            </c:extLst>
          </c:dPt>
          <c:cat>
            <c:strRef>
              <c:f>Tables!$G$79:$G$80</c:f>
              <c:strCache>
                <c:ptCount val="2"/>
                <c:pt idx="0">
                  <c:v>Freelance</c:v>
                </c:pt>
                <c:pt idx="1">
                  <c:v>Others</c:v>
                </c:pt>
              </c:strCache>
            </c:strRef>
          </c:cat>
          <c:val>
            <c:numRef>
              <c:f>Tables!$H$79:$H$80</c:f>
              <c:numCache>
                <c:formatCode>"₹"\ #,##0.00</c:formatCode>
                <c:ptCount val="2"/>
                <c:pt idx="0">
                  <c:v>3968.9105482041591</c:v>
                </c:pt>
                <c:pt idx="1">
                  <c:v>8068.6907242632806</c:v>
                </c:pt>
              </c:numCache>
            </c:numRef>
          </c:val>
          <c:extLst>
            <c:ext xmlns:c16="http://schemas.microsoft.com/office/drawing/2014/chart" uri="{C3380CC4-5D6E-409C-BE32-E72D297353CC}">
              <c16:uniqueId val="{00000004-6E6B-4F5C-A069-73972ABABCF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8.1673036567753668E-2"/>
          <c:y val="0.15702759592843221"/>
          <c:w val="0.78864927510791594"/>
          <c:h val="0.73362750491961159"/>
        </c:manualLayout>
      </c:layout>
      <c:doughnutChart>
        <c:varyColors val="1"/>
        <c:ser>
          <c:idx val="0"/>
          <c:order val="0"/>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84F6-4747-B0DC-5DD56A2FA4B3}"/>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84F6-4747-B0DC-5DD56A2FA4B3}"/>
              </c:ext>
            </c:extLst>
          </c:dPt>
          <c:cat>
            <c:strRef>
              <c:f>Tables!$G$83:$G$84</c:f>
              <c:strCache>
                <c:ptCount val="2"/>
                <c:pt idx="0">
                  <c:v>Mixed</c:v>
                </c:pt>
                <c:pt idx="1">
                  <c:v>Others</c:v>
                </c:pt>
              </c:strCache>
            </c:strRef>
          </c:cat>
          <c:val>
            <c:numRef>
              <c:f>Tables!$H$83:$H$84</c:f>
              <c:numCache>
                <c:formatCode>"₹"\ #,##0.00</c:formatCode>
                <c:ptCount val="2"/>
                <c:pt idx="0">
                  <c:v>4064.6224605678258</c:v>
                </c:pt>
                <c:pt idx="1">
                  <c:v>7972.978811899613</c:v>
                </c:pt>
              </c:numCache>
            </c:numRef>
          </c:val>
          <c:extLst>
            <c:ext xmlns:c16="http://schemas.microsoft.com/office/drawing/2014/chart" uri="{C3380CC4-5D6E-409C-BE32-E72D297353CC}">
              <c16:uniqueId val="{00000004-84F6-4747-B0DC-5DD56A2FA4B3}"/>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Pivot Tables'!A1"/><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hyperlink" Target="#Dataset!A1"/><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2.png"/><Relationship Id="rId1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set!A1"/><Relationship Id="rId6" Type="http://schemas.openxmlformats.org/officeDocument/2006/relationships/image" Target="../media/image3.png"/><Relationship Id="rId5" Type="http://schemas.openxmlformats.org/officeDocument/2006/relationships/hyperlink" Target="#'Pivot Tables'!A1"/><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1.png"/><Relationship Id="rId1" Type="http://schemas.openxmlformats.org/officeDocument/2006/relationships/hyperlink" Target="#Dataset!A1"/><Relationship Id="rId6" Type="http://schemas.openxmlformats.org/officeDocument/2006/relationships/image" Target="../media/image3.png"/><Relationship Id="rId5" Type="http://schemas.openxmlformats.org/officeDocument/2006/relationships/hyperlink" Target="#Tables!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350921</xdr:colOff>
      <xdr:row>33</xdr:row>
      <xdr:rowOff>91909</xdr:rowOff>
    </xdr:to>
    <xdr:sp macro="" textlink="">
      <xdr:nvSpPr>
        <xdr:cNvPr id="49" name="Rectangle 48">
          <a:extLst>
            <a:ext uri="{FF2B5EF4-FFF2-40B4-BE49-F238E27FC236}">
              <a16:creationId xmlns:a16="http://schemas.microsoft.com/office/drawing/2014/main" id="{03C97CEA-3611-E992-3CF1-9107F4F6BD80}"/>
            </a:ext>
          </a:extLst>
        </xdr:cNvPr>
        <xdr:cNvSpPr/>
      </xdr:nvSpPr>
      <xdr:spPr>
        <a:xfrm>
          <a:off x="0" y="0"/>
          <a:ext cx="12549605" cy="615783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72190</xdr:colOff>
      <xdr:row>0</xdr:row>
      <xdr:rowOff>49798</xdr:rowOff>
    </xdr:from>
    <xdr:to>
      <xdr:col>20</xdr:col>
      <xdr:colOff>260574</xdr:colOff>
      <xdr:row>3</xdr:row>
      <xdr:rowOff>164351</xdr:rowOff>
    </xdr:to>
    <xdr:sp macro="" textlink="">
      <xdr:nvSpPr>
        <xdr:cNvPr id="2" name="Rectangle: Rounded Corners 1">
          <a:extLst>
            <a:ext uri="{FF2B5EF4-FFF2-40B4-BE49-F238E27FC236}">
              <a16:creationId xmlns:a16="http://schemas.microsoft.com/office/drawing/2014/main" id="{9BBA9F01-8BAB-6393-F491-325B6F7600E5}"/>
            </a:ext>
          </a:extLst>
        </xdr:cNvPr>
        <xdr:cNvSpPr/>
      </xdr:nvSpPr>
      <xdr:spPr>
        <a:xfrm>
          <a:off x="1292058" y="49798"/>
          <a:ext cx="11167200" cy="666000"/>
        </a:xfrm>
        <a:prstGeom prst="roundRect">
          <a:avLst/>
        </a:prstGeom>
        <a:solidFill>
          <a:srgbClr val="1F4E79"/>
        </a:solidFill>
        <a:ln>
          <a:no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76868</xdr:colOff>
      <xdr:row>4</xdr:row>
      <xdr:rowOff>67176</xdr:rowOff>
    </xdr:from>
    <xdr:to>
      <xdr:col>6</xdr:col>
      <xdr:colOff>355131</xdr:colOff>
      <xdr:row>8</xdr:row>
      <xdr:rowOff>37513</xdr:rowOff>
    </xdr:to>
    <xdr:sp macro="" textlink="">
      <xdr:nvSpPr>
        <xdr:cNvPr id="3" name="Rectangle: Rounded Corners 2">
          <a:extLst>
            <a:ext uri="{FF2B5EF4-FFF2-40B4-BE49-F238E27FC236}">
              <a16:creationId xmlns:a16="http://schemas.microsoft.com/office/drawing/2014/main" id="{14B5AE74-A642-8F52-F0ED-D59B9E21C67C}"/>
            </a:ext>
          </a:extLst>
        </xdr:cNvPr>
        <xdr:cNvSpPr/>
      </xdr:nvSpPr>
      <xdr:spPr>
        <a:xfrm>
          <a:off x="1302566" y="805548"/>
          <a:ext cx="2729658" cy="708709"/>
        </a:xfrm>
        <a:prstGeom prst="roundRect">
          <a:avLst/>
        </a:prstGeom>
        <a:solidFill>
          <a:schemeClr val="accent5">
            <a:lumMod val="60000"/>
            <a:lumOff val="40000"/>
          </a:schemeClr>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9</xdr:col>
      <xdr:colOff>292767</xdr:colOff>
      <xdr:row>8</xdr:row>
      <xdr:rowOff>121987</xdr:rowOff>
    </xdr:from>
    <xdr:to>
      <xdr:col>14</xdr:col>
      <xdr:colOff>603917</xdr:colOff>
      <xdr:row>20</xdr:row>
      <xdr:rowOff>100263</xdr:rowOff>
    </xdr:to>
    <xdr:sp macro="" textlink="">
      <xdr:nvSpPr>
        <xdr:cNvPr id="8" name="Rectangle: Rounded Corners 7">
          <a:extLst>
            <a:ext uri="{FF2B5EF4-FFF2-40B4-BE49-F238E27FC236}">
              <a16:creationId xmlns:a16="http://schemas.microsoft.com/office/drawing/2014/main" id="{FE0658AB-7AC7-B818-0A4D-757DAF4A4BF7}"/>
            </a:ext>
          </a:extLst>
        </xdr:cNvPr>
        <xdr:cNvSpPr/>
      </xdr:nvSpPr>
      <xdr:spPr>
        <a:xfrm>
          <a:off x="5782175" y="1592513"/>
          <a:ext cx="3360821" cy="2184066"/>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81214</xdr:colOff>
      <xdr:row>21</xdr:row>
      <xdr:rowOff>87562</xdr:rowOff>
    </xdr:from>
    <xdr:to>
      <xdr:col>7</xdr:col>
      <xdr:colOff>384343</xdr:colOff>
      <xdr:row>33</xdr:row>
      <xdr:rowOff>8355</xdr:rowOff>
    </xdr:to>
    <xdr:sp macro="" textlink="">
      <xdr:nvSpPr>
        <xdr:cNvPr id="9" name="Rectangle: Rounded Corners 8">
          <a:extLst>
            <a:ext uri="{FF2B5EF4-FFF2-40B4-BE49-F238E27FC236}">
              <a16:creationId xmlns:a16="http://schemas.microsoft.com/office/drawing/2014/main" id="{D918DE9F-A67F-74EB-D970-2D7FB551839F}"/>
            </a:ext>
          </a:extLst>
        </xdr:cNvPr>
        <xdr:cNvSpPr/>
      </xdr:nvSpPr>
      <xdr:spPr>
        <a:xfrm>
          <a:off x="1301082" y="3947694"/>
          <a:ext cx="3352800" cy="2126582"/>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7</xdr:col>
      <xdr:colOff>501317</xdr:colOff>
      <xdr:row>21</xdr:row>
      <xdr:rowOff>72188</xdr:rowOff>
    </xdr:from>
    <xdr:to>
      <xdr:col>15</xdr:col>
      <xdr:colOff>66842</xdr:colOff>
      <xdr:row>33</xdr:row>
      <xdr:rowOff>8355</xdr:rowOff>
    </xdr:to>
    <xdr:sp macro="" textlink="">
      <xdr:nvSpPr>
        <xdr:cNvPr id="10" name="Rectangle: Rounded Corners 9">
          <a:extLst>
            <a:ext uri="{FF2B5EF4-FFF2-40B4-BE49-F238E27FC236}">
              <a16:creationId xmlns:a16="http://schemas.microsoft.com/office/drawing/2014/main" id="{868A1ECF-056D-C6AC-7E59-2E3E3927AF62}"/>
            </a:ext>
          </a:extLst>
        </xdr:cNvPr>
        <xdr:cNvSpPr/>
      </xdr:nvSpPr>
      <xdr:spPr>
        <a:xfrm>
          <a:off x="4770856" y="3932320"/>
          <a:ext cx="4444999" cy="2141956"/>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55988</xdr:colOff>
      <xdr:row>8</xdr:row>
      <xdr:rowOff>124915</xdr:rowOff>
    </xdr:from>
    <xdr:to>
      <xdr:col>9</xdr:col>
      <xdr:colOff>195688</xdr:colOff>
      <xdr:row>20</xdr:row>
      <xdr:rowOff>142038</xdr:rowOff>
    </xdr:to>
    <xdr:sp macro="" textlink="">
      <xdr:nvSpPr>
        <xdr:cNvPr id="11" name="Rectangle: Rounded Corners 10">
          <a:extLst>
            <a:ext uri="{FF2B5EF4-FFF2-40B4-BE49-F238E27FC236}">
              <a16:creationId xmlns:a16="http://schemas.microsoft.com/office/drawing/2014/main" id="{BAB635BC-B91E-3207-485F-38AE3737C2E0}"/>
            </a:ext>
          </a:extLst>
        </xdr:cNvPr>
        <xdr:cNvSpPr/>
      </xdr:nvSpPr>
      <xdr:spPr>
        <a:xfrm>
          <a:off x="1275856" y="1595441"/>
          <a:ext cx="4409240" cy="2222913"/>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6</xdr:col>
      <xdr:colOff>446503</xdr:colOff>
      <xdr:row>4</xdr:row>
      <xdr:rowOff>60826</xdr:rowOff>
    </xdr:from>
    <xdr:to>
      <xdr:col>11</xdr:col>
      <xdr:colOff>114832</xdr:colOff>
      <xdr:row>8</xdr:row>
      <xdr:rowOff>31163</xdr:rowOff>
    </xdr:to>
    <xdr:sp macro="" textlink="">
      <xdr:nvSpPr>
        <xdr:cNvPr id="13" name="Rectangle: Rounded Corners 12">
          <a:extLst>
            <a:ext uri="{FF2B5EF4-FFF2-40B4-BE49-F238E27FC236}">
              <a16:creationId xmlns:a16="http://schemas.microsoft.com/office/drawing/2014/main" id="{F18094A8-9BF1-4002-9E42-C6F34CB7B462}"/>
            </a:ext>
          </a:extLst>
        </xdr:cNvPr>
        <xdr:cNvSpPr/>
      </xdr:nvSpPr>
      <xdr:spPr>
        <a:xfrm>
          <a:off x="4106108" y="796089"/>
          <a:ext cx="2718000" cy="705600"/>
        </a:xfrm>
        <a:prstGeom prst="roundRect">
          <a:avLst/>
        </a:prstGeom>
        <a:solidFill>
          <a:schemeClr val="accent2">
            <a:lumMod val="40000"/>
            <a:lumOff val="60000"/>
          </a:schemeClr>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189497</xdr:colOff>
      <xdr:row>4</xdr:row>
      <xdr:rowOff>54477</xdr:rowOff>
    </xdr:from>
    <xdr:to>
      <xdr:col>15</xdr:col>
      <xdr:colOff>467760</xdr:colOff>
      <xdr:row>8</xdr:row>
      <xdr:rowOff>24814</xdr:rowOff>
    </xdr:to>
    <xdr:sp macro="" textlink="">
      <xdr:nvSpPr>
        <xdr:cNvPr id="14" name="Rectangle: Rounded Corners 13">
          <a:extLst>
            <a:ext uri="{FF2B5EF4-FFF2-40B4-BE49-F238E27FC236}">
              <a16:creationId xmlns:a16="http://schemas.microsoft.com/office/drawing/2014/main" id="{CE23AC08-7BC8-4E62-B7ED-CC1D7780EA22}"/>
            </a:ext>
          </a:extLst>
        </xdr:cNvPr>
        <xdr:cNvSpPr/>
      </xdr:nvSpPr>
      <xdr:spPr>
        <a:xfrm>
          <a:off x="6898773" y="789740"/>
          <a:ext cx="2718000" cy="705600"/>
        </a:xfrm>
        <a:prstGeom prst="roundRect">
          <a:avLst/>
        </a:prstGeom>
        <a:solidFill>
          <a:schemeClr val="accent6"/>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575844</xdr:colOff>
      <xdr:row>4</xdr:row>
      <xdr:rowOff>64837</xdr:rowOff>
    </xdr:from>
    <xdr:to>
      <xdr:col>20</xdr:col>
      <xdr:colOff>244173</xdr:colOff>
      <xdr:row>8</xdr:row>
      <xdr:rowOff>35174</xdr:rowOff>
    </xdr:to>
    <xdr:sp macro="" textlink="">
      <xdr:nvSpPr>
        <xdr:cNvPr id="15" name="Rectangle: Rounded Corners 14">
          <a:extLst>
            <a:ext uri="{FF2B5EF4-FFF2-40B4-BE49-F238E27FC236}">
              <a16:creationId xmlns:a16="http://schemas.microsoft.com/office/drawing/2014/main" id="{F8A40154-3B01-4CCF-9999-84460F49CD60}"/>
            </a:ext>
          </a:extLst>
        </xdr:cNvPr>
        <xdr:cNvSpPr/>
      </xdr:nvSpPr>
      <xdr:spPr>
        <a:xfrm>
          <a:off x="9724857" y="800100"/>
          <a:ext cx="2718000" cy="705600"/>
        </a:xfrm>
        <a:prstGeom prst="roundRect">
          <a:avLst/>
        </a:prstGeom>
        <a:solidFill>
          <a:srgbClr val="FF3300"/>
        </a:solidFill>
        <a:ln>
          <a:noFill/>
        </a:ln>
        <a:effectLst>
          <a:glow rad="635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15</xdr:col>
      <xdr:colOff>110957</xdr:colOff>
      <xdr:row>8</xdr:row>
      <xdr:rowOff>132348</xdr:rowOff>
    </xdr:from>
    <xdr:to>
      <xdr:col>20</xdr:col>
      <xdr:colOff>259013</xdr:colOff>
      <xdr:row>20</xdr:row>
      <xdr:rowOff>110624</xdr:rowOff>
    </xdr:to>
    <xdr:sp macro="" textlink="">
      <xdr:nvSpPr>
        <xdr:cNvPr id="16" name="Rectangle: Rounded Corners 15">
          <a:extLst>
            <a:ext uri="{FF2B5EF4-FFF2-40B4-BE49-F238E27FC236}">
              <a16:creationId xmlns:a16="http://schemas.microsoft.com/office/drawing/2014/main" id="{C1C65437-3094-4CE5-864E-3B73B8221965}"/>
            </a:ext>
          </a:extLst>
        </xdr:cNvPr>
        <xdr:cNvSpPr/>
      </xdr:nvSpPr>
      <xdr:spPr>
        <a:xfrm>
          <a:off x="9259970" y="1602874"/>
          <a:ext cx="3197727" cy="2184066"/>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0</xdr:col>
      <xdr:colOff>116973</xdr:colOff>
      <xdr:row>0</xdr:row>
      <xdr:rowOff>91908</xdr:rowOff>
    </xdr:from>
    <xdr:to>
      <xdr:col>1</xdr:col>
      <xdr:colOff>584868</xdr:colOff>
      <xdr:row>33</xdr:row>
      <xdr:rowOff>8355</xdr:rowOff>
    </xdr:to>
    <xdr:sp macro="" textlink="">
      <xdr:nvSpPr>
        <xdr:cNvPr id="17" name="Rectangle: Rounded Corners 16">
          <a:extLst>
            <a:ext uri="{FF2B5EF4-FFF2-40B4-BE49-F238E27FC236}">
              <a16:creationId xmlns:a16="http://schemas.microsoft.com/office/drawing/2014/main" id="{15315B84-EC79-2549-B264-03723291FB24}"/>
            </a:ext>
          </a:extLst>
        </xdr:cNvPr>
        <xdr:cNvSpPr/>
      </xdr:nvSpPr>
      <xdr:spPr>
        <a:xfrm>
          <a:off x="116973" y="91908"/>
          <a:ext cx="1077829" cy="5982368"/>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131185</xdr:colOff>
      <xdr:row>10</xdr:row>
      <xdr:rowOff>8355</xdr:rowOff>
    </xdr:from>
    <xdr:to>
      <xdr:col>9</xdr:col>
      <xdr:colOff>116974</xdr:colOff>
      <xdr:row>20</xdr:row>
      <xdr:rowOff>116973</xdr:rowOff>
    </xdr:to>
    <xdr:graphicFrame macro="">
      <xdr:nvGraphicFramePr>
        <xdr:cNvPr id="27" name="Chart 26">
          <a:extLst>
            <a:ext uri="{FF2B5EF4-FFF2-40B4-BE49-F238E27FC236}">
              <a16:creationId xmlns:a16="http://schemas.microsoft.com/office/drawing/2014/main" id="{48FF9580-839C-4DC1-BE3E-12744DFD5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292767</xdr:colOff>
      <xdr:row>9</xdr:row>
      <xdr:rowOff>175461</xdr:rowOff>
    </xdr:from>
    <xdr:to>
      <xdr:col>14</xdr:col>
      <xdr:colOff>593224</xdr:colOff>
      <xdr:row>20</xdr:row>
      <xdr:rowOff>75197</xdr:rowOff>
    </xdr:to>
    <xdr:graphicFrame macro="">
      <xdr:nvGraphicFramePr>
        <xdr:cNvPr id="28" name="Chart 27">
          <a:extLst>
            <a:ext uri="{FF2B5EF4-FFF2-40B4-BE49-F238E27FC236}">
              <a16:creationId xmlns:a16="http://schemas.microsoft.com/office/drawing/2014/main" id="{D2D1C734-8859-4B7D-9027-07F386A9E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75198</xdr:colOff>
      <xdr:row>9</xdr:row>
      <xdr:rowOff>73860</xdr:rowOff>
    </xdr:from>
    <xdr:to>
      <xdr:col>20</xdr:col>
      <xdr:colOff>175461</xdr:colOff>
      <xdr:row>20</xdr:row>
      <xdr:rowOff>83551</xdr:rowOff>
    </xdr:to>
    <xdr:graphicFrame macro="">
      <xdr:nvGraphicFramePr>
        <xdr:cNvPr id="29" name="Chart 28">
          <a:extLst>
            <a:ext uri="{FF2B5EF4-FFF2-40B4-BE49-F238E27FC236}">
              <a16:creationId xmlns:a16="http://schemas.microsoft.com/office/drawing/2014/main" id="{F15C4192-2628-42F5-B65F-FAB6FFE9E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534738</xdr:colOff>
      <xdr:row>21</xdr:row>
      <xdr:rowOff>147385</xdr:rowOff>
    </xdr:from>
    <xdr:to>
      <xdr:col>15</xdr:col>
      <xdr:colOff>233947</xdr:colOff>
      <xdr:row>32</xdr:row>
      <xdr:rowOff>158750</xdr:rowOff>
    </xdr:to>
    <xdr:graphicFrame macro="">
      <xdr:nvGraphicFramePr>
        <xdr:cNvPr id="31" name="Chart 30">
          <a:extLst>
            <a:ext uri="{FF2B5EF4-FFF2-40B4-BE49-F238E27FC236}">
              <a16:creationId xmlns:a16="http://schemas.microsoft.com/office/drawing/2014/main" id="{6635416C-9308-4D93-9925-D49BDA945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81213</xdr:colOff>
      <xdr:row>22</xdr:row>
      <xdr:rowOff>125329</xdr:rowOff>
    </xdr:from>
    <xdr:to>
      <xdr:col>7</xdr:col>
      <xdr:colOff>367631</xdr:colOff>
      <xdr:row>32</xdr:row>
      <xdr:rowOff>108619</xdr:rowOff>
    </xdr:to>
    <xdr:graphicFrame macro="">
      <xdr:nvGraphicFramePr>
        <xdr:cNvPr id="32" name="Chart 31">
          <a:extLst>
            <a:ext uri="{FF2B5EF4-FFF2-40B4-BE49-F238E27FC236}">
              <a16:creationId xmlns:a16="http://schemas.microsoft.com/office/drawing/2014/main" id="{3F324226-9B19-4B14-8C2C-A9B79FFB5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158749</xdr:colOff>
      <xdr:row>0</xdr:row>
      <xdr:rowOff>108618</xdr:rowOff>
    </xdr:from>
    <xdr:to>
      <xdr:col>14</xdr:col>
      <xdr:colOff>108617</xdr:colOff>
      <xdr:row>3</xdr:row>
      <xdr:rowOff>83552</xdr:rowOff>
    </xdr:to>
    <xdr:sp macro="" textlink="">
      <xdr:nvSpPr>
        <xdr:cNvPr id="4" name="TextBox 3">
          <a:extLst>
            <a:ext uri="{FF2B5EF4-FFF2-40B4-BE49-F238E27FC236}">
              <a16:creationId xmlns:a16="http://schemas.microsoft.com/office/drawing/2014/main" id="{BE5E05BD-C056-6B9D-BD7D-D0BEF9328C2A}"/>
            </a:ext>
          </a:extLst>
        </xdr:cNvPr>
        <xdr:cNvSpPr txBox="1"/>
      </xdr:nvSpPr>
      <xdr:spPr>
        <a:xfrm>
          <a:off x="1378617" y="108618"/>
          <a:ext cx="7269079" cy="526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bg1"/>
              </a:solidFill>
              <a:latin typeface="Bahnschrift" panose="020B0502040204020203" pitchFamily="34" charset="0"/>
            </a:rPr>
            <a:t>Financial Behavior Analytics Dashboard</a:t>
          </a:r>
        </a:p>
      </xdr:txBody>
    </xdr:sp>
    <xdr:clientData/>
  </xdr:twoCellAnchor>
  <xdr:twoCellAnchor>
    <xdr:from>
      <xdr:col>2</xdr:col>
      <xdr:colOff>225592</xdr:colOff>
      <xdr:row>8</xdr:row>
      <xdr:rowOff>125330</xdr:rowOff>
    </xdr:from>
    <xdr:to>
      <xdr:col>7</xdr:col>
      <xdr:colOff>125328</xdr:colOff>
      <xdr:row>10</xdr:row>
      <xdr:rowOff>8355</xdr:rowOff>
    </xdr:to>
    <xdr:sp macro="" textlink="">
      <xdr:nvSpPr>
        <xdr:cNvPr id="7" name="TextBox 6">
          <a:extLst>
            <a:ext uri="{FF2B5EF4-FFF2-40B4-BE49-F238E27FC236}">
              <a16:creationId xmlns:a16="http://schemas.microsoft.com/office/drawing/2014/main" id="{4C2FA69F-C8C4-0033-57BC-73461C89971E}"/>
            </a:ext>
          </a:extLst>
        </xdr:cNvPr>
        <xdr:cNvSpPr txBox="1"/>
      </xdr:nvSpPr>
      <xdr:spPr>
        <a:xfrm>
          <a:off x="1445460" y="1595856"/>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rgbClr val="C00000"/>
              </a:solidFill>
              <a:latin typeface="+mn-lt"/>
            </a:rPr>
            <a:t> Income VS Expenses</a:t>
          </a:r>
          <a:endParaRPr lang="en-GB" sz="1100" b="1">
            <a:solidFill>
              <a:srgbClr val="C00000"/>
            </a:solidFill>
            <a:latin typeface="+mn-lt"/>
          </a:endParaRPr>
        </a:p>
      </xdr:txBody>
    </xdr:sp>
    <xdr:clientData/>
  </xdr:twoCellAnchor>
  <xdr:twoCellAnchor>
    <xdr:from>
      <xdr:col>9</xdr:col>
      <xdr:colOff>393030</xdr:colOff>
      <xdr:row>8</xdr:row>
      <xdr:rowOff>130342</xdr:rowOff>
    </xdr:from>
    <xdr:to>
      <xdr:col>14</xdr:col>
      <xdr:colOff>292766</xdr:colOff>
      <xdr:row>10</xdr:row>
      <xdr:rowOff>13367</xdr:rowOff>
    </xdr:to>
    <xdr:sp macro="" textlink="">
      <xdr:nvSpPr>
        <xdr:cNvPr id="18" name="TextBox 17">
          <a:extLst>
            <a:ext uri="{FF2B5EF4-FFF2-40B4-BE49-F238E27FC236}">
              <a16:creationId xmlns:a16="http://schemas.microsoft.com/office/drawing/2014/main" id="{F2F4BB0B-72E2-4B1C-8120-37E6B00E3E50}"/>
            </a:ext>
          </a:extLst>
        </xdr:cNvPr>
        <xdr:cNvSpPr txBox="1"/>
      </xdr:nvSpPr>
      <xdr:spPr>
        <a:xfrm>
          <a:off x="5882438" y="1600868"/>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rgbClr val="C00000"/>
              </a:solidFill>
              <a:latin typeface="+mn-lt"/>
            </a:rPr>
            <a:t>Savings VS Goal</a:t>
          </a:r>
          <a:endParaRPr lang="en-GB" sz="1100" b="1">
            <a:solidFill>
              <a:srgbClr val="C00000"/>
            </a:solidFill>
            <a:latin typeface="+mn-lt"/>
          </a:endParaRPr>
        </a:p>
      </xdr:txBody>
    </xdr:sp>
    <xdr:clientData/>
  </xdr:twoCellAnchor>
  <xdr:twoCellAnchor>
    <xdr:from>
      <xdr:col>15</xdr:col>
      <xdr:colOff>303128</xdr:colOff>
      <xdr:row>8</xdr:row>
      <xdr:rowOff>132348</xdr:rowOff>
    </xdr:from>
    <xdr:to>
      <xdr:col>20</xdr:col>
      <xdr:colOff>202864</xdr:colOff>
      <xdr:row>10</xdr:row>
      <xdr:rowOff>15373</xdr:rowOff>
    </xdr:to>
    <xdr:sp macro="" textlink="">
      <xdr:nvSpPr>
        <xdr:cNvPr id="20" name="TextBox 19">
          <a:extLst>
            <a:ext uri="{FF2B5EF4-FFF2-40B4-BE49-F238E27FC236}">
              <a16:creationId xmlns:a16="http://schemas.microsoft.com/office/drawing/2014/main" id="{FD2A5A04-50F2-430E-8BB9-54E7F3DD834D}"/>
            </a:ext>
          </a:extLst>
        </xdr:cNvPr>
        <xdr:cNvSpPr txBox="1"/>
      </xdr:nvSpPr>
      <xdr:spPr>
        <a:xfrm>
          <a:off x="9452141" y="1602874"/>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rgbClr val="C00000"/>
              </a:solidFill>
              <a:latin typeface="+mn-lt"/>
            </a:rPr>
            <a:t>Expenses Breakdown</a:t>
          </a:r>
          <a:endParaRPr lang="en-GB" sz="1100" b="1">
            <a:solidFill>
              <a:srgbClr val="C00000"/>
            </a:solidFill>
            <a:latin typeface="+mn-lt"/>
          </a:endParaRPr>
        </a:p>
      </xdr:txBody>
    </xdr:sp>
    <xdr:clientData/>
  </xdr:twoCellAnchor>
  <xdr:twoCellAnchor>
    <xdr:from>
      <xdr:col>2</xdr:col>
      <xdr:colOff>248319</xdr:colOff>
      <xdr:row>21</xdr:row>
      <xdr:rowOff>79207</xdr:rowOff>
    </xdr:from>
    <xdr:to>
      <xdr:col>7</xdr:col>
      <xdr:colOff>148055</xdr:colOff>
      <xdr:row>22</xdr:row>
      <xdr:rowOff>146049</xdr:rowOff>
    </xdr:to>
    <xdr:sp macro="" textlink="">
      <xdr:nvSpPr>
        <xdr:cNvPr id="23" name="TextBox 22">
          <a:extLst>
            <a:ext uri="{FF2B5EF4-FFF2-40B4-BE49-F238E27FC236}">
              <a16:creationId xmlns:a16="http://schemas.microsoft.com/office/drawing/2014/main" id="{F457F15C-AADF-4B9D-B54E-DE241280841B}"/>
            </a:ext>
          </a:extLst>
        </xdr:cNvPr>
        <xdr:cNvSpPr txBox="1"/>
      </xdr:nvSpPr>
      <xdr:spPr>
        <a:xfrm>
          <a:off x="1468187" y="3939339"/>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rgbClr val="C00000"/>
              </a:solidFill>
              <a:latin typeface="+mn-lt"/>
            </a:rPr>
            <a:t> Yearly Frauds</a:t>
          </a:r>
          <a:endParaRPr lang="en-GB" sz="1100" b="1">
            <a:solidFill>
              <a:srgbClr val="C00000"/>
            </a:solidFill>
            <a:latin typeface="+mn-lt"/>
          </a:endParaRPr>
        </a:p>
      </xdr:txBody>
    </xdr:sp>
    <xdr:clientData/>
  </xdr:twoCellAnchor>
  <xdr:twoCellAnchor>
    <xdr:from>
      <xdr:col>8</xdr:col>
      <xdr:colOff>100264</xdr:colOff>
      <xdr:row>21</xdr:row>
      <xdr:rowOff>113964</xdr:rowOff>
    </xdr:from>
    <xdr:to>
      <xdr:col>13</xdr:col>
      <xdr:colOff>0</xdr:colOff>
      <xdr:row>22</xdr:row>
      <xdr:rowOff>180806</xdr:rowOff>
    </xdr:to>
    <xdr:sp macro="" textlink="">
      <xdr:nvSpPr>
        <xdr:cNvPr id="26" name="TextBox 25">
          <a:extLst>
            <a:ext uri="{FF2B5EF4-FFF2-40B4-BE49-F238E27FC236}">
              <a16:creationId xmlns:a16="http://schemas.microsoft.com/office/drawing/2014/main" id="{35191194-8B49-411E-9070-71B2B7D734AA}"/>
            </a:ext>
          </a:extLst>
        </xdr:cNvPr>
        <xdr:cNvSpPr txBox="1"/>
      </xdr:nvSpPr>
      <xdr:spPr>
        <a:xfrm>
          <a:off x="4979738" y="3974096"/>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rgbClr val="C00000"/>
              </a:solidFill>
              <a:latin typeface="+mn-lt"/>
            </a:rPr>
            <a:t>Expense Ratio VS Savings Rate</a:t>
          </a:r>
          <a:endParaRPr lang="en-GB" sz="1100" b="1">
            <a:solidFill>
              <a:srgbClr val="C00000"/>
            </a:solidFill>
            <a:latin typeface="+mn-lt"/>
          </a:endParaRPr>
        </a:p>
      </xdr:txBody>
    </xdr:sp>
    <xdr:clientData/>
  </xdr:twoCellAnchor>
  <xdr:twoCellAnchor>
    <xdr:from>
      <xdr:col>15</xdr:col>
      <xdr:colOff>208883</xdr:colOff>
      <xdr:row>21</xdr:row>
      <xdr:rowOff>25066</xdr:rowOff>
    </xdr:from>
    <xdr:to>
      <xdr:col>20</xdr:col>
      <xdr:colOff>267369</xdr:colOff>
      <xdr:row>33</xdr:row>
      <xdr:rowOff>3343</xdr:rowOff>
    </xdr:to>
    <xdr:sp macro="" textlink="">
      <xdr:nvSpPr>
        <xdr:cNvPr id="38" name="Rectangle: Rounded Corners 37">
          <a:extLst>
            <a:ext uri="{FF2B5EF4-FFF2-40B4-BE49-F238E27FC236}">
              <a16:creationId xmlns:a16="http://schemas.microsoft.com/office/drawing/2014/main" id="{4489AE2B-10EC-4DFA-A6D4-EDD837F34423}"/>
            </a:ext>
          </a:extLst>
        </xdr:cNvPr>
        <xdr:cNvSpPr/>
      </xdr:nvSpPr>
      <xdr:spPr>
        <a:xfrm>
          <a:off x="9357896" y="3885198"/>
          <a:ext cx="3108157" cy="2184066"/>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15</xdr:col>
      <xdr:colOff>309143</xdr:colOff>
      <xdr:row>22</xdr:row>
      <xdr:rowOff>125329</xdr:rowOff>
    </xdr:from>
    <xdr:to>
      <xdr:col>17</xdr:col>
      <xdr:colOff>534735</xdr:colOff>
      <xdr:row>29</xdr:row>
      <xdr:rowOff>26618</xdr:rowOff>
    </xdr:to>
    <mc:AlternateContent xmlns:mc="http://schemas.openxmlformats.org/markup-compatibility/2006" xmlns:a14="http://schemas.microsoft.com/office/drawing/2010/main">
      <mc:Choice Requires="a14">
        <xdr:graphicFrame macro="">
          <xdr:nvGraphicFramePr>
            <xdr:cNvPr id="36" name="Cash_Flow_Status 1">
              <a:extLst>
                <a:ext uri="{FF2B5EF4-FFF2-40B4-BE49-F238E27FC236}">
                  <a16:creationId xmlns:a16="http://schemas.microsoft.com/office/drawing/2014/main" id="{4281655B-28A2-40C8-8E5C-00413CE3A668}"/>
                </a:ext>
              </a:extLst>
            </xdr:cNvPr>
            <xdr:cNvGraphicFramePr/>
          </xdr:nvGraphicFramePr>
          <xdr:xfrm>
            <a:off x="0" y="0"/>
            <a:ext cx="0" cy="0"/>
          </xdr:xfrm>
          <a:graphic>
            <a:graphicData uri="http://schemas.microsoft.com/office/drawing/2010/slicer">
              <sle:slicer xmlns:sle="http://schemas.microsoft.com/office/drawing/2010/slicer" name="Cash_Flow_Status 1"/>
            </a:graphicData>
          </a:graphic>
        </xdr:graphicFrame>
      </mc:Choice>
      <mc:Fallback xmlns="">
        <xdr:sp macro="" textlink="">
          <xdr:nvSpPr>
            <xdr:cNvPr id="0" name=""/>
            <xdr:cNvSpPr>
              <a:spLocks noTextEdit="1"/>
            </xdr:cNvSpPr>
          </xdr:nvSpPr>
          <xdr:spPr>
            <a:xfrm>
              <a:off x="9458156" y="4169276"/>
              <a:ext cx="1445461" cy="118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392694</xdr:colOff>
      <xdr:row>28</xdr:row>
      <xdr:rowOff>167106</xdr:rowOff>
    </xdr:from>
    <xdr:to>
      <xdr:col>20</xdr:col>
      <xdr:colOff>91908</xdr:colOff>
      <xdr:row>32</xdr:row>
      <xdr:rowOff>116974</xdr:rowOff>
    </xdr:to>
    <mc:AlternateContent xmlns:mc="http://schemas.openxmlformats.org/markup-compatibility/2006" xmlns:a14="http://schemas.microsoft.com/office/drawing/2010/main">
      <mc:Choice Requires="a14">
        <xdr:graphicFrame macro="">
          <xdr:nvGraphicFramePr>
            <xdr:cNvPr id="35" name="Financial_Scenario 1">
              <a:extLst>
                <a:ext uri="{FF2B5EF4-FFF2-40B4-BE49-F238E27FC236}">
                  <a16:creationId xmlns:a16="http://schemas.microsoft.com/office/drawing/2014/main" id="{C0D73E06-029E-4513-BC2E-39BC20C17461}"/>
                </a:ext>
              </a:extLst>
            </xdr:cNvPr>
            <xdr:cNvGraphicFramePr/>
          </xdr:nvGraphicFramePr>
          <xdr:xfrm>
            <a:off x="0" y="0"/>
            <a:ext cx="0" cy="0"/>
          </xdr:xfrm>
          <a:graphic>
            <a:graphicData uri="http://schemas.microsoft.com/office/drawing/2010/slicer">
              <sle:slicer xmlns:sle="http://schemas.microsoft.com/office/drawing/2010/slicer" name="Financial_Scenario 1"/>
            </a:graphicData>
          </a:graphic>
        </xdr:graphicFrame>
      </mc:Choice>
      <mc:Fallback xmlns="">
        <xdr:sp macro="" textlink="">
          <xdr:nvSpPr>
            <xdr:cNvPr id="0" name=""/>
            <xdr:cNvSpPr>
              <a:spLocks noTextEdit="1"/>
            </xdr:cNvSpPr>
          </xdr:nvSpPr>
          <xdr:spPr>
            <a:xfrm>
              <a:off x="9541707" y="5313948"/>
              <a:ext cx="2748885" cy="6851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576512</xdr:colOff>
      <xdr:row>22</xdr:row>
      <xdr:rowOff>91907</xdr:rowOff>
    </xdr:from>
    <xdr:to>
      <xdr:col>20</xdr:col>
      <xdr:colOff>125330</xdr:colOff>
      <xdr:row>28</xdr:row>
      <xdr:rowOff>177012</xdr:rowOff>
    </xdr:to>
    <mc:AlternateContent xmlns:mc="http://schemas.openxmlformats.org/markup-compatibility/2006" xmlns:a14="http://schemas.microsoft.com/office/drawing/2010/main">
      <mc:Choice Requires="a14">
        <xdr:graphicFrame macro="">
          <xdr:nvGraphicFramePr>
            <xdr:cNvPr id="33" name="Income_Type 1">
              <a:extLst>
                <a:ext uri="{FF2B5EF4-FFF2-40B4-BE49-F238E27FC236}">
                  <a16:creationId xmlns:a16="http://schemas.microsoft.com/office/drawing/2014/main" id="{7B81C1A6-0A54-4A50-9079-402112DEC194}"/>
                </a:ext>
              </a:extLst>
            </xdr:cNvPr>
            <xdr:cNvGraphicFramePr/>
          </xdr:nvGraphicFramePr>
          <xdr:xfrm>
            <a:off x="0" y="0"/>
            <a:ext cx="0" cy="0"/>
          </xdr:xfrm>
          <a:graphic>
            <a:graphicData uri="http://schemas.microsoft.com/office/drawing/2010/slicer">
              <sle:slicer xmlns:sle="http://schemas.microsoft.com/office/drawing/2010/slicer" name="Income_Type 1"/>
            </a:graphicData>
          </a:graphic>
        </xdr:graphicFrame>
      </mc:Choice>
      <mc:Fallback xmlns="">
        <xdr:sp macro="" textlink="">
          <xdr:nvSpPr>
            <xdr:cNvPr id="0" name=""/>
            <xdr:cNvSpPr>
              <a:spLocks noTextEdit="1"/>
            </xdr:cNvSpPr>
          </xdr:nvSpPr>
          <xdr:spPr>
            <a:xfrm>
              <a:off x="10945394" y="4135854"/>
              <a:ext cx="1378620" cy="118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284079</xdr:colOff>
      <xdr:row>1</xdr:row>
      <xdr:rowOff>66843</xdr:rowOff>
    </xdr:from>
    <xdr:to>
      <xdr:col>1</xdr:col>
      <xdr:colOff>467894</xdr:colOff>
      <xdr:row>5</xdr:row>
      <xdr:rowOff>125329</xdr:rowOff>
    </xdr:to>
    <xdr:pic>
      <xdr:nvPicPr>
        <xdr:cNvPr id="44" name="Picture 43">
          <a:hlinkClick xmlns:r="http://schemas.openxmlformats.org/officeDocument/2006/relationships" r:id="rId6"/>
          <a:extLst>
            <a:ext uri="{FF2B5EF4-FFF2-40B4-BE49-F238E27FC236}">
              <a16:creationId xmlns:a16="http://schemas.microsoft.com/office/drawing/2014/main" id="{12D77DFE-6A7E-FC1D-B27E-F15DEC75A2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4079" y="250659"/>
          <a:ext cx="793749" cy="793749"/>
        </a:xfrm>
        <a:prstGeom prst="rect">
          <a:avLst/>
        </a:prstGeom>
      </xdr:spPr>
    </xdr:pic>
    <xdr:clientData/>
  </xdr:twoCellAnchor>
  <xdr:twoCellAnchor editAs="oneCell">
    <xdr:from>
      <xdr:col>0</xdr:col>
      <xdr:colOff>284079</xdr:colOff>
      <xdr:row>6</xdr:row>
      <xdr:rowOff>83552</xdr:rowOff>
    </xdr:from>
    <xdr:to>
      <xdr:col>1</xdr:col>
      <xdr:colOff>390704</xdr:colOff>
      <xdr:row>10</xdr:row>
      <xdr:rowOff>64848</xdr:rowOff>
    </xdr:to>
    <xdr:pic>
      <xdr:nvPicPr>
        <xdr:cNvPr id="46" name="Picture 45">
          <a:hlinkClick xmlns:r="http://schemas.openxmlformats.org/officeDocument/2006/relationships" r:id="rId8"/>
          <a:extLst>
            <a:ext uri="{FF2B5EF4-FFF2-40B4-BE49-F238E27FC236}">
              <a16:creationId xmlns:a16="http://schemas.microsoft.com/office/drawing/2014/main" id="{E28929AA-9433-F8F4-923F-DFC5BAC6A1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4079" y="1186447"/>
          <a:ext cx="716559" cy="716559"/>
        </a:xfrm>
        <a:prstGeom prst="rect">
          <a:avLst/>
        </a:prstGeom>
      </xdr:spPr>
    </xdr:pic>
    <xdr:clientData/>
  </xdr:twoCellAnchor>
  <xdr:twoCellAnchor>
    <xdr:from>
      <xdr:col>15</xdr:col>
      <xdr:colOff>325856</xdr:colOff>
      <xdr:row>21</xdr:row>
      <xdr:rowOff>50132</xdr:rowOff>
    </xdr:from>
    <xdr:to>
      <xdr:col>20</xdr:col>
      <xdr:colOff>225592</xdr:colOff>
      <xdr:row>22</xdr:row>
      <xdr:rowOff>116974</xdr:rowOff>
    </xdr:to>
    <xdr:sp macro="" textlink="">
      <xdr:nvSpPr>
        <xdr:cNvPr id="47" name="TextBox 46">
          <a:extLst>
            <a:ext uri="{FF2B5EF4-FFF2-40B4-BE49-F238E27FC236}">
              <a16:creationId xmlns:a16="http://schemas.microsoft.com/office/drawing/2014/main" id="{A312D5D2-78EB-4C98-9EC3-31464BC2CE1D}"/>
            </a:ext>
          </a:extLst>
        </xdr:cNvPr>
        <xdr:cNvSpPr txBox="1"/>
      </xdr:nvSpPr>
      <xdr:spPr>
        <a:xfrm>
          <a:off x="9474869" y="3910264"/>
          <a:ext cx="2949407" cy="250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baseline="0">
              <a:solidFill>
                <a:schemeClr val="accent1"/>
              </a:solidFill>
              <a:latin typeface="+mn-lt"/>
            </a:rPr>
            <a:t> </a:t>
          </a:r>
          <a:r>
            <a:rPr lang="en-GB" sz="1100" b="1" baseline="0">
              <a:solidFill>
                <a:srgbClr val="C00000"/>
              </a:solidFill>
              <a:latin typeface="+mn-lt"/>
            </a:rPr>
            <a:t>Filter Panel</a:t>
          </a:r>
          <a:endParaRPr lang="en-GB" sz="1100" b="1">
            <a:solidFill>
              <a:srgbClr val="C00000"/>
            </a:solidFill>
            <a:latin typeface="+mn-lt"/>
          </a:endParaRPr>
        </a:p>
      </xdr:txBody>
    </xdr:sp>
    <xdr:clientData/>
  </xdr:twoCellAnchor>
  <xdr:twoCellAnchor>
    <xdr:from>
      <xdr:col>0</xdr:col>
      <xdr:colOff>175460</xdr:colOff>
      <xdr:row>16</xdr:row>
      <xdr:rowOff>75197</xdr:rowOff>
    </xdr:from>
    <xdr:to>
      <xdr:col>1</xdr:col>
      <xdr:colOff>501315</xdr:colOff>
      <xdr:row>20</xdr:row>
      <xdr:rowOff>175461</xdr:rowOff>
    </xdr:to>
    <xdr:graphicFrame macro="">
      <xdr:nvGraphicFramePr>
        <xdr:cNvPr id="50" name="Chart 49">
          <a:extLst>
            <a:ext uri="{FF2B5EF4-FFF2-40B4-BE49-F238E27FC236}">
              <a16:creationId xmlns:a16="http://schemas.microsoft.com/office/drawing/2014/main" id="{3AB97D73-6417-45ED-A6DC-EEAC89262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175462</xdr:colOff>
      <xdr:row>21</xdr:row>
      <xdr:rowOff>66844</xdr:rowOff>
    </xdr:from>
    <xdr:to>
      <xdr:col>1</xdr:col>
      <xdr:colOff>484606</xdr:colOff>
      <xdr:row>26</xdr:row>
      <xdr:rowOff>25066</xdr:rowOff>
    </xdr:to>
    <xdr:graphicFrame macro="">
      <xdr:nvGraphicFramePr>
        <xdr:cNvPr id="51" name="Chart 50">
          <a:extLst>
            <a:ext uri="{FF2B5EF4-FFF2-40B4-BE49-F238E27FC236}">
              <a16:creationId xmlns:a16="http://schemas.microsoft.com/office/drawing/2014/main" id="{DF483F53-4819-4D32-84FD-B505F14CE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150394</xdr:colOff>
      <xdr:row>26</xdr:row>
      <xdr:rowOff>100262</xdr:rowOff>
    </xdr:from>
    <xdr:to>
      <xdr:col>1</xdr:col>
      <xdr:colOff>543092</xdr:colOff>
      <xdr:row>32</xdr:row>
      <xdr:rowOff>50132</xdr:rowOff>
    </xdr:to>
    <xdr:graphicFrame macro="">
      <xdr:nvGraphicFramePr>
        <xdr:cNvPr id="52" name="Chart 51">
          <a:extLst>
            <a:ext uri="{FF2B5EF4-FFF2-40B4-BE49-F238E27FC236}">
              <a16:creationId xmlns:a16="http://schemas.microsoft.com/office/drawing/2014/main" id="{F8420471-5CD4-41F5-A398-1534F9F4B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233949</xdr:colOff>
      <xdr:row>11</xdr:row>
      <xdr:rowOff>58488</xdr:rowOff>
    </xdr:from>
    <xdr:to>
      <xdr:col>1</xdr:col>
      <xdr:colOff>426119</xdr:colOff>
      <xdr:row>15</xdr:row>
      <xdr:rowOff>125329</xdr:rowOff>
    </xdr:to>
    <xdr:pic>
      <xdr:nvPicPr>
        <xdr:cNvPr id="56" name="Picture 55">
          <a:hlinkClick xmlns:r="http://schemas.openxmlformats.org/officeDocument/2006/relationships" r:id="rId13"/>
          <a:extLst>
            <a:ext uri="{FF2B5EF4-FFF2-40B4-BE49-F238E27FC236}">
              <a16:creationId xmlns:a16="http://schemas.microsoft.com/office/drawing/2014/main" id="{5FABFEE5-BEB3-D35F-4E32-9DCA5F478CC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3949" y="2080462"/>
          <a:ext cx="802104" cy="802104"/>
        </a:xfrm>
        <a:prstGeom prst="rect">
          <a:avLst/>
        </a:prstGeom>
      </xdr:spPr>
    </xdr:pic>
    <xdr:clientData/>
  </xdr:twoCellAnchor>
  <xdr:twoCellAnchor editAs="oneCell">
    <xdr:from>
      <xdr:col>17</xdr:col>
      <xdr:colOff>598295</xdr:colOff>
      <xdr:row>0</xdr:row>
      <xdr:rowOff>75198</xdr:rowOff>
    </xdr:from>
    <xdr:to>
      <xdr:col>18</xdr:col>
      <xdr:colOff>568159</xdr:colOff>
      <xdr:row>3</xdr:row>
      <xdr:rowOff>103549</xdr:rowOff>
    </xdr:to>
    <xdr:pic>
      <xdr:nvPicPr>
        <xdr:cNvPr id="58" name="Picture 57">
          <a:extLst>
            <a:ext uri="{FF2B5EF4-FFF2-40B4-BE49-F238E27FC236}">
              <a16:creationId xmlns:a16="http://schemas.microsoft.com/office/drawing/2014/main" id="{B7BC6F56-E693-379D-E571-E2B58926E99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967177" y="75198"/>
          <a:ext cx="579798" cy="579798"/>
        </a:xfrm>
        <a:prstGeom prst="rect">
          <a:avLst/>
        </a:prstGeom>
      </xdr:spPr>
    </xdr:pic>
    <xdr:clientData/>
  </xdr:twoCellAnchor>
  <xdr:twoCellAnchor editAs="oneCell">
    <xdr:from>
      <xdr:col>19</xdr:col>
      <xdr:colOff>108616</xdr:colOff>
      <xdr:row>0</xdr:row>
      <xdr:rowOff>100262</xdr:rowOff>
    </xdr:from>
    <xdr:to>
      <xdr:col>20</xdr:col>
      <xdr:colOff>50131</xdr:colOff>
      <xdr:row>3</xdr:row>
      <xdr:rowOff>100264</xdr:rowOff>
    </xdr:to>
    <xdr:pic>
      <xdr:nvPicPr>
        <xdr:cNvPr id="60" name="Picture 59">
          <a:extLst>
            <a:ext uri="{FF2B5EF4-FFF2-40B4-BE49-F238E27FC236}">
              <a16:creationId xmlns:a16="http://schemas.microsoft.com/office/drawing/2014/main" id="{5AFB6989-A491-F7F4-E9A1-A26D2B00B13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697366" y="100262"/>
          <a:ext cx="551449" cy="551449"/>
        </a:xfrm>
        <a:prstGeom prst="rect">
          <a:avLst/>
        </a:prstGeom>
      </xdr:spPr>
    </xdr:pic>
    <xdr:clientData/>
  </xdr:twoCellAnchor>
  <xdr:oneCellAnchor>
    <xdr:from>
      <xdr:col>0</xdr:col>
      <xdr:colOff>233944</xdr:colOff>
      <xdr:row>20</xdr:row>
      <xdr:rowOff>65923</xdr:rowOff>
    </xdr:from>
    <xdr:ext cx="760331" cy="342786"/>
    <xdr:sp macro="" textlink="">
      <xdr:nvSpPr>
        <xdr:cNvPr id="61" name="Rectangle 60">
          <a:extLst>
            <a:ext uri="{FF2B5EF4-FFF2-40B4-BE49-F238E27FC236}">
              <a16:creationId xmlns:a16="http://schemas.microsoft.com/office/drawing/2014/main" id="{46B1AD3F-5C7F-BC76-1E5D-A9456AD0329E}"/>
            </a:ext>
          </a:extLst>
        </xdr:cNvPr>
        <xdr:cNvSpPr/>
      </xdr:nvSpPr>
      <xdr:spPr>
        <a:xfrm flipH="1">
          <a:off x="233944" y="3742239"/>
          <a:ext cx="760331"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Salary</a:t>
          </a:r>
        </a:p>
      </xdr:txBody>
    </xdr:sp>
    <xdr:clientData/>
  </xdr:oneCellAnchor>
  <xdr:oneCellAnchor>
    <xdr:from>
      <xdr:col>0</xdr:col>
      <xdr:colOff>145746</xdr:colOff>
      <xdr:row>25</xdr:row>
      <xdr:rowOff>132765</xdr:rowOff>
    </xdr:from>
    <xdr:ext cx="1049056" cy="342786"/>
    <xdr:sp macro="" textlink="">
      <xdr:nvSpPr>
        <xdr:cNvPr id="62" name="Rectangle 61">
          <a:extLst>
            <a:ext uri="{FF2B5EF4-FFF2-40B4-BE49-F238E27FC236}">
              <a16:creationId xmlns:a16="http://schemas.microsoft.com/office/drawing/2014/main" id="{45AE3082-C6A9-4423-41CC-8FABEC261D37}"/>
            </a:ext>
          </a:extLst>
        </xdr:cNvPr>
        <xdr:cNvSpPr/>
      </xdr:nvSpPr>
      <xdr:spPr>
        <a:xfrm>
          <a:off x="145746" y="4728160"/>
          <a:ext cx="1049056" cy="342786"/>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Freelance</a:t>
          </a:r>
        </a:p>
      </xdr:txBody>
    </xdr:sp>
    <xdr:clientData/>
  </xdr:oneCellAnchor>
  <xdr:oneCellAnchor>
    <xdr:from>
      <xdr:col>0</xdr:col>
      <xdr:colOff>286225</xdr:colOff>
      <xdr:row>31</xdr:row>
      <xdr:rowOff>99344</xdr:rowOff>
    </xdr:from>
    <xdr:ext cx="705899" cy="342786"/>
    <xdr:sp macro="" textlink="">
      <xdr:nvSpPr>
        <xdr:cNvPr id="63" name="Rectangle 62">
          <a:extLst>
            <a:ext uri="{FF2B5EF4-FFF2-40B4-BE49-F238E27FC236}">
              <a16:creationId xmlns:a16="http://schemas.microsoft.com/office/drawing/2014/main" id="{731570BF-7A95-995B-95C1-BDB3D83E19A9}"/>
            </a:ext>
          </a:extLst>
        </xdr:cNvPr>
        <xdr:cNvSpPr/>
      </xdr:nvSpPr>
      <xdr:spPr>
        <a:xfrm>
          <a:off x="286225" y="5797633"/>
          <a:ext cx="705899"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Mixed</a:t>
          </a:r>
        </a:p>
      </xdr:txBody>
    </xdr:sp>
    <xdr:clientData/>
  </xdr:oneCellAnchor>
  <xdr:twoCellAnchor>
    <xdr:from>
      <xdr:col>0</xdr:col>
      <xdr:colOff>409406</xdr:colOff>
      <xdr:row>17</xdr:row>
      <xdr:rowOff>116973</xdr:rowOff>
    </xdr:from>
    <xdr:to>
      <xdr:col>1</xdr:col>
      <xdr:colOff>409407</xdr:colOff>
      <xdr:row>19</xdr:row>
      <xdr:rowOff>83552</xdr:rowOff>
    </xdr:to>
    <xdr:sp macro="" textlink="Tables!E75">
      <xdr:nvSpPr>
        <xdr:cNvPr id="64" name="TextBox 63">
          <a:extLst>
            <a:ext uri="{FF2B5EF4-FFF2-40B4-BE49-F238E27FC236}">
              <a16:creationId xmlns:a16="http://schemas.microsoft.com/office/drawing/2014/main" id="{2B09A929-2F25-AAFC-0966-574C310DBB0C}"/>
            </a:ext>
          </a:extLst>
        </xdr:cNvPr>
        <xdr:cNvSpPr txBox="1"/>
      </xdr:nvSpPr>
      <xdr:spPr>
        <a:xfrm>
          <a:off x="409406" y="3241841"/>
          <a:ext cx="609935" cy="334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14259C-D6F0-4421-B280-1D1590CF9A88}" type="TxLink">
            <a:rPr lang="en-US" sz="1400" b="1" i="0" u="none" strike="noStrike">
              <a:solidFill>
                <a:srgbClr val="000000"/>
              </a:solidFill>
              <a:latin typeface="Bahnschrift" panose="020B0502040204020203" pitchFamily="34" charset="0"/>
              <a:ea typeface="Calibri"/>
              <a:cs typeface="Calibri"/>
            </a:rPr>
            <a:pPr/>
            <a:t>33%</a:t>
          </a:fld>
          <a:endParaRPr lang="en-GB" sz="1200" b="1">
            <a:latin typeface="Bahnschrift" panose="020B0502040204020203" pitchFamily="34" charset="0"/>
          </a:endParaRPr>
        </a:p>
      </xdr:txBody>
    </xdr:sp>
    <xdr:clientData/>
  </xdr:twoCellAnchor>
  <xdr:twoCellAnchor>
    <xdr:from>
      <xdr:col>2</xdr:col>
      <xdr:colOff>524244</xdr:colOff>
      <xdr:row>4</xdr:row>
      <xdr:rowOff>29535</xdr:rowOff>
    </xdr:from>
    <xdr:to>
      <xdr:col>5</xdr:col>
      <xdr:colOff>420872</xdr:colOff>
      <xdr:row>6</xdr:row>
      <xdr:rowOff>36918</xdr:rowOff>
    </xdr:to>
    <xdr:sp macro="" textlink="">
      <xdr:nvSpPr>
        <xdr:cNvPr id="12" name="TextBox 11">
          <a:extLst>
            <a:ext uri="{FF2B5EF4-FFF2-40B4-BE49-F238E27FC236}">
              <a16:creationId xmlns:a16="http://schemas.microsoft.com/office/drawing/2014/main" id="{6E620C3B-A505-1B6F-8F22-3469FAD8A06C}"/>
            </a:ext>
          </a:extLst>
        </xdr:cNvPr>
        <xdr:cNvSpPr txBox="1"/>
      </xdr:nvSpPr>
      <xdr:spPr>
        <a:xfrm>
          <a:off x="1749942" y="767907"/>
          <a:ext cx="1735174" cy="376569"/>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800" b="0" i="0" u="none" strike="noStrike">
              <a:solidFill>
                <a:srgbClr val="000000"/>
              </a:solidFill>
              <a:latin typeface="Bahnschrift SemiBold" panose="020B0502040204020203" pitchFamily="34" charset="0"/>
              <a:ea typeface="Calibri"/>
              <a:cs typeface="Calibri"/>
            </a:rPr>
            <a:t>Total Income</a:t>
          </a:r>
        </a:p>
      </xdr:txBody>
    </xdr:sp>
    <xdr:clientData/>
  </xdr:twoCellAnchor>
  <xdr:twoCellAnchor>
    <xdr:from>
      <xdr:col>2</xdr:col>
      <xdr:colOff>369185</xdr:colOff>
      <xdr:row>6</xdr:row>
      <xdr:rowOff>14767</xdr:rowOff>
    </xdr:from>
    <xdr:to>
      <xdr:col>5</xdr:col>
      <xdr:colOff>532661</xdr:colOff>
      <xdr:row>7</xdr:row>
      <xdr:rowOff>184592</xdr:rowOff>
    </xdr:to>
    <xdr:sp macro="" textlink="Tables!B2">
      <xdr:nvSpPr>
        <xdr:cNvPr id="19" name="TextBox 18">
          <a:extLst>
            <a:ext uri="{FF2B5EF4-FFF2-40B4-BE49-F238E27FC236}">
              <a16:creationId xmlns:a16="http://schemas.microsoft.com/office/drawing/2014/main" id="{1162B1EA-0619-AB98-A16B-10DAD4E27AB1}"/>
            </a:ext>
          </a:extLst>
        </xdr:cNvPr>
        <xdr:cNvSpPr txBox="1"/>
      </xdr:nvSpPr>
      <xdr:spPr>
        <a:xfrm>
          <a:off x="1594883" y="1122325"/>
          <a:ext cx="2002022" cy="354418"/>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A3F8E5-9B6F-4136-BA00-99F2605B68C9}" type="TxLink">
            <a:rPr lang="en-US" sz="1800" b="0" i="0" u="none" strike="noStrike">
              <a:solidFill>
                <a:srgbClr val="000000"/>
              </a:solidFill>
              <a:latin typeface="Bahnschrift SemiBold" panose="020B0502040204020203" pitchFamily="34" charset="0"/>
              <a:ea typeface="Calibri"/>
              <a:cs typeface="Calibri"/>
            </a:rPr>
            <a:pPr marL="0" indent="0" algn="ctr"/>
            <a:t>₹ 1,20,12,802.04</a:t>
          </a:fld>
          <a:endParaRPr lang="en-GB" sz="1800" b="0" i="0" u="none" strike="noStrike">
            <a:solidFill>
              <a:srgbClr val="000000"/>
            </a:solidFill>
            <a:latin typeface="Bahnschrift SemiBold" panose="020B0502040204020203" pitchFamily="34" charset="0"/>
            <a:ea typeface="Calibri"/>
            <a:cs typeface="Calibri"/>
          </a:endParaRPr>
        </a:p>
      </xdr:txBody>
    </xdr:sp>
    <xdr:clientData/>
  </xdr:twoCellAnchor>
  <xdr:twoCellAnchor>
    <xdr:from>
      <xdr:col>7</xdr:col>
      <xdr:colOff>302732</xdr:colOff>
      <xdr:row>4</xdr:row>
      <xdr:rowOff>29533</xdr:rowOff>
    </xdr:from>
    <xdr:to>
      <xdr:col>10</xdr:col>
      <xdr:colOff>199360</xdr:colOff>
      <xdr:row>6</xdr:row>
      <xdr:rowOff>7383</xdr:rowOff>
    </xdr:to>
    <xdr:sp macro="" textlink="">
      <xdr:nvSpPr>
        <xdr:cNvPr id="24" name="TextBox 23">
          <a:extLst>
            <a:ext uri="{FF2B5EF4-FFF2-40B4-BE49-F238E27FC236}">
              <a16:creationId xmlns:a16="http://schemas.microsoft.com/office/drawing/2014/main" id="{19F16EBC-9902-40FF-A951-5FC08C67A6A6}"/>
            </a:ext>
          </a:extLst>
        </xdr:cNvPr>
        <xdr:cNvSpPr txBox="1"/>
      </xdr:nvSpPr>
      <xdr:spPr>
        <a:xfrm>
          <a:off x="4592674" y="767905"/>
          <a:ext cx="1735174" cy="347036"/>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800" b="0" i="0" u="none" strike="noStrike">
              <a:solidFill>
                <a:srgbClr val="000000"/>
              </a:solidFill>
              <a:latin typeface="Bahnschrift SemiBold" panose="020B0502040204020203" pitchFamily="34" charset="0"/>
              <a:ea typeface="Calibri"/>
              <a:cs typeface="Calibri"/>
            </a:rPr>
            <a:t>Total Expense</a:t>
          </a:r>
        </a:p>
      </xdr:txBody>
    </xdr:sp>
    <xdr:clientData/>
  </xdr:twoCellAnchor>
  <xdr:twoCellAnchor>
    <xdr:from>
      <xdr:col>7</xdr:col>
      <xdr:colOff>318259</xdr:colOff>
      <xdr:row>5</xdr:row>
      <xdr:rowOff>168473</xdr:rowOff>
    </xdr:from>
    <xdr:to>
      <xdr:col>10</xdr:col>
      <xdr:colOff>214887</xdr:colOff>
      <xdr:row>7</xdr:row>
      <xdr:rowOff>140291</xdr:rowOff>
    </xdr:to>
    <xdr:sp macro="" textlink="Tables!B5">
      <xdr:nvSpPr>
        <xdr:cNvPr id="30" name="TextBox 29">
          <a:extLst>
            <a:ext uri="{FF2B5EF4-FFF2-40B4-BE49-F238E27FC236}">
              <a16:creationId xmlns:a16="http://schemas.microsoft.com/office/drawing/2014/main" id="{25A7E88A-3874-4C18-97A6-DA95433CAE7F}"/>
            </a:ext>
          </a:extLst>
        </xdr:cNvPr>
        <xdr:cNvSpPr txBox="1"/>
      </xdr:nvSpPr>
      <xdr:spPr>
        <a:xfrm>
          <a:off x="4608201" y="1091438"/>
          <a:ext cx="1735174" cy="341004"/>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C4F718-8BAB-4B5D-8121-AD522CB5D756}" type="TxLink">
            <a:rPr lang="en-US" sz="1800" b="0" i="0" u="none" strike="noStrike">
              <a:solidFill>
                <a:srgbClr val="000000"/>
              </a:solidFill>
              <a:latin typeface="Bahnschrift SemiBold" panose="020B0502040204020203" pitchFamily="34" charset="0"/>
              <a:ea typeface="Calibri"/>
              <a:cs typeface="Calibri"/>
            </a:rPr>
            <a:pPr marL="0" indent="0" algn="ctr"/>
            <a:t>₹ 90,35,046.69</a:t>
          </a:fld>
          <a:endParaRPr lang="en-GB" sz="1800" b="0" i="0" u="none" strike="noStrike">
            <a:solidFill>
              <a:srgbClr val="000000"/>
            </a:solidFill>
            <a:latin typeface="Bahnschrift SemiBold" panose="020B0502040204020203" pitchFamily="34" charset="0"/>
            <a:ea typeface="Calibri"/>
            <a:cs typeface="Calibri"/>
          </a:endParaRPr>
        </a:p>
      </xdr:txBody>
    </xdr:sp>
    <xdr:clientData/>
  </xdr:twoCellAnchor>
  <xdr:twoCellAnchor>
    <xdr:from>
      <xdr:col>11</xdr:col>
      <xdr:colOff>465173</xdr:colOff>
      <xdr:row>4</xdr:row>
      <xdr:rowOff>51686</xdr:rowOff>
    </xdr:from>
    <xdr:to>
      <xdr:col>15</xdr:col>
      <xdr:colOff>177208</xdr:colOff>
      <xdr:row>6</xdr:row>
      <xdr:rowOff>66454</xdr:rowOff>
    </xdr:to>
    <xdr:sp macro="" textlink="">
      <xdr:nvSpPr>
        <xdr:cNvPr id="34" name="TextBox 33">
          <a:extLst>
            <a:ext uri="{FF2B5EF4-FFF2-40B4-BE49-F238E27FC236}">
              <a16:creationId xmlns:a16="http://schemas.microsoft.com/office/drawing/2014/main" id="{09BE2812-D5B3-4FC8-80E4-A744381CC76D}"/>
            </a:ext>
          </a:extLst>
        </xdr:cNvPr>
        <xdr:cNvSpPr txBox="1"/>
      </xdr:nvSpPr>
      <xdr:spPr>
        <a:xfrm>
          <a:off x="7206510" y="790058"/>
          <a:ext cx="2163431" cy="383954"/>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800" b="0" i="0" u="none" strike="noStrike">
              <a:solidFill>
                <a:srgbClr val="000000"/>
              </a:solidFill>
              <a:latin typeface="Bahnschrift SemiBold" panose="020B0502040204020203" pitchFamily="34" charset="0"/>
              <a:ea typeface="Calibri"/>
              <a:cs typeface="Calibri"/>
            </a:rPr>
            <a:t>Total</a:t>
          </a:r>
          <a:r>
            <a:rPr lang="en-GB" sz="1800" b="0" i="0" u="none" strike="noStrike" baseline="0">
              <a:solidFill>
                <a:srgbClr val="000000"/>
              </a:solidFill>
              <a:latin typeface="Bahnschrift SemiBold" panose="020B0502040204020203" pitchFamily="34" charset="0"/>
              <a:ea typeface="Calibri"/>
              <a:cs typeface="Calibri"/>
            </a:rPr>
            <a:t> Net Savings</a:t>
          </a:r>
          <a:endParaRPr lang="en-GB" sz="1800" b="0" i="0" u="none" strike="noStrike">
            <a:solidFill>
              <a:srgbClr val="000000"/>
            </a:solidFill>
            <a:latin typeface="Bahnschrift SemiBold" panose="020B0502040204020203" pitchFamily="34" charset="0"/>
            <a:ea typeface="Calibri"/>
            <a:cs typeface="Calibri"/>
          </a:endParaRPr>
        </a:p>
      </xdr:txBody>
    </xdr:sp>
    <xdr:clientData/>
  </xdr:twoCellAnchor>
  <xdr:twoCellAnchor>
    <xdr:from>
      <xdr:col>12</xdr:col>
      <xdr:colOff>31913</xdr:colOff>
      <xdr:row>6</xdr:row>
      <xdr:rowOff>7066</xdr:rowOff>
    </xdr:from>
    <xdr:to>
      <xdr:col>14</xdr:col>
      <xdr:colOff>541389</xdr:colOff>
      <xdr:row>7</xdr:row>
      <xdr:rowOff>155058</xdr:rowOff>
    </xdr:to>
    <xdr:sp macro="" textlink="Tables!B14">
      <xdr:nvSpPr>
        <xdr:cNvPr id="37" name="TextBox 36">
          <a:extLst>
            <a:ext uri="{FF2B5EF4-FFF2-40B4-BE49-F238E27FC236}">
              <a16:creationId xmlns:a16="http://schemas.microsoft.com/office/drawing/2014/main" id="{B5E83CE5-34D2-4626-8059-340D3179C19D}"/>
            </a:ext>
          </a:extLst>
        </xdr:cNvPr>
        <xdr:cNvSpPr txBox="1"/>
      </xdr:nvSpPr>
      <xdr:spPr>
        <a:xfrm>
          <a:off x="7386099" y="1114624"/>
          <a:ext cx="1735174" cy="332585"/>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FA687E-913C-4AEC-95C2-463A65979F82}" type="TxLink">
            <a:rPr lang="en-US" sz="1800" b="0" i="0" u="none" strike="noStrike">
              <a:solidFill>
                <a:srgbClr val="000000"/>
              </a:solidFill>
              <a:latin typeface="Bahnschrift SemiBold" panose="020B0502040204020203" pitchFamily="34" charset="0"/>
              <a:ea typeface="Calibri"/>
              <a:cs typeface="Calibri"/>
            </a:rPr>
            <a:pPr marL="0" indent="0" algn="ctr"/>
            <a:t>₹ 29,77,755.35</a:t>
          </a:fld>
          <a:endParaRPr lang="en-GB" sz="1800" b="0" i="0" u="none" strike="noStrike">
            <a:solidFill>
              <a:srgbClr val="000000"/>
            </a:solidFill>
            <a:latin typeface="Bahnschrift SemiBold" panose="020B0502040204020203" pitchFamily="34" charset="0"/>
            <a:ea typeface="Calibri"/>
            <a:cs typeface="Calibri"/>
          </a:endParaRPr>
        </a:p>
      </xdr:txBody>
    </xdr:sp>
    <xdr:clientData/>
  </xdr:twoCellAnchor>
  <xdr:twoCellAnchor>
    <xdr:from>
      <xdr:col>16</xdr:col>
      <xdr:colOff>435639</xdr:colOff>
      <xdr:row>4</xdr:row>
      <xdr:rowOff>66453</xdr:rowOff>
    </xdr:from>
    <xdr:to>
      <xdr:col>19</xdr:col>
      <xdr:colOff>332266</xdr:colOff>
      <xdr:row>6</xdr:row>
      <xdr:rowOff>125523</xdr:rowOff>
    </xdr:to>
    <xdr:sp macro="" textlink="">
      <xdr:nvSpPr>
        <xdr:cNvPr id="39" name="TextBox 38">
          <a:extLst>
            <a:ext uri="{FF2B5EF4-FFF2-40B4-BE49-F238E27FC236}">
              <a16:creationId xmlns:a16="http://schemas.microsoft.com/office/drawing/2014/main" id="{05C54793-1C1B-411A-BE7E-7C48CE99152B}"/>
            </a:ext>
          </a:extLst>
        </xdr:cNvPr>
        <xdr:cNvSpPr txBox="1"/>
      </xdr:nvSpPr>
      <xdr:spPr>
        <a:xfrm>
          <a:off x="10241220" y="804825"/>
          <a:ext cx="1735174" cy="428256"/>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800" b="0" i="0" u="none" strike="noStrike">
              <a:solidFill>
                <a:srgbClr val="000000"/>
              </a:solidFill>
              <a:latin typeface="Bahnschrift SemiBold" panose="020B0502040204020203" pitchFamily="34" charset="0"/>
              <a:ea typeface="Calibri"/>
              <a:cs typeface="Calibri"/>
            </a:rPr>
            <a:t>Frauds</a:t>
          </a:r>
        </a:p>
      </xdr:txBody>
    </xdr:sp>
    <xdr:clientData/>
  </xdr:twoCellAnchor>
  <xdr:twoCellAnchor>
    <xdr:from>
      <xdr:col>16</xdr:col>
      <xdr:colOff>428753</xdr:colOff>
      <xdr:row>6</xdr:row>
      <xdr:rowOff>10042</xdr:rowOff>
    </xdr:from>
    <xdr:to>
      <xdr:col>19</xdr:col>
      <xdr:colOff>325380</xdr:colOff>
      <xdr:row>7</xdr:row>
      <xdr:rowOff>177209</xdr:rowOff>
    </xdr:to>
    <xdr:sp macro="" textlink="Tables!E3">
      <xdr:nvSpPr>
        <xdr:cNvPr id="40" name="TextBox 39">
          <a:extLst>
            <a:ext uri="{FF2B5EF4-FFF2-40B4-BE49-F238E27FC236}">
              <a16:creationId xmlns:a16="http://schemas.microsoft.com/office/drawing/2014/main" id="{ABDCC637-D5B4-4BD1-8FFC-FE56D5B75694}"/>
            </a:ext>
          </a:extLst>
        </xdr:cNvPr>
        <xdr:cNvSpPr txBox="1"/>
      </xdr:nvSpPr>
      <xdr:spPr>
        <a:xfrm>
          <a:off x="10234334" y="1117600"/>
          <a:ext cx="1735174" cy="351760"/>
        </a:xfrm>
        <a:prstGeom prst="rect">
          <a:avLst/>
        </a:prstGeom>
        <a:noFill/>
        <a:ln w="9525" cmpd="sng">
          <a:noFill/>
        </a:ln>
        <a:effectLst>
          <a:glow rad="63500">
            <a:schemeClr val="accent4">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754F735-D2C0-480D-B91D-09BA1F68E630}" type="TxLink">
            <a:rPr lang="en-US" sz="1800" b="0" i="0" u="none" strike="noStrike">
              <a:solidFill>
                <a:srgbClr val="000000"/>
              </a:solidFill>
              <a:latin typeface="Bahnschrift SemiBold" panose="020B0502040204020203" pitchFamily="34" charset="0"/>
              <a:ea typeface="Calibri"/>
              <a:cs typeface="Calibri"/>
            </a:rPr>
            <a:pPr marL="0" indent="0" algn="ctr"/>
            <a:t>71</a:t>
          </a:fld>
          <a:endParaRPr lang="en-GB" sz="3200" b="0" i="0" u="none" strike="noStrike">
            <a:solidFill>
              <a:srgbClr val="000000"/>
            </a:solidFill>
            <a:latin typeface="Bahnschrift SemiBold" panose="020B0502040204020203" pitchFamily="34" charset="0"/>
            <a:ea typeface="Calibri"/>
            <a:cs typeface="Calibri"/>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0.23709</cdr:x>
      <cdr:y>0.37219</cdr:y>
    </cdr:from>
    <cdr:to>
      <cdr:x>0.90073</cdr:x>
      <cdr:y>0.75315</cdr:y>
    </cdr:to>
    <cdr:sp macro="" textlink="Tables!$E$76">
      <cdr:nvSpPr>
        <cdr:cNvPr id="2" name="TextBox 63">
          <a:extLst xmlns:a="http://schemas.openxmlformats.org/drawingml/2006/main">
            <a:ext uri="{FF2B5EF4-FFF2-40B4-BE49-F238E27FC236}">
              <a16:creationId xmlns:a16="http://schemas.microsoft.com/office/drawing/2014/main" id="{2B09A929-2F25-AAFC-0966-574C310DBB0C}"/>
            </a:ext>
          </a:extLst>
        </cdr:cNvPr>
        <cdr:cNvSpPr txBox="1"/>
      </cdr:nvSpPr>
      <cdr:spPr>
        <a:xfrm xmlns:a="http://schemas.openxmlformats.org/drawingml/2006/main">
          <a:off x="217905" y="326524"/>
          <a:ext cx="609935" cy="3342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AEC62A82-A522-4B0A-A8A0-7A68C071AE30}" type="TxLink">
            <a:rPr lang="en-US" sz="1400" b="1" i="0" u="none" strike="noStrike">
              <a:solidFill>
                <a:srgbClr val="000000"/>
              </a:solidFill>
              <a:latin typeface="Bahnschrift" panose="020B0502040204020203" pitchFamily="34" charset="0"/>
              <a:ea typeface="Calibri"/>
              <a:cs typeface="Calibri"/>
            </a:rPr>
            <a:pPr marL="0" indent="0"/>
            <a:t>33%</a:t>
          </a:fld>
          <a:endParaRPr lang="en-GB" sz="1400" b="1" i="0" u="none" strike="noStrike">
            <a:solidFill>
              <a:srgbClr val="000000"/>
            </a:solidFill>
            <a:latin typeface="Bahnschrift" panose="020B0502040204020203" pitchFamily="34" charset="0"/>
            <a:ea typeface="Calibri"/>
            <a:cs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0.234</cdr:x>
      <cdr:y>0.37365</cdr:y>
    </cdr:from>
    <cdr:to>
      <cdr:x>0.84233</cdr:x>
      <cdr:y>0.69111</cdr:y>
    </cdr:to>
    <cdr:sp macro="" textlink="Tables!$E$77">
      <cdr:nvSpPr>
        <cdr:cNvPr id="5" name="TextBox 63">
          <a:extLst xmlns:a="http://schemas.openxmlformats.org/drawingml/2006/main">
            <a:ext uri="{FF2B5EF4-FFF2-40B4-BE49-F238E27FC236}">
              <a16:creationId xmlns:a16="http://schemas.microsoft.com/office/drawing/2014/main" id="{2B09A929-2F25-AAFC-0966-574C310DBB0C}"/>
            </a:ext>
          </a:extLst>
        </cdr:cNvPr>
        <cdr:cNvSpPr txBox="1"/>
      </cdr:nvSpPr>
      <cdr:spPr>
        <a:xfrm xmlns:a="http://schemas.openxmlformats.org/drawingml/2006/main">
          <a:off x="234615" y="393365"/>
          <a:ext cx="609935" cy="3342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B0E822F9-99CE-40C1-9851-FAF04A51ADFE}" type="TxLink">
            <a:rPr lang="en-US" sz="1400" b="1" i="0" u="none" strike="noStrike">
              <a:solidFill>
                <a:srgbClr val="000000"/>
              </a:solidFill>
              <a:latin typeface="Bahnschrift" panose="020B0502040204020203" pitchFamily="34" charset="0"/>
              <a:ea typeface="Calibri"/>
              <a:cs typeface="Calibri"/>
            </a:rPr>
            <a:pPr marL="0" indent="0"/>
            <a:t>34%</a:t>
          </a:fld>
          <a:endParaRPr lang="en-GB" sz="1400" b="1" i="0" u="none" strike="noStrike">
            <a:solidFill>
              <a:srgbClr val="000000"/>
            </a:solidFill>
            <a:latin typeface="Bahnschrift" panose="020B0502040204020203" pitchFamily="34" charset="0"/>
            <a:ea typeface="Calibri"/>
            <a:cs typeface="Calibri"/>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50800</xdr:colOff>
      <xdr:row>3</xdr:row>
      <xdr:rowOff>127000</xdr:rowOff>
    </xdr:from>
    <xdr:to>
      <xdr:col>1</xdr:col>
      <xdr:colOff>519363</xdr:colOff>
      <xdr:row>20</xdr:row>
      <xdr:rowOff>96253</xdr:rowOff>
    </xdr:to>
    <xdr:sp macro="" textlink="">
      <xdr:nvSpPr>
        <xdr:cNvPr id="3" name="Rectangle: Rounded Corners 2">
          <a:extLst>
            <a:ext uri="{FF2B5EF4-FFF2-40B4-BE49-F238E27FC236}">
              <a16:creationId xmlns:a16="http://schemas.microsoft.com/office/drawing/2014/main" id="{BD8EE540-6080-4532-93A3-70A5338FFB8A}"/>
            </a:ext>
          </a:extLst>
        </xdr:cNvPr>
        <xdr:cNvSpPr/>
      </xdr:nvSpPr>
      <xdr:spPr>
        <a:xfrm>
          <a:off x="50800" y="679450"/>
          <a:ext cx="1078163" cy="3099803"/>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0</xdr:col>
      <xdr:colOff>217906</xdr:colOff>
      <xdr:row>4</xdr:row>
      <xdr:rowOff>101601</xdr:rowOff>
    </xdr:from>
    <xdr:to>
      <xdr:col>1</xdr:col>
      <xdr:colOff>402389</xdr:colOff>
      <xdr:row>8</xdr:row>
      <xdr:rowOff>157079</xdr:rowOff>
    </xdr:to>
    <xdr:pic>
      <xdr:nvPicPr>
        <xdr:cNvPr id="4" name="Picture 3">
          <a:hlinkClick xmlns:r="http://schemas.openxmlformats.org/officeDocument/2006/relationships" r:id="rId1"/>
          <a:extLst>
            <a:ext uri="{FF2B5EF4-FFF2-40B4-BE49-F238E27FC236}">
              <a16:creationId xmlns:a16="http://schemas.microsoft.com/office/drawing/2014/main" id="{27E48CE2-1E45-450B-89B1-22A2BB50FF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7906" y="838201"/>
          <a:ext cx="794083" cy="792078"/>
        </a:xfrm>
        <a:prstGeom prst="rect">
          <a:avLst/>
        </a:prstGeom>
      </xdr:spPr>
    </xdr:pic>
    <xdr:clientData/>
  </xdr:twoCellAnchor>
  <xdr:twoCellAnchor editAs="oneCell">
    <xdr:from>
      <xdr:col>0</xdr:col>
      <xdr:colOff>217906</xdr:colOff>
      <xdr:row>9</xdr:row>
      <xdr:rowOff>114968</xdr:rowOff>
    </xdr:from>
    <xdr:to>
      <xdr:col>1</xdr:col>
      <xdr:colOff>325199</xdr:colOff>
      <xdr:row>13</xdr:row>
      <xdr:rowOff>93590</xdr:rowOff>
    </xdr:to>
    <xdr:pic>
      <xdr:nvPicPr>
        <xdr:cNvPr id="5" name="Picture 4">
          <a:hlinkClick xmlns:r="http://schemas.openxmlformats.org/officeDocument/2006/relationships" r:id="rId3"/>
          <a:extLst>
            <a:ext uri="{FF2B5EF4-FFF2-40B4-BE49-F238E27FC236}">
              <a16:creationId xmlns:a16="http://schemas.microsoft.com/office/drawing/2014/main" id="{B133CADF-5D21-45E1-A04C-68F78CF6644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7906" y="1772318"/>
          <a:ext cx="716893" cy="715222"/>
        </a:xfrm>
        <a:prstGeom prst="rect">
          <a:avLst/>
        </a:prstGeom>
      </xdr:spPr>
    </xdr:pic>
    <xdr:clientData/>
  </xdr:twoCellAnchor>
  <xdr:twoCellAnchor editAs="oneCell">
    <xdr:from>
      <xdr:col>0</xdr:col>
      <xdr:colOff>167776</xdr:colOff>
      <xdr:row>14</xdr:row>
      <xdr:rowOff>86562</xdr:rowOff>
    </xdr:from>
    <xdr:to>
      <xdr:col>1</xdr:col>
      <xdr:colOff>360614</xdr:colOff>
      <xdr:row>18</xdr:row>
      <xdr:rowOff>150395</xdr:rowOff>
    </xdr:to>
    <xdr:pic>
      <xdr:nvPicPr>
        <xdr:cNvPr id="6" name="Picture 5">
          <a:hlinkClick xmlns:r="http://schemas.openxmlformats.org/officeDocument/2006/relationships" r:id="rId5"/>
          <a:extLst>
            <a:ext uri="{FF2B5EF4-FFF2-40B4-BE49-F238E27FC236}">
              <a16:creationId xmlns:a16="http://schemas.microsoft.com/office/drawing/2014/main" id="{C43B9BD8-7B1C-49E9-B7C3-AB2755B333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7776" y="2664662"/>
          <a:ext cx="802438" cy="8004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468229</xdr:colOff>
      <xdr:row>19</xdr:row>
      <xdr:rowOff>142039</xdr:rowOff>
    </xdr:to>
    <xdr:sp macro="" textlink="">
      <xdr:nvSpPr>
        <xdr:cNvPr id="2" name="Rectangle: Rounded Corners 1">
          <a:extLst>
            <a:ext uri="{FF2B5EF4-FFF2-40B4-BE49-F238E27FC236}">
              <a16:creationId xmlns:a16="http://schemas.microsoft.com/office/drawing/2014/main" id="{7085BF79-66A0-48AF-80D2-12707CBA9B47}"/>
            </a:ext>
          </a:extLst>
        </xdr:cNvPr>
        <xdr:cNvSpPr/>
      </xdr:nvSpPr>
      <xdr:spPr>
        <a:xfrm>
          <a:off x="0" y="551447"/>
          <a:ext cx="1078163" cy="3083092"/>
        </a:xfrm>
        <a:prstGeom prst="roundRect">
          <a:avLst/>
        </a:prstGeom>
        <a:solidFill>
          <a:schemeClr val="bg1"/>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editAs="oneCell">
    <xdr:from>
      <xdr:col>0</xdr:col>
      <xdr:colOff>167106</xdr:colOff>
      <xdr:row>3</xdr:row>
      <xdr:rowOff>158751</xdr:rowOff>
    </xdr:from>
    <xdr:to>
      <xdr:col>1</xdr:col>
      <xdr:colOff>351255</xdr:colOff>
      <xdr:row>7</xdr:row>
      <xdr:rowOff>148724</xdr:rowOff>
    </xdr:to>
    <xdr:pic>
      <xdr:nvPicPr>
        <xdr:cNvPr id="3" name="Picture 2">
          <a:hlinkClick xmlns:r="http://schemas.openxmlformats.org/officeDocument/2006/relationships" r:id="rId1"/>
          <a:extLst>
            <a:ext uri="{FF2B5EF4-FFF2-40B4-BE49-F238E27FC236}">
              <a16:creationId xmlns:a16="http://schemas.microsoft.com/office/drawing/2014/main" id="{13455874-673F-4E9B-A3E1-CCEBF3BAEF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106" y="711201"/>
          <a:ext cx="793749" cy="793749"/>
        </a:xfrm>
        <a:prstGeom prst="rect">
          <a:avLst/>
        </a:prstGeom>
      </xdr:spPr>
    </xdr:pic>
    <xdr:clientData/>
  </xdr:twoCellAnchor>
  <xdr:twoCellAnchor editAs="oneCell">
    <xdr:from>
      <xdr:col>0</xdr:col>
      <xdr:colOff>167106</xdr:colOff>
      <xdr:row>8</xdr:row>
      <xdr:rowOff>173789</xdr:rowOff>
    </xdr:from>
    <xdr:to>
      <xdr:col>1</xdr:col>
      <xdr:colOff>274065</xdr:colOff>
      <xdr:row>12</xdr:row>
      <xdr:rowOff>86906</xdr:rowOff>
    </xdr:to>
    <xdr:pic>
      <xdr:nvPicPr>
        <xdr:cNvPr id="4" name="Picture 3">
          <a:hlinkClick xmlns:r="http://schemas.openxmlformats.org/officeDocument/2006/relationships" r:id="rId3"/>
          <a:extLst>
            <a:ext uri="{FF2B5EF4-FFF2-40B4-BE49-F238E27FC236}">
              <a16:creationId xmlns:a16="http://schemas.microsoft.com/office/drawing/2014/main" id="{B3AE586C-9988-4FE0-BFFD-DE08292F4C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7106" y="1646989"/>
          <a:ext cx="716559" cy="716559"/>
        </a:xfrm>
        <a:prstGeom prst="rect">
          <a:avLst/>
        </a:prstGeom>
      </xdr:spPr>
    </xdr:pic>
    <xdr:clientData/>
  </xdr:twoCellAnchor>
  <xdr:twoCellAnchor editAs="oneCell">
    <xdr:from>
      <xdr:col>0</xdr:col>
      <xdr:colOff>116976</xdr:colOff>
      <xdr:row>13</xdr:row>
      <xdr:rowOff>147054</xdr:rowOff>
    </xdr:from>
    <xdr:to>
      <xdr:col>1</xdr:col>
      <xdr:colOff>309480</xdr:colOff>
      <xdr:row>18</xdr:row>
      <xdr:rowOff>3342</xdr:rowOff>
    </xdr:to>
    <xdr:pic>
      <xdr:nvPicPr>
        <xdr:cNvPr id="5" name="Picture 4">
          <a:hlinkClick xmlns:r="http://schemas.openxmlformats.org/officeDocument/2006/relationships" r:id="rId5"/>
          <a:extLst>
            <a:ext uri="{FF2B5EF4-FFF2-40B4-BE49-F238E27FC236}">
              <a16:creationId xmlns:a16="http://schemas.microsoft.com/office/drawing/2014/main" id="{C4EDA9EA-8589-4AA4-A9E0-9FF72147A7F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976" y="2541004"/>
          <a:ext cx="802104" cy="8021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Onkar_Patil" refreshedDate="46129.665824768519" createdVersion="8" refreshedVersion="8" minRefreshableVersion="3" recordCount="3000" xr:uid="{A12AF396-165D-49FA-9DED-8E93CB918F7E}">
  <cacheSource type="worksheet">
    <worksheetSource name="Table1"/>
  </cacheSource>
  <cacheFields count="36">
    <cacheField name="Date" numFmtId="14">
      <sharedItems containsSemiMixedTypes="0" containsNonDate="0" containsDate="1" containsString="0" minDate="2019-01-01T00:00:00" maxDate="2023-11-07T00:00:00" count="60">
        <d v="2019-01-01T00:00:00"/>
        <d v="2019-01-31T00:00:00"/>
        <d v="2019-03-02T00:00:00"/>
        <d v="2019-04-01T00:00:00"/>
        <d v="2019-05-01T00:00:00"/>
        <d v="2019-05-31T00:00:00"/>
        <d v="2019-06-30T00:00:00"/>
        <d v="2019-07-30T00:00:00"/>
        <d v="2019-08-29T00:00:00"/>
        <d v="2019-09-28T00:00:00"/>
        <d v="2019-10-28T00:00:00"/>
        <d v="2019-11-27T00:00:00"/>
        <d v="2019-12-27T00:00:00"/>
        <d v="2020-01-26T00:00:00"/>
        <d v="2020-02-25T00:00:00"/>
        <d v="2020-03-26T00:00:00"/>
        <d v="2020-04-25T00:00:00"/>
        <d v="2020-05-25T00:00:00"/>
        <d v="2020-06-24T00:00:00"/>
        <d v="2020-07-24T00:00:00"/>
        <d v="2020-08-23T00:00:00"/>
        <d v="2020-09-22T00:00:00"/>
        <d v="2020-10-22T00:00:00"/>
        <d v="2020-11-21T00:00:00"/>
        <d v="2020-12-21T00:00:00"/>
        <d v="2021-01-20T00:00:00"/>
        <d v="2021-02-19T00:00:00"/>
        <d v="2021-03-21T00:00:00"/>
        <d v="2021-04-20T00:00:00"/>
        <d v="2021-05-20T00:00:00"/>
        <d v="2021-06-19T00:00:00"/>
        <d v="2021-07-19T00:00:00"/>
        <d v="2021-08-18T00:00:00"/>
        <d v="2021-09-17T00:00:00"/>
        <d v="2021-10-17T00:00:00"/>
        <d v="2021-11-16T00:00:00"/>
        <d v="2021-12-16T00:00:00"/>
        <d v="2022-01-15T00:00:00"/>
        <d v="2022-02-14T00:00:00"/>
        <d v="2022-03-16T00:00:00"/>
        <d v="2022-04-15T00:00:00"/>
        <d v="2022-05-15T00:00:00"/>
        <d v="2022-06-14T00:00:00"/>
        <d v="2022-07-14T00:00:00"/>
        <d v="2022-08-13T00:00:00"/>
        <d v="2022-09-12T00:00:00"/>
        <d v="2022-10-12T00:00:00"/>
        <d v="2022-11-11T00:00:00"/>
        <d v="2022-12-11T00:00:00"/>
        <d v="2023-01-10T00:00:00"/>
        <d v="2023-02-09T00:00:00"/>
        <d v="2023-03-11T00:00:00"/>
        <d v="2023-04-10T00:00:00"/>
        <d v="2023-05-10T00:00:00"/>
        <d v="2023-06-09T00:00:00"/>
        <d v="2023-07-09T00:00:00"/>
        <d v="2023-08-08T00:00:00"/>
        <d v="2023-09-07T00:00:00"/>
        <d v="2023-10-07T00:00:00"/>
        <d v="2023-11-06T00:00:00"/>
      </sharedItems>
      <fieldGroup par="35"/>
    </cacheField>
    <cacheField name="Month" numFmtId="17">
      <sharedItems containsSemiMixedTypes="0" containsNonDate="0" containsDate="1" containsString="0" minDate="2019-01-01T00:00:00" maxDate="2023-11-02T00:00:00" count="58">
        <d v="2019-01-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sharedItems>
      <fieldGroup par="32"/>
    </cacheField>
    <cacheField name="User_Id" numFmtId="0">
      <sharedItems containsSemiMixedTypes="0" containsString="0" containsNumber="1" containsInteger="1" minValue="1000" maxValue="1999"/>
    </cacheField>
    <cacheField name="Monthly_Income" numFmtId="8">
      <sharedItems containsSemiMixedTypes="0" containsString="0" containsNumber="1" minValue="685.28" maxValue="7407.94"/>
    </cacheField>
    <cacheField name="Monthly_Expense_Total" numFmtId="8">
      <sharedItems containsSemiMixedTypes="0" containsString="0" containsNumber="1" minValue="159.21" maxValue="5853.2"/>
    </cacheField>
    <cacheField name="Net_Savings" numFmtId="8">
      <sharedItems containsSemiMixedTypes="0" containsString="0" containsNumber="1" minValue="-3062.44" maxValue="6589.66"/>
    </cacheField>
    <cacheField name="Expense_Ratio" numFmtId="8">
      <sharedItems containsSemiMixedTypes="0" containsString="0" containsNumber="1" minValue="0.03" maxValue="5.47"/>
    </cacheField>
    <cacheField name="Savings_Rate" numFmtId="0">
      <sharedItems containsSemiMixedTypes="0" containsString="0" containsNumber="1" minValue="0.05" maxValue="0.4"/>
    </cacheField>
    <cacheField name="Budget_Goal" numFmtId="0">
      <sharedItems containsSemiMixedTypes="0" containsString="0" containsNumber="1" minValue="1175.57" maxValue="4386.5"/>
    </cacheField>
    <cacheField name="Financial_Scenario" numFmtId="0">
      <sharedItems count="3">
        <s v="Inflation"/>
        <s v="Normal"/>
        <s v="Recession"/>
      </sharedItems>
    </cacheField>
    <cacheField name="Credit_Score" numFmtId="0">
      <sharedItems containsSemiMixedTypes="0" containsString="0" containsNumber="1" containsInteger="1" minValue="515" maxValue="847"/>
    </cacheField>
    <cacheField name="Debt_To_Income_Ratio" numFmtId="0">
      <sharedItems containsSemiMixedTypes="0" containsString="0" containsNumber="1" minValue="0.1" maxValue="0.6"/>
    </cacheField>
    <cacheField name="Loan_Payment" numFmtId="8">
      <sharedItems containsSemiMixedTypes="0" containsString="0" containsNumber="1" minValue="0" maxValue="1176.8800000000001"/>
    </cacheField>
    <cacheField name="Debit_Ratio" numFmtId="8">
      <sharedItems containsSemiMixedTypes="0" containsString="0" containsNumber="1" minValue="0" maxValue="1.04"/>
    </cacheField>
    <cacheField name="Investment_Amount" numFmtId="8">
      <sharedItems containsSemiMixedTypes="0" containsString="0" containsNumber="1" minValue="0" maxValue="1292.3"/>
    </cacheField>
    <cacheField name="Investment_Ratio" numFmtId="8">
      <sharedItems containsSemiMixedTypes="0" containsString="0" containsNumber="1" minValue="0" maxValue="0.96"/>
    </cacheField>
    <cacheField name="Subscription_Services" numFmtId="0">
      <sharedItems containsSemiMixedTypes="0" containsString="0" containsNumber="1" containsInteger="1" minValue="1" maxValue="9"/>
    </cacheField>
    <cacheField name="Emergency_Fund" numFmtId="0">
      <sharedItems containsSemiMixedTypes="0" containsString="0" containsNumber="1" minValue="0" maxValue="2585.36"/>
    </cacheField>
    <cacheField name="Transaction_Count" numFmtId="0">
      <sharedItems containsSemiMixedTypes="0" containsString="0" containsNumber="1" containsInteger="1" minValue="20" maxValue="99"/>
    </cacheField>
    <cacheField name="Fraud_Flag" numFmtId="0">
      <sharedItems containsSemiMixedTypes="0" containsString="0" containsNumber="1" containsInteger="1" minValue="0" maxValue="1"/>
    </cacheField>
    <cacheField name="Discretionary_Spending" numFmtId="0">
      <sharedItems containsSemiMixedTypes="0" containsString="0" containsNumber="1" minValue="0" maxValue="1158.74"/>
    </cacheField>
    <cacheField name="Essential_Spending" numFmtId="0">
      <sharedItems containsSemiMixedTypes="0" containsString="0" containsNumber="1" minValue="1000" maxValue="4245.8999999999996"/>
    </cacheField>
    <cacheField name="Income_Type" numFmtId="0">
      <sharedItems count="3">
        <s v="Freelance"/>
        <s v="Salary"/>
        <s v="Mixed"/>
      </sharedItems>
    </cacheField>
    <cacheField name="Rent_Or_Mortgage" numFmtId="8">
      <sharedItems containsSemiMixedTypes="0" containsString="0" containsNumber="1" minValue="300" maxValue="2614.62"/>
    </cacheField>
    <cacheField name="Category" numFmtId="0">
      <sharedItems count="10">
        <s v="Investments"/>
        <s v="Insurance"/>
        <s v="Dining Out"/>
        <s v="Transportation"/>
        <s v="Utilities"/>
        <s v="Education"/>
        <s v="Healthcare"/>
        <s v="Groceries"/>
        <s v="Rent"/>
        <s v="Entertainment"/>
      </sharedItems>
    </cacheField>
    <cacheField name="Cash_Flow_Status" numFmtId="0">
      <sharedItems count="3">
        <s v="Positive"/>
        <s v="Neutral"/>
        <s v="Negative"/>
      </sharedItems>
    </cacheField>
    <cacheField name="Financial_Advice_Score" numFmtId="0">
      <sharedItems containsSemiMixedTypes="0" containsString="0" containsNumber="1" minValue="0.1" maxValue="100"/>
    </cacheField>
    <cacheField name="Financial_Stress_Level" numFmtId="0">
      <sharedItems/>
    </cacheField>
    <cacheField name="Actual_Savings" numFmtId="0">
      <sharedItems containsSemiMixedTypes="0" containsString="0" containsNumber="1" minValue="0" maxValue="6589.66"/>
    </cacheField>
    <cacheField name="Savings_Goal_Met" numFmtId="0">
      <sharedItems containsSemiMixedTypes="0" containsString="0" containsNumber="1" containsInteger="1" minValue="0" maxValue="1"/>
    </cacheField>
    <cacheField name="Months (Month)" numFmtId="0" databaseField="0">
      <fieldGroup base="1">
        <rangePr groupBy="months" startDate="2019-01-01T00:00:00" endDate="2023-11-02T00:00:00"/>
        <groupItems count="14">
          <s v="&lt;01-01-2019"/>
          <s v="Jan"/>
          <s v="Feb"/>
          <s v="Mar"/>
          <s v="Apr"/>
          <s v="May"/>
          <s v="Jun"/>
          <s v="Jul"/>
          <s v="Aug"/>
          <s v="Sep"/>
          <s v="Oct"/>
          <s v="Nov"/>
          <s v="Dec"/>
          <s v="&gt;02-11-2023"/>
        </groupItems>
      </fieldGroup>
    </cacheField>
    <cacheField name="Quarters (Month)" numFmtId="0" databaseField="0">
      <fieldGroup base="1">
        <rangePr groupBy="quarters" startDate="2019-01-01T00:00:00" endDate="2023-11-02T00:00:00"/>
        <groupItems count="6">
          <s v="&lt;01-01-2019"/>
          <s v="Qtr1"/>
          <s v="Qtr2"/>
          <s v="Qtr3"/>
          <s v="Qtr4"/>
          <s v="&gt;02-11-2023"/>
        </groupItems>
      </fieldGroup>
    </cacheField>
    <cacheField name="Years (Month)" numFmtId="0" databaseField="0">
      <fieldGroup base="1">
        <rangePr groupBy="years" startDate="2019-01-01T00:00:00" endDate="2023-11-02T00:00:00"/>
        <groupItems count="7">
          <s v="&lt;01-01-2019"/>
          <s v="2019"/>
          <s v="2020"/>
          <s v="2021"/>
          <s v="2022"/>
          <s v="2023"/>
          <s v="&gt;02-11-2023"/>
        </groupItems>
      </fieldGroup>
    </cacheField>
    <cacheField name="Months (Date)" numFmtId="0" databaseField="0">
      <fieldGroup base="0">
        <rangePr groupBy="months" startDate="2019-01-01T00:00:00" endDate="2023-11-07T00:00:00"/>
        <groupItems count="14">
          <s v="&lt;01-01-2019"/>
          <s v="Jan"/>
          <s v="Feb"/>
          <s v="Mar"/>
          <s v="Apr"/>
          <s v="May"/>
          <s v="Jun"/>
          <s v="Jul"/>
          <s v="Aug"/>
          <s v="Sep"/>
          <s v="Oct"/>
          <s v="Nov"/>
          <s v="Dec"/>
          <s v="&gt;07-11-2023"/>
        </groupItems>
      </fieldGroup>
    </cacheField>
    <cacheField name="Quarters (Date)" numFmtId="0" databaseField="0">
      <fieldGroup base="0">
        <rangePr groupBy="quarters" startDate="2019-01-01T00:00:00" endDate="2023-11-07T00:00:00"/>
        <groupItems count="6">
          <s v="&lt;01-01-2019"/>
          <s v="Qtr1"/>
          <s v="Qtr2"/>
          <s v="Qtr3"/>
          <s v="Qtr4"/>
          <s v="&gt;07-11-2023"/>
        </groupItems>
      </fieldGroup>
    </cacheField>
    <cacheField name="Years (Date)" numFmtId="0" databaseField="0">
      <fieldGroup base="0">
        <rangePr groupBy="years" startDate="2019-01-01T00:00:00" endDate="2023-11-07T00:00:00"/>
        <groupItems count="7">
          <s v="&lt;01-01-2019"/>
          <s v="2019"/>
          <s v="2020"/>
          <s v="2021"/>
          <s v="2022"/>
          <s v="2023"/>
          <s v="&gt;07-11-2023"/>
        </groupItems>
      </fieldGroup>
    </cacheField>
  </cacheFields>
  <extLst>
    <ext xmlns:x14="http://schemas.microsoft.com/office/spreadsheetml/2009/9/main" uri="{725AE2AE-9491-48be-B2B4-4EB974FC3084}">
      <x14:pivotCacheDefinition pivotCacheId="986177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n v="1584"/>
    <n v="3119.58"/>
    <n v="3212.07"/>
    <n v="-92.49"/>
    <n v="1.03"/>
    <n v="0.38"/>
    <n v="3676.11"/>
    <x v="0"/>
    <n v="721"/>
    <n v="0.56000000000000005"/>
    <n v="125.77"/>
    <n v="0.04"/>
    <n v="689.22"/>
    <n v="0.22"/>
    <n v="3"/>
    <n v="510.58"/>
    <n v="68"/>
    <n v="0"/>
    <n v="857.55"/>
    <n v="1910.85"/>
    <x v="0"/>
    <n v="1501.65"/>
    <x v="0"/>
    <x v="0"/>
    <n v="8.3000000000000007"/>
    <s v="Low"/>
    <n v="0"/>
    <n v="0"/>
  </r>
  <r>
    <x v="0"/>
    <x v="0"/>
    <n v="1177"/>
    <n v="3593.89"/>
    <n v="3401.82"/>
    <n v="192.07"/>
    <n v="0.95"/>
    <n v="0.25"/>
    <n v="2155.52"/>
    <x v="1"/>
    <n v="619"/>
    <n v="0.13"/>
    <n v="725.61"/>
    <n v="0.2"/>
    <n v="698.79"/>
    <n v="0.19"/>
    <n v="7"/>
    <n v="1860.17"/>
    <n v="96"/>
    <n v="0"/>
    <n v="348.61"/>
    <n v="3220.52"/>
    <x v="1"/>
    <n v="862.47"/>
    <x v="1"/>
    <x v="0"/>
    <n v="68.3"/>
    <s v="High"/>
    <n v="192.07"/>
    <n v="0"/>
  </r>
  <r>
    <x v="0"/>
    <x v="0"/>
    <n v="1997"/>
    <n v="2578.1799999999998"/>
    <n v="2314.4"/>
    <n v="263.77999999999997"/>
    <n v="0.9"/>
    <n v="7.0000000000000007E-2"/>
    <n v="2979.66"/>
    <x v="2"/>
    <n v="771"/>
    <n v="0.33"/>
    <n v="487.37"/>
    <n v="0.19"/>
    <n v="654.57000000000005"/>
    <n v="0.25"/>
    <n v="2"/>
    <n v="1538.03"/>
    <n v="32"/>
    <n v="0"/>
    <n v="449.34"/>
    <n v="1991.85"/>
    <x v="1"/>
    <n v="1062.5999999999999"/>
    <x v="2"/>
    <x v="0"/>
    <n v="31.5"/>
    <s v="High"/>
    <n v="263.77999999999997"/>
    <n v="0"/>
  </r>
  <r>
    <x v="0"/>
    <x v="0"/>
    <n v="1254"/>
    <n v="2335.3200000000002"/>
    <n v="3350.56"/>
    <n v="-1015.24"/>
    <n v="1.43"/>
    <n v="0.06"/>
    <n v="2856.34"/>
    <x v="0"/>
    <n v="659"/>
    <n v="0.23"/>
    <n v="813.66"/>
    <n v="0.35"/>
    <n v="388.09"/>
    <n v="0.17"/>
    <n v="7"/>
    <n v="1200.1300000000001"/>
    <n v="31"/>
    <n v="0"/>
    <n v="624.75"/>
    <n v="2607.9299999999998"/>
    <x v="1"/>
    <n v="1172.8"/>
    <x v="3"/>
    <x v="1"/>
    <n v="5.2"/>
    <s v="Medium"/>
    <n v="0"/>
    <n v="0"/>
  </r>
  <r>
    <x v="0"/>
    <x v="0"/>
    <n v="1180"/>
    <n v="2739.6"/>
    <n v="3771.22"/>
    <n v="-1031.6199999999999"/>
    <n v="1.38"/>
    <n v="0.2"/>
    <n v="2381.3200000000002"/>
    <x v="0"/>
    <n v="699"/>
    <n v="0.12"/>
    <n v="202.75"/>
    <n v="7.0000000000000007E-2"/>
    <n v="132.88"/>
    <n v="0.05"/>
    <n v="9"/>
    <n v="143.83000000000001"/>
    <n v="39"/>
    <n v="0"/>
    <n v="187.94"/>
    <n v="1717.87"/>
    <x v="1"/>
    <n v="1093.5899999999999"/>
    <x v="2"/>
    <x v="0"/>
    <n v="15.4"/>
    <s v="Low"/>
    <n v="0"/>
    <n v="0"/>
  </r>
  <r>
    <x v="0"/>
    <x v="0"/>
    <n v="1165"/>
    <n v="4134.92"/>
    <n v="2963.51"/>
    <n v="1171.4100000000001"/>
    <n v="0.72"/>
    <n v="0.19"/>
    <n v="3462.74"/>
    <x v="1"/>
    <n v="647"/>
    <n v="0.59"/>
    <n v="308.83"/>
    <n v="7.0000000000000007E-2"/>
    <n v="0"/>
    <n v="0"/>
    <n v="1"/>
    <n v="2210.6799999999998"/>
    <n v="67"/>
    <n v="0"/>
    <n v="194.65"/>
    <n v="1858.83"/>
    <x v="1"/>
    <n v="944.59"/>
    <x v="3"/>
    <x v="2"/>
    <n v="42.9"/>
    <s v="High"/>
    <n v="1171.4100000000001"/>
    <n v="0"/>
  </r>
  <r>
    <x v="0"/>
    <x v="0"/>
    <n v="1819"/>
    <n v="3635.83"/>
    <n v="3067.73"/>
    <n v="568.1"/>
    <n v="0.84"/>
    <n v="0.11"/>
    <n v="3131.99"/>
    <x v="1"/>
    <n v="626"/>
    <n v="0.54"/>
    <n v="508.12"/>
    <n v="0.14000000000000001"/>
    <n v="461.83"/>
    <n v="0.13"/>
    <n v="4"/>
    <n v="1554.26"/>
    <n v="74"/>
    <n v="0"/>
    <n v="551.08000000000004"/>
    <n v="1494.98"/>
    <x v="1"/>
    <n v="978.42"/>
    <x v="4"/>
    <x v="1"/>
    <n v="10.8"/>
    <s v="Medium"/>
    <n v="568.1"/>
    <n v="0"/>
  </r>
  <r>
    <x v="0"/>
    <x v="0"/>
    <n v="1230"/>
    <n v="4456.07"/>
    <n v="2530.98"/>
    <n v="1925.09"/>
    <n v="0.56999999999999995"/>
    <n v="0.33"/>
    <n v="1668.02"/>
    <x v="1"/>
    <n v="781"/>
    <n v="0.23"/>
    <n v="546.29999999999995"/>
    <n v="0.12"/>
    <n v="0"/>
    <n v="0"/>
    <n v="8"/>
    <n v="1089.78"/>
    <n v="77"/>
    <n v="0"/>
    <n v="462.19"/>
    <n v="2619.34"/>
    <x v="0"/>
    <n v="756.83"/>
    <x v="5"/>
    <x v="0"/>
    <n v="2.2999999999999998"/>
    <s v="Low"/>
    <n v="1925.09"/>
    <n v="1"/>
  </r>
  <r>
    <x v="0"/>
    <x v="0"/>
    <n v="1352"/>
    <n v="4559.3900000000003"/>
    <n v="2823.23"/>
    <n v="1736.16"/>
    <n v="0.62"/>
    <n v="0.2"/>
    <n v="2840.67"/>
    <x v="2"/>
    <n v="724"/>
    <n v="0.27"/>
    <n v="581.49"/>
    <n v="0.13"/>
    <n v="156.21"/>
    <n v="0.03"/>
    <n v="8"/>
    <n v="2388.6"/>
    <n v="52"/>
    <n v="0"/>
    <n v="66.84"/>
    <n v="1151.96"/>
    <x v="1"/>
    <n v="1157.3900000000001"/>
    <x v="6"/>
    <x v="0"/>
    <n v="11.1"/>
    <s v="Medium"/>
    <n v="1736.16"/>
    <n v="0"/>
  </r>
  <r>
    <x v="0"/>
    <x v="0"/>
    <n v="1806"/>
    <n v="5574.38"/>
    <n v="2789.8"/>
    <n v="2784.58"/>
    <n v="0.5"/>
    <n v="0.27"/>
    <n v="2541.36"/>
    <x v="1"/>
    <n v="710"/>
    <n v="0.23"/>
    <n v="660.87"/>
    <n v="0.12"/>
    <n v="273.5"/>
    <n v="0.05"/>
    <n v="4"/>
    <n v="1084.25"/>
    <n v="46"/>
    <n v="0"/>
    <n v="193.39"/>
    <n v="2027.66"/>
    <x v="1"/>
    <n v="1335.17"/>
    <x v="3"/>
    <x v="0"/>
    <n v="14.8"/>
    <s v="Low"/>
    <n v="2784.58"/>
    <n v="1"/>
  </r>
  <r>
    <x v="0"/>
    <x v="0"/>
    <n v="1666"/>
    <n v="3258.17"/>
    <n v="2480.44"/>
    <n v="777.73"/>
    <n v="0.76"/>
    <n v="0.16"/>
    <n v="2906.09"/>
    <x v="1"/>
    <n v="597"/>
    <n v="0.54"/>
    <n v="387"/>
    <n v="0.12"/>
    <n v="517.52"/>
    <n v="0.16"/>
    <n v="6"/>
    <n v="1103.6600000000001"/>
    <n v="30"/>
    <n v="0"/>
    <n v="662.83"/>
    <n v="1857.09"/>
    <x v="1"/>
    <n v="932.19"/>
    <x v="0"/>
    <x v="2"/>
    <n v="20"/>
    <s v="Low"/>
    <n v="777.73"/>
    <n v="0"/>
  </r>
  <r>
    <x v="0"/>
    <x v="0"/>
    <n v="1599"/>
    <n v="1891.43"/>
    <n v="2912.34"/>
    <n v="-1020.91"/>
    <n v="1.54"/>
    <n v="0.27"/>
    <n v="2565.96"/>
    <x v="2"/>
    <n v="699"/>
    <n v="0.15"/>
    <n v="489.13"/>
    <n v="0.26"/>
    <n v="477.14"/>
    <n v="0.25"/>
    <n v="2"/>
    <n v="1110.6099999999999"/>
    <n v="59"/>
    <n v="0"/>
    <n v="432.13"/>
    <n v="2626.89"/>
    <x v="0"/>
    <n v="1393.5"/>
    <x v="3"/>
    <x v="1"/>
    <n v="71.5"/>
    <s v="High"/>
    <n v="0"/>
    <n v="0"/>
  </r>
  <r>
    <x v="0"/>
    <x v="0"/>
    <n v="1173"/>
    <n v="6160.82"/>
    <n v="2177.59"/>
    <n v="3983.23"/>
    <n v="0.35"/>
    <n v="0.38"/>
    <n v="2551.2199999999998"/>
    <x v="0"/>
    <n v="654"/>
    <n v="0.41"/>
    <n v="519.04"/>
    <n v="0.08"/>
    <n v="283.93"/>
    <n v="0.05"/>
    <n v="3"/>
    <n v="1178.22"/>
    <n v="92"/>
    <n v="0"/>
    <n v="522.14"/>
    <n v="1888.79"/>
    <x v="1"/>
    <n v="1668.33"/>
    <x v="7"/>
    <x v="0"/>
    <n v="47.5"/>
    <s v="High"/>
    <n v="3983.23"/>
    <n v="1"/>
  </r>
  <r>
    <x v="0"/>
    <x v="0"/>
    <n v="1310"/>
    <n v="2957.68"/>
    <n v="3047.28"/>
    <n v="-89.6"/>
    <n v="1.03"/>
    <n v="0.23"/>
    <n v="3158.17"/>
    <x v="1"/>
    <n v="712"/>
    <n v="0.33"/>
    <n v="454.62"/>
    <n v="0.15"/>
    <n v="222.19"/>
    <n v="0.08"/>
    <n v="2"/>
    <n v="729.34"/>
    <n v="38"/>
    <n v="0"/>
    <n v="680.62"/>
    <n v="3148.5"/>
    <x v="0"/>
    <n v="1761.49"/>
    <x v="3"/>
    <x v="2"/>
    <n v="27.7"/>
    <s v="Medium"/>
    <n v="0"/>
    <n v="0"/>
  </r>
  <r>
    <x v="0"/>
    <x v="0"/>
    <n v="1833"/>
    <n v="5779.01"/>
    <n v="3841.64"/>
    <n v="1937.37"/>
    <n v="0.66"/>
    <n v="0.26"/>
    <n v="3175.8"/>
    <x v="2"/>
    <n v="771"/>
    <n v="0.57999999999999996"/>
    <n v="707.67"/>
    <n v="0.12"/>
    <n v="194.65"/>
    <n v="0.03"/>
    <n v="6"/>
    <n v="1744.2"/>
    <n v="34"/>
    <n v="0"/>
    <n v="775.79"/>
    <n v="2857.63"/>
    <x v="1"/>
    <n v="1665.34"/>
    <x v="1"/>
    <x v="0"/>
    <n v="62"/>
    <s v="High"/>
    <n v="1937.37"/>
    <n v="0"/>
  </r>
  <r>
    <x v="0"/>
    <x v="0"/>
    <n v="1131"/>
    <n v="3922.4"/>
    <n v="3430.29"/>
    <n v="492.11"/>
    <n v="0.87"/>
    <n v="0.09"/>
    <n v="2430"/>
    <x v="1"/>
    <n v="702"/>
    <n v="0.38"/>
    <n v="512.24"/>
    <n v="0.13"/>
    <n v="509.9"/>
    <n v="0.13"/>
    <n v="2"/>
    <n v="631.21"/>
    <n v="65"/>
    <n v="0"/>
    <n v="296.17"/>
    <n v="2594.23"/>
    <x v="1"/>
    <n v="1398.74"/>
    <x v="6"/>
    <x v="0"/>
    <n v="12.4"/>
    <s v="Low"/>
    <n v="492.11"/>
    <n v="0"/>
  </r>
  <r>
    <x v="0"/>
    <x v="0"/>
    <n v="1193"/>
    <n v="2459.4499999999998"/>
    <n v="1997.77"/>
    <n v="461.68"/>
    <n v="0.81"/>
    <n v="0.11"/>
    <n v="2848.08"/>
    <x v="1"/>
    <n v="594"/>
    <n v="0.53"/>
    <n v="710.37"/>
    <n v="0.28999999999999998"/>
    <n v="573.77"/>
    <n v="0.23"/>
    <n v="2"/>
    <n v="481"/>
    <n v="41"/>
    <n v="0"/>
    <n v="639.13"/>
    <n v="3561.47"/>
    <x v="0"/>
    <n v="875.71"/>
    <x v="6"/>
    <x v="1"/>
    <n v="50.4"/>
    <s v="Low"/>
    <n v="461.68"/>
    <n v="0"/>
  </r>
  <r>
    <x v="0"/>
    <x v="0"/>
    <n v="1673"/>
    <n v="2999.61"/>
    <n v="4736.83"/>
    <n v="-1737.22"/>
    <n v="1.58"/>
    <n v="0.09"/>
    <n v="3268.06"/>
    <x v="2"/>
    <n v="643"/>
    <n v="0.12"/>
    <n v="575.37"/>
    <n v="0.19"/>
    <n v="116.1"/>
    <n v="0.04"/>
    <n v="4"/>
    <n v="1951.79"/>
    <n v="34"/>
    <n v="0"/>
    <n v="193.82"/>
    <n v="1924.92"/>
    <x v="0"/>
    <n v="1257.1300000000001"/>
    <x v="7"/>
    <x v="2"/>
    <n v="63"/>
    <s v="Low"/>
    <n v="0"/>
    <n v="0"/>
  </r>
  <r>
    <x v="0"/>
    <x v="0"/>
    <n v="1530"/>
    <n v="3348.85"/>
    <n v="3000.73"/>
    <n v="348.12"/>
    <n v="0.9"/>
    <n v="0.31"/>
    <n v="2887.71"/>
    <x v="1"/>
    <n v="721"/>
    <n v="0.6"/>
    <n v="380.74"/>
    <n v="0.11"/>
    <n v="749.31"/>
    <n v="0.22"/>
    <n v="5"/>
    <n v="479.99"/>
    <n v="44"/>
    <n v="0"/>
    <n v="1020.01"/>
    <n v="1072.4000000000001"/>
    <x v="1"/>
    <n v="1172.8699999999999"/>
    <x v="0"/>
    <x v="0"/>
    <n v="36.5"/>
    <s v="Medium"/>
    <n v="348.12"/>
    <n v="0"/>
  </r>
  <r>
    <x v="0"/>
    <x v="0"/>
    <n v="1720"/>
    <n v="3816.71"/>
    <n v="4674.74"/>
    <n v="-858.03"/>
    <n v="1.22"/>
    <n v="0.37"/>
    <n v="2947.07"/>
    <x v="1"/>
    <n v="813"/>
    <n v="0.22"/>
    <n v="618.08000000000004"/>
    <n v="0.16"/>
    <n v="528.04999999999995"/>
    <n v="0.14000000000000001"/>
    <n v="7"/>
    <n v="768.09"/>
    <n v="88"/>
    <n v="0"/>
    <n v="463.53"/>
    <n v="2600.8200000000002"/>
    <x v="1"/>
    <n v="1002.12"/>
    <x v="1"/>
    <x v="0"/>
    <n v="54.6"/>
    <s v="High"/>
    <n v="0"/>
    <n v="0"/>
  </r>
  <r>
    <x v="0"/>
    <x v="0"/>
    <n v="1097"/>
    <n v="3693.96"/>
    <n v="4150.9399999999996"/>
    <n v="-456.98"/>
    <n v="1.1200000000000001"/>
    <n v="0.31"/>
    <n v="2558.6"/>
    <x v="0"/>
    <n v="696"/>
    <n v="0.55000000000000004"/>
    <n v="413.66"/>
    <n v="0.11"/>
    <n v="267.5"/>
    <n v="7.0000000000000007E-2"/>
    <n v="1"/>
    <n v="1720.4"/>
    <n v="44"/>
    <n v="0"/>
    <n v="465.89"/>
    <n v="3177.43"/>
    <x v="1"/>
    <n v="2153.59"/>
    <x v="3"/>
    <x v="2"/>
    <n v="13.6"/>
    <s v="Low"/>
    <n v="0"/>
    <n v="0"/>
  </r>
  <r>
    <x v="0"/>
    <x v="0"/>
    <n v="1288"/>
    <n v="2157.06"/>
    <n v="3956.38"/>
    <n v="-1799.32"/>
    <n v="1.83"/>
    <n v="0.06"/>
    <n v="3239.51"/>
    <x v="1"/>
    <n v="618"/>
    <n v="0.49"/>
    <n v="267.83"/>
    <n v="0.12"/>
    <n v="740.34"/>
    <n v="0.34"/>
    <n v="4"/>
    <n v="0"/>
    <n v="70"/>
    <n v="0"/>
    <n v="446.96"/>
    <n v="3407.45"/>
    <x v="2"/>
    <n v="1805.61"/>
    <x v="4"/>
    <x v="0"/>
    <n v="43.2"/>
    <s v="Low"/>
    <n v="0"/>
    <n v="0"/>
  </r>
  <r>
    <x v="0"/>
    <x v="0"/>
    <n v="1577"/>
    <n v="4672.18"/>
    <n v="2794.87"/>
    <n v="1877.31"/>
    <n v="0.6"/>
    <n v="0.31"/>
    <n v="2740.43"/>
    <x v="0"/>
    <n v="625"/>
    <n v="0.59"/>
    <n v="359.29"/>
    <n v="0.08"/>
    <n v="300.44"/>
    <n v="0.06"/>
    <n v="8"/>
    <n v="1628.21"/>
    <n v="54"/>
    <n v="0"/>
    <n v="421.97"/>
    <n v="1000"/>
    <x v="1"/>
    <n v="1595.89"/>
    <x v="1"/>
    <x v="0"/>
    <n v="74.3"/>
    <s v="Low"/>
    <n v="1877.31"/>
    <n v="0"/>
  </r>
  <r>
    <x v="0"/>
    <x v="0"/>
    <n v="1228"/>
    <n v="4937.58"/>
    <n v="3562.69"/>
    <n v="1374.89"/>
    <n v="0.72"/>
    <n v="0.3"/>
    <n v="2414.91"/>
    <x v="1"/>
    <n v="644"/>
    <n v="0.47"/>
    <n v="881.86"/>
    <n v="0.18"/>
    <n v="374.51"/>
    <n v="0.08"/>
    <n v="4"/>
    <n v="2061.7399999999998"/>
    <n v="66"/>
    <n v="0"/>
    <n v="0"/>
    <n v="1000"/>
    <x v="1"/>
    <n v="848.69"/>
    <x v="1"/>
    <x v="2"/>
    <n v="45.2"/>
    <s v="Medium"/>
    <n v="1374.89"/>
    <n v="0"/>
  </r>
  <r>
    <x v="0"/>
    <x v="0"/>
    <n v="1123"/>
    <n v="4839.78"/>
    <n v="2357.6"/>
    <n v="2482.1799999999998"/>
    <n v="0.49"/>
    <n v="0.11"/>
    <n v="2300.54"/>
    <x v="1"/>
    <n v="748"/>
    <n v="0.36"/>
    <n v="558.02"/>
    <n v="0.12"/>
    <n v="346.12"/>
    <n v="7.0000000000000007E-2"/>
    <n v="5"/>
    <n v="1544.24"/>
    <n v="82"/>
    <n v="0"/>
    <n v="437.86"/>
    <n v="3222.2"/>
    <x v="0"/>
    <n v="1310.54"/>
    <x v="7"/>
    <x v="2"/>
    <n v="52.8"/>
    <s v="Low"/>
    <n v="2482.1799999999998"/>
    <n v="1"/>
  </r>
  <r>
    <x v="0"/>
    <x v="0"/>
    <n v="1979"/>
    <n v="3546.93"/>
    <n v="2565.39"/>
    <n v="981.54"/>
    <n v="0.72"/>
    <n v="0.36"/>
    <n v="3219.1"/>
    <x v="0"/>
    <n v="736"/>
    <n v="0.3"/>
    <n v="761.05"/>
    <n v="0.21"/>
    <n v="330.43"/>
    <n v="0.09"/>
    <n v="2"/>
    <n v="1736.01"/>
    <n v="33"/>
    <n v="0"/>
    <n v="862.19"/>
    <n v="1095.06"/>
    <x v="1"/>
    <n v="1197.4000000000001"/>
    <x v="4"/>
    <x v="2"/>
    <n v="17.3"/>
    <s v="Medium"/>
    <n v="981.54"/>
    <n v="0"/>
  </r>
  <r>
    <x v="0"/>
    <x v="0"/>
    <n v="1830"/>
    <n v="4607.04"/>
    <n v="2408"/>
    <n v="2199.04"/>
    <n v="0.52"/>
    <n v="0.32"/>
    <n v="3268.39"/>
    <x v="1"/>
    <n v="726"/>
    <n v="0.34"/>
    <n v="626.08000000000004"/>
    <n v="0.14000000000000001"/>
    <n v="504.93"/>
    <n v="0.11"/>
    <n v="1"/>
    <n v="234.64"/>
    <n v="23"/>
    <n v="0"/>
    <n v="669.5"/>
    <n v="1434.77"/>
    <x v="1"/>
    <n v="1220.57"/>
    <x v="2"/>
    <x v="0"/>
    <n v="59.7"/>
    <s v="High"/>
    <n v="2199.04"/>
    <n v="0"/>
  </r>
  <r>
    <x v="0"/>
    <x v="0"/>
    <n v="1350"/>
    <n v="4321.3500000000004"/>
    <n v="2625.65"/>
    <n v="1695.7"/>
    <n v="0.61"/>
    <n v="0.31"/>
    <n v="2295.58"/>
    <x v="1"/>
    <n v="730"/>
    <n v="0.36"/>
    <n v="17.829999999999998"/>
    <n v="0"/>
    <n v="390.25"/>
    <n v="0.09"/>
    <n v="3"/>
    <n v="1227.29"/>
    <n v="35"/>
    <n v="0"/>
    <n v="815.99"/>
    <n v="2339.96"/>
    <x v="1"/>
    <n v="2038.91"/>
    <x v="7"/>
    <x v="0"/>
    <n v="25.3"/>
    <s v="Medium"/>
    <n v="1695.7"/>
    <n v="0"/>
  </r>
  <r>
    <x v="0"/>
    <x v="0"/>
    <n v="1547"/>
    <n v="4486.6400000000003"/>
    <n v="3309.16"/>
    <n v="1177.48"/>
    <n v="0.74"/>
    <n v="0.4"/>
    <n v="2662.39"/>
    <x v="0"/>
    <n v="625"/>
    <n v="0.59"/>
    <n v="894.23"/>
    <n v="0.2"/>
    <n v="349.4"/>
    <n v="0.08"/>
    <n v="3"/>
    <n v="1227.33"/>
    <n v="37"/>
    <n v="0"/>
    <n v="721.19"/>
    <n v="2475.4699999999998"/>
    <x v="2"/>
    <n v="1374.43"/>
    <x v="8"/>
    <x v="0"/>
    <n v="95.4"/>
    <s v="Medium"/>
    <n v="1177.48"/>
    <n v="0"/>
  </r>
  <r>
    <x v="0"/>
    <x v="0"/>
    <n v="1217"/>
    <n v="3649.63"/>
    <n v="1594.93"/>
    <n v="2054.6999999999998"/>
    <n v="0.44"/>
    <n v="0.16"/>
    <n v="3263.3"/>
    <x v="1"/>
    <n v="595"/>
    <n v="0.11"/>
    <n v="336.61"/>
    <n v="0.09"/>
    <n v="669.47"/>
    <n v="0.18"/>
    <n v="7"/>
    <n v="1181.8800000000001"/>
    <n v="23"/>
    <n v="0"/>
    <n v="439.21"/>
    <n v="1000"/>
    <x v="1"/>
    <n v="1172.3499999999999"/>
    <x v="7"/>
    <x v="0"/>
    <n v="46.2"/>
    <s v="High"/>
    <n v="2054.6999999999998"/>
    <n v="0"/>
  </r>
  <r>
    <x v="0"/>
    <x v="0"/>
    <n v="1332"/>
    <n v="3100.33"/>
    <n v="1970.17"/>
    <n v="1130.1600000000001"/>
    <n v="0.64"/>
    <n v="0.12"/>
    <n v="2793.26"/>
    <x v="0"/>
    <n v="681"/>
    <n v="0.28000000000000003"/>
    <n v="607.58000000000004"/>
    <n v="0.2"/>
    <n v="778.53"/>
    <n v="0.25"/>
    <n v="4"/>
    <n v="535.53"/>
    <n v="75"/>
    <n v="0"/>
    <n v="598.01"/>
    <n v="1935.92"/>
    <x v="1"/>
    <n v="1061.58"/>
    <x v="6"/>
    <x v="0"/>
    <n v="61.9"/>
    <s v="Low"/>
    <n v="1130.1600000000001"/>
    <n v="0"/>
  </r>
  <r>
    <x v="0"/>
    <x v="0"/>
    <n v="1297"/>
    <n v="4442.01"/>
    <n v="3199.04"/>
    <n v="1242.97"/>
    <n v="0.72"/>
    <n v="0.26"/>
    <n v="3945.33"/>
    <x v="0"/>
    <n v="754"/>
    <n v="0.26"/>
    <n v="363.8"/>
    <n v="0.08"/>
    <n v="0"/>
    <n v="0"/>
    <n v="4"/>
    <n v="359.89"/>
    <n v="55"/>
    <n v="0"/>
    <n v="733.97"/>
    <n v="2697.83"/>
    <x v="1"/>
    <n v="336.38"/>
    <x v="1"/>
    <x v="0"/>
    <n v="82.5"/>
    <s v="Medium"/>
    <n v="1242.97"/>
    <n v="0"/>
  </r>
  <r>
    <x v="0"/>
    <x v="0"/>
    <n v="1355"/>
    <n v="4101.2299999999996"/>
    <n v="3030"/>
    <n v="1071.23"/>
    <n v="0.74"/>
    <n v="0.19"/>
    <n v="3292.83"/>
    <x v="1"/>
    <n v="680"/>
    <n v="0.24"/>
    <n v="249.2"/>
    <n v="0.06"/>
    <n v="595.33000000000004"/>
    <n v="0.15"/>
    <n v="6"/>
    <n v="1218.43"/>
    <n v="84"/>
    <n v="0"/>
    <n v="951.43"/>
    <n v="2533.75"/>
    <x v="1"/>
    <n v="618.07000000000005"/>
    <x v="0"/>
    <x v="0"/>
    <n v="70"/>
    <s v="Low"/>
    <n v="1071.23"/>
    <n v="0"/>
  </r>
  <r>
    <x v="0"/>
    <x v="0"/>
    <n v="1346"/>
    <n v="2569.35"/>
    <n v="2413.5100000000002"/>
    <n v="155.84"/>
    <n v="0.94"/>
    <n v="0.24"/>
    <n v="3130.67"/>
    <x v="1"/>
    <n v="610"/>
    <n v="0.44"/>
    <n v="644.91999999999996"/>
    <n v="0.25"/>
    <n v="852.58"/>
    <n v="0.33"/>
    <n v="6"/>
    <n v="634.96"/>
    <n v="30"/>
    <n v="0"/>
    <n v="442.93"/>
    <n v="1584.51"/>
    <x v="1"/>
    <n v="1666.78"/>
    <x v="6"/>
    <x v="2"/>
    <n v="83.2"/>
    <s v="Medium"/>
    <n v="155.84"/>
    <n v="0"/>
  </r>
  <r>
    <x v="0"/>
    <x v="0"/>
    <n v="1863"/>
    <n v="3832.25"/>
    <n v="3462.4"/>
    <n v="369.85"/>
    <n v="0.9"/>
    <n v="0.32"/>
    <n v="2411.91"/>
    <x v="0"/>
    <n v="716"/>
    <n v="0.56000000000000005"/>
    <n v="306.51"/>
    <n v="0.08"/>
    <n v="995.09"/>
    <n v="0.26"/>
    <n v="3"/>
    <n v="1317.62"/>
    <n v="72"/>
    <n v="0"/>
    <n v="565.85"/>
    <n v="1922.92"/>
    <x v="1"/>
    <n v="1348"/>
    <x v="4"/>
    <x v="0"/>
    <n v="74.099999999999994"/>
    <s v="Low"/>
    <n v="369.85"/>
    <n v="0"/>
  </r>
  <r>
    <x v="0"/>
    <x v="0"/>
    <n v="1598"/>
    <n v="3885.22"/>
    <n v="3587.26"/>
    <n v="297.95999999999998"/>
    <n v="0.92"/>
    <n v="0.39"/>
    <n v="3361.55"/>
    <x v="1"/>
    <n v="672"/>
    <n v="0.49"/>
    <n v="142.01"/>
    <n v="0.04"/>
    <n v="226.14"/>
    <n v="0.06"/>
    <n v="2"/>
    <n v="1318.69"/>
    <n v="84"/>
    <n v="0"/>
    <n v="636.85"/>
    <n v="1400.07"/>
    <x v="0"/>
    <n v="1030.49"/>
    <x v="4"/>
    <x v="2"/>
    <n v="14.2"/>
    <s v="High"/>
    <n v="297.95999999999998"/>
    <n v="0"/>
  </r>
  <r>
    <x v="0"/>
    <x v="0"/>
    <n v="1153"/>
    <n v="4286.53"/>
    <n v="3065.76"/>
    <n v="1220.77"/>
    <n v="0.72"/>
    <n v="7.0000000000000007E-2"/>
    <n v="2376.08"/>
    <x v="0"/>
    <n v="766"/>
    <n v="0.42"/>
    <n v="410.79"/>
    <n v="0.1"/>
    <n v="544.59"/>
    <n v="0.13"/>
    <n v="3"/>
    <n v="1378.15"/>
    <n v="45"/>
    <n v="0"/>
    <n v="0"/>
    <n v="1408.31"/>
    <x v="2"/>
    <n v="1681.75"/>
    <x v="0"/>
    <x v="0"/>
    <n v="47.2"/>
    <s v="High"/>
    <n v="1220.77"/>
    <n v="0"/>
  </r>
  <r>
    <x v="0"/>
    <x v="0"/>
    <n v="1359"/>
    <n v="6802.41"/>
    <n v="2881.49"/>
    <n v="3920.92"/>
    <n v="0.42"/>
    <n v="0.12"/>
    <n v="2901.81"/>
    <x v="2"/>
    <n v="657"/>
    <n v="0.38"/>
    <n v="468.66"/>
    <n v="7.0000000000000007E-2"/>
    <n v="189.62"/>
    <n v="0.03"/>
    <n v="7"/>
    <n v="1145.32"/>
    <n v="79"/>
    <n v="0"/>
    <n v="606.91999999999996"/>
    <n v="2246.1"/>
    <x v="1"/>
    <n v="1281.81"/>
    <x v="2"/>
    <x v="0"/>
    <n v="11.5"/>
    <s v="Low"/>
    <n v="3920.92"/>
    <n v="1"/>
  </r>
  <r>
    <x v="0"/>
    <x v="0"/>
    <n v="1235"/>
    <n v="2400.4"/>
    <n v="1700.57"/>
    <n v="699.83"/>
    <n v="0.71"/>
    <n v="0.27"/>
    <n v="3172.36"/>
    <x v="1"/>
    <n v="599"/>
    <n v="0.42"/>
    <n v="479.42"/>
    <n v="0.2"/>
    <n v="248.1"/>
    <n v="0.1"/>
    <n v="4"/>
    <n v="309.58999999999997"/>
    <n v="48"/>
    <n v="0"/>
    <n v="76.45"/>
    <n v="2245.34"/>
    <x v="1"/>
    <n v="787.57"/>
    <x v="4"/>
    <x v="1"/>
    <n v="2.6"/>
    <s v="Medium"/>
    <n v="699.83"/>
    <n v="0"/>
  </r>
  <r>
    <x v="0"/>
    <x v="0"/>
    <n v="1065"/>
    <n v="4716.88"/>
    <n v="1939.61"/>
    <n v="2777.27"/>
    <n v="0.41"/>
    <n v="0.32"/>
    <n v="2532.38"/>
    <x v="2"/>
    <n v="614"/>
    <n v="0.23"/>
    <n v="739.9"/>
    <n v="0.16"/>
    <n v="406.37"/>
    <n v="0.09"/>
    <n v="6"/>
    <n v="1147.6400000000001"/>
    <n v="83"/>
    <n v="0"/>
    <n v="603.27"/>
    <n v="2407.0300000000002"/>
    <x v="0"/>
    <n v="1415.09"/>
    <x v="1"/>
    <x v="0"/>
    <n v="73.8"/>
    <s v="Low"/>
    <n v="2777.27"/>
    <n v="1"/>
  </r>
  <r>
    <x v="0"/>
    <x v="0"/>
    <n v="1997"/>
    <n v="4077.03"/>
    <n v="2092.29"/>
    <n v="1984.74"/>
    <n v="0.51"/>
    <n v="0.32"/>
    <n v="3866.26"/>
    <x v="1"/>
    <n v="598"/>
    <n v="0.52"/>
    <n v="851.89"/>
    <n v="0.21"/>
    <n v="34.880000000000003"/>
    <n v="0.01"/>
    <n v="1"/>
    <n v="1514.95"/>
    <n v="28"/>
    <n v="0"/>
    <n v="610.22"/>
    <n v="2537.79"/>
    <x v="0"/>
    <n v="1219.77"/>
    <x v="6"/>
    <x v="1"/>
    <n v="46.6"/>
    <s v="Medium"/>
    <n v="1984.74"/>
    <n v="0"/>
  </r>
  <r>
    <x v="0"/>
    <x v="0"/>
    <n v="1571"/>
    <n v="3743"/>
    <n v="2666.98"/>
    <n v="1076.02"/>
    <n v="0.71"/>
    <n v="0.38"/>
    <n v="2531.5500000000002"/>
    <x v="1"/>
    <n v="605"/>
    <n v="0.22"/>
    <n v="521.94000000000005"/>
    <n v="0.14000000000000001"/>
    <n v="63.79"/>
    <n v="0.02"/>
    <n v="1"/>
    <n v="400.83"/>
    <n v="74"/>
    <n v="0"/>
    <n v="645.28"/>
    <n v="1994.8"/>
    <x v="1"/>
    <n v="722.44"/>
    <x v="2"/>
    <x v="0"/>
    <n v="63.4"/>
    <s v="Low"/>
    <n v="1076.02"/>
    <n v="0"/>
  </r>
  <r>
    <x v="0"/>
    <x v="0"/>
    <n v="1653"/>
    <n v="5651.4"/>
    <n v="3416.37"/>
    <n v="2235.0300000000002"/>
    <n v="0.6"/>
    <n v="0.11"/>
    <n v="2165.29"/>
    <x v="1"/>
    <n v="704"/>
    <n v="0.41"/>
    <n v="521.17999999999995"/>
    <n v="0.09"/>
    <n v="268.36"/>
    <n v="0.05"/>
    <n v="3"/>
    <n v="679.87"/>
    <n v="22"/>
    <n v="1"/>
    <n v="660.94"/>
    <n v="1000"/>
    <x v="1"/>
    <n v="984.35"/>
    <x v="1"/>
    <x v="0"/>
    <n v="84.5"/>
    <s v="Medium"/>
    <n v="2235.0300000000002"/>
    <n v="1"/>
  </r>
  <r>
    <x v="0"/>
    <x v="0"/>
    <n v="1620"/>
    <n v="2530.0300000000002"/>
    <n v="2429.15"/>
    <n v="100.88"/>
    <n v="0.96"/>
    <n v="0.08"/>
    <n v="2791.76"/>
    <x v="0"/>
    <n v="679"/>
    <n v="0.32"/>
    <n v="301.92"/>
    <n v="0.12"/>
    <n v="483.91"/>
    <n v="0.19"/>
    <n v="8"/>
    <n v="511.17"/>
    <n v="66"/>
    <n v="0"/>
    <n v="727.22"/>
    <n v="2539.15"/>
    <x v="1"/>
    <n v="1271.9000000000001"/>
    <x v="8"/>
    <x v="0"/>
    <n v="44.4"/>
    <s v="Low"/>
    <n v="100.88"/>
    <n v="0"/>
  </r>
  <r>
    <x v="0"/>
    <x v="0"/>
    <n v="1465"/>
    <n v="4784.6400000000003"/>
    <n v="2873.62"/>
    <n v="1911.02"/>
    <n v="0.6"/>
    <n v="7.0000000000000007E-2"/>
    <n v="2847.63"/>
    <x v="0"/>
    <n v="629"/>
    <n v="0.49"/>
    <n v="741.76"/>
    <n v="0.16"/>
    <n v="616.82000000000005"/>
    <n v="0.13"/>
    <n v="7"/>
    <n v="1483.28"/>
    <n v="82"/>
    <n v="0"/>
    <n v="710.58"/>
    <n v="2170.36"/>
    <x v="0"/>
    <n v="1306.07"/>
    <x v="7"/>
    <x v="1"/>
    <n v="9.8000000000000007"/>
    <s v="Medium"/>
    <n v="1911.02"/>
    <n v="0"/>
  </r>
  <r>
    <x v="0"/>
    <x v="0"/>
    <n v="1048"/>
    <n v="5026.76"/>
    <n v="3636.73"/>
    <n v="1390.03"/>
    <n v="0.72"/>
    <n v="0.32"/>
    <n v="3216.36"/>
    <x v="1"/>
    <n v="657"/>
    <n v="0.38"/>
    <n v="750.73"/>
    <n v="0.15"/>
    <n v="529.29"/>
    <n v="0.11"/>
    <n v="4"/>
    <n v="2373.34"/>
    <n v="69"/>
    <n v="0"/>
    <n v="576.9"/>
    <n v="2100.3200000000002"/>
    <x v="2"/>
    <n v="863.26"/>
    <x v="7"/>
    <x v="0"/>
    <n v="65"/>
    <s v="Low"/>
    <n v="1390.03"/>
    <n v="0"/>
  </r>
  <r>
    <x v="0"/>
    <x v="0"/>
    <n v="1780"/>
    <n v="3664.19"/>
    <n v="1462.03"/>
    <n v="2202.16"/>
    <n v="0.4"/>
    <n v="0.2"/>
    <n v="2326.1999999999998"/>
    <x v="1"/>
    <n v="598"/>
    <n v="0.23"/>
    <n v="169.87"/>
    <n v="0.05"/>
    <n v="674.51"/>
    <n v="0.18"/>
    <n v="7"/>
    <n v="796.65"/>
    <n v="29"/>
    <n v="0"/>
    <n v="395.86"/>
    <n v="2541.8200000000002"/>
    <x v="1"/>
    <n v="1141.8"/>
    <x v="4"/>
    <x v="2"/>
    <n v="36.5"/>
    <s v="High"/>
    <n v="2202.16"/>
    <n v="0"/>
  </r>
  <r>
    <x v="0"/>
    <x v="0"/>
    <n v="1017"/>
    <n v="3589.97"/>
    <n v="2726.37"/>
    <n v="863.6"/>
    <n v="0.76"/>
    <n v="0.05"/>
    <n v="3083.59"/>
    <x v="0"/>
    <n v="608"/>
    <n v="0.25"/>
    <n v="257.02"/>
    <n v="7.0000000000000007E-2"/>
    <n v="312.7"/>
    <n v="0.09"/>
    <n v="1"/>
    <n v="855.49"/>
    <n v="80"/>
    <n v="0"/>
    <n v="547.19000000000005"/>
    <n v="2914.13"/>
    <x v="1"/>
    <n v="855.44"/>
    <x v="5"/>
    <x v="2"/>
    <n v="83.6"/>
    <s v="Medium"/>
    <n v="863.6"/>
    <n v="0"/>
  </r>
  <r>
    <x v="0"/>
    <x v="0"/>
    <n v="1889"/>
    <n v="3046.65"/>
    <n v="3646.54"/>
    <n v="-599.89"/>
    <n v="1.2"/>
    <n v="0.33"/>
    <n v="2908.95"/>
    <x v="1"/>
    <n v="621"/>
    <n v="0.4"/>
    <n v="523.53"/>
    <n v="0.17"/>
    <n v="598.52"/>
    <n v="0.2"/>
    <n v="3"/>
    <n v="748.87"/>
    <n v="73"/>
    <n v="0"/>
    <n v="792.46"/>
    <n v="2696.17"/>
    <x v="1"/>
    <n v="1697.84"/>
    <x v="3"/>
    <x v="0"/>
    <n v="77.400000000000006"/>
    <s v="Low"/>
    <n v="0"/>
    <n v="0"/>
  </r>
  <r>
    <x v="0"/>
    <x v="0"/>
    <n v="1080"/>
    <n v="4545.3599999999997"/>
    <n v="2532.77"/>
    <n v="2012.59"/>
    <n v="0.56000000000000005"/>
    <n v="0.34"/>
    <n v="2466.77"/>
    <x v="2"/>
    <n v="763"/>
    <n v="0.34"/>
    <n v="457.27"/>
    <n v="0.1"/>
    <n v="420.3"/>
    <n v="0.09"/>
    <n v="3"/>
    <n v="1138.46"/>
    <n v="60"/>
    <n v="0"/>
    <n v="423.1"/>
    <n v="2366.1999999999998"/>
    <x v="0"/>
    <n v="1685.28"/>
    <x v="7"/>
    <x v="0"/>
    <n v="33.6"/>
    <s v="Low"/>
    <n v="2012.59"/>
    <n v="0"/>
  </r>
  <r>
    <x v="1"/>
    <x v="0"/>
    <n v="1045"/>
    <n v="3262.44"/>
    <n v="3732.81"/>
    <n v="-470.37"/>
    <n v="1.1399999999999999"/>
    <n v="0.1"/>
    <n v="2607.17"/>
    <x v="0"/>
    <n v="670"/>
    <n v="0.42"/>
    <n v="454.19"/>
    <n v="0.14000000000000001"/>
    <n v="360.34"/>
    <n v="0.11"/>
    <n v="4"/>
    <n v="1154.4100000000001"/>
    <n v="41"/>
    <n v="0"/>
    <n v="534.51"/>
    <n v="3165.2"/>
    <x v="1"/>
    <n v="1603.17"/>
    <x v="0"/>
    <x v="0"/>
    <n v="22.6"/>
    <s v="Low"/>
    <n v="0"/>
    <n v="0"/>
  </r>
  <r>
    <x v="1"/>
    <x v="0"/>
    <n v="1900"/>
    <n v="5216.32"/>
    <n v="3003.14"/>
    <n v="2213.1799999999998"/>
    <n v="0.57999999999999996"/>
    <n v="0.25"/>
    <n v="3287.03"/>
    <x v="1"/>
    <n v="695"/>
    <n v="0.25"/>
    <n v="322.61"/>
    <n v="0.06"/>
    <n v="207.54"/>
    <n v="0.04"/>
    <n v="4"/>
    <n v="429.86"/>
    <n v="25"/>
    <n v="0"/>
    <n v="152.69"/>
    <n v="1446.48"/>
    <x v="2"/>
    <n v="1084.08"/>
    <x v="9"/>
    <x v="2"/>
    <n v="77.3"/>
    <s v="Low"/>
    <n v="2213.1799999999998"/>
    <n v="0"/>
  </r>
  <r>
    <x v="1"/>
    <x v="0"/>
    <n v="1577"/>
    <n v="4532.96"/>
    <n v="2762.25"/>
    <n v="1770.71"/>
    <n v="0.61"/>
    <n v="0.36"/>
    <n v="2286.6"/>
    <x v="1"/>
    <n v="664"/>
    <n v="0.37"/>
    <n v="509.45"/>
    <n v="0.11"/>
    <n v="299.82"/>
    <n v="7.0000000000000007E-2"/>
    <n v="9"/>
    <n v="1262"/>
    <n v="92"/>
    <n v="0"/>
    <n v="366.62"/>
    <n v="2385.7399999999998"/>
    <x v="1"/>
    <n v="1465.27"/>
    <x v="4"/>
    <x v="1"/>
    <n v="19.100000000000001"/>
    <s v="Medium"/>
    <n v="1770.71"/>
    <n v="0"/>
  </r>
  <r>
    <x v="1"/>
    <x v="0"/>
    <n v="1984"/>
    <n v="4529.28"/>
    <n v="3330.63"/>
    <n v="1198.6500000000001"/>
    <n v="0.74"/>
    <n v="0.21"/>
    <n v="3601.6"/>
    <x v="1"/>
    <n v="674"/>
    <n v="0.41"/>
    <n v="497.97"/>
    <n v="0.11"/>
    <n v="415.73"/>
    <n v="0.09"/>
    <n v="8"/>
    <n v="1029"/>
    <n v="34"/>
    <n v="0"/>
    <n v="623.42999999999995"/>
    <n v="2072.06"/>
    <x v="1"/>
    <n v="1605.25"/>
    <x v="9"/>
    <x v="2"/>
    <n v="35.9"/>
    <s v="Low"/>
    <n v="1198.6500000000001"/>
    <n v="0"/>
  </r>
  <r>
    <x v="1"/>
    <x v="0"/>
    <n v="1384"/>
    <n v="3548.86"/>
    <n v="2081.2600000000002"/>
    <n v="1467.6"/>
    <n v="0.59"/>
    <n v="0.15"/>
    <n v="2753.81"/>
    <x v="2"/>
    <n v="641"/>
    <n v="0.46"/>
    <n v="481.66"/>
    <n v="0.14000000000000001"/>
    <n v="418.19"/>
    <n v="0.12"/>
    <n v="2"/>
    <n v="919.14"/>
    <n v="36"/>
    <n v="0"/>
    <n v="538.73"/>
    <n v="1818.82"/>
    <x v="0"/>
    <n v="1814.45"/>
    <x v="9"/>
    <x v="0"/>
    <n v="81.7"/>
    <s v="Medium"/>
    <n v="1467.6"/>
    <n v="0"/>
  </r>
  <r>
    <x v="1"/>
    <x v="0"/>
    <n v="1391"/>
    <n v="3991.48"/>
    <n v="2873.48"/>
    <n v="1118"/>
    <n v="0.72"/>
    <n v="0.27"/>
    <n v="2994.05"/>
    <x v="1"/>
    <n v="705"/>
    <n v="0.44"/>
    <n v="780.34"/>
    <n v="0.2"/>
    <n v="572.82000000000005"/>
    <n v="0.14000000000000001"/>
    <n v="7"/>
    <n v="1736.92"/>
    <n v="40"/>
    <n v="0"/>
    <n v="452.17"/>
    <n v="2284.59"/>
    <x v="0"/>
    <n v="988.51"/>
    <x v="6"/>
    <x v="1"/>
    <n v="64.7"/>
    <s v="Medium"/>
    <n v="1118"/>
    <n v="0"/>
  </r>
  <r>
    <x v="1"/>
    <x v="0"/>
    <n v="1478"/>
    <n v="2733.02"/>
    <n v="3121.64"/>
    <n v="-388.62"/>
    <n v="1.1399999999999999"/>
    <n v="0.18"/>
    <n v="2019.2"/>
    <x v="1"/>
    <n v="669"/>
    <n v="0.6"/>
    <n v="664.38"/>
    <n v="0.24"/>
    <n v="45.75"/>
    <n v="0.02"/>
    <n v="9"/>
    <n v="1460.63"/>
    <n v="44"/>
    <n v="0"/>
    <n v="392.16"/>
    <n v="1831.01"/>
    <x v="1"/>
    <n v="723.41"/>
    <x v="9"/>
    <x v="0"/>
    <n v="95.1"/>
    <s v="Low"/>
    <n v="0"/>
    <n v="0"/>
  </r>
  <r>
    <x v="1"/>
    <x v="0"/>
    <n v="1890"/>
    <n v="4598.8100000000004"/>
    <n v="4402.53"/>
    <n v="196.28"/>
    <n v="0.96"/>
    <n v="0.26"/>
    <n v="2887.66"/>
    <x v="2"/>
    <n v="722"/>
    <n v="0.22"/>
    <n v="335.82"/>
    <n v="7.0000000000000007E-2"/>
    <n v="489.07"/>
    <n v="0.11"/>
    <n v="1"/>
    <n v="725.49"/>
    <n v="83"/>
    <n v="0"/>
    <n v="361.57"/>
    <n v="2177.7600000000002"/>
    <x v="1"/>
    <n v="962.91"/>
    <x v="0"/>
    <x v="1"/>
    <n v="54.8"/>
    <s v="Low"/>
    <n v="196.28"/>
    <n v="0"/>
  </r>
  <r>
    <x v="1"/>
    <x v="0"/>
    <n v="1431"/>
    <n v="3630.76"/>
    <n v="1650.04"/>
    <n v="1980.72"/>
    <n v="0.45"/>
    <n v="0.1"/>
    <n v="3668.85"/>
    <x v="1"/>
    <n v="689"/>
    <n v="0.44"/>
    <n v="326.45999999999998"/>
    <n v="0.09"/>
    <n v="142.77000000000001"/>
    <n v="0.04"/>
    <n v="6"/>
    <n v="1699.12"/>
    <n v="95"/>
    <n v="0"/>
    <n v="723.39"/>
    <n v="1930.39"/>
    <x v="1"/>
    <n v="1142.6600000000001"/>
    <x v="6"/>
    <x v="0"/>
    <n v="40.200000000000003"/>
    <s v="Medium"/>
    <n v="1980.72"/>
    <n v="0"/>
  </r>
  <r>
    <x v="1"/>
    <x v="0"/>
    <n v="1683"/>
    <n v="3425.75"/>
    <n v="2161.29"/>
    <n v="1264.46"/>
    <n v="0.63"/>
    <n v="0.09"/>
    <n v="2771.5"/>
    <x v="0"/>
    <n v="703"/>
    <n v="0.32"/>
    <n v="240.75"/>
    <n v="7.0000000000000007E-2"/>
    <n v="0"/>
    <n v="0"/>
    <n v="7"/>
    <n v="530.92999999999995"/>
    <n v="60"/>
    <n v="0"/>
    <n v="568.41"/>
    <n v="1791.74"/>
    <x v="1"/>
    <n v="397.19"/>
    <x v="4"/>
    <x v="1"/>
    <n v="34.200000000000003"/>
    <s v="Medium"/>
    <n v="1264.46"/>
    <n v="0"/>
  </r>
  <r>
    <x v="1"/>
    <x v="0"/>
    <n v="1789"/>
    <n v="2768.86"/>
    <n v="1750.8"/>
    <n v="1018.06"/>
    <n v="0.63"/>
    <n v="0.28999999999999998"/>
    <n v="3560.72"/>
    <x v="1"/>
    <n v="702"/>
    <n v="0.45"/>
    <n v="516.47"/>
    <n v="0.19"/>
    <n v="1051.06"/>
    <n v="0.38"/>
    <n v="5"/>
    <n v="1230.7"/>
    <n v="25"/>
    <n v="0"/>
    <n v="220.35"/>
    <n v="2918.28"/>
    <x v="1"/>
    <n v="300"/>
    <x v="8"/>
    <x v="0"/>
    <n v="9.9"/>
    <s v="High"/>
    <n v="1018.06"/>
    <n v="0"/>
  </r>
  <r>
    <x v="1"/>
    <x v="0"/>
    <n v="1958"/>
    <n v="5080.4399999999996"/>
    <n v="2690.79"/>
    <n v="2389.65"/>
    <n v="0.53"/>
    <n v="0.4"/>
    <n v="2733.13"/>
    <x v="0"/>
    <n v="628"/>
    <n v="0.59"/>
    <n v="656.59"/>
    <n v="0.13"/>
    <n v="712.86"/>
    <n v="0.14000000000000001"/>
    <n v="3"/>
    <n v="1083.98"/>
    <n v="43"/>
    <n v="0"/>
    <n v="684.2"/>
    <n v="2351.38"/>
    <x v="1"/>
    <n v="647.99"/>
    <x v="1"/>
    <x v="0"/>
    <n v="9.4"/>
    <s v="High"/>
    <n v="2389.65"/>
    <n v="0"/>
  </r>
  <r>
    <x v="1"/>
    <x v="0"/>
    <n v="1020"/>
    <n v="4298.5"/>
    <n v="3221.17"/>
    <n v="1077.33"/>
    <n v="0.75"/>
    <n v="0.38"/>
    <n v="2354.88"/>
    <x v="0"/>
    <n v="673"/>
    <n v="0.23"/>
    <n v="414.92"/>
    <n v="0.1"/>
    <n v="534.78"/>
    <n v="0.12"/>
    <n v="3"/>
    <n v="1888.48"/>
    <n v="66"/>
    <n v="0"/>
    <n v="779.58"/>
    <n v="2321.7600000000002"/>
    <x v="1"/>
    <n v="1846.04"/>
    <x v="1"/>
    <x v="0"/>
    <n v="58.8"/>
    <s v="High"/>
    <n v="1077.33"/>
    <n v="0"/>
  </r>
  <r>
    <x v="1"/>
    <x v="0"/>
    <n v="1611"/>
    <n v="4443.78"/>
    <n v="3417.91"/>
    <n v="1025.8699999999999"/>
    <n v="0.77"/>
    <n v="0.27"/>
    <n v="2814.65"/>
    <x v="0"/>
    <n v="625"/>
    <n v="0.38"/>
    <n v="934.69"/>
    <n v="0.21"/>
    <n v="624.30999999999995"/>
    <n v="0.14000000000000001"/>
    <n v="4"/>
    <n v="1552.85"/>
    <n v="77"/>
    <n v="0"/>
    <n v="729.66"/>
    <n v="2436.83"/>
    <x v="1"/>
    <n v="1250.6300000000001"/>
    <x v="8"/>
    <x v="2"/>
    <n v="27.1"/>
    <s v="Low"/>
    <n v="1025.8699999999999"/>
    <n v="0"/>
  </r>
  <r>
    <x v="1"/>
    <x v="0"/>
    <n v="1331"/>
    <n v="3647.96"/>
    <n v="4097.17"/>
    <n v="-449.21"/>
    <n v="1.1200000000000001"/>
    <n v="0.06"/>
    <n v="2428.0100000000002"/>
    <x v="1"/>
    <n v="755"/>
    <n v="0.43"/>
    <n v="278.47000000000003"/>
    <n v="0.08"/>
    <n v="468.21"/>
    <n v="0.13"/>
    <n v="6"/>
    <n v="1218.43"/>
    <n v="70"/>
    <n v="0"/>
    <n v="661.48"/>
    <n v="1910.69"/>
    <x v="2"/>
    <n v="824.43"/>
    <x v="3"/>
    <x v="0"/>
    <n v="14.8"/>
    <s v="Medium"/>
    <n v="0"/>
    <n v="0"/>
  </r>
  <r>
    <x v="1"/>
    <x v="0"/>
    <n v="1814"/>
    <n v="3830.55"/>
    <n v="4707.09"/>
    <n v="-876.54"/>
    <n v="1.23"/>
    <n v="0.21"/>
    <n v="2961.18"/>
    <x v="1"/>
    <n v="660"/>
    <n v="0.19"/>
    <n v="525.79999999999995"/>
    <n v="0.14000000000000001"/>
    <n v="369.84"/>
    <n v="0.1"/>
    <n v="7"/>
    <n v="1337.6"/>
    <n v="81"/>
    <n v="0"/>
    <n v="533.05999999999995"/>
    <n v="2239.88"/>
    <x v="0"/>
    <n v="875.58"/>
    <x v="1"/>
    <x v="0"/>
    <n v="65.900000000000006"/>
    <s v="Low"/>
    <n v="0"/>
    <n v="0"/>
  </r>
  <r>
    <x v="1"/>
    <x v="0"/>
    <n v="1774"/>
    <n v="5296.21"/>
    <n v="3338.49"/>
    <n v="1957.72"/>
    <n v="0.63"/>
    <n v="0.32"/>
    <n v="2407.96"/>
    <x v="0"/>
    <n v="725"/>
    <n v="0.18"/>
    <n v="315.97000000000003"/>
    <n v="0.06"/>
    <n v="911.24"/>
    <n v="0.17"/>
    <n v="9"/>
    <n v="649.54"/>
    <n v="35"/>
    <n v="0"/>
    <n v="940.39"/>
    <n v="1386.12"/>
    <x v="2"/>
    <n v="1469.31"/>
    <x v="5"/>
    <x v="2"/>
    <n v="89.7"/>
    <s v="Low"/>
    <n v="1957.72"/>
    <n v="0"/>
  </r>
  <r>
    <x v="1"/>
    <x v="0"/>
    <n v="1790"/>
    <n v="1649.12"/>
    <n v="3616.05"/>
    <n v="-1966.93"/>
    <n v="2.19"/>
    <n v="0.34"/>
    <n v="3228.48"/>
    <x v="1"/>
    <n v="645"/>
    <n v="0.46"/>
    <n v="856.95"/>
    <n v="0.52"/>
    <n v="0"/>
    <n v="0"/>
    <n v="2"/>
    <n v="0"/>
    <n v="55"/>
    <n v="0"/>
    <n v="408.32"/>
    <n v="2647.16"/>
    <x v="0"/>
    <n v="2062.87"/>
    <x v="8"/>
    <x v="0"/>
    <n v="89.2"/>
    <s v="High"/>
    <n v="0"/>
    <n v="0"/>
  </r>
  <r>
    <x v="1"/>
    <x v="0"/>
    <n v="1452"/>
    <n v="4614.66"/>
    <n v="4071.72"/>
    <n v="542.94000000000005"/>
    <n v="0.88"/>
    <n v="0.34"/>
    <n v="2531.6999999999998"/>
    <x v="2"/>
    <n v="729"/>
    <n v="0.33"/>
    <n v="772.85"/>
    <n v="0.17"/>
    <n v="297.7"/>
    <n v="0.06"/>
    <n v="3"/>
    <n v="841.1"/>
    <n v="66"/>
    <n v="0"/>
    <n v="398.07"/>
    <n v="1825.02"/>
    <x v="1"/>
    <n v="1172.22"/>
    <x v="9"/>
    <x v="0"/>
    <n v="75.2"/>
    <s v="High"/>
    <n v="542.94000000000005"/>
    <n v="0"/>
  </r>
  <r>
    <x v="1"/>
    <x v="0"/>
    <n v="1878"/>
    <n v="4423.41"/>
    <n v="2900.19"/>
    <n v="1523.22"/>
    <n v="0.66"/>
    <n v="0.08"/>
    <n v="3457.16"/>
    <x v="1"/>
    <n v="658"/>
    <n v="0.32"/>
    <n v="999.11"/>
    <n v="0.23"/>
    <n v="461.53"/>
    <n v="0.1"/>
    <n v="4"/>
    <n v="367.15"/>
    <n v="22"/>
    <n v="0"/>
    <n v="405.98"/>
    <n v="3021.31"/>
    <x v="1"/>
    <n v="549.99"/>
    <x v="0"/>
    <x v="0"/>
    <n v="90.8"/>
    <s v="Low"/>
    <n v="1523.22"/>
    <n v="0"/>
  </r>
  <r>
    <x v="1"/>
    <x v="0"/>
    <n v="1951"/>
    <n v="3879.11"/>
    <n v="3075.42"/>
    <n v="803.69"/>
    <n v="0.79"/>
    <n v="0.18"/>
    <n v="2775.74"/>
    <x v="0"/>
    <n v="800"/>
    <n v="0.59"/>
    <n v="829.8"/>
    <n v="0.21"/>
    <n v="756.54"/>
    <n v="0.2"/>
    <n v="4"/>
    <n v="794.99"/>
    <n v="58"/>
    <n v="0"/>
    <n v="563.54"/>
    <n v="2204.59"/>
    <x v="1"/>
    <n v="1300.29"/>
    <x v="7"/>
    <x v="0"/>
    <n v="69.7"/>
    <s v="High"/>
    <n v="803.69"/>
    <n v="0"/>
  </r>
  <r>
    <x v="1"/>
    <x v="0"/>
    <n v="1203"/>
    <n v="3092.56"/>
    <n v="2392.35"/>
    <n v="700.21"/>
    <n v="0.77"/>
    <n v="0.36"/>
    <n v="1669.36"/>
    <x v="0"/>
    <n v="687"/>
    <n v="0.56000000000000005"/>
    <n v="516.91"/>
    <n v="0.17"/>
    <n v="585.79"/>
    <n v="0.19"/>
    <n v="1"/>
    <n v="934.39"/>
    <n v="26"/>
    <n v="0"/>
    <n v="428.42"/>
    <n v="1874.71"/>
    <x v="1"/>
    <n v="1976.77"/>
    <x v="3"/>
    <x v="0"/>
    <n v="22.6"/>
    <s v="Low"/>
    <n v="700.21"/>
    <n v="0"/>
  </r>
  <r>
    <x v="1"/>
    <x v="0"/>
    <n v="1566"/>
    <n v="3524.82"/>
    <n v="4439.3999999999996"/>
    <n v="-914.58"/>
    <n v="1.26"/>
    <n v="0.3"/>
    <n v="3118.63"/>
    <x v="0"/>
    <n v="662"/>
    <n v="0.26"/>
    <n v="420.65"/>
    <n v="0.12"/>
    <n v="274.62"/>
    <n v="0.08"/>
    <n v="8"/>
    <n v="1035.28"/>
    <n v="93"/>
    <n v="0"/>
    <n v="244.44"/>
    <n v="1365.41"/>
    <x v="1"/>
    <n v="1492.34"/>
    <x v="4"/>
    <x v="0"/>
    <n v="68"/>
    <s v="Low"/>
    <n v="0"/>
    <n v="0"/>
  </r>
  <r>
    <x v="1"/>
    <x v="0"/>
    <n v="1966"/>
    <n v="3647.02"/>
    <n v="3742.27"/>
    <n v="-95.25"/>
    <n v="1.03"/>
    <n v="0.35"/>
    <n v="3184.25"/>
    <x v="1"/>
    <n v="657"/>
    <n v="0.3"/>
    <n v="550.32000000000005"/>
    <n v="0.15"/>
    <n v="238.25"/>
    <n v="7.0000000000000007E-2"/>
    <n v="3"/>
    <n v="1815.39"/>
    <n v="55"/>
    <n v="0"/>
    <n v="218.73"/>
    <n v="1692.16"/>
    <x v="1"/>
    <n v="864.83"/>
    <x v="2"/>
    <x v="0"/>
    <n v="92.1"/>
    <s v="Low"/>
    <n v="0"/>
    <n v="0"/>
  </r>
  <r>
    <x v="1"/>
    <x v="0"/>
    <n v="1378"/>
    <n v="4933.33"/>
    <n v="2122.9299999999998"/>
    <n v="2810.4"/>
    <n v="0.43"/>
    <n v="0.39"/>
    <n v="3231.95"/>
    <x v="2"/>
    <n v="670"/>
    <n v="0.48"/>
    <n v="807.72"/>
    <n v="0.16"/>
    <n v="839.83"/>
    <n v="0.17"/>
    <n v="7"/>
    <n v="1130.81"/>
    <n v="28"/>
    <n v="0"/>
    <n v="563.66"/>
    <n v="2140.5300000000002"/>
    <x v="1"/>
    <n v="1577.08"/>
    <x v="9"/>
    <x v="1"/>
    <n v="38.799999999999997"/>
    <s v="Low"/>
    <n v="2810.4"/>
    <n v="0"/>
  </r>
  <r>
    <x v="1"/>
    <x v="0"/>
    <n v="1793"/>
    <n v="4808.93"/>
    <n v="4535.17"/>
    <n v="273.76"/>
    <n v="0.94"/>
    <n v="0.25"/>
    <n v="3415.1"/>
    <x v="1"/>
    <n v="693"/>
    <n v="0.24"/>
    <n v="870.05"/>
    <n v="0.18"/>
    <n v="0"/>
    <n v="0"/>
    <n v="3"/>
    <n v="954.88"/>
    <n v="96"/>
    <n v="0"/>
    <n v="589.77"/>
    <n v="1605.36"/>
    <x v="1"/>
    <n v="1237.53"/>
    <x v="6"/>
    <x v="1"/>
    <n v="45.4"/>
    <s v="High"/>
    <n v="273.76"/>
    <n v="0"/>
  </r>
  <r>
    <x v="1"/>
    <x v="0"/>
    <n v="1949"/>
    <n v="2766.05"/>
    <n v="3005.96"/>
    <n v="-239.91"/>
    <n v="1.0900000000000001"/>
    <n v="0.4"/>
    <n v="2759.26"/>
    <x v="1"/>
    <n v="646"/>
    <n v="0.28999999999999998"/>
    <n v="423.82"/>
    <n v="0.15"/>
    <n v="312.63"/>
    <n v="0.11"/>
    <n v="7"/>
    <n v="1420.04"/>
    <n v="47"/>
    <n v="0"/>
    <n v="601.36"/>
    <n v="2113.19"/>
    <x v="0"/>
    <n v="1360.71"/>
    <x v="6"/>
    <x v="0"/>
    <n v="84.4"/>
    <s v="Low"/>
    <n v="0"/>
    <n v="0"/>
  </r>
  <r>
    <x v="1"/>
    <x v="0"/>
    <n v="1468"/>
    <n v="3564.99"/>
    <n v="3331.22"/>
    <n v="233.77"/>
    <n v="0.93"/>
    <n v="0.39"/>
    <n v="2794.13"/>
    <x v="0"/>
    <n v="716"/>
    <n v="0.38"/>
    <n v="632.30999999999995"/>
    <n v="0.18"/>
    <n v="93.92"/>
    <n v="0.03"/>
    <n v="6"/>
    <n v="386.61"/>
    <n v="60"/>
    <n v="0"/>
    <n v="452.95"/>
    <n v="1503.92"/>
    <x v="0"/>
    <n v="1488.96"/>
    <x v="9"/>
    <x v="0"/>
    <n v="88.5"/>
    <s v="Low"/>
    <n v="233.77"/>
    <n v="0"/>
  </r>
  <r>
    <x v="1"/>
    <x v="0"/>
    <n v="1676"/>
    <n v="4599.8999999999996"/>
    <n v="3836.31"/>
    <n v="763.59"/>
    <n v="0.83"/>
    <n v="7.0000000000000007E-2"/>
    <n v="2807.84"/>
    <x v="0"/>
    <n v="697"/>
    <n v="0.46"/>
    <n v="408.28"/>
    <n v="0.09"/>
    <n v="725.24"/>
    <n v="0.16"/>
    <n v="7"/>
    <n v="1307.79"/>
    <n v="60"/>
    <n v="0"/>
    <n v="660.72"/>
    <n v="1681.83"/>
    <x v="1"/>
    <n v="1987.73"/>
    <x v="1"/>
    <x v="2"/>
    <n v="22.9"/>
    <s v="Medium"/>
    <n v="763.59"/>
    <n v="0"/>
  </r>
  <r>
    <x v="1"/>
    <x v="0"/>
    <n v="1595"/>
    <n v="2884.93"/>
    <n v="2684.8"/>
    <n v="200.13"/>
    <n v="0.93"/>
    <n v="0.36"/>
    <n v="2735.89"/>
    <x v="0"/>
    <n v="719"/>
    <n v="0.5"/>
    <n v="651.87"/>
    <n v="0.23"/>
    <n v="227.65"/>
    <n v="0.08"/>
    <n v="4"/>
    <n v="1642.47"/>
    <n v="48"/>
    <n v="0"/>
    <n v="840.95"/>
    <n v="2479.87"/>
    <x v="0"/>
    <n v="1753.49"/>
    <x v="1"/>
    <x v="0"/>
    <n v="83.3"/>
    <s v="Low"/>
    <n v="200.13"/>
    <n v="0"/>
  </r>
  <r>
    <x v="1"/>
    <x v="0"/>
    <n v="1663"/>
    <n v="4236.99"/>
    <n v="2504.12"/>
    <n v="1732.87"/>
    <n v="0.59"/>
    <n v="0.18"/>
    <n v="2546.9299999999998"/>
    <x v="1"/>
    <n v="692"/>
    <n v="0.4"/>
    <n v="262.39"/>
    <n v="0.06"/>
    <n v="804.66"/>
    <n v="0.19"/>
    <n v="5"/>
    <n v="1472.66"/>
    <n v="84"/>
    <n v="0"/>
    <n v="441.42"/>
    <n v="2626.31"/>
    <x v="1"/>
    <n v="802.95"/>
    <x v="6"/>
    <x v="1"/>
    <n v="16.899999999999999"/>
    <s v="Low"/>
    <n v="1732.87"/>
    <n v="0"/>
  </r>
  <r>
    <x v="1"/>
    <x v="0"/>
    <n v="1427"/>
    <n v="4349.07"/>
    <n v="2447.8200000000002"/>
    <n v="1901.25"/>
    <n v="0.56000000000000005"/>
    <n v="0.19"/>
    <n v="3201.64"/>
    <x v="1"/>
    <n v="665"/>
    <n v="0.35"/>
    <n v="306.06"/>
    <n v="7.0000000000000007E-2"/>
    <n v="450.06"/>
    <n v="0.1"/>
    <n v="6"/>
    <n v="2078.38"/>
    <n v="23"/>
    <n v="0"/>
    <n v="345.98"/>
    <n v="2926.05"/>
    <x v="1"/>
    <n v="1795.66"/>
    <x v="1"/>
    <x v="1"/>
    <n v="82.9"/>
    <s v="Low"/>
    <n v="1901.25"/>
    <n v="0"/>
  </r>
  <r>
    <x v="1"/>
    <x v="0"/>
    <n v="1141"/>
    <n v="4410.45"/>
    <n v="2844.18"/>
    <n v="1566.27"/>
    <n v="0.64"/>
    <n v="0.26"/>
    <n v="3512.81"/>
    <x v="2"/>
    <n v="689"/>
    <n v="0.4"/>
    <n v="279.10000000000002"/>
    <n v="0.06"/>
    <n v="91.01"/>
    <n v="0.02"/>
    <n v="5"/>
    <n v="1908.12"/>
    <n v="62"/>
    <n v="0"/>
    <n v="544.12"/>
    <n v="2362.86"/>
    <x v="1"/>
    <n v="1445.02"/>
    <x v="8"/>
    <x v="2"/>
    <n v="25.4"/>
    <s v="Low"/>
    <n v="1566.27"/>
    <n v="0"/>
  </r>
  <r>
    <x v="1"/>
    <x v="0"/>
    <n v="1728"/>
    <n v="4728.6000000000004"/>
    <n v="3526.07"/>
    <n v="1202.53"/>
    <n v="0.75"/>
    <n v="0.26"/>
    <n v="3004.27"/>
    <x v="0"/>
    <n v="723"/>
    <n v="0.53"/>
    <n v="683.77"/>
    <n v="0.14000000000000001"/>
    <n v="0"/>
    <n v="0"/>
    <n v="4"/>
    <n v="989.76"/>
    <n v="76"/>
    <n v="0"/>
    <n v="462.5"/>
    <n v="1476.23"/>
    <x v="1"/>
    <n v="1058.97"/>
    <x v="1"/>
    <x v="2"/>
    <n v="49.4"/>
    <s v="Low"/>
    <n v="1202.53"/>
    <n v="0"/>
  </r>
  <r>
    <x v="1"/>
    <x v="0"/>
    <n v="1696"/>
    <n v="5797.78"/>
    <n v="2499.48"/>
    <n v="3298.3"/>
    <n v="0.43"/>
    <n v="0.39"/>
    <n v="2686.42"/>
    <x v="1"/>
    <n v="667"/>
    <n v="0.5"/>
    <n v="600.4"/>
    <n v="0.1"/>
    <n v="303.10000000000002"/>
    <n v="0.05"/>
    <n v="6"/>
    <n v="1213.06"/>
    <n v="77"/>
    <n v="0"/>
    <n v="713.38"/>
    <n v="2434.1999999999998"/>
    <x v="1"/>
    <n v="590.36"/>
    <x v="3"/>
    <x v="0"/>
    <n v="21.3"/>
    <s v="Medium"/>
    <n v="3298.3"/>
    <n v="1"/>
  </r>
  <r>
    <x v="1"/>
    <x v="0"/>
    <n v="1777"/>
    <n v="4127.99"/>
    <n v="3678.6"/>
    <n v="449.39"/>
    <n v="0.89"/>
    <n v="0.05"/>
    <n v="3373.64"/>
    <x v="2"/>
    <n v="598"/>
    <n v="0.21"/>
    <n v="205.13"/>
    <n v="0.05"/>
    <n v="285.97000000000003"/>
    <n v="7.0000000000000007E-2"/>
    <n v="1"/>
    <n v="1019.86"/>
    <n v="56"/>
    <n v="0"/>
    <n v="631.61"/>
    <n v="3282.96"/>
    <x v="1"/>
    <n v="1518.06"/>
    <x v="0"/>
    <x v="0"/>
    <n v="89.5"/>
    <s v="Low"/>
    <n v="449.39"/>
    <n v="0"/>
  </r>
  <r>
    <x v="1"/>
    <x v="0"/>
    <n v="1553"/>
    <n v="3633.32"/>
    <n v="4313"/>
    <n v="-679.68"/>
    <n v="1.19"/>
    <n v="0.31"/>
    <n v="2619.63"/>
    <x v="1"/>
    <n v="626"/>
    <n v="0.19"/>
    <n v="489.8"/>
    <n v="0.13"/>
    <n v="268.66000000000003"/>
    <n v="7.0000000000000007E-2"/>
    <n v="7"/>
    <n v="672.46"/>
    <n v="29"/>
    <n v="0"/>
    <n v="266.13"/>
    <n v="2140.62"/>
    <x v="1"/>
    <n v="1718.6"/>
    <x v="7"/>
    <x v="0"/>
    <n v="41.7"/>
    <s v="Medium"/>
    <n v="0"/>
    <n v="0"/>
  </r>
  <r>
    <x v="1"/>
    <x v="0"/>
    <n v="1802"/>
    <n v="5017.84"/>
    <n v="1696.8"/>
    <n v="3321.04"/>
    <n v="0.34"/>
    <n v="0.13"/>
    <n v="3292.51"/>
    <x v="1"/>
    <n v="682"/>
    <n v="0.43"/>
    <n v="662.23"/>
    <n v="0.13"/>
    <n v="615.55999999999995"/>
    <n v="0.12"/>
    <n v="7"/>
    <n v="1248.4100000000001"/>
    <n v="51"/>
    <n v="0"/>
    <n v="482.81"/>
    <n v="2076.11"/>
    <x v="0"/>
    <n v="1252.92"/>
    <x v="0"/>
    <x v="0"/>
    <n v="16"/>
    <s v="Low"/>
    <n v="3321.04"/>
    <n v="1"/>
  </r>
  <r>
    <x v="1"/>
    <x v="0"/>
    <n v="1923"/>
    <n v="5153.2700000000004"/>
    <n v="3231.29"/>
    <n v="1921.98"/>
    <n v="0.63"/>
    <n v="0.38"/>
    <n v="2391.14"/>
    <x v="1"/>
    <n v="663"/>
    <n v="0.36"/>
    <n v="689.43"/>
    <n v="0.13"/>
    <n v="791.17"/>
    <n v="0.15"/>
    <n v="6"/>
    <n v="1456.19"/>
    <n v="39"/>
    <n v="0"/>
    <n v="298.44"/>
    <n v="1342.62"/>
    <x v="1"/>
    <n v="640.91"/>
    <x v="5"/>
    <x v="0"/>
    <n v="82.7"/>
    <s v="Low"/>
    <n v="1921.98"/>
    <n v="0"/>
  </r>
  <r>
    <x v="1"/>
    <x v="0"/>
    <n v="1802"/>
    <n v="1913.61"/>
    <n v="2501.29"/>
    <n v="-587.67999999999995"/>
    <n v="1.31"/>
    <n v="0.31"/>
    <n v="2154.94"/>
    <x v="1"/>
    <n v="763"/>
    <n v="0.55000000000000004"/>
    <n v="538.39"/>
    <n v="0.28000000000000003"/>
    <n v="276.41000000000003"/>
    <n v="0.14000000000000001"/>
    <n v="1"/>
    <n v="230.62"/>
    <n v="50"/>
    <n v="0"/>
    <n v="409.38"/>
    <n v="2721.97"/>
    <x v="1"/>
    <n v="1835.18"/>
    <x v="8"/>
    <x v="0"/>
    <n v="28.6"/>
    <s v="Low"/>
    <n v="0"/>
    <n v="0"/>
  </r>
  <r>
    <x v="1"/>
    <x v="0"/>
    <n v="1689"/>
    <n v="3097.89"/>
    <n v="3115.16"/>
    <n v="-17.27"/>
    <n v="1.01"/>
    <n v="0.24"/>
    <n v="2274.36"/>
    <x v="1"/>
    <n v="754"/>
    <n v="0.34"/>
    <n v="799.66"/>
    <n v="0.26"/>
    <n v="644.77"/>
    <n v="0.21"/>
    <n v="4"/>
    <n v="1540.51"/>
    <n v="98"/>
    <n v="0"/>
    <n v="831.96"/>
    <n v="1000"/>
    <x v="2"/>
    <n v="1360.87"/>
    <x v="3"/>
    <x v="2"/>
    <n v="16"/>
    <s v="Low"/>
    <n v="0"/>
    <n v="0"/>
  </r>
  <r>
    <x v="1"/>
    <x v="0"/>
    <n v="1255"/>
    <n v="2206.66"/>
    <n v="2136.8000000000002"/>
    <n v="69.86"/>
    <n v="0.97"/>
    <n v="0.33"/>
    <n v="3112.42"/>
    <x v="2"/>
    <n v="688"/>
    <n v="0.53"/>
    <n v="130.30000000000001"/>
    <n v="0.06"/>
    <n v="253.69"/>
    <n v="0.11"/>
    <n v="2"/>
    <n v="1088.53"/>
    <n v="55"/>
    <n v="0"/>
    <n v="667.28"/>
    <n v="2447.7199999999998"/>
    <x v="1"/>
    <n v="1229.2"/>
    <x v="0"/>
    <x v="2"/>
    <n v="99.6"/>
    <s v="Low"/>
    <n v="69.86"/>
    <n v="0"/>
  </r>
  <r>
    <x v="1"/>
    <x v="0"/>
    <n v="1627"/>
    <n v="6483.49"/>
    <n v="2616.04"/>
    <n v="3867.45"/>
    <n v="0.4"/>
    <n v="0.32"/>
    <n v="2914.5"/>
    <x v="0"/>
    <n v="587"/>
    <n v="0.23"/>
    <n v="418.56"/>
    <n v="0.06"/>
    <n v="499.94"/>
    <n v="0.08"/>
    <n v="4"/>
    <n v="462.01"/>
    <n v="71"/>
    <n v="0"/>
    <n v="515.09"/>
    <n v="1555.36"/>
    <x v="1"/>
    <n v="427.74"/>
    <x v="2"/>
    <x v="2"/>
    <n v="62"/>
    <s v="Medium"/>
    <n v="3867.45"/>
    <n v="1"/>
  </r>
  <r>
    <x v="1"/>
    <x v="0"/>
    <n v="1227"/>
    <n v="3209.62"/>
    <n v="3255.14"/>
    <n v="-45.52"/>
    <n v="1.01"/>
    <n v="0.3"/>
    <n v="3255.29"/>
    <x v="1"/>
    <n v="677"/>
    <n v="0.45"/>
    <n v="598.16999999999996"/>
    <n v="0.19"/>
    <n v="0"/>
    <n v="0"/>
    <n v="9"/>
    <n v="299.11"/>
    <n v="47"/>
    <n v="0"/>
    <n v="456.84"/>
    <n v="1170.54"/>
    <x v="1"/>
    <n v="472.97"/>
    <x v="5"/>
    <x v="2"/>
    <n v="14.8"/>
    <s v="Medium"/>
    <n v="0"/>
    <n v="0"/>
  </r>
  <r>
    <x v="1"/>
    <x v="0"/>
    <n v="1125"/>
    <n v="5246.93"/>
    <n v="3598.26"/>
    <n v="1648.67"/>
    <n v="0.69"/>
    <n v="0.4"/>
    <n v="2918.52"/>
    <x v="0"/>
    <n v="674"/>
    <n v="0.2"/>
    <n v="502.34"/>
    <n v="0.1"/>
    <n v="519.54999999999995"/>
    <n v="0.1"/>
    <n v="3"/>
    <n v="627.22"/>
    <n v="93"/>
    <n v="0"/>
    <n v="467.73"/>
    <n v="3083.49"/>
    <x v="1"/>
    <n v="902.14"/>
    <x v="9"/>
    <x v="0"/>
    <n v="61.6"/>
    <s v="Low"/>
    <n v="1648.67"/>
    <n v="0"/>
  </r>
  <r>
    <x v="1"/>
    <x v="0"/>
    <n v="1696"/>
    <n v="2656.73"/>
    <n v="2325.14"/>
    <n v="331.59"/>
    <n v="0.88"/>
    <n v="0.15"/>
    <n v="2749.16"/>
    <x v="0"/>
    <n v="701"/>
    <n v="0.41"/>
    <n v="474.8"/>
    <n v="0.18"/>
    <n v="763.89"/>
    <n v="0.28999999999999998"/>
    <n v="7"/>
    <n v="1180.23"/>
    <n v="72"/>
    <n v="0"/>
    <n v="357.14"/>
    <n v="2505.23"/>
    <x v="1"/>
    <n v="1719.18"/>
    <x v="8"/>
    <x v="0"/>
    <n v="82.4"/>
    <s v="Low"/>
    <n v="331.59"/>
    <n v="0"/>
  </r>
  <r>
    <x v="1"/>
    <x v="0"/>
    <n v="1374"/>
    <n v="3885.63"/>
    <n v="2852.55"/>
    <n v="1033.08"/>
    <n v="0.73"/>
    <n v="0.09"/>
    <n v="2441.69"/>
    <x v="0"/>
    <n v="737"/>
    <n v="0.49"/>
    <n v="619.97"/>
    <n v="0.16"/>
    <n v="286.25"/>
    <n v="7.0000000000000007E-2"/>
    <n v="4"/>
    <n v="1245.93"/>
    <n v="76"/>
    <n v="0"/>
    <n v="738.47"/>
    <n v="1101.1199999999999"/>
    <x v="0"/>
    <n v="1591.46"/>
    <x v="9"/>
    <x v="2"/>
    <n v="3.5"/>
    <s v="Low"/>
    <n v="1033.08"/>
    <n v="0"/>
  </r>
  <r>
    <x v="1"/>
    <x v="0"/>
    <n v="1121"/>
    <n v="3762.45"/>
    <n v="1712.47"/>
    <n v="2049.98"/>
    <n v="0.46"/>
    <n v="0.2"/>
    <n v="3338.04"/>
    <x v="1"/>
    <n v="762"/>
    <n v="0.46"/>
    <n v="442.66"/>
    <n v="0.12"/>
    <n v="701.87"/>
    <n v="0.19"/>
    <n v="1"/>
    <n v="1271.44"/>
    <n v="68"/>
    <n v="0"/>
    <n v="592.1"/>
    <n v="2585.21"/>
    <x v="1"/>
    <n v="1302.8599999999999"/>
    <x v="3"/>
    <x v="0"/>
    <n v="48.9"/>
    <s v="Medium"/>
    <n v="2049.98"/>
    <n v="0"/>
  </r>
  <r>
    <x v="1"/>
    <x v="0"/>
    <n v="1140"/>
    <n v="3857.63"/>
    <n v="2069.9699999999998"/>
    <n v="1787.66"/>
    <n v="0.54"/>
    <n v="0.31"/>
    <n v="2982.6"/>
    <x v="0"/>
    <n v="639"/>
    <n v="0.24"/>
    <n v="560.63"/>
    <n v="0.15"/>
    <n v="267.57"/>
    <n v="7.0000000000000007E-2"/>
    <n v="1"/>
    <n v="335.28"/>
    <n v="57"/>
    <n v="0"/>
    <n v="315.68"/>
    <n v="1696.92"/>
    <x v="0"/>
    <n v="1866.63"/>
    <x v="5"/>
    <x v="0"/>
    <n v="35.6"/>
    <s v="High"/>
    <n v="1787.66"/>
    <n v="0"/>
  </r>
  <r>
    <x v="1"/>
    <x v="0"/>
    <n v="1581"/>
    <n v="2892.75"/>
    <n v="2785.55"/>
    <n v="107.2"/>
    <n v="0.96"/>
    <n v="0.26"/>
    <n v="2904.2"/>
    <x v="1"/>
    <n v="687"/>
    <n v="0.35"/>
    <n v="416.21"/>
    <n v="0.14000000000000001"/>
    <n v="728.46"/>
    <n v="0.25"/>
    <n v="3"/>
    <n v="701.69"/>
    <n v="83"/>
    <n v="0"/>
    <n v="105.01"/>
    <n v="2285"/>
    <x v="0"/>
    <n v="1114"/>
    <x v="2"/>
    <x v="1"/>
    <n v="37.1"/>
    <s v="Low"/>
    <n v="107.2"/>
    <n v="0"/>
  </r>
  <r>
    <x v="2"/>
    <x v="1"/>
    <n v="1756"/>
    <n v="2931.2"/>
    <n v="3335.58"/>
    <n v="-404.38"/>
    <n v="1.1399999999999999"/>
    <n v="0.15"/>
    <n v="3004.14"/>
    <x v="0"/>
    <n v="691"/>
    <n v="0.24"/>
    <n v="971.82"/>
    <n v="0.33"/>
    <n v="0"/>
    <n v="0"/>
    <n v="5"/>
    <n v="1433.02"/>
    <n v="90"/>
    <n v="0"/>
    <n v="353.67"/>
    <n v="1504.56"/>
    <x v="0"/>
    <n v="1097.82"/>
    <x v="6"/>
    <x v="0"/>
    <n v="58.8"/>
    <s v="Low"/>
    <n v="0"/>
    <n v="0"/>
  </r>
  <r>
    <x v="2"/>
    <x v="1"/>
    <n v="1213"/>
    <n v="3997.43"/>
    <n v="2243.56"/>
    <n v="1753.87"/>
    <n v="0.56000000000000005"/>
    <n v="0.16"/>
    <n v="2257.94"/>
    <x v="1"/>
    <n v="683"/>
    <n v="0.45"/>
    <n v="399.33"/>
    <n v="0.1"/>
    <n v="705.24"/>
    <n v="0.18"/>
    <n v="2"/>
    <n v="466.72"/>
    <n v="32"/>
    <n v="0"/>
    <n v="776.76"/>
    <n v="2170.5700000000002"/>
    <x v="1"/>
    <n v="2614.62"/>
    <x v="5"/>
    <x v="1"/>
    <n v="37.1"/>
    <s v="Medium"/>
    <n v="1753.87"/>
    <n v="0"/>
  </r>
  <r>
    <x v="2"/>
    <x v="1"/>
    <n v="1965"/>
    <n v="6148.1"/>
    <n v="3555.9"/>
    <n v="2592.1999999999998"/>
    <n v="0.57999999999999996"/>
    <n v="0.25"/>
    <n v="2624.66"/>
    <x v="2"/>
    <n v="660"/>
    <n v="0.13"/>
    <n v="978.84"/>
    <n v="0.16"/>
    <n v="423.54"/>
    <n v="7.0000000000000007E-2"/>
    <n v="1"/>
    <n v="178.61"/>
    <n v="45"/>
    <n v="0"/>
    <n v="530.47"/>
    <n v="2209.2199999999998"/>
    <x v="1"/>
    <n v="1199.77"/>
    <x v="0"/>
    <x v="2"/>
    <n v="1.3"/>
    <s v="Low"/>
    <n v="2592.1999999999998"/>
    <n v="0"/>
  </r>
  <r>
    <x v="2"/>
    <x v="1"/>
    <n v="1810"/>
    <n v="3107.16"/>
    <n v="2657.15"/>
    <n v="450.01"/>
    <n v="0.86"/>
    <n v="0.09"/>
    <n v="2755"/>
    <x v="1"/>
    <n v="675"/>
    <n v="0.37"/>
    <n v="89.65"/>
    <n v="0.03"/>
    <n v="365.92"/>
    <n v="0.12"/>
    <n v="7"/>
    <n v="1137.77"/>
    <n v="62"/>
    <n v="0"/>
    <n v="632.17999999999995"/>
    <n v="1992.41"/>
    <x v="1"/>
    <n v="300"/>
    <x v="7"/>
    <x v="0"/>
    <n v="37.9"/>
    <s v="Low"/>
    <n v="450.01"/>
    <n v="0"/>
  </r>
  <r>
    <x v="2"/>
    <x v="1"/>
    <n v="1585"/>
    <n v="4373.16"/>
    <n v="2110.0100000000002"/>
    <n v="2263.15"/>
    <n v="0.48"/>
    <n v="0.09"/>
    <n v="3177.66"/>
    <x v="0"/>
    <n v="652"/>
    <n v="0.32"/>
    <n v="541.47"/>
    <n v="0.12"/>
    <n v="433.3"/>
    <n v="0.1"/>
    <n v="3"/>
    <n v="568.34"/>
    <n v="97"/>
    <n v="0"/>
    <n v="722.9"/>
    <n v="2246.69"/>
    <x v="1"/>
    <n v="865.02"/>
    <x v="8"/>
    <x v="0"/>
    <n v="30.9"/>
    <s v="Low"/>
    <n v="2263.15"/>
    <n v="0"/>
  </r>
  <r>
    <x v="2"/>
    <x v="1"/>
    <n v="1867"/>
    <n v="4700.05"/>
    <n v="2531.9499999999998"/>
    <n v="2168.1"/>
    <n v="0.54"/>
    <n v="0.05"/>
    <n v="2651.93"/>
    <x v="2"/>
    <n v="671"/>
    <n v="0.41"/>
    <n v="513.77"/>
    <n v="0.11"/>
    <n v="251.49"/>
    <n v="0.05"/>
    <n v="9"/>
    <n v="694.98"/>
    <n v="97"/>
    <n v="0"/>
    <n v="426.9"/>
    <n v="2637.38"/>
    <x v="1"/>
    <n v="1011.46"/>
    <x v="6"/>
    <x v="0"/>
    <n v="52.7"/>
    <s v="Low"/>
    <n v="2168.1"/>
    <n v="0"/>
  </r>
  <r>
    <x v="2"/>
    <x v="1"/>
    <n v="1837"/>
    <n v="3658.36"/>
    <n v="3372.77"/>
    <n v="285.58999999999997"/>
    <n v="0.92"/>
    <n v="0.27"/>
    <n v="2680.35"/>
    <x v="1"/>
    <n v="676"/>
    <n v="0.51"/>
    <n v="449.01"/>
    <n v="0.12"/>
    <n v="599.67999999999995"/>
    <n v="0.16"/>
    <n v="8"/>
    <n v="208.49"/>
    <n v="32"/>
    <n v="0"/>
    <n v="672.32"/>
    <n v="2051.75"/>
    <x v="1"/>
    <n v="1662.03"/>
    <x v="9"/>
    <x v="0"/>
    <n v="28.8"/>
    <s v="Low"/>
    <n v="285.58999999999997"/>
    <n v="0"/>
  </r>
  <r>
    <x v="2"/>
    <x v="1"/>
    <n v="1348"/>
    <n v="3967.48"/>
    <n v="4154.0200000000004"/>
    <n v="-186.54"/>
    <n v="1.05"/>
    <n v="0.25"/>
    <n v="2118.33"/>
    <x v="1"/>
    <n v="650"/>
    <n v="0.23"/>
    <n v="740.32"/>
    <n v="0.19"/>
    <n v="434.18"/>
    <n v="0.11"/>
    <n v="8"/>
    <n v="964.3"/>
    <n v="94"/>
    <n v="0"/>
    <n v="362.88"/>
    <n v="2166.14"/>
    <x v="1"/>
    <n v="1482.44"/>
    <x v="4"/>
    <x v="0"/>
    <n v="22.1"/>
    <s v="Low"/>
    <n v="0"/>
    <n v="0"/>
  </r>
  <r>
    <x v="2"/>
    <x v="1"/>
    <n v="1314"/>
    <n v="3752.85"/>
    <n v="3125.99"/>
    <n v="626.86"/>
    <n v="0.83"/>
    <n v="0.28000000000000003"/>
    <n v="2904.43"/>
    <x v="0"/>
    <n v="721"/>
    <n v="0.46"/>
    <n v="469.88"/>
    <n v="0.13"/>
    <n v="379.66"/>
    <n v="0.1"/>
    <n v="1"/>
    <n v="1309.5999999999999"/>
    <n v="65"/>
    <n v="0"/>
    <n v="286.02999999999997"/>
    <n v="2221.6"/>
    <x v="1"/>
    <n v="1675.06"/>
    <x v="2"/>
    <x v="0"/>
    <n v="20.7"/>
    <s v="Medium"/>
    <n v="626.86"/>
    <n v="0"/>
  </r>
  <r>
    <x v="2"/>
    <x v="1"/>
    <n v="1705"/>
    <n v="4331.7700000000004"/>
    <n v="2399.08"/>
    <n v="1932.69"/>
    <n v="0.55000000000000004"/>
    <n v="0.17"/>
    <n v="3871.69"/>
    <x v="1"/>
    <n v="733"/>
    <n v="0.31"/>
    <n v="360.37"/>
    <n v="0.08"/>
    <n v="237.71"/>
    <n v="0.05"/>
    <n v="7"/>
    <n v="1830.07"/>
    <n v="54"/>
    <n v="0"/>
    <n v="481.45"/>
    <n v="2774.35"/>
    <x v="2"/>
    <n v="785.27"/>
    <x v="3"/>
    <x v="0"/>
    <n v="55.5"/>
    <s v="Low"/>
    <n v="1932.69"/>
    <n v="0"/>
  </r>
  <r>
    <x v="2"/>
    <x v="1"/>
    <n v="1592"/>
    <n v="3396.54"/>
    <n v="2905.66"/>
    <n v="490.88"/>
    <n v="0.86"/>
    <n v="0.06"/>
    <n v="1994.39"/>
    <x v="1"/>
    <n v="657"/>
    <n v="0.33"/>
    <n v="758.64"/>
    <n v="0.22"/>
    <n v="567.45000000000005"/>
    <n v="0.17"/>
    <n v="8"/>
    <n v="1139.1400000000001"/>
    <n v="48"/>
    <n v="0"/>
    <n v="611.24"/>
    <n v="2083.19"/>
    <x v="2"/>
    <n v="1302.25"/>
    <x v="8"/>
    <x v="0"/>
    <n v="69.599999999999994"/>
    <s v="Low"/>
    <n v="490.88"/>
    <n v="0"/>
  </r>
  <r>
    <x v="2"/>
    <x v="1"/>
    <n v="1870"/>
    <n v="3509.17"/>
    <n v="3512.01"/>
    <n v="-2.84"/>
    <n v="1"/>
    <n v="0.16"/>
    <n v="2814.4"/>
    <x v="2"/>
    <n v="614"/>
    <n v="0.36"/>
    <n v="301.77"/>
    <n v="0.09"/>
    <n v="1188"/>
    <n v="0.34"/>
    <n v="8"/>
    <n v="1561.23"/>
    <n v="37"/>
    <n v="0"/>
    <n v="934.37"/>
    <n v="2625.9"/>
    <x v="1"/>
    <n v="611.84"/>
    <x v="9"/>
    <x v="0"/>
    <n v="81.5"/>
    <s v="Medium"/>
    <n v="0"/>
    <n v="0"/>
  </r>
  <r>
    <x v="2"/>
    <x v="1"/>
    <n v="1047"/>
    <n v="3702.54"/>
    <n v="1112.1400000000001"/>
    <n v="2590.4"/>
    <n v="0.3"/>
    <n v="0.31"/>
    <n v="2001.96"/>
    <x v="1"/>
    <n v="774"/>
    <n v="0.23"/>
    <n v="292.23"/>
    <n v="0.08"/>
    <n v="468.97"/>
    <n v="0.13"/>
    <n v="1"/>
    <n v="439.36"/>
    <n v="55"/>
    <n v="0"/>
    <n v="721.98"/>
    <n v="3233.37"/>
    <x v="1"/>
    <n v="1775.24"/>
    <x v="0"/>
    <x v="0"/>
    <n v="44.3"/>
    <s v="Low"/>
    <n v="2590.4"/>
    <n v="1"/>
  </r>
  <r>
    <x v="2"/>
    <x v="1"/>
    <n v="1601"/>
    <n v="4779.42"/>
    <n v="2656.18"/>
    <n v="2123.2399999999998"/>
    <n v="0.56000000000000005"/>
    <n v="0.24"/>
    <n v="2527.14"/>
    <x v="1"/>
    <n v="675"/>
    <n v="0.32"/>
    <n v="290.77999999999997"/>
    <n v="0.06"/>
    <n v="617.21"/>
    <n v="0.13"/>
    <n v="3"/>
    <n v="1611.5"/>
    <n v="42"/>
    <n v="0"/>
    <n v="274.69"/>
    <n v="1000"/>
    <x v="1"/>
    <n v="589.4"/>
    <x v="6"/>
    <x v="1"/>
    <n v="80.7"/>
    <s v="Low"/>
    <n v="2123.2399999999998"/>
    <n v="0"/>
  </r>
  <r>
    <x v="2"/>
    <x v="1"/>
    <n v="1243"/>
    <n v="4439.75"/>
    <n v="2663.94"/>
    <n v="1775.81"/>
    <n v="0.6"/>
    <n v="0.21"/>
    <n v="2382.2600000000002"/>
    <x v="1"/>
    <n v="698"/>
    <n v="0.59"/>
    <n v="347.76"/>
    <n v="0.08"/>
    <n v="685.64"/>
    <n v="0.15"/>
    <n v="3"/>
    <n v="0"/>
    <n v="84"/>
    <n v="0"/>
    <n v="212.93"/>
    <n v="1590.17"/>
    <x v="1"/>
    <n v="2069.2800000000002"/>
    <x v="5"/>
    <x v="0"/>
    <n v="89.8"/>
    <s v="Medium"/>
    <n v="1775.81"/>
    <n v="0"/>
  </r>
  <r>
    <x v="2"/>
    <x v="1"/>
    <n v="1847"/>
    <n v="6598.46"/>
    <n v="2639.61"/>
    <n v="3958.85"/>
    <n v="0.4"/>
    <n v="0.12"/>
    <n v="2406.4499999999998"/>
    <x v="1"/>
    <n v="600"/>
    <n v="0.5"/>
    <n v="399.31"/>
    <n v="0.06"/>
    <n v="389.35"/>
    <n v="0.06"/>
    <n v="3"/>
    <n v="777.29"/>
    <n v="93"/>
    <n v="0"/>
    <n v="536.23"/>
    <n v="1852.61"/>
    <x v="0"/>
    <n v="757.78"/>
    <x v="6"/>
    <x v="0"/>
    <n v="26.3"/>
    <s v="Medium"/>
    <n v="3958.85"/>
    <n v="1"/>
  </r>
  <r>
    <x v="2"/>
    <x v="1"/>
    <n v="1057"/>
    <n v="3900.81"/>
    <n v="2658.08"/>
    <n v="1242.73"/>
    <n v="0.68"/>
    <n v="0.08"/>
    <n v="2204.6799999999998"/>
    <x v="2"/>
    <n v="624"/>
    <n v="0.46"/>
    <n v="268.88"/>
    <n v="7.0000000000000007E-2"/>
    <n v="643.82000000000005"/>
    <n v="0.17"/>
    <n v="2"/>
    <n v="1536.07"/>
    <n v="45"/>
    <n v="0"/>
    <n v="857.51"/>
    <n v="2660.64"/>
    <x v="1"/>
    <n v="1256.25"/>
    <x v="0"/>
    <x v="0"/>
    <n v="11.1"/>
    <s v="High"/>
    <n v="1242.73"/>
    <n v="0"/>
  </r>
  <r>
    <x v="2"/>
    <x v="1"/>
    <n v="1346"/>
    <n v="3264.57"/>
    <n v="2994.7"/>
    <n v="269.87"/>
    <n v="0.92"/>
    <n v="0.33"/>
    <n v="3207.62"/>
    <x v="0"/>
    <n v="607"/>
    <n v="0.2"/>
    <n v="1160.6300000000001"/>
    <n v="0.36"/>
    <n v="553.91999999999996"/>
    <n v="0.17"/>
    <n v="3"/>
    <n v="1244.48"/>
    <n v="48"/>
    <n v="0"/>
    <n v="423.75"/>
    <n v="1000"/>
    <x v="2"/>
    <n v="1624.65"/>
    <x v="8"/>
    <x v="0"/>
    <n v="54.1"/>
    <s v="Low"/>
    <n v="269.87"/>
    <n v="0"/>
  </r>
  <r>
    <x v="2"/>
    <x v="1"/>
    <n v="1118"/>
    <n v="3227.28"/>
    <n v="3351.54"/>
    <n v="-124.26"/>
    <n v="1.04"/>
    <n v="0.32"/>
    <n v="2828.91"/>
    <x v="1"/>
    <n v="754"/>
    <n v="0.35"/>
    <n v="833.5"/>
    <n v="0.26"/>
    <n v="228.91"/>
    <n v="7.0000000000000007E-2"/>
    <n v="2"/>
    <n v="907.62"/>
    <n v="80"/>
    <n v="0"/>
    <n v="338.73"/>
    <n v="1000"/>
    <x v="1"/>
    <n v="1603.41"/>
    <x v="7"/>
    <x v="1"/>
    <n v="63.8"/>
    <s v="High"/>
    <n v="0"/>
    <n v="0"/>
  </r>
  <r>
    <x v="2"/>
    <x v="1"/>
    <n v="1864"/>
    <n v="3706.82"/>
    <n v="3881.34"/>
    <n v="-174.52"/>
    <n v="1.05"/>
    <n v="0.26"/>
    <n v="3122.51"/>
    <x v="0"/>
    <n v="631"/>
    <n v="0.36"/>
    <n v="612.25"/>
    <n v="0.17"/>
    <n v="317.14"/>
    <n v="0.09"/>
    <n v="8"/>
    <n v="1089.3900000000001"/>
    <n v="98"/>
    <n v="0"/>
    <n v="809.9"/>
    <n v="2385.13"/>
    <x v="1"/>
    <n v="2146.7199999999998"/>
    <x v="0"/>
    <x v="1"/>
    <n v="6.9"/>
    <s v="Low"/>
    <n v="0"/>
    <n v="0"/>
  </r>
  <r>
    <x v="2"/>
    <x v="1"/>
    <n v="1055"/>
    <n v="5020.37"/>
    <n v="4119.83"/>
    <n v="900.54"/>
    <n v="0.82"/>
    <n v="0.13"/>
    <n v="3144.8"/>
    <x v="1"/>
    <n v="643"/>
    <n v="0.32"/>
    <n v="182.52"/>
    <n v="0.04"/>
    <n v="406.66"/>
    <n v="0.08"/>
    <n v="4"/>
    <n v="1344.45"/>
    <n v="64"/>
    <n v="0"/>
    <n v="390.25"/>
    <n v="1861.17"/>
    <x v="1"/>
    <n v="1875.95"/>
    <x v="0"/>
    <x v="2"/>
    <n v="70.900000000000006"/>
    <s v="Low"/>
    <n v="900.54"/>
    <n v="0"/>
  </r>
  <r>
    <x v="2"/>
    <x v="1"/>
    <n v="1384"/>
    <n v="4401.63"/>
    <n v="3351.32"/>
    <n v="1050.31"/>
    <n v="0.76"/>
    <n v="0.09"/>
    <n v="3361.76"/>
    <x v="2"/>
    <n v="617"/>
    <n v="0.5"/>
    <n v="687.69"/>
    <n v="0.16"/>
    <n v="887.93"/>
    <n v="0.2"/>
    <n v="5"/>
    <n v="888.53"/>
    <n v="28"/>
    <n v="0"/>
    <n v="572.69000000000005"/>
    <n v="1915.37"/>
    <x v="1"/>
    <n v="1843.81"/>
    <x v="2"/>
    <x v="0"/>
    <n v="18.3"/>
    <s v="Medium"/>
    <n v="1050.31"/>
    <n v="0"/>
  </r>
  <r>
    <x v="2"/>
    <x v="1"/>
    <n v="1859"/>
    <n v="3265.31"/>
    <n v="2146.34"/>
    <n v="1118.97"/>
    <n v="0.66"/>
    <n v="0.17"/>
    <n v="3762.62"/>
    <x v="1"/>
    <n v="735"/>
    <n v="0.14000000000000001"/>
    <n v="812.44"/>
    <n v="0.25"/>
    <n v="824.93"/>
    <n v="0.25"/>
    <n v="6"/>
    <n v="1404.68"/>
    <n v="80"/>
    <n v="0"/>
    <n v="535.01"/>
    <n v="2356.9"/>
    <x v="1"/>
    <n v="462.49"/>
    <x v="7"/>
    <x v="0"/>
    <n v="30.4"/>
    <s v="Medium"/>
    <n v="1118.97"/>
    <n v="0"/>
  </r>
  <r>
    <x v="2"/>
    <x v="1"/>
    <n v="1087"/>
    <n v="5266.24"/>
    <n v="1951.74"/>
    <n v="3314.5"/>
    <n v="0.37"/>
    <n v="0.28999999999999998"/>
    <n v="3387.2"/>
    <x v="1"/>
    <n v="652"/>
    <n v="0.3"/>
    <n v="344.27"/>
    <n v="7.0000000000000007E-2"/>
    <n v="243.44"/>
    <n v="0.05"/>
    <n v="7"/>
    <n v="720.59"/>
    <n v="21"/>
    <n v="0"/>
    <n v="583.29999999999995"/>
    <n v="2640.58"/>
    <x v="2"/>
    <n v="1430.97"/>
    <x v="3"/>
    <x v="0"/>
    <n v="80.7"/>
    <s v="High"/>
    <n v="3314.5"/>
    <n v="0"/>
  </r>
  <r>
    <x v="2"/>
    <x v="1"/>
    <n v="1735"/>
    <n v="2775.55"/>
    <n v="2585.83"/>
    <n v="189.72"/>
    <n v="0.93"/>
    <n v="0.1"/>
    <n v="2729.68"/>
    <x v="0"/>
    <n v="663"/>
    <n v="0.17"/>
    <n v="535.74"/>
    <n v="0.19"/>
    <n v="99.33"/>
    <n v="0.04"/>
    <n v="2"/>
    <n v="936.81"/>
    <n v="92"/>
    <n v="0"/>
    <n v="337.31"/>
    <n v="1639.82"/>
    <x v="0"/>
    <n v="1094.8900000000001"/>
    <x v="5"/>
    <x v="2"/>
    <n v="3.9"/>
    <s v="Medium"/>
    <n v="189.72"/>
    <n v="0"/>
  </r>
  <r>
    <x v="2"/>
    <x v="1"/>
    <n v="1078"/>
    <n v="3924.66"/>
    <n v="4744.72"/>
    <n v="-820.06"/>
    <n v="1.21"/>
    <n v="0.12"/>
    <n v="3243.02"/>
    <x v="1"/>
    <n v="661"/>
    <n v="0.12"/>
    <n v="409.49"/>
    <n v="0.1"/>
    <n v="498.13"/>
    <n v="0.13"/>
    <n v="9"/>
    <n v="802.58"/>
    <n v="69"/>
    <n v="0"/>
    <n v="714.13"/>
    <n v="2134.8200000000002"/>
    <x v="1"/>
    <n v="2072.27"/>
    <x v="2"/>
    <x v="1"/>
    <n v="99.4"/>
    <s v="High"/>
    <n v="0"/>
    <n v="0"/>
  </r>
  <r>
    <x v="2"/>
    <x v="1"/>
    <n v="1603"/>
    <n v="1109.22"/>
    <n v="4081.71"/>
    <n v="-2972.49"/>
    <n v="3.68"/>
    <n v="0.27"/>
    <n v="2530.9299999999998"/>
    <x v="2"/>
    <n v="819"/>
    <n v="0.13"/>
    <n v="304.89"/>
    <n v="0.27"/>
    <n v="969.37"/>
    <n v="0.87"/>
    <n v="9"/>
    <n v="403.16"/>
    <n v="33"/>
    <n v="0"/>
    <n v="518.14"/>
    <n v="2066.86"/>
    <x v="0"/>
    <n v="1038.55"/>
    <x v="6"/>
    <x v="0"/>
    <n v="71.599999999999994"/>
    <s v="High"/>
    <n v="0"/>
    <n v="0"/>
  </r>
  <r>
    <x v="2"/>
    <x v="1"/>
    <n v="1248"/>
    <n v="2892.45"/>
    <n v="2130.2600000000002"/>
    <n v="762.19"/>
    <n v="0.74"/>
    <n v="0.2"/>
    <n v="2538.2199999999998"/>
    <x v="1"/>
    <n v="729"/>
    <n v="0.18"/>
    <n v="638.77"/>
    <n v="0.22"/>
    <n v="214.55"/>
    <n v="7.0000000000000007E-2"/>
    <n v="7"/>
    <n v="1180.42"/>
    <n v="92"/>
    <n v="0"/>
    <n v="658.61"/>
    <n v="1907.56"/>
    <x v="1"/>
    <n v="656.83"/>
    <x v="3"/>
    <x v="2"/>
    <n v="61.8"/>
    <s v="Low"/>
    <n v="762.19"/>
    <n v="0"/>
  </r>
  <r>
    <x v="2"/>
    <x v="1"/>
    <n v="1239"/>
    <n v="3062.79"/>
    <n v="3741.42"/>
    <n v="-678.63"/>
    <n v="1.22"/>
    <n v="0.26"/>
    <n v="3332.33"/>
    <x v="0"/>
    <n v="658"/>
    <n v="0.4"/>
    <n v="433.57"/>
    <n v="0.14000000000000001"/>
    <n v="317.36"/>
    <n v="0.1"/>
    <n v="6"/>
    <n v="620.82000000000005"/>
    <n v="84"/>
    <n v="0"/>
    <n v="396.67"/>
    <n v="2563.9"/>
    <x v="1"/>
    <n v="958.89"/>
    <x v="5"/>
    <x v="0"/>
    <n v="45.4"/>
    <s v="High"/>
    <n v="0"/>
    <n v="0"/>
  </r>
  <r>
    <x v="2"/>
    <x v="1"/>
    <n v="1606"/>
    <n v="4103.22"/>
    <n v="3408.33"/>
    <n v="694.89"/>
    <n v="0.83"/>
    <n v="0.28000000000000003"/>
    <n v="2797.94"/>
    <x v="1"/>
    <n v="649"/>
    <n v="0.44"/>
    <n v="571.91999999999996"/>
    <n v="0.14000000000000001"/>
    <n v="543.42999999999995"/>
    <n v="0.13"/>
    <n v="3"/>
    <n v="1782.3"/>
    <n v="36"/>
    <n v="0"/>
    <n v="351.47"/>
    <n v="1366.01"/>
    <x v="1"/>
    <n v="1442.99"/>
    <x v="7"/>
    <x v="0"/>
    <n v="9.9"/>
    <s v="Low"/>
    <n v="694.89"/>
    <n v="0"/>
  </r>
  <r>
    <x v="2"/>
    <x v="1"/>
    <n v="1126"/>
    <n v="2922.2"/>
    <n v="2701.92"/>
    <n v="220.28"/>
    <n v="0.92"/>
    <n v="0.2"/>
    <n v="2673.81"/>
    <x v="1"/>
    <n v="612"/>
    <n v="0.25"/>
    <n v="544.74"/>
    <n v="0.19"/>
    <n v="199.25"/>
    <n v="7.0000000000000007E-2"/>
    <n v="3"/>
    <n v="1588.49"/>
    <n v="90"/>
    <n v="0"/>
    <n v="649.32000000000005"/>
    <n v="2203.48"/>
    <x v="1"/>
    <n v="941.17"/>
    <x v="2"/>
    <x v="2"/>
    <n v="7.7"/>
    <s v="Low"/>
    <n v="220.28"/>
    <n v="0"/>
  </r>
  <r>
    <x v="2"/>
    <x v="1"/>
    <n v="1979"/>
    <n v="5034.7700000000004"/>
    <n v="4323.99"/>
    <n v="710.78"/>
    <n v="0.86"/>
    <n v="0.27"/>
    <n v="3518.1"/>
    <x v="1"/>
    <n v="669"/>
    <n v="0.37"/>
    <n v="596.82000000000005"/>
    <n v="0.12"/>
    <n v="148.88"/>
    <n v="0.03"/>
    <n v="5"/>
    <n v="1302.1500000000001"/>
    <n v="82"/>
    <n v="0"/>
    <n v="631.48"/>
    <n v="2350.9899999999998"/>
    <x v="1"/>
    <n v="1375.3"/>
    <x v="7"/>
    <x v="0"/>
    <n v="91.2"/>
    <s v="High"/>
    <n v="710.78"/>
    <n v="0"/>
  </r>
  <r>
    <x v="2"/>
    <x v="1"/>
    <n v="1338"/>
    <n v="3507.87"/>
    <n v="3621.6"/>
    <n v="-113.73"/>
    <n v="1.03"/>
    <n v="0.33"/>
    <n v="2824.73"/>
    <x v="1"/>
    <n v="664"/>
    <n v="0.45"/>
    <n v="469.28"/>
    <n v="0.13"/>
    <n v="93.11"/>
    <n v="0.03"/>
    <n v="9"/>
    <n v="1284.78"/>
    <n v="89"/>
    <n v="0"/>
    <n v="461.26"/>
    <n v="2388.92"/>
    <x v="1"/>
    <n v="1815.33"/>
    <x v="3"/>
    <x v="0"/>
    <n v="94.1"/>
    <s v="High"/>
    <n v="0"/>
    <n v="0"/>
  </r>
  <r>
    <x v="2"/>
    <x v="1"/>
    <n v="1072"/>
    <n v="3983.19"/>
    <n v="3076.82"/>
    <n v="906.37"/>
    <n v="0.77"/>
    <n v="0.19"/>
    <n v="2797.53"/>
    <x v="1"/>
    <n v="710"/>
    <n v="0.54"/>
    <n v="260"/>
    <n v="7.0000000000000007E-2"/>
    <n v="638.45000000000005"/>
    <n v="0.16"/>
    <n v="2"/>
    <n v="1171.68"/>
    <n v="46"/>
    <n v="0"/>
    <n v="504.26"/>
    <n v="3512.78"/>
    <x v="0"/>
    <n v="853.99"/>
    <x v="5"/>
    <x v="0"/>
    <n v="14.4"/>
    <s v="Low"/>
    <n v="906.37"/>
    <n v="0"/>
  </r>
  <r>
    <x v="2"/>
    <x v="1"/>
    <n v="1858"/>
    <n v="4073.39"/>
    <n v="2577.81"/>
    <n v="1495.58"/>
    <n v="0.63"/>
    <n v="0.06"/>
    <n v="2657.95"/>
    <x v="0"/>
    <n v="681"/>
    <n v="0.23"/>
    <n v="313.39999999999998"/>
    <n v="0.08"/>
    <n v="89.1"/>
    <n v="0.02"/>
    <n v="8"/>
    <n v="0"/>
    <n v="72"/>
    <n v="0"/>
    <n v="780.11"/>
    <n v="1195.82"/>
    <x v="1"/>
    <n v="1151.1099999999999"/>
    <x v="3"/>
    <x v="0"/>
    <n v="5.0999999999999996"/>
    <s v="High"/>
    <n v="1495.58"/>
    <n v="0"/>
  </r>
  <r>
    <x v="2"/>
    <x v="1"/>
    <n v="1175"/>
    <n v="4349.43"/>
    <n v="1616.64"/>
    <n v="2732.79"/>
    <n v="0.37"/>
    <n v="0.16"/>
    <n v="2988.51"/>
    <x v="1"/>
    <n v="666"/>
    <n v="0.26"/>
    <n v="647.78"/>
    <n v="0.15"/>
    <n v="428.98"/>
    <n v="0.1"/>
    <n v="7"/>
    <n v="1234.3599999999999"/>
    <n v="32"/>
    <n v="0"/>
    <n v="454.94"/>
    <n v="2144.88"/>
    <x v="1"/>
    <n v="573.25"/>
    <x v="5"/>
    <x v="0"/>
    <n v="36.200000000000003"/>
    <s v="High"/>
    <n v="2732.79"/>
    <n v="0"/>
  </r>
  <r>
    <x v="2"/>
    <x v="1"/>
    <n v="1453"/>
    <n v="4867.21"/>
    <n v="3799.02"/>
    <n v="1068.19"/>
    <n v="0.78"/>
    <n v="7.0000000000000007E-2"/>
    <n v="2751.63"/>
    <x v="1"/>
    <n v="641"/>
    <n v="0.6"/>
    <n v="226.61"/>
    <n v="0.05"/>
    <n v="720.47"/>
    <n v="0.15"/>
    <n v="6"/>
    <n v="417.11"/>
    <n v="75"/>
    <n v="0"/>
    <n v="269.39999999999998"/>
    <n v="1912.13"/>
    <x v="0"/>
    <n v="1366.28"/>
    <x v="5"/>
    <x v="0"/>
    <n v="80.7"/>
    <s v="Low"/>
    <n v="1068.19"/>
    <n v="0"/>
  </r>
  <r>
    <x v="2"/>
    <x v="1"/>
    <n v="1643"/>
    <n v="3117.18"/>
    <n v="3741.47"/>
    <n v="-624.29"/>
    <n v="1.2"/>
    <n v="0.15"/>
    <n v="3422.66"/>
    <x v="1"/>
    <n v="674"/>
    <n v="0.48"/>
    <n v="316.54000000000002"/>
    <n v="0.1"/>
    <n v="275.23"/>
    <n v="0.09"/>
    <n v="6"/>
    <n v="576.59"/>
    <n v="81"/>
    <n v="0"/>
    <n v="624.03"/>
    <n v="2316.0300000000002"/>
    <x v="0"/>
    <n v="1476.23"/>
    <x v="6"/>
    <x v="0"/>
    <n v="26.5"/>
    <s v="Low"/>
    <n v="0"/>
    <n v="0"/>
  </r>
  <r>
    <x v="2"/>
    <x v="1"/>
    <n v="1371"/>
    <n v="3598.81"/>
    <n v="2170.71"/>
    <n v="1428.1"/>
    <n v="0.6"/>
    <n v="0.32"/>
    <n v="3540.89"/>
    <x v="1"/>
    <n v="634"/>
    <n v="0.17"/>
    <n v="193.44"/>
    <n v="0.05"/>
    <n v="243.45"/>
    <n v="7.0000000000000007E-2"/>
    <n v="3"/>
    <n v="1459.11"/>
    <n v="45"/>
    <n v="0"/>
    <n v="661.59"/>
    <n v="2832.13"/>
    <x v="1"/>
    <n v="673.24"/>
    <x v="3"/>
    <x v="0"/>
    <n v="36.700000000000003"/>
    <s v="Low"/>
    <n v="1428.1"/>
    <n v="0"/>
  </r>
  <r>
    <x v="2"/>
    <x v="1"/>
    <n v="1098"/>
    <n v="4662.97"/>
    <n v="3417.66"/>
    <n v="1245.31"/>
    <n v="0.73"/>
    <n v="0.08"/>
    <n v="3560.39"/>
    <x v="1"/>
    <n v="732"/>
    <n v="0.25"/>
    <n v="744.83"/>
    <n v="0.16"/>
    <n v="576"/>
    <n v="0.12"/>
    <n v="4"/>
    <n v="438.31"/>
    <n v="69"/>
    <n v="0"/>
    <n v="338.79"/>
    <n v="2004.38"/>
    <x v="2"/>
    <n v="982.79"/>
    <x v="3"/>
    <x v="0"/>
    <n v="31.4"/>
    <s v="Medium"/>
    <n v="1245.31"/>
    <n v="0"/>
  </r>
  <r>
    <x v="2"/>
    <x v="1"/>
    <n v="1795"/>
    <n v="3643.19"/>
    <n v="2620.77"/>
    <n v="1022.42"/>
    <n v="0.72"/>
    <n v="0.36"/>
    <n v="3156.53"/>
    <x v="1"/>
    <n v="662"/>
    <n v="0.45"/>
    <n v="355.39"/>
    <n v="0.1"/>
    <n v="302.54000000000002"/>
    <n v="0.08"/>
    <n v="2"/>
    <n v="1024.6500000000001"/>
    <n v="31"/>
    <n v="0"/>
    <n v="369.29"/>
    <n v="2810.98"/>
    <x v="1"/>
    <n v="1314.64"/>
    <x v="1"/>
    <x v="0"/>
    <n v="88.1"/>
    <s v="Low"/>
    <n v="1022.42"/>
    <n v="0"/>
  </r>
  <r>
    <x v="2"/>
    <x v="1"/>
    <n v="1317"/>
    <n v="3936.26"/>
    <n v="3042.8"/>
    <n v="893.46"/>
    <n v="0.77"/>
    <n v="0.11"/>
    <n v="3555.77"/>
    <x v="0"/>
    <n v="689"/>
    <n v="0.12"/>
    <n v="229.36"/>
    <n v="0.06"/>
    <n v="332.26"/>
    <n v="0.08"/>
    <n v="7"/>
    <n v="640.44000000000005"/>
    <n v="60"/>
    <n v="0"/>
    <n v="622.49"/>
    <n v="2325.4499999999998"/>
    <x v="1"/>
    <n v="530.13"/>
    <x v="4"/>
    <x v="0"/>
    <n v="46.3"/>
    <s v="Low"/>
    <n v="893.46"/>
    <n v="0"/>
  </r>
  <r>
    <x v="2"/>
    <x v="1"/>
    <n v="1473"/>
    <n v="4151.46"/>
    <n v="3541.05"/>
    <n v="610.41"/>
    <n v="0.85"/>
    <n v="0.23"/>
    <n v="3630.87"/>
    <x v="1"/>
    <n v="732"/>
    <n v="0.5"/>
    <n v="315.70999999999998"/>
    <n v="0.08"/>
    <n v="285.31"/>
    <n v="7.0000000000000007E-2"/>
    <n v="8"/>
    <n v="1815.24"/>
    <n v="68"/>
    <n v="0"/>
    <n v="1001.6"/>
    <n v="2338.6799999999998"/>
    <x v="1"/>
    <n v="948.78"/>
    <x v="5"/>
    <x v="0"/>
    <n v="96.3"/>
    <s v="Medium"/>
    <n v="610.41"/>
    <n v="0"/>
  </r>
  <r>
    <x v="2"/>
    <x v="1"/>
    <n v="1773"/>
    <n v="4523.3100000000004"/>
    <n v="2253.1799999999998"/>
    <n v="2270.13"/>
    <n v="0.5"/>
    <n v="0.4"/>
    <n v="2626.34"/>
    <x v="1"/>
    <n v="686"/>
    <n v="0.5"/>
    <n v="224.37"/>
    <n v="0.05"/>
    <n v="308.39999999999998"/>
    <n v="7.0000000000000007E-2"/>
    <n v="2"/>
    <n v="895.96"/>
    <n v="83"/>
    <n v="0"/>
    <n v="560.83000000000004"/>
    <n v="2474.42"/>
    <x v="1"/>
    <n v="1837.08"/>
    <x v="8"/>
    <x v="0"/>
    <n v="29.4"/>
    <s v="Medium"/>
    <n v="2270.13"/>
    <n v="0"/>
  </r>
  <r>
    <x v="2"/>
    <x v="1"/>
    <n v="1649"/>
    <n v="2951.86"/>
    <n v="2845.98"/>
    <n v="105.88"/>
    <n v="0.96"/>
    <n v="0.08"/>
    <n v="2399.6799999999998"/>
    <x v="1"/>
    <n v="681"/>
    <n v="0.52"/>
    <n v="595.52"/>
    <n v="0.2"/>
    <n v="292.49"/>
    <n v="0.1"/>
    <n v="1"/>
    <n v="782.87"/>
    <n v="32"/>
    <n v="0"/>
    <n v="706.91"/>
    <n v="2205.7800000000002"/>
    <x v="2"/>
    <n v="1419.89"/>
    <x v="0"/>
    <x v="0"/>
    <n v="39.5"/>
    <s v="Low"/>
    <n v="105.88"/>
    <n v="0"/>
  </r>
  <r>
    <x v="2"/>
    <x v="1"/>
    <n v="1565"/>
    <n v="2801.61"/>
    <n v="2670.41"/>
    <n v="131.19999999999999"/>
    <n v="0.95"/>
    <n v="0.26"/>
    <n v="2077.1799999999998"/>
    <x v="1"/>
    <n v="691"/>
    <n v="0.4"/>
    <n v="618.37"/>
    <n v="0.22"/>
    <n v="467.35"/>
    <n v="0.17"/>
    <n v="4"/>
    <n v="827.78"/>
    <n v="87"/>
    <n v="0"/>
    <n v="380.34"/>
    <n v="2691.71"/>
    <x v="2"/>
    <n v="1243.24"/>
    <x v="0"/>
    <x v="0"/>
    <n v="47.9"/>
    <s v="Medium"/>
    <n v="131.19999999999999"/>
    <n v="0"/>
  </r>
  <r>
    <x v="2"/>
    <x v="1"/>
    <n v="1419"/>
    <n v="4597.8"/>
    <n v="1857.4"/>
    <n v="2740.4"/>
    <n v="0.4"/>
    <n v="0.39"/>
    <n v="3096.4"/>
    <x v="1"/>
    <n v="655"/>
    <n v="0.21"/>
    <n v="392.62"/>
    <n v="0.09"/>
    <n v="188.99"/>
    <n v="0.04"/>
    <n v="7"/>
    <n v="754.26"/>
    <n v="68"/>
    <n v="0"/>
    <n v="666.97"/>
    <n v="2620.23"/>
    <x v="1"/>
    <n v="1345.19"/>
    <x v="9"/>
    <x v="0"/>
    <n v="53"/>
    <s v="Low"/>
    <n v="2740.4"/>
    <n v="0"/>
  </r>
  <r>
    <x v="2"/>
    <x v="1"/>
    <n v="1436"/>
    <n v="5412.31"/>
    <n v="1600.09"/>
    <n v="3812.22"/>
    <n v="0.3"/>
    <n v="0.16"/>
    <n v="3514.24"/>
    <x v="1"/>
    <n v="761"/>
    <n v="0.47"/>
    <n v="381.71"/>
    <n v="7.0000000000000007E-2"/>
    <n v="371.93"/>
    <n v="7.0000000000000007E-2"/>
    <n v="8"/>
    <n v="1012.52"/>
    <n v="87"/>
    <n v="0"/>
    <n v="485.92"/>
    <n v="2238"/>
    <x v="1"/>
    <n v="872.1"/>
    <x v="2"/>
    <x v="1"/>
    <n v="42.9"/>
    <s v="Medium"/>
    <n v="3812.22"/>
    <n v="1"/>
  </r>
  <r>
    <x v="2"/>
    <x v="1"/>
    <n v="1969"/>
    <n v="4108.8599999999997"/>
    <n v="2732.11"/>
    <n v="1376.75"/>
    <n v="0.66"/>
    <n v="0.23"/>
    <n v="2751.24"/>
    <x v="1"/>
    <n v="692"/>
    <n v="0.23"/>
    <n v="740.6"/>
    <n v="0.18"/>
    <n v="533.59"/>
    <n v="0.13"/>
    <n v="1"/>
    <n v="1005.95"/>
    <n v="25"/>
    <n v="0"/>
    <n v="442.75"/>
    <n v="3832.2"/>
    <x v="0"/>
    <n v="953.32"/>
    <x v="5"/>
    <x v="0"/>
    <n v="97.9"/>
    <s v="Low"/>
    <n v="1376.75"/>
    <n v="0"/>
  </r>
  <r>
    <x v="2"/>
    <x v="1"/>
    <n v="1015"/>
    <n v="4794.07"/>
    <n v="2387.7199999999998"/>
    <n v="2406.35"/>
    <n v="0.5"/>
    <n v="0.39"/>
    <n v="2463"/>
    <x v="2"/>
    <n v="640"/>
    <n v="0.28999999999999998"/>
    <n v="353.47"/>
    <n v="7.0000000000000007E-2"/>
    <n v="0"/>
    <n v="0"/>
    <n v="6"/>
    <n v="1127.83"/>
    <n v="44"/>
    <n v="0"/>
    <n v="495.9"/>
    <n v="2294.8200000000002"/>
    <x v="0"/>
    <n v="1684.27"/>
    <x v="2"/>
    <x v="0"/>
    <n v="81.400000000000006"/>
    <s v="Low"/>
    <n v="2406.35"/>
    <n v="0"/>
  </r>
  <r>
    <x v="3"/>
    <x v="2"/>
    <n v="1724"/>
    <n v="3506.79"/>
    <n v="2327.59"/>
    <n v="1179.2"/>
    <n v="0.66"/>
    <n v="0.17"/>
    <n v="3346.97"/>
    <x v="1"/>
    <n v="717"/>
    <n v="0.16"/>
    <n v="482.76"/>
    <n v="0.14000000000000001"/>
    <n v="182.06"/>
    <n v="0.05"/>
    <n v="5"/>
    <n v="227.37"/>
    <n v="94"/>
    <n v="0"/>
    <n v="594.08000000000004"/>
    <n v="1450.72"/>
    <x v="0"/>
    <n v="1155.6400000000001"/>
    <x v="7"/>
    <x v="0"/>
    <n v="74.5"/>
    <s v="Low"/>
    <n v="1179.2"/>
    <n v="0"/>
  </r>
  <r>
    <x v="3"/>
    <x v="2"/>
    <n v="1855"/>
    <n v="4838.6899999999996"/>
    <n v="4392.42"/>
    <n v="446.27"/>
    <n v="0.91"/>
    <n v="0.26"/>
    <n v="3274.63"/>
    <x v="2"/>
    <n v="645"/>
    <n v="0.5"/>
    <n v="723.09"/>
    <n v="0.15"/>
    <n v="919.03"/>
    <n v="0.19"/>
    <n v="7"/>
    <n v="1226.78"/>
    <n v="87"/>
    <n v="0"/>
    <n v="470.58"/>
    <n v="1931.79"/>
    <x v="1"/>
    <n v="936.57"/>
    <x v="7"/>
    <x v="0"/>
    <n v="23.8"/>
    <s v="Low"/>
    <n v="446.27"/>
    <n v="0"/>
  </r>
  <r>
    <x v="3"/>
    <x v="2"/>
    <n v="1333"/>
    <n v="1947.27"/>
    <n v="4457.3900000000003"/>
    <n v="-2510.12"/>
    <n v="2.29"/>
    <n v="0.26"/>
    <n v="2997.07"/>
    <x v="1"/>
    <n v="669"/>
    <n v="0.46"/>
    <n v="687.79"/>
    <n v="0.35"/>
    <n v="596.46"/>
    <n v="0.31"/>
    <n v="8"/>
    <n v="396.93"/>
    <n v="25"/>
    <n v="0"/>
    <n v="162.88999999999999"/>
    <n v="2171.38"/>
    <x v="1"/>
    <n v="1060.9100000000001"/>
    <x v="1"/>
    <x v="0"/>
    <n v="76.400000000000006"/>
    <s v="High"/>
    <n v="0"/>
    <n v="0"/>
  </r>
  <r>
    <x v="3"/>
    <x v="2"/>
    <n v="1928"/>
    <n v="4721.1099999999997"/>
    <n v="3425.31"/>
    <n v="1295.8"/>
    <n v="0.73"/>
    <n v="0.21"/>
    <n v="3193.98"/>
    <x v="1"/>
    <n v="688"/>
    <n v="0.11"/>
    <n v="335.82"/>
    <n v="7.0000000000000007E-2"/>
    <n v="256.27999999999997"/>
    <n v="0.05"/>
    <n v="6"/>
    <n v="1563.67"/>
    <n v="97"/>
    <n v="0"/>
    <n v="632.74"/>
    <n v="1726.92"/>
    <x v="1"/>
    <n v="1487.11"/>
    <x v="2"/>
    <x v="0"/>
    <n v="45.8"/>
    <s v="Medium"/>
    <n v="1295.8"/>
    <n v="0"/>
  </r>
  <r>
    <x v="3"/>
    <x v="2"/>
    <n v="1637"/>
    <n v="2884.4"/>
    <n v="2870.08"/>
    <n v="14.32"/>
    <n v="1"/>
    <n v="0.33"/>
    <n v="3144.62"/>
    <x v="0"/>
    <n v="707"/>
    <n v="0.14000000000000001"/>
    <n v="292.64"/>
    <n v="0.1"/>
    <n v="654.29"/>
    <n v="0.23"/>
    <n v="5"/>
    <n v="623.76"/>
    <n v="30"/>
    <n v="0"/>
    <n v="544.29"/>
    <n v="2324.0300000000002"/>
    <x v="0"/>
    <n v="924.24"/>
    <x v="6"/>
    <x v="1"/>
    <n v="33"/>
    <s v="Low"/>
    <n v="14.32"/>
    <n v="0"/>
  </r>
  <r>
    <x v="3"/>
    <x v="2"/>
    <n v="1639"/>
    <n v="4370.54"/>
    <n v="3943.51"/>
    <n v="427.03"/>
    <n v="0.9"/>
    <n v="0.06"/>
    <n v="2581.08"/>
    <x v="2"/>
    <n v="736"/>
    <n v="0.34"/>
    <n v="499.46"/>
    <n v="0.11"/>
    <n v="373.86"/>
    <n v="0.09"/>
    <n v="2"/>
    <n v="998.29"/>
    <n v="84"/>
    <n v="0"/>
    <n v="245.49"/>
    <n v="1210.1400000000001"/>
    <x v="0"/>
    <n v="2088.46"/>
    <x v="2"/>
    <x v="2"/>
    <n v="11.6"/>
    <s v="Low"/>
    <n v="427.03"/>
    <n v="0"/>
  </r>
  <r>
    <x v="3"/>
    <x v="2"/>
    <n v="1762"/>
    <n v="4002.16"/>
    <n v="1710.64"/>
    <n v="2291.52"/>
    <n v="0.43"/>
    <n v="0.38"/>
    <n v="3210.41"/>
    <x v="1"/>
    <n v="661"/>
    <n v="0.16"/>
    <n v="230.83"/>
    <n v="0.06"/>
    <n v="572.38"/>
    <n v="0.14000000000000001"/>
    <n v="5"/>
    <n v="1248.3800000000001"/>
    <n v="94"/>
    <n v="0"/>
    <n v="425.66"/>
    <n v="2977.8"/>
    <x v="1"/>
    <n v="1050.45"/>
    <x v="6"/>
    <x v="0"/>
    <n v="93.8"/>
    <s v="Medium"/>
    <n v="2291.52"/>
    <n v="0"/>
  </r>
  <r>
    <x v="3"/>
    <x v="2"/>
    <n v="1050"/>
    <n v="3710.06"/>
    <n v="3726.19"/>
    <n v="-16.13"/>
    <n v="1"/>
    <n v="0.31"/>
    <n v="2109.71"/>
    <x v="1"/>
    <n v="756"/>
    <n v="0.13"/>
    <n v="249.52"/>
    <n v="7.0000000000000007E-2"/>
    <n v="376.76"/>
    <n v="0.1"/>
    <n v="1"/>
    <n v="169.44"/>
    <n v="76"/>
    <n v="0"/>
    <n v="424.2"/>
    <n v="1894.23"/>
    <x v="1"/>
    <n v="928.37"/>
    <x v="6"/>
    <x v="2"/>
    <n v="88.1"/>
    <s v="Medium"/>
    <n v="0"/>
    <n v="0"/>
  </r>
  <r>
    <x v="3"/>
    <x v="2"/>
    <n v="1282"/>
    <n v="5225.13"/>
    <n v="5430.47"/>
    <n v="-205.34"/>
    <n v="1.04"/>
    <n v="0.25"/>
    <n v="2985.72"/>
    <x v="1"/>
    <n v="683"/>
    <n v="0.41"/>
    <n v="379.78"/>
    <n v="7.0000000000000007E-2"/>
    <n v="567.92999999999995"/>
    <n v="0.11"/>
    <n v="5"/>
    <n v="646.04999999999995"/>
    <n v="95"/>
    <n v="0"/>
    <n v="283.04000000000002"/>
    <n v="2643.3"/>
    <x v="1"/>
    <n v="1671.6"/>
    <x v="7"/>
    <x v="0"/>
    <n v="81.099999999999994"/>
    <s v="Medium"/>
    <n v="0"/>
    <n v="0"/>
  </r>
  <r>
    <x v="3"/>
    <x v="2"/>
    <n v="1764"/>
    <n v="5301.95"/>
    <n v="3270.09"/>
    <n v="2031.86"/>
    <n v="0.62"/>
    <n v="0.25"/>
    <n v="2599.15"/>
    <x v="1"/>
    <n v="667"/>
    <n v="0.11"/>
    <n v="473.21"/>
    <n v="0.09"/>
    <n v="450.23"/>
    <n v="0.08"/>
    <n v="5"/>
    <n v="1521.1"/>
    <n v="34"/>
    <n v="0"/>
    <n v="663.53"/>
    <n v="2359.83"/>
    <x v="1"/>
    <n v="1885.42"/>
    <x v="6"/>
    <x v="1"/>
    <n v="80.5"/>
    <s v="Low"/>
    <n v="2031.86"/>
    <n v="0"/>
  </r>
  <r>
    <x v="3"/>
    <x v="2"/>
    <n v="1408"/>
    <n v="4391.95"/>
    <n v="4069.04"/>
    <n v="322.91000000000003"/>
    <n v="0.93"/>
    <n v="0.31"/>
    <n v="2806.62"/>
    <x v="2"/>
    <n v="680"/>
    <n v="0.18"/>
    <n v="552.95000000000005"/>
    <n v="0.13"/>
    <n v="0"/>
    <n v="0"/>
    <n v="1"/>
    <n v="288.36"/>
    <n v="21"/>
    <n v="0"/>
    <n v="350.99"/>
    <n v="3077.52"/>
    <x v="1"/>
    <n v="1179.31"/>
    <x v="3"/>
    <x v="0"/>
    <n v="69.2"/>
    <s v="Low"/>
    <n v="322.91000000000003"/>
    <n v="0"/>
  </r>
  <r>
    <x v="3"/>
    <x v="2"/>
    <n v="1979"/>
    <n v="3011.78"/>
    <n v="3902.95"/>
    <n v="-891.17"/>
    <n v="1.3"/>
    <n v="0.28999999999999998"/>
    <n v="2872.22"/>
    <x v="1"/>
    <n v="727"/>
    <n v="0.16"/>
    <n v="851.09"/>
    <n v="0.28000000000000003"/>
    <n v="0"/>
    <n v="0"/>
    <n v="6"/>
    <n v="1016.8"/>
    <n v="68"/>
    <n v="0"/>
    <n v="618.45000000000005"/>
    <n v="2346.71"/>
    <x v="2"/>
    <n v="815.69"/>
    <x v="3"/>
    <x v="0"/>
    <n v="28.8"/>
    <s v="High"/>
    <n v="0"/>
    <n v="0"/>
  </r>
  <r>
    <x v="3"/>
    <x v="2"/>
    <n v="1789"/>
    <n v="3975.15"/>
    <n v="2748.29"/>
    <n v="1226.8599999999999"/>
    <n v="0.69"/>
    <n v="0.11"/>
    <n v="3153.14"/>
    <x v="0"/>
    <n v="687"/>
    <n v="0.12"/>
    <n v="576.52"/>
    <n v="0.15"/>
    <n v="393.72"/>
    <n v="0.1"/>
    <n v="9"/>
    <n v="1456.48"/>
    <n v="92"/>
    <n v="0"/>
    <n v="686.99"/>
    <n v="1533.61"/>
    <x v="1"/>
    <n v="1403.79"/>
    <x v="1"/>
    <x v="0"/>
    <n v="77.3"/>
    <s v="Medium"/>
    <n v="1226.8599999999999"/>
    <n v="0"/>
  </r>
  <r>
    <x v="3"/>
    <x v="2"/>
    <n v="1023"/>
    <n v="3229.96"/>
    <n v="3132.34"/>
    <n v="97.62"/>
    <n v="0.97"/>
    <n v="0.12"/>
    <n v="2598.2800000000002"/>
    <x v="2"/>
    <n v="619"/>
    <n v="0.2"/>
    <n v="446.65"/>
    <n v="0.14000000000000001"/>
    <n v="163.61000000000001"/>
    <n v="0.05"/>
    <n v="7"/>
    <n v="1339.18"/>
    <n v="41"/>
    <n v="0"/>
    <n v="701.24"/>
    <n v="2553.2800000000002"/>
    <x v="1"/>
    <n v="947.93"/>
    <x v="0"/>
    <x v="2"/>
    <n v="26.1"/>
    <s v="Low"/>
    <n v="97.62"/>
    <n v="0"/>
  </r>
  <r>
    <x v="3"/>
    <x v="2"/>
    <n v="1341"/>
    <n v="4180.17"/>
    <n v="3072.94"/>
    <n v="1107.23"/>
    <n v="0.74"/>
    <n v="0.28999999999999998"/>
    <n v="3012.24"/>
    <x v="1"/>
    <n v="668"/>
    <n v="0.33"/>
    <n v="654.95000000000005"/>
    <n v="0.16"/>
    <n v="123.39"/>
    <n v="0.03"/>
    <n v="6"/>
    <n v="779.4"/>
    <n v="68"/>
    <n v="0"/>
    <n v="626.95000000000005"/>
    <n v="2732.29"/>
    <x v="1"/>
    <n v="1275.1300000000001"/>
    <x v="2"/>
    <x v="1"/>
    <n v="4.8"/>
    <s v="Medium"/>
    <n v="1107.23"/>
    <n v="0"/>
  </r>
  <r>
    <x v="3"/>
    <x v="2"/>
    <n v="1186"/>
    <n v="5028.45"/>
    <n v="4475.26"/>
    <n v="553.19000000000005"/>
    <n v="0.89"/>
    <n v="0.22"/>
    <n v="3113.11"/>
    <x v="1"/>
    <n v="699"/>
    <n v="0.4"/>
    <n v="1045.07"/>
    <n v="0.21"/>
    <n v="171.64"/>
    <n v="0.03"/>
    <n v="1"/>
    <n v="1305.32"/>
    <n v="65"/>
    <n v="0"/>
    <n v="137.80000000000001"/>
    <n v="2230.73"/>
    <x v="1"/>
    <n v="1632.32"/>
    <x v="5"/>
    <x v="1"/>
    <n v="35.9"/>
    <s v="High"/>
    <n v="553.19000000000005"/>
    <n v="0"/>
  </r>
  <r>
    <x v="3"/>
    <x v="2"/>
    <n v="1909"/>
    <n v="6004.68"/>
    <n v="2104.88"/>
    <n v="3899.8"/>
    <n v="0.35"/>
    <n v="0.11"/>
    <n v="2491.69"/>
    <x v="0"/>
    <n v="705"/>
    <n v="0.37"/>
    <n v="572.74"/>
    <n v="0.1"/>
    <n v="778.81"/>
    <n v="0.13"/>
    <n v="1"/>
    <n v="516.94000000000005"/>
    <n v="26"/>
    <n v="0"/>
    <n v="548.12"/>
    <n v="3097.25"/>
    <x v="0"/>
    <n v="300"/>
    <x v="0"/>
    <x v="2"/>
    <n v="11.3"/>
    <s v="Low"/>
    <n v="3899.8"/>
    <n v="1"/>
  </r>
  <r>
    <x v="3"/>
    <x v="2"/>
    <n v="1060"/>
    <n v="3517.89"/>
    <n v="3736.31"/>
    <n v="-218.42"/>
    <n v="1.06"/>
    <n v="0.17"/>
    <n v="2623.71"/>
    <x v="1"/>
    <n v="666"/>
    <n v="0.51"/>
    <n v="266.35000000000002"/>
    <n v="0.08"/>
    <n v="464.74"/>
    <n v="0.13"/>
    <n v="6"/>
    <n v="0"/>
    <n v="89"/>
    <n v="0"/>
    <n v="696.63"/>
    <n v="2232.4"/>
    <x v="1"/>
    <n v="569.37"/>
    <x v="7"/>
    <x v="0"/>
    <n v="26.6"/>
    <s v="Low"/>
    <n v="0"/>
    <n v="0"/>
  </r>
  <r>
    <x v="3"/>
    <x v="2"/>
    <n v="1909"/>
    <n v="4711.0200000000004"/>
    <n v="3160.8"/>
    <n v="1550.22"/>
    <n v="0.67"/>
    <n v="0.09"/>
    <n v="2591.0700000000002"/>
    <x v="1"/>
    <n v="680"/>
    <n v="0.27"/>
    <n v="503.98"/>
    <n v="0.11"/>
    <n v="595.96"/>
    <n v="0.13"/>
    <n v="3"/>
    <n v="1936.03"/>
    <n v="54"/>
    <n v="0"/>
    <n v="494.19"/>
    <n v="2342.62"/>
    <x v="0"/>
    <n v="1734.54"/>
    <x v="9"/>
    <x v="0"/>
    <n v="62.7"/>
    <s v="Medium"/>
    <n v="1550.22"/>
    <n v="0"/>
  </r>
  <r>
    <x v="3"/>
    <x v="2"/>
    <n v="1415"/>
    <n v="3054.59"/>
    <n v="3320.75"/>
    <n v="-266.16000000000003"/>
    <n v="1.0900000000000001"/>
    <n v="0.2"/>
    <n v="2638.09"/>
    <x v="1"/>
    <n v="674"/>
    <n v="0.23"/>
    <n v="345.04"/>
    <n v="0.11"/>
    <n v="283.77999999999997"/>
    <n v="0.09"/>
    <n v="4"/>
    <n v="900.53"/>
    <n v="75"/>
    <n v="0"/>
    <n v="549.39"/>
    <n v="1408.08"/>
    <x v="1"/>
    <n v="1008.04"/>
    <x v="7"/>
    <x v="2"/>
    <n v="5.8"/>
    <s v="Medium"/>
    <n v="0"/>
    <n v="0"/>
  </r>
  <r>
    <x v="3"/>
    <x v="2"/>
    <n v="1571"/>
    <n v="4159.49"/>
    <n v="3346.57"/>
    <n v="812.92"/>
    <n v="0.8"/>
    <n v="0.21"/>
    <n v="2566.44"/>
    <x v="1"/>
    <n v="629"/>
    <n v="0.2"/>
    <n v="447.63"/>
    <n v="0.11"/>
    <n v="433.09"/>
    <n v="0.1"/>
    <n v="8"/>
    <n v="1245.6600000000001"/>
    <n v="39"/>
    <n v="0"/>
    <n v="337.14"/>
    <n v="2990.43"/>
    <x v="2"/>
    <n v="1332.78"/>
    <x v="3"/>
    <x v="0"/>
    <n v="49.3"/>
    <s v="Medium"/>
    <n v="812.92"/>
    <n v="0"/>
  </r>
  <r>
    <x v="3"/>
    <x v="2"/>
    <n v="1532"/>
    <n v="3718.77"/>
    <n v="3712.66"/>
    <n v="6.11"/>
    <n v="1"/>
    <n v="0.3"/>
    <n v="3153.8"/>
    <x v="1"/>
    <n v="618"/>
    <n v="0.52"/>
    <n v="591.62"/>
    <n v="0.16"/>
    <n v="357.67"/>
    <n v="0.1"/>
    <n v="1"/>
    <n v="755.42"/>
    <n v="32"/>
    <n v="0"/>
    <n v="438.06"/>
    <n v="2616.7199999999998"/>
    <x v="1"/>
    <n v="1272.99"/>
    <x v="9"/>
    <x v="0"/>
    <n v="14.1"/>
    <s v="Medium"/>
    <n v="6.11"/>
    <n v="0"/>
  </r>
  <r>
    <x v="3"/>
    <x v="2"/>
    <n v="1490"/>
    <n v="3617.24"/>
    <n v="2725.09"/>
    <n v="892.15"/>
    <n v="0.75"/>
    <n v="0.13"/>
    <n v="3195.09"/>
    <x v="2"/>
    <n v="692"/>
    <n v="0.26"/>
    <n v="577.49"/>
    <n v="0.16"/>
    <n v="606.35"/>
    <n v="0.17"/>
    <n v="2"/>
    <n v="1439.4"/>
    <n v="23"/>
    <n v="0"/>
    <n v="390.56"/>
    <n v="1407.56"/>
    <x v="1"/>
    <n v="1122.3900000000001"/>
    <x v="5"/>
    <x v="0"/>
    <n v="48.4"/>
    <s v="Low"/>
    <n v="892.15"/>
    <n v="0"/>
  </r>
  <r>
    <x v="3"/>
    <x v="2"/>
    <n v="1543"/>
    <n v="3569.55"/>
    <n v="2180.33"/>
    <n v="1389.22"/>
    <n v="0.61"/>
    <n v="0.4"/>
    <n v="2043.8"/>
    <x v="1"/>
    <n v="768"/>
    <n v="0.28999999999999998"/>
    <n v="482.65"/>
    <n v="0.14000000000000001"/>
    <n v="641.11"/>
    <n v="0.18"/>
    <n v="4"/>
    <n v="1352.26"/>
    <n v="31"/>
    <n v="0"/>
    <n v="0"/>
    <n v="1804.89"/>
    <x v="1"/>
    <n v="1323.42"/>
    <x v="5"/>
    <x v="0"/>
    <n v="67.7"/>
    <s v="High"/>
    <n v="1389.22"/>
    <n v="0"/>
  </r>
  <r>
    <x v="3"/>
    <x v="2"/>
    <n v="1459"/>
    <n v="4455.87"/>
    <n v="2454.09"/>
    <n v="2001.78"/>
    <n v="0.55000000000000004"/>
    <n v="0.1"/>
    <n v="3275.45"/>
    <x v="0"/>
    <n v="588"/>
    <n v="0.36"/>
    <n v="505.41"/>
    <n v="0.11"/>
    <n v="871.72"/>
    <n v="0.2"/>
    <n v="8"/>
    <n v="1527.49"/>
    <n v="83"/>
    <n v="0"/>
    <n v="503.47"/>
    <n v="3060.8"/>
    <x v="1"/>
    <n v="555.77"/>
    <x v="7"/>
    <x v="0"/>
    <n v="4.3"/>
    <s v="Medium"/>
    <n v="2001.78"/>
    <n v="0"/>
  </r>
  <r>
    <x v="3"/>
    <x v="2"/>
    <n v="1047"/>
    <n v="3259.18"/>
    <n v="3776.16"/>
    <n v="-516.98"/>
    <n v="1.1599999999999999"/>
    <n v="0.2"/>
    <n v="2026.98"/>
    <x v="1"/>
    <n v="598"/>
    <n v="0.56000000000000005"/>
    <n v="238.7"/>
    <n v="7.0000000000000007E-2"/>
    <n v="486.78"/>
    <n v="0.15"/>
    <n v="6"/>
    <n v="821.12"/>
    <n v="82"/>
    <n v="0"/>
    <n v="268.77999999999997"/>
    <n v="2390.31"/>
    <x v="1"/>
    <n v="1205"/>
    <x v="7"/>
    <x v="2"/>
    <n v="35.6"/>
    <s v="Low"/>
    <n v="0"/>
    <n v="0"/>
  </r>
  <r>
    <x v="3"/>
    <x v="2"/>
    <n v="1299"/>
    <n v="3033.43"/>
    <n v="3264.14"/>
    <n v="-230.71"/>
    <n v="1.08"/>
    <n v="0.16"/>
    <n v="3004.84"/>
    <x v="0"/>
    <n v="682"/>
    <n v="0.37"/>
    <n v="695.7"/>
    <n v="0.23"/>
    <n v="148.08000000000001"/>
    <n v="0.05"/>
    <n v="3"/>
    <n v="912.48"/>
    <n v="28"/>
    <n v="0"/>
    <n v="390.15"/>
    <n v="2203.19"/>
    <x v="1"/>
    <n v="910.4"/>
    <x v="5"/>
    <x v="1"/>
    <n v="77.400000000000006"/>
    <s v="Low"/>
    <n v="0"/>
    <n v="0"/>
  </r>
  <r>
    <x v="3"/>
    <x v="2"/>
    <n v="1591"/>
    <n v="5086.99"/>
    <n v="4411.41"/>
    <n v="675.58"/>
    <n v="0.87"/>
    <n v="0.27"/>
    <n v="3689.49"/>
    <x v="0"/>
    <n v="725"/>
    <n v="0.41"/>
    <n v="434.13"/>
    <n v="0.09"/>
    <n v="369.37"/>
    <n v="7.0000000000000007E-2"/>
    <n v="2"/>
    <n v="1400.26"/>
    <n v="65"/>
    <n v="0"/>
    <n v="526.69000000000005"/>
    <n v="2260.3200000000002"/>
    <x v="1"/>
    <n v="1261.53"/>
    <x v="4"/>
    <x v="0"/>
    <n v="60.3"/>
    <s v="Low"/>
    <n v="675.58"/>
    <n v="0"/>
  </r>
  <r>
    <x v="3"/>
    <x v="2"/>
    <n v="1565"/>
    <n v="5343.14"/>
    <n v="4027.64"/>
    <n v="1315.5"/>
    <n v="0.75"/>
    <n v="0.23"/>
    <n v="2507.2199999999998"/>
    <x v="0"/>
    <n v="638"/>
    <n v="0.38"/>
    <n v="347.59"/>
    <n v="7.0000000000000007E-2"/>
    <n v="451.7"/>
    <n v="0.08"/>
    <n v="3"/>
    <n v="567.77"/>
    <n v="93"/>
    <n v="0"/>
    <n v="742.87"/>
    <n v="2179.5100000000002"/>
    <x v="0"/>
    <n v="1144.6099999999999"/>
    <x v="7"/>
    <x v="0"/>
    <n v="13.7"/>
    <s v="Medium"/>
    <n v="1315.5"/>
    <n v="0"/>
  </r>
  <r>
    <x v="3"/>
    <x v="2"/>
    <n v="1634"/>
    <n v="4768.91"/>
    <n v="1688.52"/>
    <n v="3080.39"/>
    <n v="0.35"/>
    <n v="0.25"/>
    <n v="2566.4299999999998"/>
    <x v="1"/>
    <n v="741"/>
    <n v="0.34"/>
    <n v="325.55"/>
    <n v="7.0000000000000007E-2"/>
    <n v="431.18"/>
    <n v="0.09"/>
    <n v="8"/>
    <n v="803.24"/>
    <n v="95"/>
    <n v="0"/>
    <n v="710.79"/>
    <n v="1137.22"/>
    <x v="1"/>
    <n v="1376.58"/>
    <x v="3"/>
    <x v="1"/>
    <n v="53.2"/>
    <s v="Low"/>
    <n v="3080.39"/>
    <n v="1"/>
  </r>
  <r>
    <x v="3"/>
    <x v="2"/>
    <n v="1435"/>
    <n v="4263.67"/>
    <n v="3041.9"/>
    <n v="1221.77"/>
    <n v="0.71"/>
    <n v="0.18"/>
    <n v="2968.67"/>
    <x v="2"/>
    <n v="660"/>
    <n v="0.24"/>
    <n v="599.30999999999995"/>
    <n v="0.14000000000000001"/>
    <n v="197.69"/>
    <n v="0.05"/>
    <n v="3"/>
    <n v="1238.69"/>
    <n v="22"/>
    <n v="0"/>
    <n v="129.6"/>
    <n v="2295.86"/>
    <x v="1"/>
    <n v="892.52"/>
    <x v="9"/>
    <x v="0"/>
    <n v="51.2"/>
    <s v="Low"/>
    <n v="1221.77"/>
    <n v="0"/>
  </r>
  <r>
    <x v="3"/>
    <x v="2"/>
    <n v="1845"/>
    <n v="4177.84"/>
    <n v="1805.84"/>
    <n v="2372"/>
    <n v="0.43"/>
    <n v="0.4"/>
    <n v="3119.13"/>
    <x v="1"/>
    <n v="736"/>
    <n v="0.45"/>
    <n v="324.11"/>
    <n v="0.08"/>
    <n v="434.08"/>
    <n v="0.1"/>
    <n v="7"/>
    <n v="192"/>
    <n v="67"/>
    <n v="0"/>
    <n v="538.08000000000004"/>
    <n v="2787.68"/>
    <x v="2"/>
    <n v="1066.96"/>
    <x v="9"/>
    <x v="0"/>
    <n v="65.3"/>
    <s v="Low"/>
    <n v="2372"/>
    <n v="0"/>
  </r>
  <r>
    <x v="3"/>
    <x v="2"/>
    <n v="1059"/>
    <n v="4785.37"/>
    <n v="3996"/>
    <n v="789.37"/>
    <n v="0.84"/>
    <n v="0.26"/>
    <n v="2222.6999999999998"/>
    <x v="1"/>
    <n v="678"/>
    <n v="0.18"/>
    <n v="646.78"/>
    <n v="0.14000000000000001"/>
    <n v="470.94"/>
    <n v="0.1"/>
    <n v="5"/>
    <n v="705.59"/>
    <n v="85"/>
    <n v="1"/>
    <n v="380.52"/>
    <n v="2042.11"/>
    <x v="1"/>
    <n v="675.21"/>
    <x v="0"/>
    <x v="2"/>
    <n v="70.599999999999994"/>
    <s v="Medium"/>
    <n v="789.37"/>
    <n v="0"/>
  </r>
  <r>
    <x v="3"/>
    <x v="2"/>
    <n v="1461"/>
    <n v="4471.72"/>
    <n v="2993.6"/>
    <n v="1478.12"/>
    <n v="0.67"/>
    <n v="0.31"/>
    <n v="3174.48"/>
    <x v="1"/>
    <n v="669"/>
    <n v="0.4"/>
    <n v="635.23"/>
    <n v="0.14000000000000001"/>
    <n v="548.29"/>
    <n v="0.12"/>
    <n v="4"/>
    <n v="513.41"/>
    <n v="60"/>
    <n v="0"/>
    <n v="133.24"/>
    <n v="2743.68"/>
    <x v="1"/>
    <n v="1260"/>
    <x v="9"/>
    <x v="1"/>
    <n v="58.9"/>
    <s v="Medium"/>
    <n v="1478.12"/>
    <n v="0"/>
  </r>
  <r>
    <x v="3"/>
    <x v="2"/>
    <n v="1950"/>
    <n v="3912.01"/>
    <n v="2694.64"/>
    <n v="1217.3699999999999"/>
    <n v="0.69"/>
    <n v="0.1"/>
    <n v="2761.91"/>
    <x v="1"/>
    <n v="734"/>
    <n v="0.3"/>
    <n v="278.36"/>
    <n v="7.0000000000000007E-2"/>
    <n v="359.04"/>
    <n v="0.09"/>
    <n v="1"/>
    <n v="425.24"/>
    <n v="31"/>
    <n v="0"/>
    <n v="526.83000000000004"/>
    <n v="1840.05"/>
    <x v="1"/>
    <n v="1073.19"/>
    <x v="7"/>
    <x v="0"/>
    <n v="24.7"/>
    <s v="Low"/>
    <n v="1217.3699999999999"/>
    <n v="0"/>
  </r>
  <r>
    <x v="3"/>
    <x v="2"/>
    <n v="1732"/>
    <n v="1815.35"/>
    <n v="3471.34"/>
    <n v="-1655.99"/>
    <n v="1.91"/>
    <n v="0.37"/>
    <n v="2975.6"/>
    <x v="0"/>
    <n v="646"/>
    <n v="0.23"/>
    <n v="533.23"/>
    <n v="0.28999999999999998"/>
    <n v="1196.54"/>
    <n v="0.66"/>
    <n v="6"/>
    <n v="1316.8"/>
    <n v="27"/>
    <n v="0"/>
    <n v="390.39"/>
    <n v="2495.7199999999998"/>
    <x v="0"/>
    <n v="1164.68"/>
    <x v="0"/>
    <x v="0"/>
    <n v="65.900000000000006"/>
    <s v="Low"/>
    <n v="0"/>
    <n v="0"/>
  </r>
  <r>
    <x v="3"/>
    <x v="2"/>
    <n v="1206"/>
    <n v="4654.78"/>
    <n v="2294.6999999999998"/>
    <n v="2360.08"/>
    <n v="0.49"/>
    <n v="0.26"/>
    <n v="3270.76"/>
    <x v="1"/>
    <n v="656"/>
    <n v="0.42"/>
    <n v="418.7"/>
    <n v="0.09"/>
    <n v="351.82"/>
    <n v="0.08"/>
    <n v="9"/>
    <n v="0"/>
    <n v="38"/>
    <n v="0"/>
    <n v="454.74"/>
    <n v="1000"/>
    <x v="1"/>
    <n v="1033.92"/>
    <x v="4"/>
    <x v="0"/>
    <n v="36.6"/>
    <s v="Low"/>
    <n v="2360.08"/>
    <n v="0"/>
  </r>
  <r>
    <x v="3"/>
    <x v="2"/>
    <n v="1852"/>
    <n v="3232.93"/>
    <n v="2727.35"/>
    <n v="505.58"/>
    <n v="0.84"/>
    <n v="0.24"/>
    <n v="2978.26"/>
    <x v="1"/>
    <n v="663"/>
    <n v="0.14000000000000001"/>
    <n v="476.43"/>
    <n v="0.15"/>
    <n v="0.62"/>
    <n v="0"/>
    <n v="6"/>
    <n v="1340.01"/>
    <n v="98"/>
    <n v="0"/>
    <n v="313.98"/>
    <n v="2076.37"/>
    <x v="0"/>
    <n v="881.98"/>
    <x v="0"/>
    <x v="0"/>
    <n v="90.4"/>
    <s v="Low"/>
    <n v="505.58"/>
    <n v="0"/>
  </r>
  <r>
    <x v="3"/>
    <x v="2"/>
    <n v="1733"/>
    <n v="6108.45"/>
    <n v="2366.21"/>
    <n v="3742.24"/>
    <n v="0.39"/>
    <n v="0.16"/>
    <n v="2579.08"/>
    <x v="2"/>
    <n v="707"/>
    <n v="0.11"/>
    <n v="475.88"/>
    <n v="0.08"/>
    <n v="325.83999999999997"/>
    <n v="0.05"/>
    <n v="8"/>
    <n v="521.19000000000005"/>
    <n v="58"/>
    <n v="0"/>
    <n v="662.9"/>
    <n v="2904.61"/>
    <x v="1"/>
    <n v="1369.92"/>
    <x v="9"/>
    <x v="1"/>
    <n v="79"/>
    <s v="Medium"/>
    <n v="3742.24"/>
    <n v="1"/>
  </r>
  <r>
    <x v="3"/>
    <x v="2"/>
    <n v="1535"/>
    <n v="2366.06"/>
    <n v="3126.68"/>
    <n v="-760.62"/>
    <n v="1.32"/>
    <n v="0.14000000000000001"/>
    <n v="2052.41"/>
    <x v="1"/>
    <n v="655"/>
    <n v="0.18"/>
    <n v="550.22"/>
    <n v="0.23"/>
    <n v="427.83"/>
    <n v="0.18"/>
    <n v="7"/>
    <n v="1673.15"/>
    <n v="78"/>
    <n v="0"/>
    <n v="980.53"/>
    <n v="2688.2"/>
    <x v="1"/>
    <n v="669.75"/>
    <x v="8"/>
    <x v="0"/>
    <n v="76.900000000000006"/>
    <s v="Medium"/>
    <n v="0"/>
    <n v="0"/>
  </r>
  <r>
    <x v="3"/>
    <x v="2"/>
    <n v="1696"/>
    <n v="3795.48"/>
    <n v="3221.45"/>
    <n v="574.03"/>
    <n v="0.85"/>
    <n v="0.39"/>
    <n v="3042.96"/>
    <x v="1"/>
    <n v="698"/>
    <n v="0.18"/>
    <n v="331.65"/>
    <n v="0.09"/>
    <n v="592.86"/>
    <n v="0.16"/>
    <n v="2"/>
    <n v="0"/>
    <n v="56"/>
    <n v="0"/>
    <n v="302.12"/>
    <n v="2396.2399999999998"/>
    <x v="1"/>
    <n v="1583.57"/>
    <x v="3"/>
    <x v="0"/>
    <n v="59.2"/>
    <s v="High"/>
    <n v="574.03"/>
    <n v="0"/>
  </r>
  <r>
    <x v="3"/>
    <x v="2"/>
    <n v="1889"/>
    <n v="2734.52"/>
    <n v="3524.01"/>
    <n v="-789.49"/>
    <n v="1.29"/>
    <n v="0.35"/>
    <n v="3048.16"/>
    <x v="0"/>
    <n v="689"/>
    <n v="0.52"/>
    <n v="741.06"/>
    <n v="0.27"/>
    <n v="349.17"/>
    <n v="0.13"/>
    <n v="5"/>
    <n v="1510.03"/>
    <n v="43"/>
    <n v="1"/>
    <n v="98.41"/>
    <n v="2283.62"/>
    <x v="1"/>
    <n v="1305.1300000000001"/>
    <x v="5"/>
    <x v="1"/>
    <n v="90.1"/>
    <s v="Low"/>
    <n v="0"/>
    <n v="0"/>
  </r>
  <r>
    <x v="3"/>
    <x v="2"/>
    <n v="1671"/>
    <n v="4009.15"/>
    <n v="1662.58"/>
    <n v="2346.5700000000002"/>
    <n v="0.41"/>
    <n v="0.2"/>
    <n v="2948.71"/>
    <x v="1"/>
    <n v="754"/>
    <n v="0.11"/>
    <n v="562.58000000000004"/>
    <n v="0.14000000000000001"/>
    <n v="169.76"/>
    <n v="0.04"/>
    <n v="2"/>
    <n v="1000.97"/>
    <n v="81"/>
    <n v="0"/>
    <n v="689.78"/>
    <n v="2253.94"/>
    <x v="0"/>
    <n v="1277.47"/>
    <x v="9"/>
    <x v="0"/>
    <n v="57.3"/>
    <s v="Medium"/>
    <n v="2346.5700000000002"/>
    <n v="0"/>
  </r>
  <r>
    <x v="3"/>
    <x v="2"/>
    <n v="1675"/>
    <n v="3071.93"/>
    <n v="2547.39"/>
    <n v="524.54"/>
    <n v="0.83"/>
    <n v="0.08"/>
    <n v="2520.4699999999998"/>
    <x v="1"/>
    <n v="634"/>
    <n v="0.42"/>
    <n v="342.68"/>
    <n v="0.11"/>
    <n v="456"/>
    <n v="0.15"/>
    <n v="6"/>
    <n v="1430.27"/>
    <n v="58"/>
    <n v="0"/>
    <n v="316.27"/>
    <n v="1250.25"/>
    <x v="1"/>
    <n v="905.44"/>
    <x v="3"/>
    <x v="1"/>
    <n v="36.9"/>
    <s v="Low"/>
    <n v="524.54"/>
    <n v="0"/>
  </r>
  <r>
    <x v="3"/>
    <x v="2"/>
    <n v="1109"/>
    <n v="3809.75"/>
    <n v="2879.78"/>
    <n v="929.97"/>
    <n v="0.76"/>
    <n v="0.37"/>
    <n v="2716.9"/>
    <x v="1"/>
    <n v="640"/>
    <n v="0.56000000000000005"/>
    <n v="498.18"/>
    <n v="0.13"/>
    <n v="235.04"/>
    <n v="0.06"/>
    <n v="8"/>
    <n v="1222.6400000000001"/>
    <n v="40"/>
    <n v="0"/>
    <n v="328.19"/>
    <n v="3212.63"/>
    <x v="1"/>
    <n v="1218.44"/>
    <x v="4"/>
    <x v="0"/>
    <n v="38.299999999999997"/>
    <s v="Medium"/>
    <n v="929.97"/>
    <n v="0"/>
  </r>
  <r>
    <x v="3"/>
    <x v="2"/>
    <n v="1675"/>
    <n v="4721.1400000000003"/>
    <n v="2536.0100000000002"/>
    <n v="2185.13"/>
    <n v="0.54"/>
    <n v="0.39"/>
    <n v="1748.6"/>
    <x v="0"/>
    <n v="681"/>
    <n v="0.26"/>
    <n v="612.85"/>
    <n v="0.13"/>
    <n v="296.92"/>
    <n v="0.06"/>
    <n v="2"/>
    <n v="1124.5999999999999"/>
    <n v="87"/>
    <n v="0"/>
    <n v="444.9"/>
    <n v="2682.73"/>
    <x v="1"/>
    <n v="1148.6199999999999"/>
    <x v="2"/>
    <x v="2"/>
    <n v="14.6"/>
    <s v="Medium"/>
    <n v="2185.13"/>
    <n v="1"/>
  </r>
  <r>
    <x v="3"/>
    <x v="2"/>
    <n v="1310"/>
    <n v="5201.93"/>
    <n v="3669.72"/>
    <n v="1532.21"/>
    <n v="0.71"/>
    <n v="0.21"/>
    <n v="2392.96"/>
    <x v="1"/>
    <n v="606"/>
    <n v="0.43"/>
    <n v="684.12"/>
    <n v="0.13"/>
    <n v="339.24"/>
    <n v="7.0000000000000007E-2"/>
    <n v="6"/>
    <n v="165.26"/>
    <n v="41"/>
    <n v="1"/>
    <n v="409.53"/>
    <n v="2547.73"/>
    <x v="1"/>
    <n v="1065.5899999999999"/>
    <x v="7"/>
    <x v="0"/>
    <n v="91.9"/>
    <s v="Medium"/>
    <n v="1532.21"/>
    <n v="0"/>
  </r>
  <r>
    <x v="3"/>
    <x v="2"/>
    <n v="1570"/>
    <n v="3034.42"/>
    <n v="3808.02"/>
    <n v="-773.6"/>
    <n v="1.25"/>
    <n v="0.28000000000000003"/>
    <n v="3043.21"/>
    <x v="1"/>
    <n v="668"/>
    <n v="0.28000000000000003"/>
    <n v="714.36"/>
    <n v="0.24"/>
    <n v="292.83"/>
    <n v="0.1"/>
    <n v="1"/>
    <n v="1274.6600000000001"/>
    <n v="21"/>
    <n v="0"/>
    <n v="551.70000000000005"/>
    <n v="2484.35"/>
    <x v="0"/>
    <n v="1040.23"/>
    <x v="7"/>
    <x v="1"/>
    <n v="31.1"/>
    <s v="Low"/>
    <n v="0"/>
    <n v="0"/>
  </r>
  <r>
    <x v="3"/>
    <x v="2"/>
    <n v="1057"/>
    <n v="4975.91"/>
    <n v="3192.79"/>
    <n v="1783.12"/>
    <n v="0.64"/>
    <n v="0.13"/>
    <n v="3828.46"/>
    <x v="0"/>
    <n v="660"/>
    <n v="0.14000000000000001"/>
    <n v="294.49"/>
    <n v="0.06"/>
    <n v="40.18"/>
    <n v="0.01"/>
    <n v="1"/>
    <n v="100.09"/>
    <n v="21"/>
    <n v="0"/>
    <n v="502.3"/>
    <n v="1878.9"/>
    <x v="1"/>
    <n v="1474.99"/>
    <x v="2"/>
    <x v="0"/>
    <n v="95.1"/>
    <s v="Low"/>
    <n v="1783.12"/>
    <n v="0"/>
  </r>
  <r>
    <x v="3"/>
    <x v="2"/>
    <n v="1354"/>
    <n v="4100.1400000000003"/>
    <n v="2051.3200000000002"/>
    <n v="2048.8200000000002"/>
    <n v="0.5"/>
    <n v="0.24"/>
    <n v="3013.49"/>
    <x v="1"/>
    <n v="744"/>
    <n v="0.43"/>
    <n v="575.77"/>
    <n v="0.14000000000000001"/>
    <n v="595.97"/>
    <n v="0.15"/>
    <n v="4"/>
    <n v="1053.51"/>
    <n v="85"/>
    <n v="0"/>
    <n v="358"/>
    <n v="1937.24"/>
    <x v="2"/>
    <n v="1606.13"/>
    <x v="8"/>
    <x v="1"/>
    <n v="13"/>
    <s v="Low"/>
    <n v="2048.8200000000002"/>
    <n v="0"/>
  </r>
  <r>
    <x v="4"/>
    <x v="3"/>
    <n v="1600"/>
    <n v="4606.87"/>
    <n v="2182.58"/>
    <n v="2424.29"/>
    <n v="0.47"/>
    <n v="0.34"/>
    <n v="2670.09"/>
    <x v="0"/>
    <n v="795"/>
    <n v="0.25"/>
    <n v="263.74"/>
    <n v="0.06"/>
    <n v="342.78"/>
    <n v="7.0000000000000007E-2"/>
    <n v="9"/>
    <n v="589.80999999999995"/>
    <n v="73"/>
    <n v="0"/>
    <n v="556.86"/>
    <n v="1000"/>
    <x v="1"/>
    <n v="1170.8599999999999"/>
    <x v="4"/>
    <x v="2"/>
    <n v="38.700000000000003"/>
    <s v="High"/>
    <n v="2424.29"/>
    <n v="0"/>
  </r>
  <r>
    <x v="4"/>
    <x v="3"/>
    <n v="1094"/>
    <n v="3613.29"/>
    <n v="1069.2"/>
    <n v="2544.09"/>
    <n v="0.3"/>
    <n v="0.25"/>
    <n v="3365.82"/>
    <x v="2"/>
    <n v="649"/>
    <n v="0.48"/>
    <n v="516.49"/>
    <n v="0.14000000000000001"/>
    <n v="465.08"/>
    <n v="0.13"/>
    <n v="8"/>
    <n v="609.45000000000005"/>
    <n v="93"/>
    <n v="0"/>
    <n v="226.87"/>
    <n v="3212.17"/>
    <x v="0"/>
    <n v="485.97"/>
    <x v="7"/>
    <x v="1"/>
    <n v="99.4"/>
    <s v="High"/>
    <n v="2544.09"/>
    <n v="0"/>
  </r>
  <r>
    <x v="4"/>
    <x v="3"/>
    <n v="1608"/>
    <n v="2918.58"/>
    <n v="1340.14"/>
    <n v="1578.44"/>
    <n v="0.46"/>
    <n v="0.32"/>
    <n v="2849.76"/>
    <x v="1"/>
    <n v="657"/>
    <n v="0.35"/>
    <n v="534.33000000000004"/>
    <n v="0.18"/>
    <n v="385.09"/>
    <n v="0.13"/>
    <n v="5"/>
    <n v="686.51"/>
    <n v="59"/>
    <n v="0"/>
    <n v="342.52"/>
    <n v="2141.52"/>
    <x v="1"/>
    <n v="1094.19"/>
    <x v="1"/>
    <x v="2"/>
    <n v="74.7"/>
    <s v="High"/>
    <n v="1578.44"/>
    <n v="0"/>
  </r>
  <r>
    <x v="4"/>
    <x v="3"/>
    <n v="1229"/>
    <n v="3908.56"/>
    <n v="3196.97"/>
    <n v="711.59"/>
    <n v="0.82"/>
    <n v="0.18"/>
    <n v="3962.26"/>
    <x v="2"/>
    <n v="807"/>
    <n v="0.18"/>
    <n v="563.12"/>
    <n v="0.14000000000000001"/>
    <n v="546.05999999999995"/>
    <n v="0.14000000000000001"/>
    <n v="2"/>
    <n v="1550.13"/>
    <n v="41"/>
    <n v="0"/>
    <n v="689.1"/>
    <n v="2458.84"/>
    <x v="1"/>
    <n v="1746.55"/>
    <x v="4"/>
    <x v="1"/>
    <n v="20.2"/>
    <s v="Low"/>
    <n v="711.59"/>
    <n v="0"/>
  </r>
  <r>
    <x v="4"/>
    <x v="3"/>
    <n v="1844"/>
    <n v="4925.07"/>
    <n v="2916.49"/>
    <n v="2008.58"/>
    <n v="0.59"/>
    <n v="0.28000000000000003"/>
    <n v="2264.48"/>
    <x v="1"/>
    <n v="684"/>
    <n v="0.37"/>
    <n v="626.16"/>
    <n v="0.13"/>
    <n v="710.26"/>
    <n v="0.14000000000000001"/>
    <n v="3"/>
    <n v="974.63"/>
    <n v="42"/>
    <n v="0"/>
    <n v="0"/>
    <n v="1730.6"/>
    <x v="1"/>
    <n v="1082.22"/>
    <x v="1"/>
    <x v="0"/>
    <n v="76.599999999999994"/>
    <s v="Low"/>
    <n v="2008.58"/>
    <n v="0"/>
  </r>
  <r>
    <x v="4"/>
    <x v="3"/>
    <n v="1502"/>
    <n v="3195.59"/>
    <n v="2605.17"/>
    <n v="590.41999999999996"/>
    <n v="0.82"/>
    <n v="0.26"/>
    <n v="2720.14"/>
    <x v="1"/>
    <n v="621"/>
    <n v="0.45"/>
    <n v="767.7"/>
    <n v="0.24"/>
    <n v="337.21"/>
    <n v="0.11"/>
    <n v="3"/>
    <n v="769.77"/>
    <n v="40"/>
    <n v="0"/>
    <n v="666.17"/>
    <n v="2209.88"/>
    <x v="1"/>
    <n v="1236.68"/>
    <x v="0"/>
    <x v="0"/>
    <n v="62.7"/>
    <s v="Low"/>
    <n v="590.41999999999996"/>
    <n v="0"/>
  </r>
  <r>
    <x v="4"/>
    <x v="3"/>
    <n v="1682"/>
    <n v="3977.34"/>
    <n v="2827.05"/>
    <n v="1150.29"/>
    <n v="0.71"/>
    <n v="0.14000000000000001"/>
    <n v="2761.8"/>
    <x v="2"/>
    <n v="716"/>
    <n v="0.27"/>
    <n v="558.88"/>
    <n v="0.14000000000000001"/>
    <n v="470.95"/>
    <n v="0.12"/>
    <n v="5"/>
    <n v="1598.92"/>
    <n v="97"/>
    <n v="0"/>
    <n v="597.85"/>
    <n v="1372.83"/>
    <x v="0"/>
    <n v="1406.41"/>
    <x v="8"/>
    <x v="1"/>
    <n v="10.1"/>
    <s v="Low"/>
    <n v="1150.29"/>
    <n v="0"/>
  </r>
  <r>
    <x v="4"/>
    <x v="3"/>
    <n v="1335"/>
    <n v="3468.29"/>
    <n v="3518.16"/>
    <n v="-49.87"/>
    <n v="1.01"/>
    <n v="0.3"/>
    <n v="3493.07"/>
    <x v="1"/>
    <n v="643"/>
    <n v="0.28000000000000003"/>
    <n v="620.38"/>
    <n v="0.18"/>
    <n v="281.67"/>
    <n v="0.08"/>
    <n v="6"/>
    <n v="1576.48"/>
    <n v="86"/>
    <n v="0"/>
    <n v="755.39"/>
    <n v="3132.23"/>
    <x v="1"/>
    <n v="968.91"/>
    <x v="5"/>
    <x v="0"/>
    <n v="55.9"/>
    <s v="Low"/>
    <n v="0"/>
    <n v="0"/>
  </r>
  <r>
    <x v="4"/>
    <x v="3"/>
    <n v="1181"/>
    <n v="3758.86"/>
    <n v="2818.12"/>
    <n v="940.74"/>
    <n v="0.75"/>
    <n v="0.3"/>
    <n v="2520.87"/>
    <x v="2"/>
    <n v="683"/>
    <n v="0.18"/>
    <n v="343.52"/>
    <n v="0.09"/>
    <n v="291.12"/>
    <n v="0.08"/>
    <n v="8"/>
    <n v="1361.75"/>
    <n v="52"/>
    <n v="0"/>
    <n v="987.69"/>
    <n v="3319.95"/>
    <x v="2"/>
    <n v="858.29"/>
    <x v="4"/>
    <x v="0"/>
    <n v="55.4"/>
    <s v="Low"/>
    <n v="940.74"/>
    <n v="0"/>
  </r>
  <r>
    <x v="4"/>
    <x v="3"/>
    <n v="1068"/>
    <n v="6001.48"/>
    <n v="5495.2"/>
    <n v="506.28"/>
    <n v="0.92"/>
    <n v="0.26"/>
    <n v="2680.2"/>
    <x v="2"/>
    <n v="638"/>
    <n v="0.34"/>
    <n v="549.65"/>
    <n v="0.09"/>
    <n v="314.89"/>
    <n v="0.05"/>
    <n v="2"/>
    <n v="1118.56"/>
    <n v="87"/>
    <n v="0"/>
    <n v="765.11"/>
    <n v="1293.8499999999999"/>
    <x v="0"/>
    <n v="1790.7"/>
    <x v="0"/>
    <x v="0"/>
    <n v="10.4"/>
    <s v="Low"/>
    <n v="506.28"/>
    <n v="0"/>
  </r>
  <r>
    <x v="4"/>
    <x v="3"/>
    <n v="1804"/>
    <n v="3979.12"/>
    <n v="4280.8999999999996"/>
    <n v="-301.77999999999997"/>
    <n v="1.08"/>
    <n v="0.35"/>
    <n v="4101.5600000000004"/>
    <x v="0"/>
    <n v="750"/>
    <n v="0.27"/>
    <n v="522.41999999999996"/>
    <n v="0.13"/>
    <n v="404.11"/>
    <n v="0.1"/>
    <n v="7"/>
    <n v="783.1"/>
    <n v="59"/>
    <n v="0"/>
    <n v="228.5"/>
    <n v="2087.7600000000002"/>
    <x v="0"/>
    <n v="1308.97"/>
    <x v="2"/>
    <x v="1"/>
    <n v="85.7"/>
    <s v="High"/>
    <n v="0"/>
    <n v="0"/>
  </r>
  <r>
    <x v="4"/>
    <x v="3"/>
    <n v="1037"/>
    <n v="3766.66"/>
    <n v="2799.22"/>
    <n v="967.44"/>
    <n v="0.74"/>
    <n v="0.39"/>
    <n v="3287.03"/>
    <x v="0"/>
    <n v="615"/>
    <n v="0.55000000000000004"/>
    <n v="0"/>
    <n v="0"/>
    <n v="463.51"/>
    <n v="0.12"/>
    <n v="7"/>
    <n v="1237.53"/>
    <n v="70"/>
    <n v="0"/>
    <n v="475.05"/>
    <n v="2637.13"/>
    <x v="1"/>
    <n v="1206.94"/>
    <x v="4"/>
    <x v="0"/>
    <n v="80"/>
    <s v="Low"/>
    <n v="967.44"/>
    <n v="0"/>
  </r>
  <r>
    <x v="4"/>
    <x v="3"/>
    <n v="1846"/>
    <n v="3529.85"/>
    <n v="4021.32"/>
    <n v="-491.47"/>
    <n v="1.1399999999999999"/>
    <n v="0.24"/>
    <n v="2424.83"/>
    <x v="0"/>
    <n v="660"/>
    <n v="0.33"/>
    <n v="455.82"/>
    <n v="0.13"/>
    <n v="25.1"/>
    <n v="0.01"/>
    <n v="8"/>
    <n v="1723.19"/>
    <n v="73"/>
    <n v="0"/>
    <n v="583.51"/>
    <n v="2979.87"/>
    <x v="0"/>
    <n v="1294.76"/>
    <x v="4"/>
    <x v="0"/>
    <n v="37"/>
    <s v="Low"/>
    <n v="0"/>
    <n v="0"/>
  </r>
  <r>
    <x v="4"/>
    <x v="3"/>
    <n v="1408"/>
    <n v="4747.29"/>
    <n v="5042.29"/>
    <n v="-295"/>
    <n v="1.06"/>
    <n v="0.14000000000000001"/>
    <n v="2273.5700000000002"/>
    <x v="0"/>
    <n v="611"/>
    <n v="0.53"/>
    <n v="153.6"/>
    <n v="0.03"/>
    <n v="309.83"/>
    <n v="7.0000000000000007E-2"/>
    <n v="7"/>
    <n v="1025.6500000000001"/>
    <n v="52"/>
    <n v="0"/>
    <n v="351.01"/>
    <n v="1000"/>
    <x v="1"/>
    <n v="1352.91"/>
    <x v="8"/>
    <x v="0"/>
    <n v="69.900000000000006"/>
    <s v="Medium"/>
    <n v="0"/>
    <n v="0"/>
  </r>
  <r>
    <x v="4"/>
    <x v="3"/>
    <n v="1305"/>
    <n v="6093.49"/>
    <n v="2460.77"/>
    <n v="3632.72"/>
    <n v="0.4"/>
    <n v="0.27"/>
    <n v="2312.77"/>
    <x v="1"/>
    <n v="634"/>
    <n v="0.39"/>
    <n v="558.55999999999995"/>
    <n v="0.09"/>
    <n v="363.44"/>
    <n v="0.06"/>
    <n v="5"/>
    <n v="135.52000000000001"/>
    <n v="31"/>
    <n v="0"/>
    <n v="622.32000000000005"/>
    <n v="1968.09"/>
    <x v="0"/>
    <n v="782.82"/>
    <x v="6"/>
    <x v="0"/>
    <n v="51.4"/>
    <s v="Low"/>
    <n v="3632.72"/>
    <n v="1"/>
  </r>
  <r>
    <x v="4"/>
    <x v="3"/>
    <n v="1658"/>
    <n v="4499.01"/>
    <n v="2533.7800000000002"/>
    <n v="1965.23"/>
    <n v="0.56000000000000005"/>
    <n v="0.35"/>
    <n v="2437.16"/>
    <x v="1"/>
    <n v="641"/>
    <n v="0.15"/>
    <n v="819.17"/>
    <n v="0.18"/>
    <n v="273.25"/>
    <n v="0.06"/>
    <n v="9"/>
    <n v="1359.65"/>
    <n v="46"/>
    <n v="0"/>
    <n v="737.69"/>
    <n v="1913.14"/>
    <x v="1"/>
    <n v="1815.12"/>
    <x v="6"/>
    <x v="2"/>
    <n v="46.1"/>
    <s v="Low"/>
    <n v="1965.23"/>
    <n v="0"/>
  </r>
  <r>
    <x v="4"/>
    <x v="3"/>
    <n v="1574"/>
    <n v="5560.87"/>
    <n v="2735.66"/>
    <n v="2825.21"/>
    <n v="0.49"/>
    <n v="0.18"/>
    <n v="2467.16"/>
    <x v="0"/>
    <n v="705"/>
    <n v="0.21"/>
    <n v="602.44000000000005"/>
    <n v="0.11"/>
    <n v="836.38"/>
    <n v="0.15"/>
    <n v="2"/>
    <n v="1454.36"/>
    <n v="83"/>
    <n v="0"/>
    <n v="742.83"/>
    <n v="3045.95"/>
    <x v="1"/>
    <n v="1046.96"/>
    <x v="2"/>
    <x v="2"/>
    <n v="82.9"/>
    <s v="Low"/>
    <n v="2825.21"/>
    <n v="1"/>
  </r>
  <r>
    <x v="4"/>
    <x v="3"/>
    <n v="1633"/>
    <n v="2256.0700000000002"/>
    <n v="2411.77"/>
    <n v="-155.69999999999999"/>
    <n v="1.07"/>
    <n v="0.28000000000000003"/>
    <n v="2931.69"/>
    <x v="1"/>
    <n v="646"/>
    <n v="0.21"/>
    <n v="716.82"/>
    <n v="0.32"/>
    <n v="407.9"/>
    <n v="0.18"/>
    <n v="8"/>
    <n v="291.02"/>
    <n v="46"/>
    <n v="0"/>
    <n v="238.23"/>
    <n v="2062.59"/>
    <x v="2"/>
    <n v="300"/>
    <x v="4"/>
    <x v="2"/>
    <n v="79"/>
    <s v="Medium"/>
    <n v="0"/>
    <n v="0"/>
  </r>
  <r>
    <x v="4"/>
    <x v="3"/>
    <n v="1001"/>
    <n v="4301.38"/>
    <n v="1671.02"/>
    <n v="2630.36"/>
    <n v="0.39"/>
    <n v="0.15"/>
    <n v="2845.22"/>
    <x v="0"/>
    <n v="760"/>
    <n v="0.53"/>
    <n v="825.8"/>
    <n v="0.19"/>
    <n v="287.58"/>
    <n v="7.0000000000000007E-2"/>
    <n v="5"/>
    <n v="156.4"/>
    <n v="28"/>
    <n v="0"/>
    <n v="541.16"/>
    <n v="1545.27"/>
    <x v="1"/>
    <n v="1495.34"/>
    <x v="2"/>
    <x v="1"/>
    <n v="49.2"/>
    <s v="Low"/>
    <n v="2630.36"/>
    <n v="0"/>
  </r>
  <r>
    <x v="4"/>
    <x v="3"/>
    <n v="1707"/>
    <n v="4231.51"/>
    <n v="1897.87"/>
    <n v="2333.64"/>
    <n v="0.45"/>
    <n v="0.31"/>
    <n v="2309.9499999999998"/>
    <x v="0"/>
    <n v="706"/>
    <n v="0.23"/>
    <n v="563.13"/>
    <n v="0.13"/>
    <n v="335.76"/>
    <n v="0.08"/>
    <n v="6"/>
    <n v="683.11"/>
    <n v="47"/>
    <n v="0"/>
    <n v="541.41"/>
    <n v="2889.97"/>
    <x v="1"/>
    <n v="923.25"/>
    <x v="2"/>
    <x v="0"/>
    <n v="78.8"/>
    <s v="Medium"/>
    <n v="2333.64"/>
    <n v="1"/>
  </r>
  <r>
    <x v="4"/>
    <x v="3"/>
    <n v="1921"/>
    <n v="5547.65"/>
    <n v="2672.09"/>
    <n v="2875.56"/>
    <n v="0.48"/>
    <n v="0.19"/>
    <n v="2714.93"/>
    <x v="1"/>
    <n v="718"/>
    <n v="0.21"/>
    <n v="566.76"/>
    <n v="0.1"/>
    <n v="545.07000000000005"/>
    <n v="0.1"/>
    <n v="9"/>
    <n v="688.09"/>
    <n v="57"/>
    <n v="0"/>
    <n v="1111.81"/>
    <n v="2464.38"/>
    <x v="0"/>
    <n v="922.7"/>
    <x v="4"/>
    <x v="0"/>
    <n v="86"/>
    <s v="Low"/>
    <n v="2875.56"/>
    <n v="1"/>
  </r>
  <r>
    <x v="4"/>
    <x v="3"/>
    <n v="1253"/>
    <n v="1336.44"/>
    <n v="2385.3000000000002"/>
    <n v="-1048.8599999999999"/>
    <n v="1.78"/>
    <n v="0.3"/>
    <n v="2456.4699999999998"/>
    <x v="1"/>
    <n v="647"/>
    <n v="0.46"/>
    <n v="861.32"/>
    <n v="0.64"/>
    <n v="379.01"/>
    <n v="0.28000000000000003"/>
    <n v="9"/>
    <n v="412.05"/>
    <n v="81"/>
    <n v="0"/>
    <n v="539.11"/>
    <n v="2414.16"/>
    <x v="0"/>
    <n v="1504.97"/>
    <x v="8"/>
    <x v="0"/>
    <n v="50.1"/>
    <s v="Medium"/>
    <n v="0"/>
    <n v="0"/>
  </r>
  <r>
    <x v="4"/>
    <x v="3"/>
    <n v="1497"/>
    <n v="6423.61"/>
    <n v="3150.23"/>
    <n v="3273.38"/>
    <n v="0.49"/>
    <n v="0.25"/>
    <n v="2260.14"/>
    <x v="1"/>
    <n v="785"/>
    <n v="0.44"/>
    <n v="376.08"/>
    <n v="0.06"/>
    <n v="136.46"/>
    <n v="0.02"/>
    <n v="7"/>
    <n v="1389.59"/>
    <n v="44"/>
    <n v="0"/>
    <n v="243.86"/>
    <n v="2311.2199999999998"/>
    <x v="1"/>
    <n v="894.4"/>
    <x v="7"/>
    <x v="2"/>
    <n v="42.5"/>
    <s v="Medium"/>
    <n v="3273.38"/>
    <n v="1"/>
  </r>
  <r>
    <x v="4"/>
    <x v="3"/>
    <n v="1728"/>
    <n v="4048.41"/>
    <n v="4748.43"/>
    <n v="-700.02"/>
    <n v="1.17"/>
    <n v="0.13"/>
    <n v="2854.82"/>
    <x v="1"/>
    <n v="616"/>
    <n v="0.46"/>
    <n v="527.27"/>
    <n v="0.13"/>
    <n v="761.88"/>
    <n v="0.19"/>
    <n v="9"/>
    <n v="1252.19"/>
    <n v="33"/>
    <n v="0"/>
    <n v="597.84"/>
    <n v="2346.11"/>
    <x v="1"/>
    <n v="1356.24"/>
    <x v="5"/>
    <x v="1"/>
    <n v="13.9"/>
    <s v="Low"/>
    <n v="0"/>
    <n v="0"/>
  </r>
  <r>
    <x v="4"/>
    <x v="3"/>
    <n v="1473"/>
    <n v="2864.05"/>
    <n v="3117.18"/>
    <n v="-253.13"/>
    <n v="1.0900000000000001"/>
    <n v="0.2"/>
    <n v="2724.79"/>
    <x v="0"/>
    <n v="690"/>
    <n v="0.18"/>
    <n v="298.47000000000003"/>
    <n v="0.1"/>
    <n v="370.96"/>
    <n v="0.13"/>
    <n v="6"/>
    <n v="537.48"/>
    <n v="71"/>
    <n v="0"/>
    <n v="576.75"/>
    <n v="1790"/>
    <x v="1"/>
    <n v="1208.3"/>
    <x v="6"/>
    <x v="1"/>
    <n v="0.3"/>
    <s v="Low"/>
    <n v="0"/>
    <n v="0"/>
  </r>
  <r>
    <x v="4"/>
    <x v="3"/>
    <n v="1950"/>
    <n v="4734.6400000000003"/>
    <n v="1664.42"/>
    <n v="3070.22"/>
    <n v="0.35"/>
    <n v="0.34"/>
    <n v="2879.99"/>
    <x v="1"/>
    <n v="600"/>
    <n v="0.39"/>
    <n v="289.86"/>
    <n v="0.06"/>
    <n v="229.96"/>
    <n v="0.05"/>
    <n v="5"/>
    <n v="1122.33"/>
    <n v="86"/>
    <n v="0"/>
    <n v="304.5"/>
    <n v="1790.37"/>
    <x v="1"/>
    <n v="817.97"/>
    <x v="5"/>
    <x v="1"/>
    <n v="13.9"/>
    <s v="High"/>
    <n v="3070.22"/>
    <n v="1"/>
  </r>
  <r>
    <x v="4"/>
    <x v="3"/>
    <n v="1153"/>
    <n v="4882.49"/>
    <n v="3607.51"/>
    <n v="1274.98"/>
    <n v="0.74"/>
    <n v="0.19"/>
    <n v="1383.52"/>
    <x v="1"/>
    <n v="619"/>
    <n v="0.56000000000000005"/>
    <n v="507.26"/>
    <n v="0.1"/>
    <n v="1226.3599999999999"/>
    <n v="0.25"/>
    <n v="3"/>
    <n v="651.69000000000005"/>
    <n v="83"/>
    <n v="0"/>
    <n v="541.66"/>
    <n v="1637.07"/>
    <x v="1"/>
    <n v="1816.63"/>
    <x v="6"/>
    <x v="0"/>
    <n v="91"/>
    <s v="High"/>
    <n v="1274.98"/>
    <n v="0"/>
  </r>
  <r>
    <x v="4"/>
    <x v="3"/>
    <n v="1867"/>
    <n v="3828.6"/>
    <n v="3528.71"/>
    <n v="299.89"/>
    <n v="0.92"/>
    <n v="0.31"/>
    <n v="2538.04"/>
    <x v="1"/>
    <n v="698"/>
    <n v="0.41"/>
    <n v="454.53"/>
    <n v="0.12"/>
    <n v="581.38"/>
    <n v="0.15"/>
    <n v="3"/>
    <n v="839.97"/>
    <n v="65"/>
    <n v="0"/>
    <n v="341.79"/>
    <n v="2145.27"/>
    <x v="1"/>
    <n v="300"/>
    <x v="1"/>
    <x v="2"/>
    <n v="71.7"/>
    <s v="Medium"/>
    <n v="299.89"/>
    <n v="0"/>
  </r>
  <r>
    <x v="4"/>
    <x v="3"/>
    <n v="1044"/>
    <n v="2521.6799999999998"/>
    <n v="2609.6999999999998"/>
    <n v="-88.02"/>
    <n v="1.03"/>
    <n v="0.28999999999999998"/>
    <n v="2671.84"/>
    <x v="2"/>
    <n v="703"/>
    <n v="0.56999999999999995"/>
    <n v="435.22"/>
    <n v="0.17"/>
    <n v="57.4"/>
    <n v="0.02"/>
    <n v="5"/>
    <n v="1015.37"/>
    <n v="92"/>
    <n v="0"/>
    <n v="459.74"/>
    <n v="1822.51"/>
    <x v="1"/>
    <n v="1945.39"/>
    <x v="2"/>
    <x v="0"/>
    <n v="69.900000000000006"/>
    <s v="High"/>
    <n v="0"/>
    <n v="0"/>
  </r>
  <r>
    <x v="4"/>
    <x v="3"/>
    <n v="1744"/>
    <n v="3181.97"/>
    <n v="2445.0700000000002"/>
    <n v="736.9"/>
    <n v="0.77"/>
    <n v="0.19"/>
    <n v="2846.89"/>
    <x v="1"/>
    <n v="807"/>
    <n v="0.17"/>
    <n v="528.21"/>
    <n v="0.17"/>
    <n v="468.68"/>
    <n v="0.15"/>
    <n v="9"/>
    <n v="360.85"/>
    <n v="50"/>
    <n v="0"/>
    <n v="663.21"/>
    <n v="1000"/>
    <x v="1"/>
    <n v="1290.06"/>
    <x v="4"/>
    <x v="1"/>
    <n v="96.5"/>
    <s v="Low"/>
    <n v="736.9"/>
    <n v="0"/>
  </r>
  <r>
    <x v="4"/>
    <x v="3"/>
    <n v="1273"/>
    <n v="3458.05"/>
    <n v="3106.15"/>
    <n v="351.9"/>
    <n v="0.9"/>
    <n v="0.12"/>
    <n v="3102.21"/>
    <x v="1"/>
    <n v="636"/>
    <n v="0.57999999999999996"/>
    <n v="623.33000000000004"/>
    <n v="0.18"/>
    <n v="214.2"/>
    <n v="0.06"/>
    <n v="6"/>
    <n v="1014.4"/>
    <n v="70"/>
    <n v="0"/>
    <n v="735.6"/>
    <n v="2930.05"/>
    <x v="2"/>
    <n v="300"/>
    <x v="4"/>
    <x v="0"/>
    <n v="0.9"/>
    <s v="Low"/>
    <n v="351.9"/>
    <n v="0"/>
  </r>
  <r>
    <x v="4"/>
    <x v="3"/>
    <n v="1865"/>
    <n v="3712.59"/>
    <n v="2705.48"/>
    <n v="1007.11"/>
    <n v="0.73"/>
    <n v="0.06"/>
    <n v="2680.55"/>
    <x v="2"/>
    <n v="679"/>
    <n v="0.1"/>
    <n v="605.87"/>
    <n v="0.16"/>
    <n v="61.53"/>
    <n v="0.02"/>
    <n v="1"/>
    <n v="652.5"/>
    <n v="87"/>
    <n v="0"/>
    <n v="614.34"/>
    <n v="2527.91"/>
    <x v="1"/>
    <n v="751.76"/>
    <x v="6"/>
    <x v="0"/>
    <n v="37.700000000000003"/>
    <s v="Medium"/>
    <n v="1007.11"/>
    <n v="0"/>
  </r>
  <r>
    <x v="4"/>
    <x v="3"/>
    <n v="1456"/>
    <n v="4192.29"/>
    <n v="3483.32"/>
    <n v="708.97"/>
    <n v="0.83"/>
    <n v="0.21"/>
    <n v="1815.62"/>
    <x v="1"/>
    <n v="727"/>
    <n v="0.54"/>
    <n v="684.8"/>
    <n v="0.16"/>
    <n v="355.79"/>
    <n v="0.08"/>
    <n v="5"/>
    <n v="1170.23"/>
    <n v="65"/>
    <n v="0"/>
    <n v="511.19"/>
    <n v="1517.52"/>
    <x v="1"/>
    <n v="1655.62"/>
    <x v="7"/>
    <x v="0"/>
    <n v="97.8"/>
    <s v="Medium"/>
    <n v="708.97"/>
    <n v="0"/>
  </r>
  <r>
    <x v="4"/>
    <x v="3"/>
    <n v="1799"/>
    <n v="2926.23"/>
    <n v="3189.69"/>
    <n v="-263.45999999999998"/>
    <n v="1.0900000000000001"/>
    <n v="0.35"/>
    <n v="3652.69"/>
    <x v="0"/>
    <n v="706"/>
    <n v="0.48"/>
    <n v="476.11"/>
    <n v="0.16"/>
    <n v="562.63"/>
    <n v="0.19"/>
    <n v="9"/>
    <n v="1446.15"/>
    <n v="66"/>
    <n v="0"/>
    <n v="590.04999999999995"/>
    <n v="2614.63"/>
    <x v="1"/>
    <n v="1421.6"/>
    <x v="2"/>
    <x v="1"/>
    <n v="92.8"/>
    <s v="High"/>
    <n v="0"/>
    <n v="0"/>
  </r>
  <r>
    <x v="4"/>
    <x v="3"/>
    <n v="1916"/>
    <n v="4248.25"/>
    <n v="1743.03"/>
    <n v="2505.2199999999998"/>
    <n v="0.41"/>
    <n v="0.11"/>
    <n v="3136.84"/>
    <x v="1"/>
    <n v="703"/>
    <n v="0.6"/>
    <n v="904.91"/>
    <n v="0.21"/>
    <n v="655.24"/>
    <n v="0.15"/>
    <n v="7"/>
    <n v="562.98"/>
    <n v="82"/>
    <n v="0"/>
    <n v="12.72"/>
    <n v="1375.65"/>
    <x v="0"/>
    <n v="895.76"/>
    <x v="2"/>
    <x v="2"/>
    <n v="26.3"/>
    <s v="Low"/>
    <n v="2505.2199999999998"/>
    <n v="0"/>
  </r>
  <r>
    <x v="4"/>
    <x v="3"/>
    <n v="1192"/>
    <n v="4126.46"/>
    <n v="3783.5"/>
    <n v="342.96"/>
    <n v="0.92"/>
    <n v="0.28999999999999998"/>
    <n v="3327.16"/>
    <x v="1"/>
    <n v="706"/>
    <n v="0.36"/>
    <n v="598.55999999999995"/>
    <n v="0.15"/>
    <n v="388.81"/>
    <n v="0.09"/>
    <n v="8"/>
    <n v="1631.07"/>
    <n v="75"/>
    <n v="0"/>
    <n v="645.25"/>
    <n v="2227.36"/>
    <x v="0"/>
    <n v="1242.9000000000001"/>
    <x v="1"/>
    <x v="0"/>
    <n v="2.1"/>
    <s v="Low"/>
    <n v="342.96"/>
    <n v="0"/>
  </r>
  <r>
    <x v="4"/>
    <x v="3"/>
    <n v="1113"/>
    <n v="4963.54"/>
    <n v="3842.59"/>
    <n v="1120.95"/>
    <n v="0.77"/>
    <n v="0.24"/>
    <n v="2483.35"/>
    <x v="1"/>
    <n v="652"/>
    <n v="0.44"/>
    <n v="231.12"/>
    <n v="0.05"/>
    <n v="421.61"/>
    <n v="0.08"/>
    <n v="8"/>
    <n v="1310.51"/>
    <n v="70"/>
    <n v="0"/>
    <n v="679.86"/>
    <n v="1305.1500000000001"/>
    <x v="1"/>
    <n v="795.05"/>
    <x v="1"/>
    <x v="1"/>
    <n v="38.700000000000003"/>
    <s v="Low"/>
    <n v="1120.95"/>
    <n v="0"/>
  </r>
  <r>
    <x v="4"/>
    <x v="3"/>
    <n v="1193"/>
    <n v="4316.1400000000003"/>
    <n v="2878.56"/>
    <n v="1437.58"/>
    <n v="0.67"/>
    <n v="0.17"/>
    <n v="2822.4"/>
    <x v="1"/>
    <n v="639"/>
    <n v="0.55000000000000004"/>
    <n v="407.55"/>
    <n v="0.09"/>
    <n v="313.41000000000003"/>
    <n v="7.0000000000000007E-2"/>
    <n v="8"/>
    <n v="449.99"/>
    <n v="91"/>
    <n v="0"/>
    <n v="495.1"/>
    <n v="2791.19"/>
    <x v="1"/>
    <n v="1332.18"/>
    <x v="6"/>
    <x v="0"/>
    <n v="97.2"/>
    <s v="Low"/>
    <n v="1437.58"/>
    <n v="0"/>
  </r>
  <r>
    <x v="4"/>
    <x v="3"/>
    <n v="1220"/>
    <n v="5941.69"/>
    <n v="2357.02"/>
    <n v="3584.67"/>
    <n v="0.4"/>
    <n v="0.13"/>
    <n v="3184.69"/>
    <x v="1"/>
    <n v="736"/>
    <n v="0.43"/>
    <n v="339.69"/>
    <n v="0.06"/>
    <n v="124.97"/>
    <n v="0.02"/>
    <n v="4"/>
    <n v="915.45"/>
    <n v="32"/>
    <n v="0"/>
    <n v="765.73"/>
    <n v="2208.88"/>
    <x v="1"/>
    <n v="1749.7"/>
    <x v="2"/>
    <x v="1"/>
    <n v="81.8"/>
    <s v="Low"/>
    <n v="3584.67"/>
    <n v="1"/>
  </r>
  <r>
    <x v="4"/>
    <x v="3"/>
    <n v="1714"/>
    <n v="3493.46"/>
    <n v="1900.88"/>
    <n v="1592.58"/>
    <n v="0.54"/>
    <n v="0.25"/>
    <n v="3496.57"/>
    <x v="2"/>
    <n v="673"/>
    <n v="0.56999999999999995"/>
    <n v="874.23"/>
    <n v="0.25"/>
    <n v="822.52"/>
    <n v="0.24"/>
    <n v="8"/>
    <n v="824.87"/>
    <n v="44"/>
    <n v="0"/>
    <n v="145.02000000000001"/>
    <n v="2374.61"/>
    <x v="1"/>
    <n v="799.9"/>
    <x v="8"/>
    <x v="2"/>
    <n v="71.2"/>
    <s v="Low"/>
    <n v="1592.58"/>
    <n v="0"/>
  </r>
  <r>
    <x v="4"/>
    <x v="3"/>
    <n v="1880"/>
    <n v="3468.99"/>
    <n v="4647.99"/>
    <n v="-1179"/>
    <n v="1.34"/>
    <n v="0.17"/>
    <n v="2857.45"/>
    <x v="0"/>
    <n v="695"/>
    <n v="0.23"/>
    <n v="752.29"/>
    <n v="0.22"/>
    <n v="241.65"/>
    <n v="7.0000000000000007E-2"/>
    <n v="6"/>
    <n v="1732.52"/>
    <n v="29"/>
    <n v="0"/>
    <n v="590.77"/>
    <n v="3001.66"/>
    <x v="1"/>
    <n v="708.91"/>
    <x v="6"/>
    <x v="0"/>
    <n v="34.1"/>
    <s v="High"/>
    <n v="0"/>
    <n v="0"/>
  </r>
  <r>
    <x v="4"/>
    <x v="3"/>
    <n v="1743"/>
    <n v="2783.07"/>
    <n v="2220.0100000000002"/>
    <n v="563.05999999999995"/>
    <n v="0.8"/>
    <n v="0.18"/>
    <n v="4014.67"/>
    <x v="1"/>
    <n v="708"/>
    <n v="0.41"/>
    <n v="789.61"/>
    <n v="0.28000000000000003"/>
    <n v="563.92999999999995"/>
    <n v="0.2"/>
    <n v="8"/>
    <n v="1195.76"/>
    <n v="99"/>
    <n v="0"/>
    <n v="694.82"/>
    <n v="2106.4"/>
    <x v="1"/>
    <n v="996.25"/>
    <x v="8"/>
    <x v="2"/>
    <n v="42.4"/>
    <s v="Low"/>
    <n v="563.05999999999995"/>
    <n v="0"/>
  </r>
  <r>
    <x v="4"/>
    <x v="3"/>
    <n v="1990"/>
    <n v="3468.96"/>
    <n v="3629.29"/>
    <n v="-160.33000000000001"/>
    <n v="1.05"/>
    <n v="0.23"/>
    <n v="2927.97"/>
    <x v="0"/>
    <n v="614"/>
    <n v="0.33"/>
    <n v="614.42999999999995"/>
    <n v="0.18"/>
    <n v="333.98"/>
    <n v="0.1"/>
    <n v="3"/>
    <n v="721.71"/>
    <n v="64"/>
    <n v="0"/>
    <n v="622.27"/>
    <n v="2088.9899999999998"/>
    <x v="1"/>
    <n v="896.98"/>
    <x v="0"/>
    <x v="0"/>
    <n v="50.6"/>
    <s v="Medium"/>
    <n v="0"/>
    <n v="0"/>
  </r>
  <r>
    <x v="4"/>
    <x v="3"/>
    <n v="1579"/>
    <n v="3655.22"/>
    <n v="3146.22"/>
    <n v="509"/>
    <n v="0.86"/>
    <n v="0.36"/>
    <n v="3762.18"/>
    <x v="1"/>
    <n v="704"/>
    <n v="0.4"/>
    <n v="578.86"/>
    <n v="0.16"/>
    <n v="0"/>
    <n v="0"/>
    <n v="2"/>
    <n v="1292.24"/>
    <n v="29"/>
    <n v="0"/>
    <n v="374.67"/>
    <n v="3015.8"/>
    <x v="1"/>
    <n v="999.03"/>
    <x v="7"/>
    <x v="0"/>
    <n v="59.9"/>
    <s v="Medium"/>
    <n v="509"/>
    <n v="0"/>
  </r>
  <r>
    <x v="4"/>
    <x v="3"/>
    <n v="1054"/>
    <n v="4581.38"/>
    <n v="3670.36"/>
    <n v="911.02"/>
    <n v="0.8"/>
    <n v="0.21"/>
    <n v="2684.65"/>
    <x v="1"/>
    <n v="733"/>
    <n v="0.6"/>
    <n v="398.27"/>
    <n v="0.09"/>
    <n v="1047.18"/>
    <n v="0.23"/>
    <n v="3"/>
    <n v="828.45"/>
    <n v="60"/>
    <n v="0"/>
    <n v="510.7"/>
    <n v="2073.9499999999998"/>
    <x v="2"/>
    <n v="1215.9000000000001"/>
    <x v="4"/>
    <x v="0"/>
    <n v="19.7"/>
    <s v="Low"/>
    <n v="911.02"/>
    <n v="0"/>
  </r>
  <r>
    <x v="4"/>
    <x v="3"/>
    <n v="1799"/>
    <n v="4025.6"/>
    <n v="3903.41"/>
    <n v="122.19"/>
    <n v="0.97"/>
    <n v="0.33"/>
    <n v="2593.1999999999998"/>
    <x v="1"/>
    <n v="657"/>
    <n v="0.56999999999999995"/>
    <n v="403.76"/>
    <n v="0.1"/>
    <n v="190.2"/>
    <n v="0.05"/>
    <n v="7"/>
    <n v="866.26"/>
    <n v="23"/>
    <n v="0"/>
    <n v="260.89999999999998"/>
    <n v="1625.73"/>
    <x v="0"/>
    <n v="1610.4"/>
    <x v="9"/>
    <x v="0"/>
    <n v="15.7"/>
    <s v="Low"/>
    <n v="122.19"/>
    <n v="0"/>
  </r>
  <r>
    <x v="4"/>
    <x v="3"/>
    <n v="1544"/>
    <n v="5219.4799999999996"/>
    <n v="2840.75"/>
    <n v="2378.73"/>
    <n v="0.54"/>
    <n v="0.39"/>
    <n v="2019.63"/>
    <x v="1"/>
    <n v="719"/>
    <n v="0.52"/>
    <n v="426.94"/>
    <n v="0.08"/>
    <n v="129.94"/>
    <n v="0.02"/>
    <n v="4"/>
    <n v="1366.26"/>
    <n v="26"/>
    <n v="0"/>
    <n v="404.79"/>
    <n v="2027.88"/>
    <x v="0"/>
    <n v="1731.17"/>
    <x v="8"/>
    <x v="0"/>
    <n v="43.3"/>
    <s v="Low"/>
    <n v="2378.73"/>
    <n v="1"/>
  </r>
  <r>
    <x v="4"/>
    <x v="3"/>
    <n v="1023"/>
    <n v="4906.8999999999996"/>
    <n v="2553.71"/>
    <n v="2353.19"/>
    <n v="0.52"/>
    <n v="0.14000000000000001"/>
    <n v="2855.85"/>
    <x v="1"/>
    <n v="645"/>
    <n v="0.31"/>
    <n v="521.17999999999995"/>
    <n v="0.11"/>
    <n v="41.58"/>
    <n v="0.01"/>
    <n v="2"/>
    <n v="999.27"/>
    <n v="38"/>
    <n v="0"/>
    <n v="464.28"/>
    <n v="2756.06"/>
    <x v="1"/>
    <n v="1342.65"/>
    <x v="9"/>
    <x v="2"/>
    <n v="27.8"/>
    <s v="Low"/>
    <n v="2353.19"/>
    <n v="0"/>
  </r>
  <r>
    <x v="4"/>
    <x v="3"/>
    <n v="1203"/>
    <n v="2774.04"/>
    <n v="3265.47"/>
    <n v="-491.43"/>
    <n v="1.18"/>
    <n v="0.26"/>
    <n v="3025.18"/>
    <x v="2"/>
    <n v="722"/>
    <n v="0.4"/>
    <n v="749.97"/>
    <n v="0.27"/>
    <n v="231.8"/>
    <n v="0.08"/>
    <n v="6"/>
    <n v="1264.3499999999999"/>
    <n v="28"/>
    <n v="0"/>
    <n v="0"/>
    <n v="2114.77"/>
    <x v="0"/>
    <n v="300"/>
    <x v="9"/>
    <x v="0"/>
    <n v="38.1"/>
    <s v="High"/>
    <n v="0"/>
    <n v="0"/>
  </r>
  <r>
    <x v="4"/>
    <x v="3"/>
    <n v="1799"/>
    <n v="3614.14"/>
    <n v="3876.57"/>
    <n v="-262.43"/>
    <n v="1.07"/>
    <n v="0.27"/>
    <n v="3259.97"/>
    <x v="2"/>
    <n v="648"/>
    <n v="0.2"/>
    <n v="503.12"/>
    <n v="0.14000000000000001"/>
    <n v="797.97"/>
    <n v="0.22"/>
    <n v="9"/>
    <n v="967.62"/>
    <n v="91"/>
    <n v="0"/>
    <n v="738.36"/>
    <n v="1151.8399999999999"/>
    <x v="1"/>
    <n v="952.5"/>
    <x v="1"/>
    <x v="1"/>
    <n v="89.4"/>
    <s v="Medium"/>
    <n v="0"/>
    <n v="0"/>
  </r>
  <r>
    <x v="5"/>
    <x v="3"/>
    <n v="1985"/>
    <n v="4028.39"/>
    <n v="3876.57"/>
    <n v="151.82"/>
    <n v="0.96"/>
    <n v="0.26"/>
    <n v="2079.7199999999998"/>
    <x v="2"/>
    <n v="643"/>
    <n v="0.43"/>
    <n v="323.2"/>
    <n v="0.08"/>
    <n v="451.11"/>
    <n v="0.11"/>
    <n v="8"/>
    <n v="1131.03"/>
    <n v="56"/>
    <n v="0"/>
    <n v="431.04"/>
    <n v="2330.0100000000002"/>
    <x v="1"/>
    <n v="548.66999999999996"/>
    <x v="6"/>
    <x v="0"/>
    <n v="53.7"/>
    <s v="Medium"/>
    <n v="151.82"/>
    <n v="0"/>
  </r>
  <r>
    <x v="5"/>
    <x v="3"/>
    <n v="1900"/>
    <n v="4055.69"/>
    <n v="4699.43"/>
    <n v="-643.74"/>
    <n v="1.1599999999999999"/>
    <n v="0.16"/>
    <n v="1905.94"/>
    <x v="1"/>
    <n v="764"/>
    <n v="0.41"/>
    <n v="262.43"/>
    <n v="0.06"/>
    <n v="483.13"/>
    <n v="0.12"/>
    <n v="6"/>
    <n v="354.31"/>
    <n v="24"/>
    <n v="0"/>
    <n v="342.8"/>
    <n v="1307.9100000000001"/>
    <x v="2"/>
    <n v="860.13"/>
    <x v="3"/>
    <x v="1"/>
    <n v="38"/>
    <s v="Low"/>
    <n v="0"/>
    <n v="0"/>
  </r>
  <r>
    <x v="5"/>
    <x v="3"/>
    <n v="1527"/>
    <n v="4743.6400000000003"/>
    <n v="3230.18"/>
    <n v="1513.46"/>
    <n v="0.68"/>
    <n v="0.3"/>
    <n v="3444.56"/>
    <x v="1"/>
    <n v="759"/>
    <n v="0.59"/>
    <n v="447.11"/>
    <n v="0.09"/>
    <n v="95.44"/>
    <n v="0.02"/>
    <n v="7"/>
    <n v="210.13"/>
    <n v="49"/>
    <n v="0"/>
    <n v="338.95"/>
    <n v="2888.98"/>
    <x v="1"/>
    <n v="1055.0899999999999"/>
    <x v="1"/>
    <x v="0"/>
    <n v="91.4"/>
    <s v="Low"/>
    <n v="1513.46"/>
    <n v="0"/>
  </r>
  <r>
    <x v="5"/>
    <x v="3"/>
    <n v="1320"/>
    <n v="4813.79"/>
    <n v="2222.54"/>
    <n v="2591.25"/>
    <n v="0.46"/>
    <n v="0.21"/>
    <n v="3386.62"/>
    <x v="1"/>
    <n v="645"/>
    <n v="0.19"/>
    <n v="571.44000000000005"/>
    <n v="0.12"/>
    <n v="323.58999999999997"/>
    <n v="7.0000000000000007E-2"/>
    <n v="5"/>
    <n v="378.27"/>
    <n v="38"/>
    <n v="0"/>
    <n v="493.48"/>
    <n v="3700.98"/>
    <x v="2"/>
    <n v="1025.6400000000001"/>
    <x v="3"/>
    <x v="1"/>
    <n v="49.6"/>
    <s v="Low"/>
    <n v="2591.25"/>
    <n v="0"/>
  </r>
  <r>
    <x v="5"/>
    <x v="3"/>
    <n v="1038"/>
    <n v="3555.98"/>
    <n v="2493.91"/>
    <n v="1062.07"/>
    <n v="0.7"/>
    <n v="0.17"/>
    <n v="3398.87"/>
    <x v="2"/>
    <n v="716"/>
    <n v="0.27"/>
    <n v="466.59"/>
    <n v="0.13"/>
    <n v="400.1"/>
    <n v="0.11"/>
    <n v="8"/>
    <n v="339.46"/>
    <n v="62"/>
    <n v="0"/>
    <n v="717.65"/>
    <n v="2967.72"/>
    <x v="0"/>
    <n v="1347.04"/>
    <x v="7"/>
    <x v="2"/>
    <n v="10"/>
    <s v="Medium"/>
    <n v="1062.07"/>
    <n v="0"/>
  </r>
  <r>
    <x v="5"/>
    <x v="3"/>
    <n v="1113"/>
    <n v="3193.45"/>
    <n v="2559.2800000000002"/>
    <n v="634.16999999999996"/>
    <n v="0.8"/>
    <n v="0.38"/>
    <n v="3179.79"/>
    <x v="1"/>
    <n v="725"/>
    <n v="0.52"/>
    <n v="288.27999999999997"/>
    <n v="0.09"/>
    <n v="1016.47"/>
    <n v="0.32"/>
    <n v="7"/>
    <n v="1254.46"/>
    <n v="95"/>
    <n v="0"/>
    <n v="126.32"/>
    <n v="2727.35"/>
    <x v="1"/>
    <n v="1304.24"/>
    <x v="6"/>
    <x v="0"/>
    <n v="73.400000000000006"/>
    <s v="High"/>
    <n v="634.16999999999996"/>
    <n v="0"/>
  </r>
  <r>
    <x v="5"/>
    <x v="3"/>
    <n v="1397"/>
    <n v="4254.3999999999996"/>
    <n v="1207.3699999999999"/>
    <n v="3047.03"/>
    <n v="0.28000000000000003"/>
    <n v="0.25"/>
    <n v="3373.82"/>
    <x v="1"/>
    <n v="680"/>
    <n v="0.13"/>
    <n v="569.19000000000005"/>
    <n v="0.13"/>
    <n v="511.39"/>
    <n v="0.12"/>
    <n v="1"/>
    <n v="1148.46"/>
    <n v="77"/>
    <n v="0"/>
    <n v="569.76"/>
    <n v="3255.65"/>
    <x v="0"/>
    <n v="1678.6"/>
    <x v="1"/>
    <x v="0"/>
    <n v="96.1"/>
    <s v="Low"/>
    <n v="3047.03"/>
    <n v="0"/>
  </r>
  <r>
    <x v="5"/>
    <x v="3"/>
    <n v="1542"/>
    <n v="1596.51"/>
    <n v="2085.66"/>
    <n v="-489.15"/>
    <n v="1.31"/>
    <n v="0.21"/>
    <n v="3378.62"/>
    <x v="0"/>
    <n v="742"/>
    <n v="0.56999999999999995"/>
    <n v="302.47000000000003"/>
    <n v="0.19"/>
    <n v="432.82"/>
    <n v="0.27"/>
    <n v="1"/>
    <n v="932.31"/>
    <n v="54"/>
    <n v="0"/>
    <n v="381.53"/>
    <n v="1179.06"/>
    <x v="0"/>
    <n v="1633.35"/>
    <x v="6"/>
    <x v="0"/>
    <n v="14.2"/>
    <s v="Medium"/>
    <n v="0"/>
    <n v="0"/>
  </r>
  <r>
    <x v="5"/>
    <x v="3"/>
    <n v="1504"/>
    <n v="1906.42"/>
    <n v="2648.09"/>
    <n v="-741.67"/>
    <n v="1.39"/>
    <n v="0.23"/>
    <n v="2325.85"/>
    <x v="0"/>
    <n v="744"/>
    <n v="0.2"/>
    <n v="564.21"/>
    <n v="0.3"/>
    <n v="759.06"/>
    <n v="0.4"/>
    <n v="8"/>
    <n v="79.34"/>
    <n v="36"/>
    <n v="0"/>
    <n v="0"/>
    <n v="2029.84"/>
    <x v="1"/>
    <n v="1056.33"/>
    <x v="8"/>
    <x v="2"/>
    <n v="9.9"/>
    <s v="Low"/>
    <n v="0"/>
    <n v="0"/>
  </r>
  <r>
    <x v="5"/>
    <x v="3"/>
    <n v="1221"/>
    <n v="4360.78"/>
    <n v="2002.82"/>
    <n v="2357.96"/>
    <n v="0.46"/>
    <n v="0.1"/>
    <n v="2071.66"/>
    <x v="2"/>
    <n v="742"/>
    <n v="0.44"/>
    <n v="484.97"/>
    <n v="0.11"/>
    <n v="167.99"/>
    <n v="0.04"/>
    <n v="4"/>
    <n v="1072.42"/>
    <n v="49"/>
    <n v="0"/>
    <n v="303.33999999999997"/>
    <n v="2540.16"/>
    <x v="1"/>
    <n v="300"/>
    <x v="5"/>
    <x v="0"/>
    <n v="31.4"/>
    <s v="Low"/>
    <n v="2357.96"/>
    <n v="1"/>
  </r>
  <r>
    <x v="5"/>
    <x v="3"/>
    <n v="1808"/>
    <n v="4802.6400000000003"/>
    <n v="2572.23"/>
    <n v="2230.41"/>
    <n v="0.54"/>
    <n v="0.32"/>
    <n v="2511.17"/>
    <x v="2"/>
    <n v="695"/>
    <n v="0.6"/>
    <n v="827.88"/>
    <n v="0.17"/>
    <n v="121.08"/>
    <n v="0.03"/>
    <n v="5"/>
    <n v="1537.94"/>
    <n v="69"/>
    <n v="0"/>
    <n v="460.5"/>
    <n v="3001.88"/>
    <x v="1"/>
    <n v="1397.86"/>
    <x v="4"/>
    <x v="2"/>
    <n v="5.7"/>
    <s v="High"/>
    <n v="2230.41"/>
    <n v="0"/>
  </r>
  <r>
    <x v="5"/>
    <x v="3"/>
    <n v="1752"/>
    <n v="3889.28"/>
    <n v="1786.17"/>
    <n v="2103.11"/>
    <n v="0.46"/>
    <n v="0.22"/>
    <n v="3815.38"/>
    <x v="1"/>
    <n v="698"/>
    <n v="0.44"/>
    <n v="211.15"/>
    <n v="0.05"/>
    <n v="285.14999999999998"/>
    <n v="7.0000000000000007E-2"/>
    <n v="2"/>
    <n v="774.85"/>
    <n v="42"/>
    <n v="0"/>
    <n v="597.04"/>
    <n v="2463"/>
    <x v="0"/>
    <n v="855.74"/>
    <x v="9"/>
    <x v="0"/>
    <n v="63.4"/>
    <s v="Medium"/>
    <n v="2103.11"/>
    <n v="0"/>
  </r>
  <r>
    <x v="5"/>
    <x v="3"/>
    <n v="1042"/>
    <n v="3641.88"/>
    <n v="3267.77"/>
    <n v="374.11"/>
    <n v="0.9"/>
    <n v="0.05"/>
    <n v="2862.18"/>
    <x v="0"/>
    <n v="688"/>
    <n v="0.33"/>
    <n v="379.18"/>
    <n v="0.1"/>
    <n v="354.98"/>
    <n v="0.1"/>
    <n v="4"/>
    <n v="809.5"/>
    <n v="85"/>
    <n v="0"/>
    <n v="350.23"/>
    <n v="1851.59"/>
    <x v="1"/>
    <n v="701.31"/>
    <x v="5"/>
    <x v="1"/>
    <n v="98.9"/>
    <s v="Medium"/>
    <n v="374.11"/>
    <n v="0"/>
  </r>
  <r>
    <x v="5"/>
    <x v="3"/>
    <n v="1524"/>
    <n v="4396.9799999999996"/>
    <n v="2730.88"/>
    <n v="1666.1"/>
    <n v="0.62"/>
    <n v="7.0000000000000007E-2"/>
    <n v="2800.15"/>
    <x v="0"/>
    <n v="641"/>
    <n v="0.6"/>
    <n v="491.36"/>
    <n v="0.11"/>
    <n v="0"/>
    <n v="0"/>
    <n v="6"/>
    <n v="1504.6"/>
    <n v="82"/>
    <n v="0"/>
    <n v="348.39"/>
    <n v="3055.35"/>
    <x v="1"/>
    <n v="1096.73"/>
    <x v="5"/>
    <x v="0"/>
    <n v="71.900000000000006"/>
    <s v="High"/>
    <n v="1666.1"/>
    <n v="0"/>
  </r>
  <r>
    <x v="5"/>
    <x v="3"/>
    <n v="1040"/>
    <n v="2683.18"/>
    <n v="4510.74"/>
    <n v="-1827.56"/>
    <n v="1.68"/>
    <n v="0.28999999999999998"/>
    <n v="3209.61"/>
    <x v="0"/>
    <n v="667"/>
    <n v="0.26"/>
    <n v="554.46"/>
    <n v="0.21"/>
    <n v="758.19"/>
    <n v="0.28000000000000003"/>
    <n v="5"/>
    <n v="1762.8"/>
    <n v="21"/>
    <n v="0"/>
    <n v="439.12"/>
    <n v="1752.61"/>
    <x v="1"/>
    <n v="1000.31"/>
    <x v="9"/>
    <x v="0"/>
    <n v="35.1"/>
    <s v="Medium"/>
    <n v="0"/>
    <n v="0"/>
  </r>
  <r>
    <x v="5"/>
    <x v="3"/>
    <n v="1808"/>
    <n v="6382.64"/>
    <n v="3624.26"/>
    <n v="2758.38"/>
    <n v="0.56999999999999995"/>
    <n v="0.27"/>
    <n v="2408.9499999999998"/>
    <x v="0"/>
    <n v="678"/>
    <n v="0.57999999999999996"/>
    <n v="333.32"/>
    <n v="0.05"/>
    <n v="552.91999999999996"/>
    <n v="0.09"/>
    <n v="8"/>
    <n v="404.35"/>
    <n v="63"/>
    <n v="0"/>
    <n v="635.82000000000005"/>
    <n v="2973.79"/>
    <x v="1"/>
    <n v="1178.43"/>
    <x v="2"/>
    <x v="2"/>
    <n v="37.799999999999997"/>
    <s v="Medium"/>
    <n v="2758.38"/>
    <n v="1"/>
  </r>
  <r>
    <x v="5"/>
    <x v="3"/>
    <n v="1791"/>
    <n v="4093.76"/>
    <n v="2343.0500000000002"/>
    <n v="1750.71"/>
    <n v="0.56999999999999995"/>
    <n v="0.25"/>
    <n v="2338.7600000000002"/>
    <x v="1"/>
    <n v="694"/>
    <n v="0.22"/>
    <n v="660.9"/>
    <n v="0.16"/>
    <n v="31.6"/>
    <n v="0.01"/>
    <n v="6"/>
    <n v="409.42"/>
    <n v="42"/>
    <n v="0"/>
    <n v="636.04"/>
    <n v="1949.62"/>
    <x v="1"/>
    <n v="1478.35"/>
    <x v="7"/>
    <x v="1"/>
    <n v="83.6"/>
    <s v="Low"/>
    <n v="1750.71"/>
    <n v="0"/>
  </r>
  <r>
    <x v="5"/>
    <x v="3"/>
    <n v="1244"/>
    <n v="5969.4"/>
    <n v="2768.71"/>
    <n v="3200.69"/>
    <n v="0.46"/>
    <n v="0.28999999999999998"/>
    <n v="2899.07"/>
    <x v="0"/>
    <n v="631"/>
    <n v="0.34"/>
    <n v="570.72"/>
    <n v="0.1"/>
    <n v="275.68"/>
    <n v="0.05"/>
    <n v="2"/>
    <n v="676.38"/>
    <n v="52"/>
    <n v="0"/>
    <n v="661"/>
    <n v="2641.31"/>
    <x v="1"/>
    <n v="1395.43"/>
    <x v="7"/>
    <x v="0"/>
    <n v="14.5"/>
    <s v="Medium"/>
    <n v="3200.69"/>
    <n v="1"/>
  </r>
  <r>
    <x v="5"/>
    <x v="3"/>
    <n v="1926"/>
    <n v="4766.74"/>
    <n v="2244.08"/>
    <n v="2522.66"/>
    <n v="0.47"/>
    <n v="0.33"/>
    <n v="3137.3"/>
    <x v="2"/>
    <n v="743"/>
    <n v="0.45"/>
    <n v="688.97"/>
    <n v="0.14000000000000001"/>
    <n v="265.88"/>
    <n v="0.06"/>
    <n v="7"/>
    <n v="881.43"/>
    <n v="75"/>
    <n v="0"/>
    <n v="758.13"/>
    <n v="2056.48"/>
    <x v="1"/>
    <n v="1110.6199999999999"/>
    <x v="0"/>
    <x v="2"/>
    <n v="26.6"/>
    <s v="High"/>
    <n v="2522.66"/>
    <n v="0"/>
  </r>
  <r>
    <x v="5"/>
    <x v="3"/>
    <n v="1921"/>
    <n v="2889.92"/>
    <n v="4189.1499999999996"/>
    <n v="-1299.23"/>
    <n v="1.45"/>
    <n v="0.25"/>
    <n v="2757.7"/>
    <x v="2"/>
    <n v="642"/>
    <n v="0.59"/>
    <n v="543.53"/>
    <n v="0.19"/>
    <n v="681.78"/>
    <n v="0.24"/>
    <n v="5"/>
    <n v="706.22"/>
    <n v="39"/>
    <n v="0"/>
    <n v="422.9"/>
    <n v="1770.25"/>
    <x v="1"/>
    <n v="2000.8"/>
    <x v="7"/>
    <x v="0"/>
    <n v="38.200000000000003"/>
    <s v="Medium"/>
    <n v="0"/>
    <n v="0"/>
  </r>
  <r>
    <x v="5"/>
    <x v="3"/>
    <n v="1770"/>
    <n v="3799.41"/>
    <n v="3409.29"/>
    <n v="390.12"/>
    <n v="0.9"/>
    <n v="0.21"/>
    <n v="2103.96"/>
    <x v="2"/>
    <n v="766"/>
    <n v="0.32"/>
    <n v="265.73"/>
    <n v="7.0000000000000007E-2"/>
    <n v="85.76"/>
    <n v="0.02"/>
    <n v="3"/>
    <n v="916.19"/>
    <n v="63"/>
    <n v="0"/>
    <n v="507.46"/>
    <n v="2766.98"/>
    <x v="1"/>
    <n v="1219.1600000000001"/>
    <x v="5"/>
    <x v="0"/>
    <n v="19.8"/>
    <s v="High"/>
    <n v="390.12"/>
    <n v="0"/>
  </r>
  <r>
    <x v="5"/>
    <x v="3"/>
    <n v="1137"/>
    <n v="5257.3"/>
    <n v="2692.63"/>
    <n v="2564.67"/>
    <n v="0.51"/>
    <n v="0.37"/>
    <n v="2947.28"/>
    <x v="1"/>
    <n v="641"/>
    <n v="0.41"/>
    <n v="849.24"/>
    <n v="0.16"/>
    <n v="305.7"/>
    <n v="0.06"/>
    <n v="3"/>
    <n v="1360.73"/>
    <n v="64"/>
    <n v="0"/>
    <n v="440.41"/>
    <n v="1000"/>
    <x v="1"/>
    <n v="959.47"/>
    <x v="6"/>
    <x v="1"/>
    <n v="6.9"/>
    <s v="Low"/>
    <n v="2564.67"/>
    <n v="0"/>
  </r>
  <r>
    <x v="5"/>
    <x v="3"/>
    <n v="1823"/>
    <n v="4179.8500000000004"/>
    <n v="3932.85"/>
    <n v="247"/>
    <n v="0.94"/>
    <n v="0.4"/>
    <n v="1738.12"/>
    <x v="0"/>
    <n v="720"/>
    <n v="0.21"/>
    <n v="771.58"/>
    <n v="0.18"/>
    <n v="608.66999999999996"/>
    <n v="0.15"/>
    <n v="7"/>
    <n v="1210.8499999999999"/>
    <n v="62"/>
    <n v="0"/>
    <n v="363.47"/>
    <n v="2240.85"/>
    <x v="0"/>
    <n v="971.09"/>
    <x v="3"/>
    <x v="0"/>
    <n v="22.6"/>
    <s v="Low"/>
    <n v="247"/>
    <n v="0"/>
  </r>
  <r>
    <x v="5"/>
    <x v="3"/>
    <n v="1235"/>
    <n v="4669.49"/>
    <n v="3843.57"/>
    <n v="825.92"/>
    <n v="0.82"/>
    <n v="0.2"/>
    <n v="3047.8"/>
    <x v="1"/>
    <n v="684"/>
    <n v="0.18"/>
    <n v="775.78"/>
    <n v="0.17"/>
    <n v="278.06"/>
    <n v="0.06"/>
    <n v="2"/>
    <n v="1343.79"/>
    <n v="30"/>
    <n v="0"/>
    <n v="253.75"/>
    <n v="2247.09"/>
    <x v="1"/>
    <n v="1555.31"/>
    <x v="2"/>
    <x v="0"/>
    <n v="90.4"/>
    <s v="Low"/>
    <n v="825.92"/>
    <n v="0"/>
  </r>
  <r>
    <x v="5"/>
    <x v="3"/>
    <n v="1966"/>
    <n v="3675.2"/>
    <n v="3902.33"/>
    <n v="-227.13"/>
    <n v="1.06"/>
    <n v="0.28000000000000003"/>
    <n v="2238.5500000000002"/>
    <x v="1"/>
    <n v="679"/>
    <n v="0.15"/>
    <n v="776.27"/>
    <n v="0.21"/>
    <n v="234.98"/>
    <n v="0.06"/>
    <n v="8"/>
    <n v="719.25"/>
    <n v="41"/>
    <n v="0"/>
    <n v="492.36"/>
    <n v="1000"/>
    <x v="0"/>
    <n v="1380.34"/>
    <x v="7"/>
    <x v="0"/>
    <n v="30.9"/>
    <s v="Medium"/>
    <n v="0"/>
    <n v="0"/>
  </r>
  <r>
    <x v="5"/>
    <x v="3"/>
    <n v="1687"/>
    <n v="5172.46"/>
    <n v="2432.64"/>
    <n v="2739.82"/>
    <n v="0.47"/>
    <n v="0.06"/>
    <n v="3207.88"/>
    <x v="1"/>
    <n v="678"/>
    <n v="0.42"/>
    <n v="550.08000000000004"/>
    <n v="0.11"/>
    <n v="377.11"/>
    <n v="7.0000000000000007E-2"/>
    <n v="2"/>
    <n v="1326.76"/>
    <n v="92"/>
    <n v="0"/>
    <n v="689.88"/>
    <n v="3244.39"/>
    <x v="1"/>
    <n v="470.19"/>
    <x v="2"/>
    <x v="0"/>
    <n v="4.5999999999999996"/>
    <s v="High"/>
    <n v="2739.82"/>
    <n v="0"/>
  </r>
  <r>
    <x v="5"/>
    <x v="3"/>
    <n v="1153"/>
    <n v="2418.33"/>
    <n v="3270.89"/>
    <n v="-852.56"/>
    <n v="1.35"/>
    <n v="0.26"/>
    <n v="3282.14"/>
    <x v="2"/>
    <n v="648"/>
    <n v="0.47"/>
    <n v="448.88"/>
    <n v="0.19"/>
    <n v="271.33"/>
    <n v="0.11"/>
    <n v="8"/>
    <n v="981.3"/>
    <n v="77"/>
    <n v="0"/>
    <n v="905.31"/>
    <n v="2731.44"/>
    <x v="2"/>
    <n v="1183.99"/>
    <x v="3"/>
    <x v="2"/>
    <n v="64.599999999999994"/>
    <s v="High"/>
    <n v="0"/>
    <n v="0"/>
  </r>
  <r>
    <x v="5"/>
    <x v="3"/>
    <n v="1251"/>
    <n v="2439.8200000000002"/>
    <n v="2531.33"/>
    <n v="-91.51"/>
    <n v="1.04"/>
    <n v="0.28000000000000003"/>
    <n v="3031.39"/>
    <x v="1"/>
    <n v="667"/>
    <n v="0.54"/>
    <n v="764.21"/>
    <n v="0.31"/>
    <n v="596.92999999999995"/>
    <n v="0.24"/>
    <n v="6"/>
    <n v="994.2"/>
    <n v="29"/>
    <n v="0"/>
    <n v="414.44"/>
    <n v="2902.04"/>
    <x v="1"/>
    <n v="1130.55"/>
    <x v="6"/>
    <x v="2"/>
    <n v="10.6"/>
    <s v="Low"/>
    <n v="0"/>
    <n v="0"/>
  </r>
  <r>
    <x v="5"/>
    <x v="3"/>
    <n v="1663"/>
    <n v="3016.72"/>
    <n v="2316.85"/>
    <n v="699.87"/>
    <n v="0.77"/>
    <n v="0.13"/>
    <n v="2492.4699999999998"/>
    <x v="2"/>
    <n v="686"/>
    <n v="0.15"/>
    <n v="714.47"/>
    <n v="0.24"/>
    <n v="598.04"/>
    <n v="0.2"/>
    <n v="3"/>
    <n v="781.78"/>
    <n v="36"/>
    <n v="0"/>
    <n v="707.18"/>
    <n v="3208.11"/>
    <x v="1"/>
    <n v="1825.61"/>
    <x v="3"/>
    <x v="0"/>
    <n v="5.3"/>
    <s v="Low"/>
    <n v="699.87"/>
    <n v="0"/>
  </r>
  <r>
    <x v="5"/>
    <x v="3"/>
    <n v="1289"/>
    <n v="4551.3999999999996"/>
    <n v="3540.8"/>
    <n v="1010.6"/>
    <n v="0.78"/>
    <n v="0.09"/>
    <n v="3929.6"/>
    <x v="1"/>
    <n v="639"/>
    <n v="0.28999999999999998"/>
    <n v="789.04"/>
    <n v="0.17"/>
    <n v="523.47"/>
    <n v="0.12"/>
    <n v="6"/>
    <n v="1074.8599999999999"/>
    <n v="85"/>
    <n v="0"/>
    <n v="488.86"/>
    <n v="1996.04"/>
    <x v="0"/>
    <n v="1359.26"/>
    <x v="8"/>
    <x v="0"/>
    <n v="99"/>
    <s v="Low"/>
    <n v="1010.6"/>
    <n v="0"/>
  </r>
  <r>
    <x v="5"/>
    <x v="3"/>
    <n v="1179"/>
    <n v="5396.13"/>
    <n v="2530.6999999999998"/>
    <n v="2865.43"/>
    <n v="0.47"/>
    <n v="0.36"/>
    <n v="2698.83"/>
    <x v="2"/>
    <n v="604"/>
    <n v="0.14000000000000001"/>
    <n v="562.63"/>
    <n v="0.1"/>
    <n v="369.02"/>
    <n v="7.0000000000000007E-2"/>
    <n v="2"/>
    <n v="1410.81"/>
    <n v="56"/>
    <n v="0"/>
    <n v="391.64"/>
    <n v="2880.23"/>
    <x v="1"/>
    <n v="593.82000000000005"/>
    <x v="6"/>
    <x v="1"/>
    <n v="55.1"/>
    <s v="Medium"/>
    <n v="2865.43"/>
    <n v="1"/>
  </r>
  <r>
    <x v="5"/>
    <x v="3"/>
    <n v="1750"/>
    <n v="3947.15"/>
    <n v="3338.3"/>
    <n v="608.85"/>
    <n v="0.85"/>
    <n v="0.18"/>
    <n v="2609.58"/>
    <x v="2"/>
    <n v="710"/>
    <n v="0.14000000000000001"/>
    <n v="199.47"/>
    <n v="0.05"/>
    <n v="670.2"/>
    <n v="0.17"/>
    <n v="8"/>
    <n v="518.92999999999995"/>
    <n v="67"/>
    <n v="0"/>
    <n v="340.24"/>
    <n v="1000"/>
    <x v="1"/>
    <n v="562.63"/>
    <x v="2"/>
    <x v="0"/>
    <n v="82.3"/>
    <s v="Low"/>
    <n v="608.85"/>
    <n v="0"/>
  </r>
  <r>
    <x v="5"/>
    <x v="3"/>
    <n v="1919"/>
    <n v="3911.17"/>
    <n v="2421.84"/>
    <n v="1489.33"/>
    <n v="0.62"/>
    <n v="0.25"/>
    <n v="3203.99"/>
    <x v="1"/>
    <n v="721"/>
    <n v="0.47"/>
    <n v="545.84"/>
    <n v="0.14000000000000001"/>
    <n v="426.5"/>
    <n v="0.11"/>
    <n v="4"/>
    <n v="984.89"/>
    <n v="94"/>
    <n v="0"/>
    <n v="505.98"/>
    <n v="2212.8000000000002"/>
    <x v="2"/>
    <n v="1256.08"/>
    <x v="4"/>
    <x v="0"/>
    <n v="53.6"/>
    <s v="Low"/>
    <n v="1489.33"/>
    <n v="0"/>
  </r>
  <r>
    <x v="5"/>
    <x v="3"/>
    <n v="1799"/>
    <n v="3367.67"/>
    <n v="3027.11"/>
    <n v="340.56"/>
    <n v="0.9"/>
    <n v="0.23"/>
    <n v="2407.37"/>
    <x v="1"/>
    <n v="644"/>
    <n v="0.16"/>
    <n v="506.29"/>
    <n v="0.15"/>
    <n v="175.71"/>
    <n v="0.05"/>
    <n v="6"/>
    <n v="1058.45"/>
    <n v="25"/>
    <n v="0"/>
    <n v="114.41"/>
    <n v="2207.73"/>
    <x v="1"/>
    <n v="946.44"/>
    <x v="0"/>
    <x v="2"/>
    <n v="26.9"/>
    <s v="Low"/>
    <n v="340.56"/>
    <n v="0"/>
  </r>
  <r>
    <x v="5"/>
    <x v="3"/>
    <n v="1193"/>
    <n v="3710.13"/>
    <n v="1511.35"/>
    <n v="2198.7800000000002"/>
    <n v="0.41"/>
    <n v="0.11"/>
    <n v="1994.69"/>
    <x v="1"/>
    <n v="721"/>
    <n v="0.38"/>
    <n v="668.29"/>
    <n v="0.18"/>
    <n v="133.91"/>
    <n v="0.04"/>
    <n v="4"/>
    <n v="328.35"/>
    <n v="72"/>
    <n v="0"/>
    <n v="553.63"/>
    <n v="1222.33"/>
    <x v="1"/>
    <n v="1453.74"/>
    <x v="5"/>
    <x v="2"/>
    <n v="30.3"/>
    <s v="Low"/>
    <n v="2198.7800000000002"/>
    <n v="1"/>
  </r>
  <r>
    <x v="5"/>
    <x v="3"/>
    <n v="1992"/>
    <n v="3889.21"/>
    <n v="1489.52"/>
    <n v="2399.69"/>
    <n v="0.38"/>
    <n v="0.06"/>
    <n v="3107.3"/>
    <x v="1"/>
    <n v="724"/>
    <n v="0.59"/>
    <n v="748.09"/>
    <n v="0.19"/>
    <n v="599.48"/>
    <n v="0.15"/>
    <n v="5"/>
    <n v="649.59"/>
    <n v="47"/>
    <n v="0"/>
    <n v="529.16999999999996"/>
    <n v="1529.19"/>
    <x v="1"/>
    <n v="1360.74"/>
    <x v="0"/>
    <x v="0"/>
    <n v="75.400000000000006"/>
    <s v="High"/>
    <n v="2399.69"/>
    <n v="0"/>
  </r>
  <r>
    <x v="5"/>
    <x v="3"/>
    <n v="1269"/>
    <n v="4175.6400000000003"/>
    <n v="2722.13"/>
    <n v="1453.51"/>
    <n v="0.65"/>
    <n v="0.27"/>
    <n v="3603.5"/>
    <x v="2"/>
    <n v="682"/>
    <n v="0.23"/>
    <n v="775.25"/>
    <n v="0.19"/>
    <n v="294.82"/>
    <n v="7.0000000000000007E-2"/>
    <n v="6"/>
    <n v="683.49"/>
    <n v="69"/>
    <n v="0"/>
    <n v="492.24"/>
    <n v="2185.63"/>
    <x v="1"/>
    <n v="1305.1199999999999"/>
    <x v="6"/>
    <x v="2"/>
    <n v="17.3"/>
    <s v="Medium"/>
    <n v="1453.51"/>
    <n v="0"/>
  </r>
  <r>
    <x v="5"/>
    <x v="3"/>
    <n v="1009"/>
    <n v="3198.29"/>
    <n v="3076.64"/>
    <n v="121.65"/>
    <n v="0.96"/>
    <n v="0.38"/>
    <n v="2749.89"/>
    <x v="1"/>
    <n v="734"/>
    <n v="0.25"/>
    <n v="577.04"/>
    <n v="0.18"/>
    <n v="786.77"/>
    <n v="0.25"/>
    <n v="8"/>
    <n v="659.27"/>
    <n v="38"/>
    <n v="0"/>
    <n v="648.9"/>
    <n v="2602.84"/>
    <x v="1"/>
    <n v="369.75"/>
    <x v="8"/>
    <x v="2"/>
    <n v="27.2"/>
    <s v="High"/>
    <n v="121.65"/>
    <n v="0"/>
  </r>
  <r>
    <x v="5"/>
    <x v="3"/>
    <n v="1512"/>
    <n v="6568.53"/>
    <n v="3630.21"/>
    <n v="2938.32"/>
    <n v="0.55000000000000004"/>
    <n v="0.22"/>
    <n v="2822.82"/>
    <x v="1"/>
    <n v="724"/>
    <n v="0.45"/>
    <n v="634.16"/>
    <n v="0.1"/>
    <n v="439.86"/>
    <n v="7.0000000000000007E-2"/>
    <n v="1"/>
    <n v="1098.1099999999999"/>
    <n v="38"/>
    <n v="0"/>
    <n v="727.24"/>
    <n v="3002.07"/>
    <x v="1"/>
    <n v="1249.93"/>
    <x v="2"/>
    <x v="0"/>
    <n v="48.7"/>
    <s v="Medium"/>
    <n v="2938.32"/>
    <n v="1"/>
  </r>
  <r>
    <x v="5"/>
    <x v="3"/>
    <n v="1398"/>
    <n v="3385.86"/>
    <n v="3183.63"/>
    <n v="202.23"/>
    <n v="0.94"/>
    <n v="0.19"/>
    <n v="3148.88"/>
    <x v="1"/>
    <n v="681"/>
    <n v="0.39"/>
    <n v="365.82"/>
    <n v="0.11"/>
    <n v="184.79"/>
    <n v="0.05"/>
    <n v="5"/>
    <n v="649.75"/>
    <n v="29"/>
    <n v="0"/>
    <n v="383.86"/>
    <n v="2559.81"/>
    <x v="1"/>
    <n v="1401.25"/>
    <x v="4"/>
    <x v="0"/>
    <n v="25.4"/>
    <s v="Medium"/>
    <n v="202.23"/>
    <n v="0"/>
  </r>
  <r>
    <x v="5"/>
    <x v="3"/>
    <n v="1906"/>
    <n v="3215.39"/>
    <n v="3117.77"/>
    <n v="97.62"/>
    <n v="0.97"/>
    <n v="0.2"/>
    <n v="3782.17"/>
    <x v="0"/>
    <n v="685"/>
    <n v="0.26"/>
    <n v="333.57"/>
    <n v="0.1"/>
    <n v="76.260000000000005"/>
    <n v="0.02"/>
    <n v="8"/>
    <n v="1070.4000000000001"/>
    <n v="51"/>
    <n v="0"/>
    <n v="530.47"/>
    <n v="2178.84"/>
    <x v="1"/>
    <n v="1087.8"/>
    <x v="9"/>
    <x v="0"/>
    <n v="97"/>
    <s v="Low"/>
    <n v="97.62"/>
    <n v="0"/>
  </r>
  <r>
    <x v="5"/>
    <x v="3"/>
    <n v="1500"/>
    <n v="6058.97"/>
    <n v="2063.44"/>
    <n v="3995.53"/>
    <n v="0.34"/>
    <n v="7.0000000000000007E-2"/>
    <n v="2635.5"/>
    <x v="0"/>
    <n v="737"/>
    <n v="0.54"/>
    <n v="546.9"/>
    <n v="0.09"/>
    <n v="579.38"/>
    <n v="0.1"/>
    <n v="5"/>
    <n v="315.95"/>
    <n v="32"/>
    <n v="0"/>
    <n v="300.7"/>
    <n v="2140.6999999999998"/>
    <x v="0"/>
    <n v="1165.1099999999999"/>
    <x v="2"/>
    <x v="0"/>
    <n v="19.399999999999999"/>
    <s v="High"/>
    <n v="3995.53"/>
    <n v="1"/>
  </r>
  <r>
    <x v="5"/>
    <x v="3"/>
    <n v="1769"/>
    <n v="4500.5200000000004"/>
    <n v="3317.74"/>
    <n v="1182.78"/>
    <n v="0.74"/>
    <n v="0.06"/>
    <n v="2879.86"/>
    <x v="1"/>
    <n v="628"/>
    <n v="0.35"/>
    <n v="471.32"/>
    <n v="0.1"/>
    <n v="492.98"/>
    <n v="0.11"/>
    <n v="6"/>
    <n v="1553.79"/>
    <n v="92"/>
    <n v="0"/>
    <n v="263.33999999999997"/>
    <n v="2975.82"/>
    <x v="1"/>
    <n v="1636.5"/>
    <x v="4"/>
    <x v="0"/>
    <n v="24.4"/>
    <s v="Low"/>
    <n v="1182.78"/>
    <n v="0"/>
  </r>
  <r>
    <x v="5"/>
    <x v="3"/>
    <n v="1954"/>
    <n v="3393.87"/>
    <n v="1795.98"/>
    <n v="1597.89"/>
    <n v="0.53"/>
    <n v="0.25"/>
    <n v="1835.81"/>
    <x v="0"/>
    <n v="557"/>
    <n v="0.56000000000000005"/>
    <n v="388.77"/>
    <n v="0.11"/>
    <n v="454.03"/>
    <n v="0.13"/>
    <n v="1"/>
    <n v="1012.83"/>
    <n v="79"/>
    <n v="0"/>
    <n v="736.27"/>
    <n v="2560.5700000000002"/>
    <x v="1"/>
    <n v="1571.43"/>
    <x v="4"/>
    <x v="0"/>
    <n v="63.2"/>
    <s v="Low"/>
    <n v="1597.89"/>
    <n v="0"/>
  </r>
  <r>
    <x v="5"/>
    <x v="3"/>
    <n v="1635"/>
    <n v="4744.8500000000004"/>
    <n v="3129.47"/>
    <n v="1615.38"/>
    <n v="0.66"/>
    <n v="0.38"/>
    <n v="2529.9899999999998"/>
    <x v="1"/>
    <n v="600"/>
    <n v="0.13"/>
    <n v="527.17999999999995"/>
    <n v="0.11"/>
    <n v="542.16"/>
    <n v="0.11"/>
    <n v="2"/>
    <n v="1279.96"/>
    <n v="31"/>
    <n v="0"/>
    <n v="102.14"/>
    <n v="1980.02"/>
    <x v="1"/>
    <n v="1114.93"/>
    <x v="0"/>
    <x v="1"/>
    <n v="27"/>
    <s v="Medium"/>
    <n v="1615.38"/>
    <n v="0"/>
  </r>
  <r>
    <x v="5"/>
    <x v="3"/>
    <n v="1196"/>
    <n v="3306.65"/>
    <n v="2961.81"/>
    <n v="344.84"/>
    <n v="0.9"/>
    <n v="0.08"/>
    <n v="2810.29"/>
    <x v="1"/>
    <n v="675"/>
    <n v="0.28000000000000003"/>
    <n v="572.86"/>
    <n v="0.17"/>
    <n v="505.5"/>
    <n v="0.15"/>
    <n v="8"/>
    <n v="381.89"/>
    <n v="61"/>
    <n v="0"/>
    <n v="842.97"/>
    <n v="1299.08"/>
    <x v="1"/>
    <n v="1291.96"/>
    <x v="8"/>
    <x v="1"/>
    <n v="2.2999999999999998"/>
    <s v="Medium"/>
    <n v="344.84"/>
    <n v="0"/>
  </r>
  <r>
    <x v="5"/>
    <x v="3"/>
    <n v="1443"/>
    <n v="3451.76"/>
    <n v="1246.26"/>
    <n v="2205.5"/>
    <n v="0.36"/>
    <n v="0.13"/>
    <n v="2080.15"/>
    <x v="1"/>
    <n v="661"/>
    <n v="0.53"/>
    <n v="559.79999999999995"/>
    <n v="0.16"/>
    <n v="220.11"/>
    <n v="0.06"/>
    <n v="4"/>
    <n v="1191.3599999999999"/>
    <n v="81"/>
    <n v="0"/>
    <n v="652.79999999999995"/>
    <n v="2646.93"/>
    <x v="1"/>
    <n v="1063.3399999999999"/>
    <x v="7"/>
    <x v="0"/>
    <n v="81.3"/>
    <s v="Low"/>
    <n v="2205.5"/>
    <n v="1"/>
  </r>
  <r>
    <x v="5"/>
    <x v="3"/>
    <n v="1103"/>
    <n v="4449.16"/>
    <n v="2932.84"/>
    <n v="1516.32"/>
    <n v="0.66"/>
    <n v="0.1"/>
    <n v="3124.74"/>
    <x v="0"/>
    <n v="709"/>
    <n v="0.37"/>
    <n v="685.28"/>
    <n v="0.15"/>
    <n v="624.05999999999995"/>
    <n v="0.14000000000000001"/>
    <n v="6"/>
    <n v="0"/>
    <n v="93"/>
    <n v="0"/>
    <n v="768.56"/>
    <n v="1516.18"/>
    <x v="1"/>
    <n v="1112.05"/>
    <x v="6"/>
    <x v="0"/>
    <n v="59.1"/>
    <s v="Low"/>
    <n v="1516.32"/>
    <n v="0"/>
  </r>
  <r>
    <x v="5"/>
    <x v="3"/>
    <n v="1574"/>
    <n v="3391.05"/>
    <n v="1889.03"/>
    <n v="1502.02"/>
    <n v="0.56000000000000005"/>
    <n v="0.36"/>
    <n v="2795.75"/>
    <x v="0"/>
    <n v="685"/>
    <n v="0.47"/>
    <n v="165.18"/>
    <n v="0.05"/>
    <n v="924.16"/>
    <n v="0.27"/>
    <n v="6"/>
    <n v="636.16999999999996"/>
    <n v="91"/>
    <n v="0"/>
    <n v="528.42999999999995"/>
    <n v="2799.05"/>
    <x v="1"/>
    <n v="835.42"/>
    <x v="2"/>
    <x v="0"/>
    <n v="87.1"/>
    <s v="Medium"/>
    <n v="1502.02"/>
    <n v="0"/>
  </r>
  <r>
    <x v="5"/>
    <x v="3"/>
    <n v="1414"/>
    <n v="5293.31"/>
    <n v="2841.84"/>
    <n v="2451.4699999999998"/>
    <n v="0.54"/>
    <n v="0.13"/>
    <n v="3132.23"/>
    <x v="0"/>
    <n v="650"/>
    <n v="0.15"/>
    <n v="563.19000000000005"/>
    <n v="0.11"/>
    <n v="0"/>
    <n v="0"/>
    <n v="9"/>
    <n v="1397.58"/>
    <n v="61"/>
    <n v="0"/>
    <n v="330.68"/>
    <n v="2161.19"/>
    <x v="1"/>
    <n v="1812.33"/>
    <x v="1"/>
    <x v="0"/>
    <n v="47.6"/>
    <s v="Low"/>
    <n v="2451.4699999999998"/>
    <n v="0"/>
  </r>
  <r>
    <x v="6"/>
    <x v="4"/>
    <n v="1194"/>
    <n v="4145.45"/>
    <n v="3035.61"/>
    <n v="1109.8399999999999"/>
    <n v="0.73"/>
    <n v="0.15"/>
    <n v="2215.8000000000002"/>
    <x v="1"/>
    <n v="683"/>
    <n v="0.3"/>
    <n v="609.88"/>
    <n v="0.15"/>
    <n v="730.42"/>
    <n v="0.18"/>
    <n v="8"/>
    <n v="995.12"/>
    <n v="69"/>
    <n v="0"/>
    <n v="443.5"/>
    <n v="2860.3"/>
    <x v="0"/>
    <n v="637.04"/>
    <x v="3"/>
    <x v="0"/>
    <n v="74.7"/>
    <s v="High"/>
    <n v="1109.8399999999999"/>
    <n v="0"/>
  </r>
  <r>
    <x v="6"/>
    <x v="4"/>
    <n v="1483"/>
    <n v="4533.6499999999996"/>
    <n v="3390.89"/>
    <n v="1142.76"/>
    <n v="0.75"/>
    <n v="0.16"/>
    <n v="2109.21"/>
    <x v="1"/>
    <n v="658"/>
    <n v="0.27"/>
    <n v="568.54"/>
    <n v="0.13"/>
    <n v="122.02"/>
    <n v="0.03"/>
    <n v="7"/>
    <n v="1332.26"/>
    <n v="84"/>
    <n v="0"/>
    <n v="870.45"/>
    <n v="3362.31"/>
    <x v="2"/>
    <n v="2114.2199999999998"/>
    <x v="0"/>
    <x v="1"/>
    <n v="25.8"/>
    <s v="High"/>
    <n v="1142.76"/>
    <n v="0"/>
  </r>
  <r>
    <x v="6"/>
    <x v="4"/>
    <n v="1461"/>
    <n v="2598.15"/>
    <n v="3477.97"/>
    <n v="-879.82"/>
    <n v="1.34"/>
    <n v="0.25"/>
    <n v="3019.66"/>
    <x v="1"/>
    <n v="666"/>
    <n v="0.48"/>
    <n v="450.99"/>
    <n v="0.17"/>
    <n v="752.74"/>
    <n v="0.28999999999999998"/>
    <n v="6"/>
    <n v="435.09"/>
    <n v="94"/>
    <n v="0"/>
    <n v="679.7"/>
    <n v="2740.24"/>
    <x v="1"/>
    <n v="1321.52"/>
    <x v="4"/>
    <x v="0"/>
    <n v="64.3"/>
    <s v="Medium"/>
    <n v="0"/>
    <n v="0"/>
  </r>
  <r>
    <x v="6"/>
    <x v="4"/>
    <n v="1295"/>
    <n v="3797.07"/>
    <n v="3606.88"/>
    <n v="190.19"/>
    <n v="0.95"/>
    <n v="0.39"/>
    <n v="2300.44"/>
    <x v="1"/>
    <n v="736"/>
    <n v="0.2"/>
    <n v="382.19"/>
    <n v="0.1"/>
    <n v="903.44"/>
    <n v="0.24"/>
    <n v="1"/>
    <n v="39.229999999999997"/>
    <n v="80"/>
    <n v="0"/>
    <n v="643.59"/>
    <n v="2155.69"/>
    <x v="0"/>
    <n v="1728.14"/>
    <x v="2"/>
    <x v="0"/>
    <n v="95"/>
    <s v="Low"/>
    <n v="190.19"/>
    <n v="0"/>
  </r>
  <r>
    <x v="6"/>
    <x v="4"/>
    <n v="1776"/>
    <n v="2902.45"/>
    <n v="3733.93"/>
    <n v="-831.48"/>
    <n v="1.29"/>
    <n v="0.26"/>
    <n v="2883.64"/>
    <x v="1"/>
    <n v="651"/>
    <n v="0.36"/>
    <n v="211.78"/>
    <n v="7.0000000000000007E-2"/>
    <n v="628.9"/>
    <n v="0.22"/>
    <n v="3"/>
    <n v="1027.48"/>
    <n v="75"/>
    <n v="0"/>
    <n v="637.51"/>
    <n v="1964.1"/>
    <x v="1"/>
    <n v="1312.54"/>
    <x v="3"/>
    <x v="0"/>
    <n v="74.5"/>
    <s v="Low"/>
    <n v="0"/>
    <n v="0"/>
  </r>
  <r>
    <x v="6"/>
    <x v="4"/>
    <n v="1953"/>
    <n v="4276.42"/>
    <n v="4024.49"/>
    <n v="251.93"/>
    <n v="0.94"/>
    <n v="0.1"/>
    <n v="2535.15"/>
    <x v="1"/>
    <n v="706"/>
    <n v="0.36"/>
    <n v="295.44"/>
    <n v="7.0000000000000007E-2"/>
    <n v="663.43"/>
    <n v="0.16"/>
    <n v="4"/>
    <n v="2356.0700000000002"/>
    <n v="93"/>
    <n v="0"/>
    <n v="584.30999999999995"/>
    <n v="1798.22"/>
    <x v="1"/>
    <n v="1223.98"/>
    <x v="8"/>
    <x v="2"/>
    <n v="48.7"/>
    <s v="Medium"/>
    <n v="251.93"/>
    <n v="0"/>
  </r>
  <r>
    <x v="6"/>
    <x v="4"/>
    <n v="1873"/>
    <n v="3361.32"/>
    <n v="1403.25"/>
    <n v="1958.07"/>
    <n v="0.42"/>
    <n v="0.28999999999999998"/>
    <n v="3316.72"/>
    <x v="0"/>
    <n v="772"/>
    <n v="0.11"/>
    <n v="1059.0899999999999"/>
    <n v="0.32"/>
    <n v="423.18"/>
    <n v="0.13"/>
    <n v="6"/>
    <n v="1343.92"/>
    <n v="60"/>
    <n v="0"/>
    <n v="734.27"/>
    <n v="1688.85"/>
    <x v="1"/>
    <n v="1928.34"/>
    <x v="2"/>
    <x v="0"/>
    <n v="90.5"/>
    <s v="Medium"/>
    <n v="1958.07"/>
    <n v="0"/>
  </r>
  <r>
    <x v="6"/>
    <x v="4"/>
    <n v="1984"/>
    <n v="4085.94"/>
    <n v="3449.51"/>
    <n v="636.42999999999995"/>
    <n v="0.84"/>
    <n v="0.35"/>
    <n v="2936.09"/>
    <x v="1"/>
    <n v="698"/>
    <n v="0.22"/>
    <n v="674.05"/>
    <n v="0.16"/>
    <n v="441.61"/>
    <n v="0.11"/>
    <n v="6"/>
    <n v="1192.23"/>
    <n v="96"/>
    <n v="0"/>
    <n v="700.37"/>
    <n v="2321.52"/>
    <x v="1"/>
    <n v="916.16"/>
    <x v="0"/>
    <x v="0"/>
    <n v="48.2"/>
    <s v="Medium"/>
    <n v="636.42999999999995"/>
    <n v="0"/>
  </r>
  <r>
    <x v="6"/>
    <x v="4"/>
    <n v="1305"/>
    <n v="2959.28"/>
    <n v="3246.62"/>
    <n v="-287.33999999999997"/>
    <n v="1.1000000000000001"/>
    <n v="0.28000000000000003"/>
    <n v="2838.1"/>
    <x v="0"/>
    <n v="572"/>
    <n v="0.37"/>
    <n v="269.08"/>
    <n v="0.09"/>
    <n v="868.34"/>
    <n v="0.28999999999999998"/>
    <n v="4"/>
    <n v="708.25"/>
    <n v="37"/>
    <n v="0"/>
    <n v="450.41"/>
    <n v="1668.53"/>
    <x v="1"/>
    <n v="688.08"/>
    <x v="0"/>
    <x v="2"/>
    <n v="27.3"/>
    <s v="Medium"/>
    <n v="0"/>
    <n v="0"/>
  </r>
  <r>
    <x v="6"/>
    <x v="4"/>
    <n v="1166"/>
    <n v="3688.43"/>
    <n v="2154.1"/>
    <n v="1534.33"/>
    <n v="0.57999999999999996"/>
    <n v="0.1"/>
    <n v="2632.02"/>
    <x v="2"/>
    <n v="722"/>
    <n v="0.34"/>
    <n v="571.46"/>
    <n v="0.15"/>
    <n v="410.23"/>
    <n v="0.11"/>
    <n v="5"/>
    <n v="0"/>
    <n v="27"/>
    <n v="0"/>
    <n v="147.54"/>
    <n v="3187.41"/>
    <x v="1"/>
    <n v="1170.29"/>
    <x v="3"/>
    <x v="0"/>
    <n v="42.6"/>
    <s v="Medium"/>
    <n v="1534.33"/>
    <n v="0"/>
  </r>
  <r>
    <x v="6"/>
    <x v="4"/>
    <n v="1785"/>
    <n v="4277.12"/>
    <n v="2554.34"/>
    <n v="1722.78"/>
    <n v="0.6"/>
    <n v="7.0000000000000007E-2"/>
    <n v="3128.51"/>
    <x v="2"/>
    <n v="648"/>
    <n v="0.37"/>
    <n v="967.68"/>
    <n v="0.23"/>
    <n v="397.2"/>
    <n v="0.09"/>
    <n v="8"/>
    <n v="1372.75"/>
    <n v="65"/>
    <n v="0"/>
    <n v="378.13"/>
    <n v="1572.15"/>
    <x v="1"/>
    <n v="1540.42"/>
    <x v="9"/>
    <x v="0"/>
    <n v="77.099999999999994"/>
    <s v="Medium"/>
    <n v="1722.78"/>
    <n v="0"/>
  </r>
  <r>
    <x v="6"/>
    <x v="4"/>
    <n v="1397"/>
    <n v="3129.53"/>
    <n v="3770.92"/>
    <n v="-641.39"/>
    <n v="1.2"/>
    <n v="0.37"/>
    <n v="3665.33"/>
    <x v="0"/>
    <n v="660"/>
    <n v="0.31"/>
    <n v="477.26"/>
    <n v="0.15"/>
    <n v="495.15"/>
    <n v="0.16"/>
    <n v="3"/>
    <n v="1722.78"/>
    <n v="44"/>
    <n v="0"/>
    <n v="457.83"/>
    <n v="1099.9000000000001"/>
    <x v="1"/>
    <n v="653.13"/>
    <x v="8"/>
    <x v="1"/>
    <n v="72.5"/>
    <s v="Low"/>
    <n v="0"/>
    <n v="0"/>
  </r>
  <r>
    <x v="6"/>
    <x v="4"/>
    <n v="1394"/>
    <n v="2544.3000000000002"/>
    <n v="4214.66"/>
    <n v="-1670.36"/>
    <n v="1.66"/>
    <n v="0.16"/>
    <n v="3077.87"/>
    <x v="2"/>
    <n v="744"/>
    <n v="0.33"/>
    <n v="508.4"/>
    <n v="0.2"/>
    <n v="673.79"/>
    <n v="0.26"/>
    <n v="1"/>
    <n v="1584.47"/>
    <n v="68"/>
    <n v="0"/>
    <n v="416.13"/>
    <n v="2600.5300000000002"/>
    <x v="1"/>
    <n v="1034.32"/>
    <x v="5"/>
    <x v="0"/>
    <n v="32.6"/>
    <s v="High"/>
    <n v="0"/>
    <n v="0"/>
  </r>
  <r>
    <x v="6"/>
    <x v="4"/>
    <n v="1232"/>
    <n v="2786.48"/>
    <n v="2067.02"/>
    <n v="719.46"/>
    <n v="0.74"/>
    <n v="0.06"/>
    <n v="2778.54"/>
    <x v="1"/>
    <n v="624"/>
    <n v="0.32"/>
    <n v="479.45"/>
    <n v="0.17"/>
    <n v="517.59"/>
    <n v="0.19"/>
    <n v="1"/>
    <n v="1295.81"/>
    <n v="21"/>
    <n v="0"/>
    <n v="519.19000000000005"/>
    <n v="2192.86"/>
    <x v="1"/>
    <n v="1276.32"/>
    <x v="8"/>
    <x v="0"/>
    <n v="81.7"/>
    <s v="Medium"/>
    <n v="719.46"/>
    <n v="0"/>
  </r>
  <r>
    <x v="6"/>
    <x v="4"/>
    <n v="1517"/>
    <n v="6721.85"/>
    <n v="3545.71"/>
    <n v="3176.14"/>
    <n v="0.53"/>
    <n v="0.11"/>
    <n v="2634.83"/>
    <x v="0"/>
    <n v="653"/>
    <n v="0.14000000000000001"/>
    <n v="701.41"/>
    <n v="0.1"/>
    <n v="161.24"/>
    <n v="0.02"/>
    <n v="8"/>
    <n v="1926.65"/>
    <n v="57"/>
    <n v="0"/>
    <n v="618.05999999999995"/>
    <n v="1000"/>
    <x v="1"/>
    <n v="300"/>
    <x v="3"/>
    <x v="0"/>
    <n v="26.3"/>
    <s v="Low"/>
    <n v="3176.14"/>
    <n v="1"/>
  </r>
  <r>
    <x v="6"/>
    <x v="4"/>
    <n v="1204"/>
    <n v="4343.6899999999996"/>
    <n v="2591.83"/>
    <n v="1751.86"/>
    <n v="0.6"/>
    <n v="0.25"/>
    <n v="2629.67"/>
    <x v="0"/>
    <n v="765"/>
    <n v="0.38"/>
    <n v="526.96"/>
    <n v="0.12"/>
    <n v="106.21"/>
    <n v="0.02"/>
    <n v="6"/>
    <n v="703.81"/>
    <n v="99"/>
    <n v="0"/>
    <n v="346.22"/>
    <n v="1909.58"/>
    <x v="1"/>
    <n v="2060.2199999999998"/>
    <x v="0"/>
    <x v="2"/>
    <n v="78.900000000000006"/>
    <s v="Low"/>
    <n v="1751.86"/>
    <n v="0"/>
  </r>
  <r>
    <x v="6"/>
    <x v="4"/>
    <n v="1937"/>
    <n v="5904.98"/>
    <n v="2453.7399999999998"/>
    <n v="3451.24"/>
    <n v="0.42"/>
    <n v="0.25"/>
    <n v="3199.33"/>
    <x v="1"/>
    <n v="657"/>
    <n v="0.56000000000000005"/>
    <n v="771.88"/>
    <n v="0.13"/>
    <n v="199.68"/>
    <n v="0.03"/>
    <n v="3"/>
    <n v="557.29999999999995"/>
    <n v="77"/>
    <n v="0"/>
    <n v="562.83000000000004"/>
    <n v="3070.53"/>
    <x v="1"/>
    <n v="1720.5"/>
    <x v="8"/>
    <x v="0"/>
    <n v="47.3"/>
    <s v="Low"/>
    <n v="3451.24"/>
    <n v="1"/>
  </r>
  <r>
    <x v="6"/>
    <x v="4"/>
    <n v="1444"/>
    <n v="5029.99"/>
    <n v="3890.02"/>
    <n v="1139.97"/>
    <n v="0.77"/>
    <n v="0.12"/>
    <n v="2755.79"/>
    <x v="1"/>
    <n v="643"/>
    <n v="0.56999999999999995"/>
    <n v="598.04"/>
    <n v="0.12"/>
    <n v="583.82000000000005"/>
    <n v="0.12"/>
    <n v="3"/>
    <n v="1033.75"/>
    <n v="69"/>
    <n v="0"/>
    <n v="436.04"/>
    <n v="2015.3"/>
    <x v="1"/>
    <n v="1047.73"/>
    <x v="7"/>
    <x v="0"/>
    <n v="89.7"/>
    <s v="Low"/>
    <n v="1139.97"/>
    <n v="0"/>
  </r>
  <r>
    <x v="6"/>
    <x v="4"/>
    <n v="1852"/>
    <n v="4389.62"/>
    <n v="1513.48"/>
    <n v="2876.14"/>
    <n v="0.34"/>
    <n v="0.4"/>
    <n v="2693.28"/>
    <x v="0"/>
    <n v="644"/>
    <n v="0.23"/>
    <n v="488.27"/>
    <n v="0.11"/>
    <n v="966.49"/>
    <n v="0.22"/>
    <n v="9"/>
    <n v="849.92"/>
    <n v="95"/>
    <n v="0"/>
    <n v="404.91"/>
    <n v="2265.3000000000002"/>
    <x v="1"/>
    <n v="901.46"/>
    <x v="0"/>
    <x v="2"/>
    <n v="86.1"/>
    <s v="Low"/>
    <n v="2876.14"/>
    <n v="1"/>
  </r>
  <r>
    <x v="6"/>
    <x v="4"/>
    <n v="1287"/>
    <n v="4918.62"/>
    <n v="2495.46"/>
    <n v="2423.16"/>
    <n v="0.51"/>
    <n v="0.25"/>
    <n v="2819.8"/>
    <x v="0"/>
    <n v="737"/>
    <n v="0.33"/>
    <n v="328.05"/>
    <n v="7.0000000000000007E-2"/>
    <n v="419.91"/>
    <n v="0.09"/>
    <n v="5"/>
    <n v="767.24"/>
    <n v="66"/>
    <n v="0"/>
    <n v="308.83"/>
    <n v="2222.36"/>
    <x v="2"/>
    <n v="1080.8800000000001"/>
    <x v="0"/>
    <x v="0"/>
    <n v="78.900000000000006"/>
    <s v="Medium"/>
    <n v="2423.16"/>
    <n v="0"/>
  </r>
  <r>
    <x v="6"/>
    <x v="4"/>
    <n v="1915"/>
    <n v="2844.51"/>
    <n v="2201.04"/>
    <n v="643.47"/>
    <n v="0.77"/>
    <n v="0.28000000000000003"/>
    <n v="3359.04"/>
    <x v="0"/>
    <n v="717"/>
    <n v="0.17"/>
    <n v="307.45"/>
    <n v="0.11"/>
    <n v="316.16000000000003"/>
    <n v="0.11"/>
    <n v="5"/>
    <n v="1177.17"/>
    <n v="43"/>
    <n v="0"/>
    <n v="562.89"/>
    <n v="2491.6799999999998"/>
    <x v="1"/>
    <n v="1500.44"/>
    <x v="7"/>
    <x v="0"/>
    <n v="44.5"/>
    <s v="Medium"/>
    <n v="643.47"/>
    <n v="0"/>
  </r>
  <r>
    <x v="6"/>
    <x v="4"/>
    <n v="1177"/>
    <n v="4130.08"/>
    <n v="2204.4899999999998"/>
    <n v="1925.59"/>
    <n v="0.53"/>
    <n v="0.16"/>
    <n v="2704.44"/>
    <x v="1"/>
    <n v="603"/>
    <n v="0.15"/>
    <n v="623.82000000000005"/>
    <n v="0.15"/>
    <n v="332.5"/>
    <n v="0.08"/>
    <n v="3"/>
    <n v="337.89"/>
    <n v="93"/>
    <n v="0"/>
    <n v="739.12"/>
    <n v="1914.21"/>
    <x v="1"/>
    <n v="1086.93"/>
    <x v="5"/>
    <x v="2"/>
    <n v="57"/>
    <s v="Low"/>
    <n v="1925.59"/>
    <n v="0"/>
  </r>
  <r>
    <x v="6"/>
    <x v="4"/>
    <n v="1862"/>
    <n v="4520.96"/>
    <n v="1683.56"/>
    <n v="2837.4"/>
    <n v="0.37"/>
    <n v="0.19"/>
    <n v="3512.01"/>
    <x v="0"/>
    <n v="644"/>
    <n v="0.35"/>
    <n v="506.96"/>
    <n v="0.11"/>
    <n v="234.8"/>
    <n v="0.05"/>
    <n v="6"/>
    <n v="537.70000000000005"/>
    <n v="61"/>
    <n v="0"/>
    <n v="109.36"/>
    <n v="2302.7800000000002"/>
    <x v="1"/>
    <n v="1270.1300000000001"/>
    <x v="6"/>
    <x v="0"/>
    <n v="95.4"/>
    <s v="High"/>
    <n v="2837.4"/>
    <n v="0"/>
  </r>
  <r>
    <x v="6"/>
    <x v="4"/>
    <n v="1215"/>
    <n v="3593.24"/>
    <n v="2719.12"/>
    <n v="874.12"/>
    <n v="0.76"/>
    <n v="0.17"/>
    <n v="2494.9899999999998"/>
    <x v="0"/>
    <n v="691"/>
    <n v="0.11"/>
    <n v="423.19"/>
    <n v="0.12"/>
    <n v="408.55"/>
    <n v="0.11"/>
    <n v="4"/>
    <n v="1712.98"/>
    <n v="95"/>
    <n v="0"/>
    <n v="321.14"/>
    <n v="2622.67"/>
    <x v="1"/>
    <n v="1012.76"/>
    <x v="2"/>
    <x v="0"/>
    <n v="70.5"/>
    <s v="Medium"/>
    <n v="874.12"/>
    <n v="0"/>
  </r>
  <r>
    <x v="6"/>
    <x v="4"/>
    <n v="1058"/>
    <n v="3176.93"/>
    <n v="3386.36"/>
    <n v="-209.43"/>
    <n v="1.07"/>
    <n v="0.34"/>
    <n v="3543.42"/>
    <x v="1"/>
    <n v="667"/>
    <n v="0.42"/>
    <n v="423.17"/>
    <n v="0.13"/>
    <n v="347"/>
    <n v="0.11"/>
    <n v="8"/>
    <n v="1198.27"/>
    <n v="56"/>
    <n v="0"/>
    <n v="222.93"/>
    <n v="2993.9"/>
    <x v="1"/>
    <n v="607.26"/>
    <x v="4"/>
    <x v="0"/>
    <n v="4.8"/>
    <s v="Low"/>
    <n v="0"/>
    <n v="0"/>
  </r>
  <r>
    <x v="6"/>
    <x v="4"/>
    <n v="1525"/>
    <n v="4451.08"/>
    <n v="2457.54"/>
    <n v="1993.54"/>
    <n v="0.55000000000000004"/>
    <n v="0.18"/>
    <n v="1814.85"/>
    <x v="0"/>
    <n v="696"/>
    <n v="0.38"/>
    <n v="904.33"/>
    <n v="0.2"/>
    <n v="375.81"/>
    <n v="0.08"/>
    <n v="2"/>
    <n v="802.74"/>
    <n v="78"/>
    <n v="0"/>
    <n v="707.39"/>
    <n v="2967.87"/>
    <x v="2"/>
    <n v="1451.58"/>
    <x v="5"/>
    <x v="2"/>
    <n v="62"/>
    <s v="Low"/>
    <n v="1993.54"/>
    <n v="1"/>
  </r>
  <r>
    <x v="6"/>
    <x v="4"/>
    <n v="1400"/>
    <n v="3681.75"/>
    <n v="3674.49"/>
    <n v="7.26"/>
    <n v="1"/>
    <n v="0.19"/>
    <n v="3213.16"/>
    <x v="1"/>
    <n v="678"/>
    <n v="0.32"/>
    <n v="184.37"/>
    <n v="0.05"/>
    <n v="531.02"/>
    <n v="0.14000000000000001"/>
    <n v="2"/>
    <n v="2319"/>
    <n v="91"/>
    <n v="0"/>
    <n v="632.4"/>
    <n v="2476.2399999999998"/>
    <x v="2"/>
    <n v="810.13"/>
    <x v="3"/>
    <x v="0"/>
    <n v="84.2"/>
    <s v="Low"/>
    <n v="7.26"/>
    <n v="0"/>
  </r>
  <r>
    <x v="6"/>
    <x v="4"/>
    <n v="1841"/>
    <n v="5502.74"/>
    <n v="4024.48"/>
    <n v="1478.26"/>
    <n v="0.73"/>
    <n v="0.37"/>
    <n v="3064.05"/>
    <x v="1"/>
    <n v="567"/>
    <n v="0.31"/>
    <n v="435.03"/>
    <n v="0.08"/>
    <n v="624.49"/>
    <n v="0.11"/>
    <n v="6"/>
    <n v="1343.09"/>
    <n v="62"/>
    <n v="0"/>
    <n v="778.98"/>
    <n v="1213.6600000000001"/>
    <x v="2"/>
    <n v="971.14"/>
    <x v="7"/>
    <x v="1"/>
    <n v="86.8"/>
    <s v="Low"/>
    <n v="1478.26"/>
    <n v="0"/>
  </r>
  <r>
    <x v="6"/>
    <x v="4"/>
    <n v="1406"/>
    <n v="2645.91"/>
    <n v="2565.6"/>
    <n v="80.31"/>
    <n v="0.97"/>
    <n v="0.38"/>
    <n v="3349.85"/>
    <x v="1"/>
    <n v="633"/>
    <n v="0.47"/>
    <n v="783.79"/>
    <n v="0.3"/>
    <n v="0"/>
    <n v="0"/>
    <n v="5"/>
    <n v="1206.03"/>
    <n v="80"/>
    <n v="0"/>
    <n v="180.92"/>
    <n v="2004.75"/>
    <x v="1"/>
    <n v="1284.73"/>
    <x v="4"/>
    <x v="1"/>
    <n v="25.4"/>
    <s v="Low"/>
    <n v="80.31"/>
    <n v="0"/>
  </r>
  <r>
    <x v="6"/>
    <x v="4"/>
    <n v="1404"/>
    <n v="3435.79"/>
    <n v="1787.69"/>
    <n v="1648.1"/>
    <n v="0.52"/>
    <n v="0.24"/>
    <n v="3565.88"/>
    <x v="0"/>
    <n v="752"/>
    <n v="0.19"/>
    <n v="516.25"/>
    <n v="0.15"/>
    <n v="408.05"/>
    <n v="0.12"/>
    <n v="2"/>
    <n v="1792.07"/>
    <n v="56"/>
    <n v="0"/>
    <n v="154.07"/>
    <n v="1991.48"/>
    <x v="2"/>
    <n v="1129.81"/>
    <x v="4"/>
    <x v="2"/>
    <n v="27.4"/>
    <s v="Low"/>
    <n v="1648.1"/>
    <n v="0"/>
  </r>
  <r>
    <x v="6"/>
    <x v="4"/>
    <n v="1629"/>
    <n v="4949.43"/>
    <n v="1950.65"/>
    <n v="2998.78"/>
    <n v="0.39"/>
    <n v="0.28000000000000003"/>
    <n v="2458.5500000000002"/>
    <x v="0"/>
    <n v="764"/>
    <n v="0.39"/>
    <n v="449.72"/>
    <n v="0.09"/>
    <n v="250.99"/>
    <n v="0.05"/>
    <n v="7"/>
    <n v="1522.46"/>
    <n v="68"/>
    <n v="0"/>
    <n v="119.86"/>
    <n v="1758.4"/>
    <x v="1"/>
    <n v="1263.8399999999999"/>
    <x v="1"/>
    <x v="1"/>
    <n v="57.8"/>
    <s v="Medium"/>
    <n v="2998.78"/>
    <n v="1"/>
  </r>
  <r>
    <x v="6"/>
    <x v="4"/>
    <n v="1261"/>
    <n v="5115.83"/>
    <n v="3869.5"/>
    <n v="1246.33"/>
    <n v="0.76"/>
    <n v="0.13"/>
    <n v="1981.72"/>
    <x v="1"/>
    <n v="678"/>
    <n v="0.36"/>
    <n v="755.37"/>
    <n v="0.15"/>
    <n v="316.45"/>
    <n v="0.06"/>
    <n v="9"/>
    <n v="768.76"/>
    <n v="48"/>
    <n v="0"/>
    <n v="251.33"/>
    <n v="1498.16"/>
    <x v="0"/>
    <n v="1247.0999999999999"/>
    <x v="5"/>
    <x v="2"/>
    <n v="98.7"/>
    <s v="Low"/>
    <n v="1246.33"/>
    <n v="0"/>
  </r>
  <r>
    <x v="6"/>
    <x v="4"/>
    <n v="1713"/>
    <n v="3862.71"/>
    <n v="4210.6499999999996"/>
    <n v="-347.94"/>
    <n v="1.0900000000000001"/>
    <n v="0.38"/>
    <n v="3700.72"/>
    <x v="1"/>
    <n v="687"/>
    <n v="0.59"/>
    <n v="513.71"/>
    <n v="0.13"/>
    <n v="349.36"/>
    <n v="0.09"/>
    <n v="5"/>
    <n v="925.57"/>
    <n v="33"/>
    <n v="0"/>
    <n v="457.18"/>
    <n v="2246.71"/>
    <x v="1"/>
    <n v="2098"/>
    <x v="1"/>
    <x v="0"/>
    <n v="96.6"/>
    <s v="Low"/>
    <n v="0"/>
    <n v="0"/>
  </r>
  <r>
    <x v="6"/>
    <x v="4"/>
    <n v="1074"/>
    <n v="3162.57"/>
    <n v="2665.74"/>
    <n v="496.83"/>
    <n v="0.84"/>
    <n v="0.34"/>
    <n v="2614.0700000000002"/>
    <x v="2"/>
    <n v="664"/>
    <n v="0.26"/>
    <n v="613.29999999999995"/>
    <n v="0.19"/>
    <n v="0"/>
    <n v="0"/>
    <n v="7"/>
    <n v="233.22"/>
    <n v="66"/>
    <n v="0"/>
    <n v="553.23"/>
    <n v="2635.55"/>
    <x v="1"/>
    <n v="328.91"/>
    <x v="9"/>
    <x v="0"/>
    <n v="48.3"/>
    <s v="Medium"/>
    <n v="496.83"/>
    <n v="0"/>
  </r>
  <r>
    <x v="6"/>
    <x v="4"/>
    <n v="1553"/>
    <n v="2931.65"/>
    <n v="2637.11"/>
    <n v="294.54000000000002"/>
    <n v="0.9"/>
    <n v="0.32"/>
    <n v="2703.08"/>
    <x v="2"/>
    <n v="675"/>
    <n v="0.34"/>
    <n v="698.65"/>
    <n v="0.24"/>
    <n v="538.67999999999995"/>
    <n v="0.18"/>
    <n v="8"/>
    <n v="762.03"/>
    <n v="76"/>
    <n v="0"/>
    <n v="562.91"/>
    <n v="2834.94"/>
    <x v="1"/>
    <n v="1752.25"/>
    <x v="5"/>
    <x v="1"/>
    <n v="97.6"/>
    <s v="Low"/>
    <n v="294.54000000000002"/>
    <n v="0"/>
  </r>
  <r>
    <x v="6"/>
    <x v="4"/>
    <n v="1480"/>
    <n v="7037.92"/>
    <n v="3079.11"/>
    <n v="3958.81"/>
    <n v="0.44"/>
    <n v="0.06"/>
    <n v="2648.33"/>
    <x v="0"/>
    <n v="619"/>
    <n v="0.5"/>
    <n v="230.8"/>
    <n v="0.03"/>
    <n v="750.3"/>
    <n v="0.11"/>
    <n v="9"/>
    <n v="645.16"/>
    <n v="32"/>
    <n v="0"/>
    <n v="786.05"/>
    <n v="3387.77"/>
    <x v="1"/>
    <n v="1249.8399999999999"/>
    <x v="1"/>
    <x v="0"/>
    <n v="1"/>
    <s v="High"/>
    <n v="3958.81"/>
    <n v="1"/>
  </r>
  <r>
    <x v="6"/>
    <x v="4"/>
    <n v="1101"/>
    <n v="6036.64"/>
    <n v="3101.61"/>
    <n v="2935.03"/>
    <n v="0.51"/>
    <n v="0.06"/>
    <n v="2908.07"/>
    <x v="1"/>
    <n v="766"/>
    <n v="0.15"/>
    <n v="687.32"/>
    <n v="0.11"/>
    <n v="618.30999999999995"/>
    <n v="0.1"/>
    <n v="9"/>
    <n v="721.26"/>
    <n v="92"/>
    <n v="0"/>
    <n v="212.44"/>
    <n v="1000"/>
    <x v="1"/>
    <n v="907.18"/>
    <x v="8"/>
    <x v="1"/>
    <n v="86.2"/>
    <s v="Medium"/>
    <n v="2935.03"/>
    <n v="1"/>
  </r>
  <r>
    <x v="6"/>
    <x v="4"/>
    <n v="1112"/>
    <n v="4830.7700000000004"/>
    <n v="2529.59"/>
    <n v="2301.1799999999998"/>
    <n v="0.52"/>
    <n v="0.36"/>
    <n v="3016.71"/>
    <x v="1"/>
    <n v="675"/>
    <n v="0.37"/>
    <n v="509.29"/>
    <n v="0.11"/>
    <n v="634.92999999999995"/>
    <n v="0.13"/>
    <n v="2"/>
    <n v="1463.39"/>
    <n v="82"/>
    <n v="0"/>
    <n v="282.24"/>
    <n v="2194.5500000000002"/>
    <x v="0"/>
    <n v="1498.59"/>
    <x v="8"/>
    <x v="2"/>
    <n v="76.7"/>
    <s v="Medium"/>
    <n v="2301.1799999999998"/>
    <n v="0"/>
  </r>
  <r>
    <x v="6"/>
    <x v="4"/>
    <n v="1070"/>
    <n v="5075.63"/>
    <n v="1684.02"/>
    <n v="3391.61"/>
    <n v="0.33"/>
    <n v="0.31"/>
    <n v="3846.76"/>
    <x v="1"/>
    <n v="700"/>
    <n v="0.41"/>
    <n v="382.81"/>
    <n v="0.08"/>
    <n v="194.9"/>
    <n v="0.04"/>
    <n v="2"/>
    <n v="723.72"/>
    <n v="25"/>
    <n v="0"/>
    <n v="744.47"/>
    <n v="1694.69"/>
    <x v="1"/>
    <n v="1255.78"/>
    <x v="4"/>
    <x v="0"/>
    <n v="41.8"/>
    <s v="Medium"/>
    <n v="3391.61"/>
    <n v="0"/>
  </r>
  <r>
    <x v="6"/>
    <x v="4"/>
    <n v="1970"/>
    <n v="3126.67"/>
    <n v="3495.54"/>
    <n v="-368.87"/>
    <n v="1.1200000000000001"/>
    <n v="0.24"/>
    <n v="2871.7"/>
    <x v="0"/>
    <n v="696"/>
    <n v="0.46"/>
    <n v="756.21"/>
    <n v="0.24"/>
    <n v="284.29000000000002"/>
    <n v="0.09"/>
    <n v="8"/>
    <n v="1478.9"/>
    <n v="31"/>
    <n v="0"/>
    <n v="627.1"/>
    <n v="2897.38"/>
    <x v="1"/>
    <n v="690.46"/>
    <x v="6"/>
    <x v="0"/>
    <n v="56.1"/>
    <s v="Medium"/>
    <n v="0"/>
    <n v="0"/>
  </r>
  <r>
    <x v="6"/>
    <x v="4"/>
    <n v="1753"/>
    <n v="2803.73"/>
    <n v="3559.36"/>
    <n v="-755.63"/>
    <n v="1.27"/>
    <n v="0.21"/>
    <n v="2237.13"/>
    <x v="2"/>
    <n v="693"/>
    <n v="0.18"/>
    <n v="471.72"/>
    <n v="0.17"/>
    <n v="383.84"/>
    <n v="0.14000000000000001"/>
    <n v="8"/>
    <n v="1284.75"/>
    <n v="40"/>
    <n v="0"/>
    <n v="608.79999999999995"/>
    <n v="3164.79"/>
    <x v="1"/>
    <n v="435.27"/>
    <x v="7"/>
    <x v="2"/>
    <n v="74.3"/>
    <s v="Medium"/>
    <n v="0"/>
    <n v="0"/>
  </r>
  <r>
    <x v="6"/>
    <x v="4"/>
    <n v="1330"/>
    <n v="4484.84"/>
    <n v="3329.86"/>
    <n v="1154.98"/>
    <n v="0.74"/>
    <n v="0.08"/>
    <n v="2740.46"/>
    <x v="1"/>
    <n v="700"/>
    <n v="0.56000000000000005"/>
    <n v="493.39"/>
    <n v="0.11"/>
    <n v="295.12"/>
    <n v="7.0000000000000007E-2"/>
    <n v="3"/>
    <n v="844.22"/>
    <n v="89"/>
    <n v="0"/>
    <n v="948.92"/>
    <n v="1762.46"/>
    <x v="1"/>
    <n v="1053.74"/>
    <x v="8"/>
    <x v="2"/>
    <n v="67.400000000000006"/>
    <s v="High"/>
    <n v="1154.98"/>
    <n v="0"/>
  </r>
  <r>
    <x v="6"/>
    <x v="4"/>
    <n v="1370"/>
    <n v="4415.7299999999996"/>
    <n v="3042.43"/>
    <n v="1373.3"/>
    <n v="0.69"/>
    <n v="0.14000000000000001"/>
    <n v="2352.14"/>
    <x v="2"/>
    <n v="602"/>
    <n v="0.33"/>
    <n v="544.96"/>
    <n v="0.12"/>
    <n v="947.07"/>
    <n v="0.21"/>
    <n v="9"/>
    <n v="1603.17"/>
    <n v="24"/>
    <n v="0"/>
    <n v="927.38"/>
    <n v="1000"/>
    <x v="1"/>
    <n v="916.7"/>
    <x v="3"/>
    <x v="1"/>
    <n v="36.9"/>
    <s v="Medium"/>
    <n v="1373.3"/>
    <n v="0"/>
  </r>
  <r>
    <x v="6"/>
    <x v="4"/>
    <n v="1017"/>
    <n v="2088.09"/>
    <n v="1889.04"/>
    <n v="199.05"/>
    <n v="0.9"/>
    <n v="0.35"/>
    <n v="3916.17"/>
    <x v="1"/>
    <n v="680"/>
    <n v="0.19"/>
    <n v="607.85"/>
    <n v="0.28999999999999998"/>
    <n v="787.56"/>
    <n v="0.38"/>
    <n v="1"/>
    <n v="903.35"/>
    <n v="32"/>
    <n v="0"/>
    <n v="401.47"/>
    <n v="2910.03"/>
    <x v="1"/>
    <n v="1583.61"/>
    <x v="7"/>
    <x v="0"/>
    <n v="72.2"/>
    <s v="Low"/>
    <n v="199.05"/>
    <n v="0"/>
  </r>
  <r>
    <x v="6"/>
    <x v="4"/>
    <n v="1741"/>
    <n v="2668.89"/>
    <n v="3551.11"/>
    <n v="-882.22"/>
    <n v="1.33"/>
    <n v="0.12"/>
    <n v="2528.7600000000002"/>
    <x v="1"/>
    <n v="634"/>
    <n v="0.47"/>
    <n v="575.49"/>
    <n v="0.22"/>
    <n v="241.57"/>
    <n v="0.09"/>
    <n v="1"/>
    <n v="751.94"/>
    <n v="99"/>
    <n v="0"/>
    <n v="672.9"/>
    <n v="1000"/>
    <x v="1"/>
    <n v="959.23"/>
    <x v="8"/>
    <x v="2"/>
    <n v="34.700000000000003"/>
    <s v="High"/>
    <n v="0"/>
    <n v="0"/>
  </r>
  <r>
    <x v="6"/>
    <x v="4"/>
    <n v="1211"/>
    <n v="3866.63"/>
    <n v="5106.8999999999996"/>
    <n v="-1240.27"/>
    <n v="1.32"/>
    <n v="0.17"/>
    <n v="2956.73"/>
    <x v="2"/>
    <n v="631"/>
    <n v="0.5"/>
    <n v="964.74"/>
    <n v="0.25"/>
    <n v="323.48"/>
    <n v="0.08"/>
    <n v="2"/>
    <n v="78.75"/>
    <n v="28"/>
    <n v="1"/>
    <n v="648.08000000000004"/>
    <n v="2652.75"/>
    <x v="1"/>
    <n v="1980.38"/>
    <x v="9"/>
    <x v="0"/>
    <n v="5.4"/>
    <s v="Low"/>
    <n v="0"/>
    <n v="0"/>
  </r>
  <r>
    <x v="6"/>
    <x v="4"/>
    <n v="1186"/>
    <n v="4478.78"/>
    <n v="3190.63"/>
    <n v="1288.1500000000001"/>
    <n v="0.71"/>
    <n v="0.06"/>
    <n v="2752.43"/>
    <x v="1"/>
    <n v="632"/>
    <n v="0.11"/>
    <n v="457.55"/>
    <n v="0.1"/>
    <n v="210.85"/>
    <n v="0.05"/>
    <n v="7"/>
    <n v="1130.73"/>
    <n v="37"/>
    <n v="0"/>
    <n v="159.04"/>
    <n v="2394.08"/>
    <x v="1"/>
    <n v="300"/>
    <x v="6"/>
    <x v="0"/>
    <n v="78.099999999999994"/>
    <s v="Low"/>
    <n v="1288.1500000000001"/>
    <n v="0"/>
  </r>
  <r>
    <x v="6"/>
    <x v="4"/>
    <n v="1668"/>
    <n v="6392.56"/>
    <n v="3031.79"/>
    <n v="3360.77"/>
    <n v="0.47"/>
    <n v="0.15"/>
    <n v="2516.9499999999998"/>
    <x v="1"/>
    <n v="736"/>
    <n v="0.5"/>
    <n v="594.20000000000005"/>
    <n v="0.09"/>
    <n v="550.83000000000004"/>
    <n v="0.09"/>
    <n v="6"/>
    <n v="1647.33"/>
    <n v="25"/>
    <n v="0"/>
    <n v="577.05999999999995"/>
    <n v="2319.0100000000002"/>
    <x v="2"/>
    <n v="1227.23"/>
    <x v="3"/>
    <x v="0"/>
    <n v="65.5"/>
    <s v="Low"/>
    <n v="3360.77"/>
    <n v="1"/>
  </r>
  <r>
    <x v="6"/>
    <x v="4"/>
    <n v="1363"/>
    <n v="4148.9799999999996"/>
    <n v="3374.17"/>
    <n v="774.81"/>
    <n v="0.81"/>
    <n v="0.15"/>
    <n v="3015.78"/>
    <x v="2"/>
    <n v="592"/>
    <n v="0.59"/>
    <n v="319"/>
    <n v="0.08"/>
    <n v="126.64"/>
    <n v="0.03"/>
    <n v="1"/>
    <n v="1957.93"/>
    <n v="22"/>
    <n v="0"/>
    <n v="405.67"/>
    <n v="1595.64"/>
    <x v="2"/>
    <n v="832.47"/>
    <x v="4"/>
    <x v="0"/>
    <n v="43.5"/>
    <s v="Low"/>
    <n v="774.81"/>
    <n v="0"/>
  </r>
  <r>
    <x v="6"/>
    <x v="4"/>
    <n v="1572"/>
    <n v="3331.15"/>
    <n v="2118.5100000000002"/>
    <n v="1212.6400000000001"/>
    <n v="0.64"/>
    <n v="0.2"/>
    <n v="2919.34"/>
    <x v="1"/>
    <n v="667"/>
    <n v="0.19"/>
    <n v="193.92"/>
    <n v="0.06"/>
    <n v="455.14"/>
    <n v="0.14000000000000001"/>
    <n v="2"/>
    <n v="742.87"/>
    <n v="85"/>
    <n v="0"/>
    <n v="686.7"/>
    <n v="2517.08"/>
    <x v="1"/>
    <n v="863.62"/>
    <x v="0"/>
    <x v="0"/>
    <n v="53.7"/>
    <s v="Low"/>
    <n v="1212.6400000000001"/>
    <n v="0"/>
  </r>
  <r>
    <x v="7"/>
    <x v="5"/>
    <n v="1600"/>
    <n v="3202.37"/>
    <n v="2689.51"/>
    <n v="512.86"/>
    <n v="0.84"/>
    <n v="0.25"/>
    <n v="3650.48"/>
    <x v="1"/>
    <n v="655"/>
    <n v="0.24"/>
    <n v="524.64"/>
    <n v="0.16"/>
    <n v="224.15"/>
    <n v="7.0000000000000007E-2"/>
    <n v="4"/>
    <n v="732.71"/>
    <n v="65"/>
    <n v="0"/>
    <n v="602.88"/>
    <n v="3526.55"/>
    <x v="1"/>
    <n v="1453.18"/>
    <x v="9"/>
    <x v="1"/>
    <n v="83.1"/>
    <s v="Medium"/>
    <n v="512.86"/>
    <n v="0"/>
  </r>
  <r>
    <x v="7"/>
    <x v="5"/>
    <n v="1512"/>
    <n v="5532.8"/>
    <n v="810.91"/>
    <n v="4721.8900000000003"/>
    <n v="0.15"/>
    <n v="0.32"/>
    <n v="2731.72"/>
    <x v="0"/>
    <n v="691"/>
    <n v="0.14000000000000001"/>
    <n v="416.89"/>
    <n v="0.08"/>
    <n v="228.69"/>
    <n v="0.04"/>
    <n v="9"/>
    <n v="1635.48"/>
    <n v="59"/>
    <n v="0"/>
    <n v="545.09"/>
    <n v="2136.3200000000002"/>
    <x v="2"/>
    <n v="1562.54"/>
    <x v="0"/>
    <x v="0"/>
    <n v="45.2"/>
    <s v="Medium"/>
    <n v="4721.8900000000003"/>
    <n v="1"/>
  </r>
  <r>
    <x v="7"/>
    <x v="5"/>
    <n v="1905"/>
    <n v="3482.5"/>
    <n v="2302.83"/>
    <n v="1179.67"/>
    <n v="0.66"/>
    <n v="0.33"/>
    <n v="2970.08"/>
    <x v="1"/>
    <n v="630"/>
    <n v="0.15"/>
    <n v="704.13"/>
    <n v="0.2"/>
    <n v="321"/>
    <n v="0.09"/>
    <n v="2"/>
    <n v="683.01"/>
    <n v="60"/>
    <n v="0"/>
    <n v="116.82"/>
    <n v="2021.61"/>
    <x v="2"/>
    <n v="1423.22"/>
    <x v="0"/>
    <x v="1"/>
    <n v="90.1"/>
    <s v="Medium"/>
    <n v="1179.67"/>
    <n v="0"/>
  </r>
  <r>
    <x v="7"/>
    <x v="5"/>
    <n v="1784"/>
    <n v="4018.31"/>
    <n v="1566.09"/>
    <n v="2452.2199999999998"/>
    <n v="0.39"/>
    <n v="0.12"/>
    <n v="2757.69"/>
    <x v="1"/>
    <n v="765"/>
    <n v="0.26"/>
    <n v="414.11"/>
    <n v="0.1"/>
    <n v="316.5"/>
    <n v="0.08"/>
    <n v="8"/>
    <n v="1123.8599999999999"/>
    <n v="98"/>
    <n v="0"/>
    <n v="238.58"/>
    <n v="1612.76"/>
    <x v="1"/>
    <n v="1304.51"/>
    <x v="5"/>
    <x v="0"/>
    <n v="3.9"/>
    <s v="Medium"/>
    <n v="2452.2199999999998"/>
    <n v="0"/>
  </r>
  <r>
    <x v="7"/>
    <x v="5"/>
    <n v="1236"/>
    <n v="4524.43"/>
    <n v="3708.33"/>
    <n v="816.1"/>
    <n v="0.82"/>
    <n v="0.16"/>
    <n v="3306.8"/>
    <x v="0"/>
    <n v="714"/>
    <n v="0.46"/>
    <n v="705.24"/>
    <n v="0.16"/>
    <n v="601.38"/>
    <n v="0.13"/>
    <n v="2"/>
    <n v="1114.45"/>
    <n v="67"/>
    <n v="0"/>
    <n v="506.18"/>
    <n v="1860.51"/>
    <x v="1"/>
    <n v="1577.19"/>
    <x v="6"/>
    <x v="2"/>
    <n v="22.1"/>
    <s v="Low"/>
    <n v="816.1"/>
    <n v="0"/>
  </r>
  <r>
    <x v="7"/>
    <x v="5"/>
    <n v="1311"/>
    <n v="3261.08"/>
    <n v="2935.4"/>
    <n v="325.68"/>
    <n v="0.9"/>
    <n v="0.05"/>
    <n v="2587.59"/>
    <x v="0"/>
    <n v="727"/>
    <n v="0.28000000000000003"/>
    <n v="633.75"/>
    <n v="0.19"/>
    <n v="590.98"/>
    <n v="0.18"/>
    <n v="1"/>
    <n v="563.4"/>
    <n v="58"/>
    <n v="0"/>
    <n v="301.42"/>
    <n v="2158.86"/>
    <x v="0"/>
    <n v="1193.31"/>
    <x v="4"/>
    <x v="0"/>
    <n v="45.3"/>
    <s v="Low"/>
    <n v="325.68"/>
    <n v="0"/>
  </r>
  <r>
    <x v="7"/>
    <x v="5"/>
    <n v="1345"/>
    <n v="3330.45"/>
    <n v="3342.94"/>
    <n v="-12.49"/>
    <n v="1"/>
    <n v="0.28999999999999998"/>
    <n v="3418.93"/>
    <x v="2"/>
    <n v="813"/>
    <n v="0.31"/>
    <n v="662.7"/>
    <n v="0.2"/>
    <n v="508.25"/>
    <n v="0.15"/>
    <n v="9"/>
    <n v="871.36"/>
    <n v="67"/>
    <n v="0"/>
    <n v="528.41"/>
    <n v="2426.98"/>
    <x v="0"/>
    <n v="992.91"/>
    <x v="2"/>
    <x v="0"/>
    <n v="26.9"/>
    <s v="Medium"/>
    <n v="0"/>
    <n v="0"/>
  </r>
  <r>
    <x v="7"/>
    <x v="5"/>
    <n v="1034"/>
    <n v="3880.74"/>
    <n v="3054.91"/>
    <n v="825.83"/>
    <n v="0.79"/>
    <n v="0.11"/>
    <n v="2444.3000000000002"/>
    <x v="0"/>
    <n v="698"/>
    <n v="0.37"/>
    <n v="630.20000000000005"/>
    <n v="0.16"/>
    <n v="589.59"/>
    <n v="0.15"/>
    <n v="7"/>
    <n v="1354.99"/>
    <n v="39"/>
    <n v="0"/>
    <n v="705.38"/>
    <n v="1554.28"/>
    <x v="1"/>
    <n v="2252.27"/>
    <x v="6"/>
    <x v="1"/>
    <n v="11.8"/>
    <s v="Medium"/>
    <n v="825.83"/>
    <n v="0"/>
  </r>
  <r>
    <x v="7"/>
    <x v="5"/>
    <n v="1114"/>
    <n v="2620.71"/>
    <n v="2851.6"/>
    <n v="-230.89"/>
    <n v="1.0900000000000001"/>
    <n v="0.27"/>
    <n v="3410.49"/>
    <x v="1"/>
    <n v="603"/>
    <n v="0.32"/>
    <n v="83.22"/>
    <n v="0.03"/>
    <n v="109.19"/>
    <n v="0.04"/>
    <n v="4"/>
    <n v="1500.28"/>
    <n v="31"/>
    <n v="0"/>
    <n v="870.07"/>
    <n v="1991.89"/>
    <x v="1"/>
    <n v="1434.93"/>
    <x v="1"/>
    <x v="0"/>
    <n v="30.5"/>
    <s v="Low"/>
    <n v="0"/>
    <n v="0"/>
  </r>
  <r>
    <x v="7"/>
    <x v="5"/>
    <n v="1977"/>
    <n v="5095.78"/>
    <n v="2996.72"/>
    <n v="2099.06"/>
    <n v="0.59"/>
    <n v="0.39"/>
    <n v="3353.53"/>
    <x v="0"/>
    <n v="765"/>
    <n v="0.34"/>
    <n v="255.18"/>
    <n v="0.05"/>
    <n v="295.27"/>
    <n v="0.06"/>
    <n v="1"/>
    <n v="472.84"/>
    <n v="28"/>
    <n v="0"/>
    <n v="223.28"/>
    <n v="1812.74"/>
    <x v="1"/>
    <n v="1152.3"/>
    <x v="5"/>
    <x v="0"/>
    <n v="67.2"/>
    <s v="Medium"/>
    <n v="2099.06"/>
    <n v="0"/>
  </r>
  <r>
    <x v="7"/>
    <x v="5"/>
    <n v="1671"/>
    <n v="4480.08"/>
    <n v="2618.86"/>
    <n v="1861.22"/>
    <n v="0.57999999999999996"/>
    <n v="0.08"/>
    <n v="3506.07"/>
    <x v="1"/>
    <n v="713"/>
    <n v="0.38"/>
    <n v="554.22"/>
    <n v="0.12"/>
    <n v="235.42"/>
    <n v="0.05"/>
    <n v="5"/>
    <n v="1267.3599999999999"/>
    <n v="33"/>
    <n v="0"/>
    <n v="166.91"/>
    <n v="2340.2800000000002"/>
    <x v="0"/>
    <n v="1334.49"/>
    <x v="4"/>
    <x v="0"/>
    <n v="46.1"/>
    <s v="Low"/>
    <n v="1861.22"/>
    <n v="0"/>
  </r>
  <r>
    <x v="7"/>
    <x v="5"/>
    <n v="1930"/>
    <n v="3107.57"/>
    <n v="2485.88"/>
    <n v="621.69000000000005"/>
    <n v="0.8"/>
    <n v="0.06"/>
    <n v="3860.52"/>
    <x v="0"/>
    <n v="703"/>
    <n v="0.56000000000000005"/>
    <n v="549.96"/>
    <n v="0.18"/>
    <n v="578.17999999999995"/>
    <n v="0.19"/>
    <n v="9"/>
    <n v="1515.99"/>
    <n v="62"/>
    <n v="0"/>
    <n v="422.45"/>
    <n v="2259.41"/>
    <x v="1"/>
    <n v="923.48"/>
    <x v="3"/>
    <x v="2"/>
    <n v="75.7"/>
    <s v="Low"/>
    <n v="621.69000000000005"/>
    <n v="0"/>
  </r>
  <r>
    <x v="7"/>
    <x v="5"/>
    <n v="1406"/>
    <n v="4907.74"/>
    <n v="4052.07"/>
    <n v="855.67"/>
    <n v="0.83"/>
    <n v="0.16"/>
    <n v="3173.14"/>
    <x v="1"/>
    <n v="601"/>
    <n v="0.53"/>
    <n v="527.73"/>
    <n v="0.11"/>
    <n v="490.53"/>
    <n v="0.1"/>
    <n v="6"/>
    <n v="0"/>
    <n v="80"/>
    <n v="0"/>
    <n v="306.43"/>
    <n v="3244.13"/>
    <x v="2"/>
    <n v="937.35"/>
    <x v="9"/>
    <x v="0"/>
    <n v="12.8"/>
    <s v="Low"/>
    <n v="855.67"/>
    <n v="0"/>
  </r>
  <r>
    <x v="7"/>
    <x v="5"/>
    <n v="1226"/>
    <n v="5357.38"/>
    <n v="3129.44"/>
    <n v="2227.94"/>
    <n v="0.57999999999999996"/>
    <n v="0.21"/>
    <n v="2622.25"/>
    <x v="1"/>
    <n v="685"/>
    <n v="0.35"/>
    <n v="691.03"/>
    <n v="0.13"/>
    <n v="378.35"/>
    <n v="7.0000000000000007E-2"/>
    <n v="5"/>
    <n v="1546.13"/>
    <n v="89"/>
    <n v="0"/>
    <n v="158.51"/>
    <n v="1000"/>
    <x v="0"/>
    <n v="1285.23"/>
    <x v="9"/>
    <x v="0"/>
    <n v="14.8"/>
    <s v="High"/>
    <n v="2227.94"/>
    <n v="0"/>
  </r>
  <r>
    <x v="7"/>
    <x v="5"/>
    <n v="1057"/>
    <n v="4316.4399999999996"/>
    <n v="3157.77"/>
    <n v="1158.67"/>
    <n v="0.73"/>
    <n v="0.18"/>
    <n v="1707.87"/>
    <x v="1"/>
    <n v="754"/>
    <n v="0.22"/>
    <n v="430.81"/>
    <n v="0.1"/>
    <n v="0"/>
    <n v="0"/>
    <n v="2"/>
    <n v="1437.24"/>
    <n v="53"/>
    <n v="0"/>
    <n v="315.19"/>
    <n v="2000.56"/>
    <x v="1"/>
    <n v="1053.3"/>
    <x v="0"/>
    <x v="0"/>
    <n v="2.6"/>
    <s v="Medium"/>
    <n v="1158.67"/>
    <n v="0"/>
  </r>
  <r>
    <x v="7"/>
    <x v="5"/>
    <n v="1067"/>
    <n v="4554.87"/>
    <n v="2478.1"/>
    <n v="2076.77"/>
    <n v="0.54"/>
    <n v="0.21"/>
    <n v="2680.73"/>
    <x v="1"/>
    <n v="552"/>
    <n v="0.28000000000000003"/>
    <n v="287.51"/>
    <n v="0.06"/>
    <n v="151.75"/>
    <n v="0.03"/>
    <n v="4"/>
    <n v="878.76"/>
    <n v="90"/>
    <n v="0"/>
    <n v="342.3"/>
    <n v="3483.9"/>
    <x v="1"/>
    <n v="1413.46"/>
    <x v="9"/>
    <x v="1"/>
    <n v="48.3"/>
    <s v="Medium"/>
    <n v="2076.77"/>
    <n v="0"/>
  </r>
  <r>
    <x v="7"/>
    <x v="5"/>
    <n v="1153"/>
    <n v="4773.79"/>
    <n v="3260.39"/>
    <n v="1513.4"/>
    <n v="0.68"/>
    <n v="0.15"/>
    <n v="2885.79"/>
    <x v="1"/>
    <n v="709"/>
    <n v="0.56999999999999995"/>
    <n v="681.66"/>
    <n v="0.14000000000000001"/>
    <n v="239.54"/>
    <n v="0.05"/>
    <n v="9"/>
    <n v="89.82"/>
    <n v="82"/>
    <n v="1"/>
    <n v="446.22"/>
    <n v="2794.04"/>
    <x v="1"/>
    <n v="1806.75"/>
    <x v="2"/>
    <x v="0"/>
    <n v="33.200000000000003"/>
    <s v="Medium"/>
    <n v="1513.4"/>
    <n v="0"/>
  </r>
  <r>
    <x v="7"/>
    <x v="5"/>
    <n v="1183"/>
    <n v="2312.9499999999998"/>
    <n v="3945.06"/>
    <n v="-1632.11"/>
    <n v="1.71"/>
    <n v="0.14000000000000001"/>
    <n v="3176.74"/>
    <x v="1"/>
    <n v="731"/>
    <n v="0.36"/>
    <n v="349.9"/>
    <n v="0.15"/>
    <n v="521.98"/>
    <n v="0.23"/>
    <n v="5"/>
    <n v="0"/>
    <n v="29"/>
    <n v="0"/>
    <n v="120.68"/>
    <n v="2156.1999999999998"/>
    <x v="1"/>
    <n v="1000.82"/>
    <x v="8"/>
    <x v="0"/>
    <n v="0.6"/>
    <s v="Medium"/>
    <n v="0"/>
    <n v="0"/>
  </r>
  <r>
    <x v="7"/>
    <x v="5"/>
    <n v="1434"/>
    <n v="4546.92"/>
    <n v="3494.64"/>
    <n v="1052.28"/>
    <n v="0.77"/>
    <n v="0.11"/>
    <n v="2730.19"/>
    <x v="1"/>
    <n v="573"/>
    <n v="0.5"/>
    <n v="489.36"/>
    <n v="0.11"/>
    <n v="480.44"/>
    <n v="0.11"/>
    <n v="7"/>
    <n v="956.14"/>
    <n v="71"/>
    <n v="0"/>
    <n v="339.82"/>
    <n v="1823.65"/>
    <x v="1"/>
    <n v="752.01"/>
    <x v="1"/>
    <x v="0"/>
    <n v="9.1"/>
    <s v="Low"/>
    <n v="1052.28"/>
    <n v="0"/>
  </r>
  <r>
    <x v="7"/>
    <x v="5"/>
    <n v="1344"/>
    <n v="3266.03"/>
    <n v="3162.23"/>
    <n v="103.8"/>
    <n v="0.97"/>
    <n v="0.15"/>
    <n v="2784.68"/>
    <x v="1"/>
    <n v="638"/>
    <n v="0.44"/>
    <n v="449.04"/>
    <n v="0.14000000000000001"/>
    <n v="260.35000000000002"/>
    <n v="0.08"/>
    <n v="4"/>
    <n v="1311.57"/>
    <n v="28"/>
    <n v="0"/>
    <n v="353.47"/>
    <n v="1947.26"/>
    <x v="2"/>
    <n v="1116.1400000000001"/>
    <x v="9"/>
    <x v="2"/>
    <n v="21.3"/>
    <s v="Medium"/>
    <n v="103.8"/>
    <n v="0"/>
  </r>
  <r>
    <x v="7"/>
    <x v="5"/>
    <n v="1819"/>
    <n v="3908.07"/>
    <n v="4207.54"/>
    <n v="-299.47000000000003"/>
    <n v="1.08"/>
    <n v="0.32"/>
    <n v="2744.19"/>
    <x v="2"/>
    <n v="749"/>
    <n v="0.33"/>
    <n v="409.84"/>
    <n v="0.1"/>
    <n v="0"/>
    <n v="0"/>
    <n v="8"/>
    <n v="1325.01"/>
    <n v="21"/>
    <n v="0"/>
    <n v="437.28"/>
    <n v="1123.94"/>
    <x v="0"/>
    <n v="1063.44"/>
    <x v="5"/>
    <x v="2"/>
    <n v="94.9"/>
    <s v="Low"/>
    <n v="0"/>
    <n v="0"/>
  </r>
  <r>
    <x v="7"/>
    <x v="5"/>
    <n v="1933"/>
    <n v="5030.32"/>
    <n v="2995.05"/>
    <n v="2035.27"/>
    <n v="0.6"/>
    <n v="0.39"/>
    <n v="2375.16"/>
    <x v="0"/>
    <n v="729"/>
    <n v="0.59"/>
    <n v="447.37"/>
    <n v="0.09"/>
    <n v="840.74"/>
    <n v="0.17"/>
    <n v="6"/>
    <n v="614.66999999999996"/>
    <n v="82"/>
    <n v="0"/>
    <n v="369.18"/>
    <n v="2287.02"/>
    <x v="1"/>
    <n v="552.83000000000004"/>
    <x v="0"/>
    <x v="0"/>
    <n v="53.6"/>
    <s v="Low"/>
    <n v="2035.27"/>
    <n v="0"/>
  </r>
  <r>
    <x v="7"/>
    <x v="5"/>
    <n v="1836"/>
    <n v="5897.16"/>
    <n v="2958.34"/>
    <n v="2938.82"/>
    <n v="0.5"/>
    <n v="0.08"/>
    <n v="2598.9499999999998"/>
    <x v="1"/>
    <n v="661"/>
    <n v="0.52"/>
    <n v="418.93"/>
    <n v="7.0000000000000007E-2"/>
    <n v="500.91"/>
    <n v="0.08"/>
    <n v="1"/>
    <n v="402.68"/>
    <n v="32"/>
    <n v="0"/>
    <n v="325.56"/>
    <n v="2464.04"/>
    <x v="1"/>
    <n v="992.13"/>
    <x v="6"/>
    <x v="0"/>
    <n v="13.2"/>
    <s v="Low"/>
    <n v="2938.82"/>
    <n v="1"/>
  </r>
  <r>
    <x v="7"/>
    <x v="5"/>
    <n v="1034"/>
    <n v="4269.91"/>
    <n v="2400.56"/>
    <n v="1869.35"/>
    <n v="0.56000000000000005"/>
    <n v="0.21"/>
    <n v="3058.57"/>
    <x v="2"/>
    <n v="660"/>
    <n v="0.39"/>
    <n v="150.18"/>
    <n v="0.04"/>
    <n v="219.3"/>
    <n v="0.05"/>
    <n v="7"/>
    <n v="401.38"/>
    <n v="30"/>
    <n v="0"/>
    <n v="272.11"/>
    <n v="2269.58"/>
    <x v="1"/>
    <n v="1179.8399999999999"/>
    <x v="8"/>
    <x v="0"/>
    <n v="88.7"/>
    <s v="Medium"/>
    <n v="1869.35"/>
    <n v="0"/>
  </r>
  <r>
    <x v="7"/>
    <x v="5"/>
    <n v="1557"/>
    <n v="3936.88"/>
    <n v="2608.54"/>
    <n v="1328.34"/>
    <n v="0.66"/>
    <n v="0.33"/>
    <n v="3730.15"/>
    <x v="1"/>
    <n v="663"/>
    <n v="0.2"/>
    <n v="684.24"/>
    <n v="0.17"/>
    <n v="281.66000000000003"/>
    <n v="7.0000000000000007E-2"/>
    <n v="8"/>
    <n v="1225.92"/>
    <n v="64"/>
    <n v="0"/>
    <n v="444.3"/>
    <n v="2272.5300000000002"/>
    <x v="1"/>
    <n v="745.2"/>
    <x v="1"/>
    <x v="0"/>
    <n v="36.5"/>
    <s v="Low"/>
    <n v="1328.34"/>
    <n v="0"/>
  </r>
  <r>
    <x v="7"/>
    <x v="5"/>
    <n v="1925"/>
    <n v="3140.71"/>
    <n v="1527.42"/>
    <n v="1613.29"/>
    <n v="0.49"/>
    <n v="0.19"/>
    <n v="3237.09"/>
    <x v="1"/>
    <n v="768"/>
    <n v="0.19"/>
    <n v="886.73"/>
    <n v="0.28000000000000003"/>
    <n v="852.72"/>
    <n v="0.27"/>
    <n v="1"/>
    <n v="477.09"/>
    <n v="66"/>
    <n v="0"/>
    <n v="528.91"/>
    <n v="1697.51"/>
    <x v="1"/>
    <n v="1056.1600000000001"/>
    <x v="7"/>
    <x v="0"/>
    <n v="65.099999999999994"/>
    <s v="High"/>
    <n v="1613.29"/>
    <n v="0"/>
  </r>
  <r>
    <x v="7"/>
    <x v="5"/>
    <n v="1387"/>
    <n v="4298.25"/>
    <n v="4202.5600000000004"/>
    <n v="95.69"/>
    <n v="0.98"/>
    <n v="0.28000000000000003"/>
    <n v="3467.47"/>
    <x v="1"/>
    <n v="629"/>
    <n v="0.5"/>
    <n v="294.49"/>
    <n v="7.0000000000000007E-2"/>
    <n v="498.57"/>
    <n v="0.12"/>
    <n v="8"/>
    <n v="1768.46"/>
    <n v="90"/>
    <n v="0"/>
    <n v="468.41"/>
    <n v="1058.6099999999999"/>
    <x v="1"/>
    <n v="1291.1500000000001"/>
    <x v="8"/>
    <x v="2"/>
    <n v="41.1"/>
    <s v="Medium"/>
    <n v="95.69"/>
    <n v="0"/>
  </r>
  <r>
    <x v="7"/>
    <x v="5"/>
    <n v="1260"/>
    <n v="3800.93"/>
    <n v="4495.05"/>
    <n v="-694.12"/>
    <n v="1.18"/>
    <n v="0.4"/>
    <n v="2830.46"/>
    <x v="2"/>
    <n v="655"/>
    <n v="0.56999999999999995"/>
    <n v="481.3"/>
    <n v="0.13"/>
    <n v="303.55"/>
    <n v="0.08"/>
    <n v="7"/>
    <n v="1656.36"/>
    <n v="97"/>
    <n v="0"/>
    <n v="589.95000000000005"/>
    <n v="2420.79"/>
    <x v="0"/>
    <n v="1787.11"/>
    <x v="2"/>
    <x v="0"/>
    <n v="10.5"/>
    <s v="Low"/>
    <n v="0"/>
    <n v="0"/>
  </r>
  <r>
    <x v="7"/>
    <x v="5"/>
    <n v="1240"/>
    <n v="6113.33"/>
    <n v="3186.95"/>
    <n v="2926.38"/>
    <n v="0.52"/>
    <n v="0.22"/>
    <n v="3167.62"/>
    <x v="1"/>
    <n v="631"/>
    <n v="0.41"/>
    <n v="703.74"/>
    <n v="0.12"/>
    <n v="337.84"/>
    <n v="0.06"/>
    <n v="9"/>
    <n v="1077.6300000000001"/>
    <n v="82"/>
    <n v="0"/>
    <n v="403.34"/>
    <n v="1748.72"/>
    <x v="1"/>
    <n v="1432.72"/>
    <x v="9"/>
    <x v="0"/>
    <n v="91.8"/>
    <s v="Medium"/>
    <n v="2926.38"/>
    <n v="0"/>
  </r>
  <r>
    <x v="7"/>
    <x v="5"/>
    <n v="1790"/>
    <n v="4064.85"/>
    <n v="3149.12"/>
    <n v="915.73"/>
    <n v="0.77"/>
    <n v="0.28999999999999998"/>
    <n v="3156.36"/>
    <x v="1"/>
    <n v="622"/>
    <n v="0.53"/>
    <n v="453.53"/>
    <n v="0.11"/>
    <n v="109.62"/>
    <n v="0.03"/>
    <n v="2"/>
    <n v="717.83"/>
    <n v="90"/>
    <n v="0"/>
    <n v="670.31"/>
    <n v="1825"/>
    <x v="1"/>
    <n v="959.12"/>
    <x v="1"/>
    <x v="1"/>
    <n v="46.8"/>
    <s v="High"/>
    <n v="915.73"/>
    <n v="0"/>
  </r>
  <r>
    <x v="7"/>
    <x v="5"/>
    <n v="1638"/>
    <n v="4403.6499999999996"/>
    <n v="596.25"/>
    <n v="3807.4"/>
    <n v="0.14000000000000001"/>
    <n v="0.06"/>
    <n v="2692.09"/>
    <x v="1"/>
    <n v="696"/>
    <n v="0.25"/>
    <n v="706.83"/>
    <n v="0.16"/>
    <n v="237.34"/>
    <n v="0.05"/>
    <n v="3"/>
    <n v="563.72"/>
    <n v="50"/>
    <n v="0"/>
    <n v="629.58000000000004"/>
    <n v="2528.88"/>
    <x v="1"/>
    <n v="1471.68"/>
    <x v="0"/>
    <x v="1"/>
    <n v="88"/>
    <s v="Low"/>
    <n v="3807.4"/>
    <n v="1"/>
  </r>
  <r>
    <x v="7"/>
    <x v="5"/>
    <n v="1451"/>
    <n v="3114.69"/>
    <n v="2511.13"/>
    <n v="603.55999999999995"/>
    <n v="0.81"/>
    <n v="0.3"/>
    <n v="2391.5"/>
    <x v="1"/>
    <n v="591"/>
    <n v="0.11"/>
    <n v="934.4"/>
    <n v="0.3"/>
    <n v="683.31"/>
    <n v="0.22"/>
    <n v="3"/>
    <n v="1060.49"/>
    <n v="77"/>
    <n v="0"/>
    <n v="433.18"/>
    <n v="1380.29"/>
    <x v="1"/>
    <n v="1499.07"/>
    <x v="2"/>
    <x v="0"/>
    <n v="65.3"/>
    <s v="Low"/>
    <n v="603.55999999999995"/>
    <n v="0"/>
  </r>
  <r>
    <x v="7"/>
    <x v="5"/>
    <n v="1617"/>
    <n v="1997.54"/>
    <n v="3821.97"/>
    <n v="-1824.43"/>
    <n v="1.91"/>
    <n v="0.3"/>
    <n v="2459.79"/>
    <x v="1"/>
    <n v="630"/>
    <n v="0.15"/>
    <n v="757.25"/>
    <n v="0.38"/>
    <n v="403.64"/>
    <n v="0.2"/>
    <n v="4"/>
    <n v="302.41000000000003"/>
    <n v="30"/>
    <n v="0"/>
    <n v="456.75"/>
    <n v="3396.58"/>
    <x v="0"/>
    <n v="748.41"/>
    <x v="1"/>
    <x v="2"/>
    <n v="10"/>
    <s v="Low"/>
    <n v="0"/>
    <n v="0"/>
  </r>
  <r>
    <x v="7"/>
    <x v="5"/>
    <n v="1122"/>
    <n v="2652.02"/>
    <n v="3580.11"/>
    <n v="-928.09"/>
    <n v="1.35"/>
    <n v="0.2"/>
    <n v="2741.46"/>
    <x v="2"/>
    <n v="560"/>
    <n v="0.21"/>
    <n v="242.58"/>
    <n v="0.09"/>
    <n v="489.43"/>
    <n v="0.18"/>
    <n v="7"/>
    <n v="145.61000000000001"/>
    <n v="99"/>
    <n v="0"/>
    <n v="533.87"/>
    <n v="2170.59"/>
    <x v="1"/>
    <n v="1908.38"/>
    <x v="4"/>
    <x v="0"/>
    <n v="16.899999999999999"/>
    <s v="Medium"/>
    <n v="0"/>
    <n v="0"/>
  </r>
  <r>
    <x v="7"/>
    <x v="5"/>
    <n v="1117"/>
    <n v="5599.06"/>
    <n v="3041.25"/>
    <n v="2557.81"/>
    <n v="0.54"/>
    <n v="0.33"/>
    <n v="2498.56"/>
    <x v="1"/>
    <n v="618"/>
    <n v="0.12"/>
    <n v="312.05"/>
    <n v="0.06"/>
    <n v="652.46"/>
    <n v="0.12"/>
    <n v="9"/>
    <n v="927.27"/>
    <n v="60"/>
    <n v="0"/>
    <n v="601.08000000000004"/>
    <n v="1434.92"/>
    <x v="1"/>
    <n v="990.14"/>
    <x v="1"/>
    <x v="2"/>
    <n v="79.7"/>
    <s v="High"/>
    <n v="2557.81"/>
    <n v="1"/>
  </r>
  <r>
    <x v="7"/>
    <x v="5"/>
    <n v="1982"/>
    <n v="3833.63"/>
    <n v="3068.96"/>
    <n v="764.67"/>
    <n v="0.8"/>
    <n v="0.12"/>
    <n v="2000.9"/>
    <x v="1"/>
    <n v="732"/>
    <n v="0.38"/>
    <n v="403.66"/>
    <n v="0.11"/>
    <n v="667.91"/>
    <n v="0.17"/>
    <n v="7"/>
    <n v="926.53"/>
    <n v="27"/>
    <n v="0"/>
    <n v="233.27"/>
    <n v="2619.04"/>
    <x v="1"/>
    <n v="945.82"/>
    <x v="8"/>
    <x v="1"/>
    <n v="46.2"/>
    <s v="High"/>
    <n v="764.67"/>
    <n v="0"/>
  </r>
  <r>
    <x v="7"/>
    <x v="5"/>
    <n v="1640"/>
    <n v="2021.44"/>
    <n v="3141.11"/>
    <n v="-1119.67"/>
    <n v="1.55"/>
    <n v="0.14000000000000001"/>
    <n v="3395.31"/>
    <x v="0"/>
    <n v="706"/>
    <n v="0.54"/>
    <n v="926.88"/>
    <n v="0.46"/>
    <n v="609.51"/>
    <n v="0.3"/>
    <n v="1"/>
    <n v="1435.09"/>
    <n v="45"/>
    <n v="0"/>
    <n v="529.77"/>
    <n v="2056.0300000000002"/>
    <x v="0"/>
    <n v="1726.27"/>
    <x v="9"/>
    <x v="0"/>
    <n v="4.0999999999999996"/>
    <s v="High"/>
    <n v="0"/>
    <n v="0"/>
  </r>
  <r>
    <x v="7"/>
    <x v="5"/>
    <n v="1997"/>
    <n v="4387.0600000000004"/>
    <n v="4041.03"/>
    <n v="346.03"/>
    <n v="0.92"/>
    <n v="7.0000000000000007E-2"/>
    <n v="2331.12"/>
    <x v="1"/>
    <n v="742"/>
    <n v="0.57999999999999996"/>
    <n v="731.5"/>
    <n v="0.17"/>
    <n v="302.76"/>
    <n v="7.0000000000000007E-2"/>
    <n v="2"/>
    <n v="1293.74"/>
    <n v="64"/>
    <n v="0"/>
    <n v="267.76"/>
    <n v="2642.72"/>
    <x v="1"/>
    <n v="1651.83"/>
    <x v="0"/>
    <x v="0"/>
    <n v="69.3"/>
    <s v="Low"/>
    <n v="346.03"/>
    <n v="0"/>
  </r>
  <r>
    <x v="7"/>
    <x v="5"/>
    <n v="1627"/>
    <n v="3542.86"/>
    <n v="2872.43"/>
    <n v="670.43"/>
    <n v="0.81"/>
    <n v="0.08"/>
    <n v="1539.01"/>
    <x v="1"/>
    <n v="689"/>
    <n v="0.49"/>
    <n v="206.75"/>
    <n v="0.06"/>
    <n v="355.32"/>
    <n v="0.1"/>
    <n v="2"/>
    <n v="686.12"/>
    <n v="35"/>
    <n v="0"/>
    <n v="321.89"/>
    <n v="3259.13"/>
    <x v="1"/>
    <n v="482.93"/>
    <x v="5"/>
    <x v="2"/>
    <n v="64.3"/>
    <s v="Medium"/>
    <n v="670.43"/>
    <n v="0"/>
  </r>
  <r>
    <x v="7"/>
    <x v="5"/>
    <n v="1198"/>
    <n v="3713.23"/>
    <n v="2825.5"/>
    <n v="887.73"/>
    <n v="0.76"/>
    <n v="0.23"/>
    <n v="3133.33"/>
    <x v="2"/>
    <n v="699"/>
    <n v="0.56000000000000005"/>
    <n v="337.9"/>
    <n v="0.09"/>
    <n v="113.5"/>
    <n v="0.03"/>
    <n v="8"/>
    <n v="1626.79"/>
    <n v="63"/>
    <n v="0"/>
    <n v="460.15"/>
    <n v="2712.54"/>
    <x v="1"/>
    <n v="517.21"/>
    <x v="9"/>
    <x v="0"/>
    <n v="14"/>
    <s v="Low"/>
    <n v="887.73"/>
    <n v="0"/>
  </r>
  <r>
    <x v="7"/>
    <x v="5"/>
    <n v="1571"/>
    <n v="4782.4399999999996"/>
    <n v="1302.77"/>
    <n v="3479.67"/>
    <n v="0.27"/>
    <n v="0.18"/>
    <n v="2990.7"/>
    <x v="1"/>
    <n v="686"/>
    <n v="0.52"/>
    <n v="469.98"/>
    <n v="0.1"/>
    <n v="384.66"/>
    <n v="0.08"/>
    <n v="5"/>
    <n v="776.04"/>
    <n v="79"/>
    <n v="0"/>
    <n v="770.32"/>
    <n v="2489.88"/>
    <x v="1"/>
    <n v="465.54"/>
    <x v="9"/>
    <x v="1"/>
    <n v="9.9"/>
    <s v="Medium"/>
    <n v="3479.67"/>
    <n v="1"/>
  </r>
  <r>
    <x v="7"/>
    <x v="5"/>
    <n v="1747"/>
    <n v="3546.98"/>
    <n v="3456.1"/>
    <n v="90.88"/>
    <n v="0.97"/>
    <n v="7.0000000000000007E-2"/>
    <n v="3220.98"/>
    <x v="2"/>
    <n v="661"/>
    <n v="0.11"/>
    <n v="546.36"/>
    <n v="0.15"/>
    <n v="362.76"/>
    <n v="0.1"/>
    <n v="5"/>
    <n v="761.59"/>
    <n v="61"/>
    <n v="0"/>
    <n v="513.28"/>
    <n v="3206.74"/>
    <x v="1"/>
    <n v="1758.08"/>
    <x v="5"/>
    <x v="0"/>
    <n v="59.6"/>
    <s v="High"/>
    <n v="90.88"/>
    <n v="0"/>
  </r>
  <r>
    <x v="7"/>
    <x v="5"/>
    <n v="1532"/>
    <n v="3091.74"/>
    <n v="2857.83"/>
    <n v="233.91"/>
    <n v="0.92"/>
    <n v="0.38"/>
    <n v="3234.68"/>
    <x v="1"/>
    <n v="651"/>
    <n v="0.15"/>
    <n v="415.92"/>
    <n v="0.13"/>
    <n v="102.65"/>
    <n v="0.03"/>
    <n v="3"/>
    <n v="795.84"/>
    <n v="97"/>
    <n v="0"/>
    <n v="540.80999999999995"/>
    <n v="2250.6"/>
    <x v="1"/>
    <n v="1405.57"/>
    <x v="4"/>
    <x v="0"/>
    <n v="19.2"/>
    <s v="Low"/>
    <n v="233.91"/>
    <n v="0"/>
  </r>
  <r>
    <x v="7"/>
    <x v="5"/>
    <n v="1551"/>
    <n v="2370.31"/>
    <n v="4077.64"/>
    <n v="-1707.33"/>
    <n v="1.72"/>
    <n v="0.12"/>
    <n v="2504.04"/>
    <x v="1"/>
    <n v="739"/>
    <n v="0.44"/>
    <n v="803.12"/>
    <n v="0.34"/>
    <n v="878.93"/>
    <n v="0.37"/>
    <n v="7"/>
    <n v="1154.28"/>
    <n v="73"/>
    <n v="0"/>
    <n v="704.41"/>
    <n v="2360.9"/>
    <x v="0"/>
    <n v="1349.82"/>
    <x v="4"/>
    <x v="2"/>
    <n v="58.1"/>
    <s v="Medium"/>
    <n v="0"/>
    <n v="0"/>
  </r>
  <r>
    <x v="7"/>
    <x v="5"/>
    <n v="1921"/>
    <n v="4455.12"/>
    <n v="2669.96"/>
    <n v="1785.16"/>
    <n v="0.6"/>
    <n v="0.19"/>
    <n v="3281.61"/>
    <x v="0"/>
    <n v="702"/>
    <n v="0.17"/>
    <n v="613.52"/>
    <n v="0.14000000000000001"/>
    <n v="472.72"/>
    <n v="0.11"/>
    <n v="8"/>
    <n v="1095.6099999999999"/>
    <n v="36"/>
    <n v="0"/>
    <n v="342.72"/>
    <n v="2072.7199999999998"/>
    <x v="1"/>
    <n v="1320.04"/>
    <x v="4"/>
    <x v="1"/>
    <n v="38.9"/>
    <s v="Low"/>
    <n v="1785.16"/>
    <n v="0"/>
  </r>
  <r>
    <x v="7"/>
    <x v="5"/>
    <n v="1475"/>
    <n v="5160.8900000000003"/>
    <n v="2513.62"/>
    <n v="2647.27"/>
    <n v="0.49"/>
    <n v="0.36"/>
    <n v="2139.14"/>
    <x v="0"/>
    <n v="649"/>
    <n v="0.32"/>
    <n v="322.98"/>
    <n v="0.06"/>
    <n v="440.18"/>
    <n v="0.09"/>
    <n v="7"/>
    <n v="1096.7"/>
    <n v="35"/>
    <n v="0"/>
    <n v="922.25"/>
    <n v="1982.05"/>
    <x v="2"/>
    <n v="1023.21"/>
    <x v="4"/>
    <x v="0"/>
    <n v="99.9"/>
    <s v="Low"/>
    <n v="2647.27"/>
    <n v="1"/>
  </r>
  <r>
    <x v="7"/>
    <x v="5"/>
    <n v="1315"/>
    <n v="2097.52"/>
    <n v="4403.1400000000003"/>
    <n v="-2305.62"/>
    <n v="2.1"/>
    <n v="0.37"/>
    <n v="3017.51"/>
    <x v="1"/>
    <n v="658"/>
    <n v="0.28000000000000003"/>
    <n v="610.22"/>
    <n v="0.28999999999999998"/>
    <n v="28.99"/>
    <n v="0.01"/>
    <n v="9"/>
    <n v="938.7"/>
    <n v="57"/>
    <n v="0"/>
    <n v="601.95000000000005"/>
    <n v="3608.57"/>
    <x v="1"/>
    <n v="1287.6199999999999"/>
    <x v="1"/>
    <x v="0"/>
    <n v="87.3"/>
    <s v="Medium"/>
    <n v="0"/>
    <n v="0"/>
  </r>
  <r>
    <x v="7"/>
    <x v="5"/>
    <n v="1200"/>
    <n v="2963.42"/>
    <n v="3658.31"/>
    <n v="-694.89"/>
    <n v="1.23"/>
    <n v="0.14000000000000001"/>
    <n v="3342.9"/>
    <x v="1"/>
    <n v="716"/>
    <n v="0.4"/>
    <n v="531.41"/>
    <n v="0.18"/>
    <n v="494.25"/>
    <n v="0.17"/>
    <n v="8"/>
    <n v="1829.8"/>
    <n v="26"/>
    <n v="0"/>
    <n v="281.63"/>
    <n v="2672.15"/>
    <x v="1"/>
    <n v="1354.65"/>
    <x v="8"/>
    <x v="0"/>
    <n v="89.3"/>
    <s v="High"/>
    <n v="0"/>
    <n v="0"/>
  </r>
  <r>
    <x v="7"/>
    <x v="5"/>
    <n v="1964"/>
    <n v="3119.97"/>
    <n v="2867.39"/>
    <n v="252.58"/>
    <n v="0.92"/>
    <n v="0.39"/>
    <n v="2903.96"/>
    <x v="1"/>
    <n v="689"/>
    <n v="0.15"/>
    <n v="88.74"/>
    <n v="0.03"/>
    <n v="223.52"/>
    <n v="7.0000000000000007E-2"/>
    <n v="2"/>
    <n v="1310.95"/>
    <n v="72"/>
    <n v="0"/>
    <n v="278.75"/>
    <n v="2877.75"/>
    <x v="1"/>
    <n v="1392.31"/>
    <x v="1"/>
    <x v="0"/>
    <n v="93.5"/>
    <s v="Low"/>
    <n v="252.58"/>
    <n v="0"/>
  </r>
  <r>
    <x v="7"/>
    <x v="5"/>
    <n v="1422"/>
    <n v="5941.25"/>
    <n v="2760.54"/>
    <n v="3180.71"/>
    <n v="0.46"/>
    <n v="7.0000000000000007E-2"/>
    <n v="2811.88"/>
    <x v="1"/>
    <n v="686"/>
    <n v="0.35"/>
    <n v="375.36"/>
    <n v="0.06"/>
    <n v="175.61"/>
    <n v="0.03"/>
    <n v="1"/>
    <n v="941.36"/>
    <n v="30"/>
    <n v="0"/>
    <n v="651.86"/>
    <n v="2515.65"/>
    <x v="1"/>
    <n v="726.75"/>
    <x v="5"/>
    <x v="0"/>
    <n v="35.5"/>
    <s v="High"/>
    <n v="3180.71"/>
    <n v="1"/>
  </r>
  <r>
    <x v="8"/>
    <x v="6"/>
    <n v="1835"/>
    <n v="4765.1099999999997"/>
    <n v="2628.56"/>
    <n v="2136.5500000000002"/>
    <n v="0.55000000000000004"/>
    <n v="0.06"/>
    <n v="2813.81"/>
    <x v="1"/>
    <n v="715"/>
    <n v="0.52"/>
    <n v="103.3"/>
    <n v="0.02"/>
    <n v="0"/>
    <n v="0"/>
    <n v="7"/>
    <n v="1623.05"/>
    <n v="99"/>
    <n v="0"/>
    <n v="733.67"/>
    <n v="2503.65"/>
    <x v="1"/>
    <n v="1675.75"/>
    <x v="5"/>
    <x v="2"/>
    <n v="71.599999999999994"/>
    <s v="Low"/>
    <n v="2136.5500000000002"/>
    <n v="0"/>
  </r>
  <r>
    <x v="8"/>
    <x v="6"/>
    <n v="1458"/>
    <n v="5295.24"/>
    <n v="1740.05"/>
    <n v="3555.19"/>
    <n v="0.33"/>
    <n v="0.11"/>
    <n v="3118.97"/>
    <x v="1"/>
    <n v="726"/>
    <n v="0.16"/>
    <n v="525.73"/>
    <n v="0.1"/>
    <n v="356.75"/>
    <n v="7.0000000000000007E-2"/>
    <n v="8"/>
    <n v="1003.08"/>
    <n v="24"/>
    <n v="0"/>
    <n v="811.35"/>
    <n v="1293.5999999999999"/>
    <x v="0"/>
    <n v="1000.74"/>
    <x v="3"/>
    <x v="0"/>
    <n v="72.3"/>
    <s v="Low"/>
    <n v="3555.19"/>
    <n v="1"/>
  </r>
  <r>
    <x v="8"/>
    <x v="6"/>
    <n v="1925"/>
    <n v="4313.75"/>
    <n v="2613.77"/>
    <n v="1699.98"/>
    <n v="0.61"/>
    <n v="0.33"/>
    <n v="2414.02"/>
    <x v="1"/>
    <n v="616"/>
    <n v="0.27"/>
    <n v="459.07"/>
    <n v="0.11"/>
    <n v="544.20000000000005"/>
    <n v="0.13"/>
    <n v="5"/>
    <n v="757.58"/>
    <n v="45"/>
    <n v="0"/>
    <n v="1007.33"/>
    <n v="2905.84"/>
    <x v="1"/>
    <n v="1846.99"/>
    <x v="8"/>
    <x v="0"/>
    <n v="43.3"/>
    <s v="Medium"/>
    <n v="1699.98"/>
    <n v="0"/>
  </r>
  <r>
    <x v="8"/>
    <x v="6"/>
    <n v="1283"/>
    <n v="6187.45"/>
    <n v="3518.25"/>
    <n v="2669.2"/>
    <n v="0.56999999999999995"/>
    <n v="0.23"/>
    <n v="2703.76"/>
    <x v="0"/>
    <n v="676"/>
    <n v="0.22"/>
    <n v="733.8"/>
    <n v="0.12"/>
    <n v="443.23"/>
    <n v="7.0000000000000007E-2"/>
    <n v="6"/>
    <n v="976.4"/>
    <n v="79"/>
    <n v="0"/>
    <n v="457.05"/>
    <n v="2462.77"/>
    <x v="0"/>
    <n v="612.75"/>
    <x v="4"/>
    <x v="1"/>
    <n v="56.2"/>
    <s v="Low"/>
    <n v="2669.2"/>
    <n v="0"/>
  </r>
  <r>
    <x v="8"/>
    <x v="6"/>
    <n v="1398"/>
    <n v="3624.63"/>
    <n v="2615.67"/>
    <n v="1008.96"/>
    <n v="0.72"/>
    <n v="0.28999999999999998"/>
    <n v="2958.93"/>
    <x v="1"/>
    <n v="712"/>
    <n v="0.6"/>
    <n v="811.57"/>
    <n v="0.22"/>
    <n v="457.97"/>
    <n v="0.13"/>
    <n v="3"/>
    <n v="1289.3599999999999"/>
    <n v="95"/>
    <n v="0"/>
    <n v="695.06"/>
    <n v="1551.12"/>
    <x v="1"/>
    <n v="1298.3699999999999"/>
    <x v="7"/>
    <x v="0"/>
    <n v="35.299999999999997"/>
    <s v="Medium"/>
    <n v="1008.96"/>
    <n v="0"/>
  </r>
  <r>
    <x v="8"/>
    <x v="6"/>
    <n v="1856"/>
    <n v="4344.0200000000004"/>
    <n v="2797.36"/>
    <n v="1546.66"/>
    <n v="0.64"/>
    <n v="0.33"/>
    <n v="2189.92"/>
    <x v="1"/>
    <n v="710"/>
    <n v="0.16"/>
    <n v="809.89"/>
    <n v="0.19"/>
    <n v="583.72"/>
    <n v="0.13"/>
    <n v="8"/>
    <n v="281.72000000000003"/>
    <n v="61"/>
    <n v="0"/>
    <n v="0"/>
    <n v="1734.17"/>
    <x v="1"/>
    <n v="1443.29"/>
    <x v="7"/>
    <x v="0"/>
    <n v="67.8"/>
    <s v="Low"/>
    <n v="1546.66"/>
    <n v="0"/>
  </r>
  <r>
    <x v="8"/>
    <x v="6"/>
    <n v="1030"/>
    <n v="2905.47"/>
    <n v="4065.73"/>
    <n v="-1160.26"/>
    <n v="1.4"/>
    <n v="0.39"/>
    <n v="2433.1999999999998"/>
    <x v="1"/>
    <n v="616"/>
    <n v="0.3"/>
    <n v="469.58"/>
    <n v="0.16"/>
    <n v="299.51"/>
    <n v="0.1"/>
    <n v="7"/>
    <n v="395.59"/>
    <n v="68"/>
    <n v="0"/>
    <n v="485.41"/>
    <n v="2262.98"/>
    <x v="1"/>
    <n v="1994.25"/>
    <x v="2"/>
    <x v="2"/>
    <n v="75.099999999999994"/>
    <s v="Medium"/>
    <n v="0"/>
    <n v="0"/>
  </r>
  <r>
    <x v="8"/>
    <x v="6"/>
    <n v="1655"/>
    <n v="5089.88"/>
    <n v="3012.55"/>
    <n v="2077.33"/>
    <n v="0.59"/>
    <n v="0.34"/>
    <n v="3143.18"/>
    <x v="1"/>
    <n v="745"/>
    <n v="0.52"/>
    <n v="153.44"/>
    <n v="0.03"/>
    <n v="980.57"/>
    <n v="0.19"/>
    <n v="3"/>
    <n v="742.5"/>
    <n v="68"/>
    <n v="0"/>
    <n v="482.65"/>
    <n v="3162.15"/>
    <x v="0"/>
    <n v="622.6"/>
    <x v="6"/>
    <x v="0"/>
    <n v="7"/>
    <s v="Medium"/>
    <n v="2077.33"/>
    <n v="0"/>
  </r>
  <r>
    <x v="8"/>
    <x v="6"/>
    <n v="1438"/>
    <n v="2823.98"/>
    <n v="1370.53"/>
    <n v="1453.45"/>
    <n v="0.49"/>
    <n v="0.25"/>
    <n v="2994.82"/>
    <x v="1"/>
    <n v="683"/>
    <n v="0.26"/>
    <n v="790.96"/>
    <n v="0.28000000000000003"/>
    <n v="720.02"/>
    <n v="0.25"/>
    <n v="2"/>
    <n v="1547.78"/>
    <n v="28"/>
    <n v="0"/>
    <n v="836.38"/>
    <n v="1943.07"/>
    <x v="2"/>
    <n v="1154.06"/>
    <x v="6"/>
    <x v="0"/>
    <n v="8.3000000000000007"/>
    <s v="Medium"/>
    <n v="1453.45"/>
    <n v="0"/>
  </r>
  <r>
    <x v="8"/>
    <x v="6"/>
    <n v="1926"/>
    <n v="3737.22"/>
    <n v="2710.1"/>
    <n v="1027.1199999999999"/>
    <n v="0.73"/>
    <n v="0.06"/>
    <n v="3080.03"/>
    <x v="1"/>
    <n v="711"/>
    <n v="0.3"/>
    <n v="454.42"/>
    <n v="0.12"/>
    <n v="632.47"/>
    <n v="0.17"/>
    <n v="9"/>
    <n v="1025.95"/>
    <n v="69"/>
    <n v="0"/>
    <n v="491.84"/>
    <n v="1930.57"/>
    <x v="1"/>
    <n v="1111.01"/>
    <x v="2"/>
    <x v="1"/>
    <n v="90.1"/>
    <s v="Medium"/>
    <n v="1027.1199999999999"/>
    <n v="0"/>
  </r>
  <r>
    <x v="8"/>
    <x v="6"/>
    <n v="1463"/>
    <n v="4504.05"/>
    <n v="3495.71"/>
    <n v="1008.34"/>
    <n v="0.78"/>
    <n v="0.33"/>
    <n v="1883.7"/>
    <x v="1"/>
    <n v="654"/>
    <n v="0.12"/>
    <n v="674.75"/>
    <n v="0.15"/>
    <n v="584.07000000000005"/>
    <n v="0.13"/>
    <n v="2"/>
    <n v="1607.61"/>
    <n v="58"/>
    <n v="0"/>
    <n v="777.48"/>
    <n v="2764.99"/>
    <x v="2"/>
    <n v="713.6"/>
    <x v="4"/>
    <x v="0"/>
    <n v="72.8"/>
    <s v="Low"/>
    <n v="1008.34"/>
    <n v="0"/>
  </r>
  <r>
    <x v="8"/>
    <x v="6"/>
    <n v="1154"/>
    <n v="4763.3900000000003"/>
    <n v="3122.35"/>
    <n v="1641.04"/>
    <n v="0.66"/>
    <n v="0.19"/>
    <n v="2587.44"/>
    <x v="1"/>
    <n v="743"/>
    <n v="0.17"/>
    <n v="953.62"/>
    <n v="0.2"/>
    <n v="634.83000000000004"/>
    <n v="0.13"/>
    <n v="1"/>
    <n v="1558.32"/>
    <n v="85"/>
    <n v="1"/>
    <n v="398.32"/>
    <n v="2308.92"/>
    <x v="1"/>
    <n v="532.82000000000005"/>
    <x v="6"/>
    <x v="0"/>
    <n v="18.8"/>
    <s v="Low"/>
    <n v="1641.04"/>
    <n v="0"/>
  </r>
  <r>
    <x v="8"/>
    <x v="6"/>
    <n v="1404"/>
    <n v="2405.42"/>
    <n v="4386.3900000000003"/>
    <n v="-1980.97"/>
    <n v="1.82"/>
    <n v="0.32"/>
    <n v="4144.82"/>
    <x v="2"/>
    <n v="770"/>
    <n v="0.42"/>
    <n v="322.36"/>
    <n v="0.13"/>
    <n v="102.27"/>
    <n v="0.04"/>
    <n v="3"/>
    <n v="1025.73"/>
    <n v="25"/>
    <n v="0"/>
    <n v="339.88"/>
    <n v="2002.05"/>
    <x v="1"/>
    <n v="1430.42"/>
    <x v="8"/>
    <x v="1"/>
    <n v="6.2"/>
    <s v="Medium"/>
    <n v="0"/>
    <n v="0"/>
  </r>
  <r>
    <x v="8"/>
    <x v="6"/>
    <n v="1289"/>
    <n v="4172.0600000000004"/>
    <n v="2504.38"/>
    <n v="1667.68"/>
    <n v="0.6"/>
    <n v="0.1"/>
    <n v="3495.42"/>
    <x v="1"/>
    <n v="645"/>
    <n v="0.47"/>
    <n v="394.86"/>
    <n v="0.09"/>
    <n v="373.81"/>
    <n v="0.09"/>
    <n v="9"/>
    <n v="1349.96"/>
    <n v="68"/>
    <n v="0"/>
    <n v="731.41"/>
    <n v="1702.44"/>
    <x v="1"/>
    <n v="999.5"/>
    <x v="7"/>
    <x v="1"/>
    <n v="95.5"/>
    <s v="Medium"/>
    <n v="1667.68"/>
    <n v="0"/>
  </r>
  <r>
    <x v="8"/>
    <x v="6"/>
    <n v="1785"/>
    <n v="4853.09"/>
    <n v="3691.65"/>
    <n v="1161.44"/>
    <n v="0.76"/>
    <n v="0.2"/>
    <n v="2875.84"/>
    <x v="1"/>
    <n v="723"/>
    <n v="0.17"/>
    <n v="638.97"/>
    <n v="0.13"/>
    <n v="262.10000000000002"/>
    <n v="0.05"/>
    <n v="9"/>
    <n v="1478.05"/>
    <n v="20"/>
    <n v="0"/>
    <n v="726.36"/>
    <n v="2231.88"/>
    <x v="1"/>
    <n v="1231.71"/>
    <x v="2"/>
    <x v="0"/>
    <n v="84.9"/>
    <s v="Medium"/>
    <n v="1161.44"/>
    <n v="0"/>
  </r>
  <r>
    <x v="8"/>
    <x v="6"/>
    <n v="1521"/>
    <n v="5290.5"/>
    <n v="3598.39"/>
    <n v="1692.11"/>
    <n v="0.68"/>
    <n v="0.22"/>
    <n v="2437.0500000000002"/>
    <x v="1"/>
    <n v="822"/>
    <n v="0.28000000000000003"/>
    <n v="603.13"/>
    <n v="0.11"/>
    <n v="229.16"/>
    <n v="0.04"/>
    <n v="6"/>
    <n v="1055.6099999999999"/>
    <n v="59"/>
    <n v="0"/>
    <n v="601.47"/>
    <n v="1981.52"/>
    <x v="1"/>
    <n v="1572.51"/>
    <x v="6"/>
    <x v="0"/>
    <n v="29.7"/>
    <s v="High"/>
    <n v="1692.11"/>
    <n v="0"/>
  </r>
  <r>
    <x v="8"/>
    <x v="6"/>
    <n v="1495"/>
    <n v="4782.3599999999997"/>
    <n v="2279.8000000000002"/>
    <n v="2502.56"/>
    <n v="0.48"/>
    <n v="0.08"/>
    <n v="2489.35"/>
    <x v="1"/>
    <n v="681"/>
    <n v="0.28999999999999998"/>
    <n v="191.94"/>
    <n v="0.04"/>
    <n v="459.47"/>
    <n v="0.1"/>
    <n v="5"/>
    <n v="906.01"/>
    <n v="69"/>
    <n v="0"/>
    <n v="679.35"/>
    <n v="3331.9"/>
    <x v="0"/>
    <n v="948.53"/>
    <x v="5"/>
    <x v="0"/>
    <n v="97.1"/>
    <s v="Medium"/>
    <n v="2502.56"/>
    <n v="1"/>
  </r>
  <r>
    <x v="8"/>
    <x v="6"/>
    <n v="1606"/>
    <n v="3482.26"/>
    <n v="3200.29"/>
    <n v="281.97000000000003"/>
    <n v="0.92"/>
    <n v="0.28999999999999998"/>
    <n v="2318.06"/>
    <x v="0"/>
    <n v="617"/>
    <n v="0.18"/>
    <n v="181.27"/>
    <n v="0.05"/>
    <n v="562.4"/>
    <n v="0.16"/>
    <n v="8"/>
    <n v="669.44"/>
    <n v="76"/>
    <n v="0"/>
    <n v="304.02"/>
    <n v="1000"/>
    <x v="1"/>
    <n v="1299.05"/>
    <x v="2"/>
    <x v="2"/>
    <n v="83.6"/>
    <s v="Low"/>
    <n v="281.97000000000003"/>
    <n v="0"/>
  </r>
  <r>
    <x v="8"/>
    <x v="6"/>
    <n v="1973"/>
    <n v="5103.96"/>
    <n v="2071.5700000000002"/>
    <n v="3032.39"/>
    <n v="0.41"/>
    <n v="0.3"/>
    <n v="2494.09"/>
    <x v="0"/>
    <n v="656"/>
    <n v="0.3"/>
    <n v="489.04"/>
    <n v="0.1"/>
    <n v="0"/>
    <n v="0"/>
    <n v="6"/>
    <n v="725"/>
    <n v="65"/>
    <n v="0"/>
    <n v="520.20000000000005"/>
    <n v="2626.66"/>
    <x v="1"/>
    <n v="821.44"/>
    <x v="0"/>
    <x v="1"/>
    <n v="42.8"/>
    <s v="Low"/>
    <n v="3032.39"/>
    <n v="1"/>
  </r>
  <r>
    <x v="8"/>
    <x v="6"/>
    <n v="1970"/>
    <n v="6847.04"/>
    <n v="3906.19"/>
    <n v="2940.85"/>
    <n v="0.56999999999999995"/>
    <n v="0.39"/>
    <n v="1920.98"/>
    <x v="1"/>
    <n v="718"/>
    <n v="0.1"/>
    <n v="450.95"/>
    <n v="7.0000000000000007E-2"/>
    <n v="476.11"/>
    <n v="7.0000000000000007E-2"/>
    <n v="7"/>
    <n v="1302.25"/>
    <n v="53"/>
    <n v="0"/>
    <n v="656.6"/>
    <n v="2737.36"/>
    <x v="2"/>
    <n v="1542.08"/>
    <x v="4"/>
    <x v="1"/>
    <n v="17.5"/>
    <s v="Low"/>
    <n v="2940.85"/>
    <n v="1"/>
  </r>
  <r>
    <x v="8"/>
    <x v="6"/>
    <n v="1045"/>
    <n v="5263.54"/>
    <n v="2606.3200000000002"/>
    <n v="2657.22"/>
    <n v="0.5"/>
    <n v="0.13"/>
    <n v="2888.43"/>
    <x v="2"/>
    <n v="663"/>
    <n v="0.34"/>
    <n v="439.34"/>
    <n v="0.08"/>
    <n v="677.1"/>
    <n v="0.13"/>
    <n v="8"/>
    <n v="866.03"/>
    <n v="44"/>
    <n v="0"/>
    <n v="961.46"/>
    <n v="1592.53"/>
    <x v="0"/>
    <n v="1125.1600000000001"/>
    <x v="2"/>
    <x v="1"/>
    <n v="49"/>
    <s v="Low"/>
    <n v="2657.22"/>
    <n v="0"/>
  </r>
  <r>
    <x v="8"/>
    <x v="6"/>
    <n v="1297"/>
    <n v="3759.87"/>
    <n v="3993.16"/>
    <n v="-233.29"/>
    <n v="1.06"/>
    <n v="0.15"/>
    <n v="2931.08"/>
    <x v="2"/>
    <n v="674"/>
    <n v="0.27"/>
    <n v="257.08999999999997"/>
    <n v="7.0000000000000007E-2"/>
    <n v="636.33000000000004"/>
    <n v="0.17"/>
    <n v="2"/>
    <n v="1725.63"/>
    <n v="92"/>
    <n v="0"/>
    <n v="668.16"/>
    <n v="2277.3200000000002"/>
    <x v="1"/>
    <n v="983.83"/>
    <x v="2"/>
    <x v="1"/>
    <n v="75.599999999999994"/>
    <s v="Low"/>
    <n v="0"/>
    <n v="0"/>
  </r>
  <r>
    <x v="8"/>
    <x v="6"/>
    <n v="1645"/>
    <n v="4708.68"/>
    <n v="3491.93"/>
    <n v="1216.75"/>
    <n v="0.74"/>
    <n v="0.22"/>
    <n v="2315.08"/>
    <x v="0"/>
    <n v="659"/>
    <n v="0.28000000000000003"/>
    <n v="237.72"/>
    <n v="0.05"/>
    <n v="354.54"/>
    <n v="0.08"/>
    <n v="7"/>
    <n v="672.01"/>
    <n v="27"/>
    <n v="0"/>
    <n v="375.62"/>
    <n v="3003.59"/>
    <x v="1"/>
    <n v="937.73"/>
    <x v="0"/>
    <x v="1"/>
    <n v="40.5"/>
    <s v="Medium"/>
    <n v="1216.75"/>
    <n v="0"/>
  </r>
  <r>
    <x v="8"/>
    <x v="6"/>
    <n v="1423"/>
    <n v="3348.56"/>
    <n v="2438.94"/>
    <n v="909.62"/>
    <n v="0.73"/>
    <n v="0.3"/>
    <n v="3369.49"/>
    <x v="2"/>
    <n v="638"/>
    <n v="0.24"/>
    <n v="243.56"/>
    <n v="7.0000000000000007E-2"/>
    <n v="712.26"/>
    <n v="0.21"/>
    <n v="7"/>
    <n v="1333.03"/>
    <n v="63"/>
    <n v="0"/>
    <n v="694.54"/>
    <n v="2795.62"/>
    <x v="0"/>
    <n v="1614.57"/>
    <x v="5"/>
    <x v="2"/>
    <n v="55.8"/>
    <s v="Low"/>
    <n v="909.62"/>
    <n v="0"/>
  </r>
  <r>
    <x v="8"/>
    <x v="6"/>
    <n v="1629"/>
    <n v="2928.28"/>
    <n v="1433.28"/>
    <n v="1495"/>
    <n v="0.49"/>
    <n v="0.4"/>
    <n v="2314.5300000000002"/>
    <x v="2"/>
    <n v="651"/>
    <n v="0.48"/>
    <n v="555.70000000000005"/>
    <n v="0.19"/>
    <n v="244.24"/>
    <n v="0.08"/>
    <n v="7"/>
    <n v="1992.36"/>
    <n v="90"/>
    <n v="0"/>
    <n v="517.99"/>
    <n v="2878.17"/>
    <x v="0"/>
    <n v="1494.44"/>
    <x v="4"/>
    <x v="2"/>
    <n v="22.6"/>
    <s v="Low"/>
    <n v="1495"/>
    <n v="0"/>
  </r>
  <r>
    <x v="8"/>
    <x v="6"/>
    <n v="1770"/>
    <n v="5401.29"/>
    <n v="3667.52"/>
    <n v="1733.77"/>
    <n v="0.68"/>
    <n v="0.38"/>
    <n v="2057.15"/>
    <x v="1"/>
    <n v="662"/>
    <n v="0.52"/>
    <n v="422.71"/>
    <n v="0.08"/>
    <n v="828.41"/>
    <n v="0.15"/>
    <n v="3"/>
    <n v="603.30999999999995"/>
    <n v="92"/>
    <n v="0"/>
    <n v="608.78"/>
    <n v="2964.37"/>
    <x v="0"/>
    <n v="976.19"/>
    <x v="2"/>
    <x v="0"/>
    <n v="56.1"/>
    <s v="Low"/>
    <n v="1733.77"/>
    <n v="0"/>
  </r>
  <r>
    <x v="8"/>
    <x v="6"/>
    <n v="1548"/>
    <n v="3536.27"/>
    <n v="2603.5"/>
    <n v="932.77"/>
    <n v="0.74"/>
    <n v="0.26"/>
    <n v="2996.39"/>
    <x v="1"/>
    <n v="697"/>
    <n v="0.55000000000000004"/>
    <n v="651.73"/>
    <n v="0.18"/>
    <n v="363.09"/>
    <n v="0.1"/>
    <n v="6"/>
    <n v="540.26"/>
    <n v="32"/>
    <n v="0"/>
    <n v="236.07"/>
    <n v="1881.39"/>
    <x v="1"/>
    <n v="1484.19"/>
    <x v="8"/>
    <x v="0"/>
    <n v="79.8"/>
    <s v="Medium"/>
    <n v="932.77"/>
    <n v="0"/>
  </r>
  <r>
    <x v="8"/>
    <x v="6"/>
    <n v="1669"/>
    <n v="4345.13"/>
    <n v="2819.94"/>
    <n v="1525.19"/>
    <n v="0.65"/>
    <n v="0.38"/>
    <n v="2765.32"/>
    <x v="1"/>
    <n v="556"/>
    <n v="0.2"/>
    <n v="501.96"/>
    <n v="0.12"/>
    <n v="838.36"/>
    <n v="0.19"/>
    <n v="5"/>
    <n v="1018.21"/>
    <n v="38"/>
    <n v="0"/>
    <n v="445.35"/>
    <n v="2234.88"/>
    <x v="2"/>
    <n v="1464.63"/>
    <x v="2"/>
    <x v="1"/>
    <n v="47.2"/>
    <s v="Low"/>
    <n v="1525.19"/>
    <n v="0"/>
  </r>
  <r>
    <x v="8"/>
    <x v="6"/>
    <n v="1402"/>
    <n v="4043.37"/>
    <n v="2346.0700000000002"/>
    <n v="1697.3"/>
    <n v="0.57999999999999996"/>
    <n v="0.3"/>
    <n v="3538.39"/>
    <x v="2"/>
    <n v="750"/>
    <n v="0.28000000000000003"/>
    <n v="359.93"/>
    <n v="0.09"/>
    <n v="456.42"/>
    <n v="0.11"/>
    <n v="2"/>
    <n v="1183.1099999999999"/>
    <n v="72"/>
    <n v="0"/>
    <n v="959.91"/>
    <n v="3014.02"/>
    <x v="0"/>
    <n v="960.56"/>
    <x v="0"/>
    <x v="0"/>
    <n v="47.1"/>
    <s v="Low"/>
    <n v="1697.3"/>
    <n v="0"/>
  </r>
  <r>
    <x v="8"/>
    <x v="6"/>
    <n v="1330"/>
    <n v="3337.68"/>
    <n v="3131.63"/>
    <n v="206.05"/>
    <n v="0.94"/>
    <n v="0.32"/>
    <n v="2633.47"/>
    <x v="2"/>
    <n v="708"/>
    <n v="0.22"/>
    <n v="565.55999999999995"/>
    <n v="0.17"/>
    <n v="347.21"/>
    <n v="0.1"/>
    <n v="9"/>
    <n v="1009.97"/>
    <n v="79"/>
    <n v="0"/>
    <n v="439.11"/>
    <n v="2319.6999999999998"/>
    <x v="1"/>
    <n v="1200.3"/>
    <x v="3"/>
    <x v="0"/>
    <n v="9.4"/>
    <s v="Medium"/>
    <n v="206.05"/>
    <n v="0"/>
  </r>
  <r>
    <x v="8"/>
    <x v="6"/>
    <n v="1183"/>
    <n v="3335.29"/>
    <n v="4431.57"/>
    <n v="-1096.28"/>
    <n v="1.33"/>
    <n v="0.3"/>
    <n v="2721.65"/>
    <x v="1"/>
    <n v="686"/>
    <n v="0.24"/>
    <n v="386.68"/>
    <n v="0.12"/>
    <n v="153.58000000000001"/>
    <n v="0.05"/>
    <n v="4"/>
    <n v="1154.56"/>
    <n v="51"/>
    <n v="0"/>
    <n v="522.07000000000005"/>
    <n v="2007.5"/>
    <x v="1"/>
    <n v="2096.34"/>
    <x v="4"/>
    <x v="0"/>
    <n v="82.4"/>
    <s v="High"/>
    <n v="0"/>
    <n v="0"/>
  </r>
  <r>
    <x v="8"/>
    <x v="6"/>
    <n v="1212"/>
    <n v="3982.15"/>
    <n v="1987.45"/>
    <n v="1994.7"/>
    <n v="0.5"/>
    <n v="0.12"/>
    <n v="2288.14"/>
    <x v="1"/>
    <n v="666"/>
    <n v="0.56000000000000005"/>
    <n v="514.24"/>
    <n v="0.13"/>
    <n v="158.99"/>
    <n v="0.04"/>
    <n v="2"/>
    <n v="1228.02"/>
    <n v="48"/>
    <n v="0"/>
    <n v="154.93"/>
    <n v="1286.58"/>
    <x v="0"/>
    <n v="781.28"/>
    <x v="9"/>
    <x v="0"/>
    <n v="70.7"/>
    <s v="Low"/>
    <n v="1994.7"/>
    <n v="0"/>
  </r>
  <r>
    <x v="8"/>
    <x v="6"/>
    <n v="1683"/>
    <n v="4162.16"/>
    <n v="2769.09"/>
    <n v="1393.07"/>
    <n v="0.67"/>
    <n v="0.28999999999999998"/>
    <n v="2095.87"/>
    <x v="1"/>
    <n v="677"/>
    <n v="0.51"/>
    <n v="296.51"/>
    <n v="7.0000000000000007E-2"/>
    <n v="73.28"/>
    <n v="0.02"/>
    <n v="4"/>
    <n v="921.09"/>
    <n v="54"/>
    <n v="0"/>
    <n v="158.12"/>
    <n v="2358.79"/>
    <x v="0"/>
    <n v="1055.29"/>
    <x v="2"/>
    <x v="0"/>
    <n v="94.2"/>
    <s v="High"/>
    <n v="1393.07"/>
    <n v="0"/>
  </r>
  <r>
    <x v="8"/>
    <x v="6"/>
    <n v="1695"/>
    <n v="4567.5200000000004"/>
    <n v="3845.59"/>
    <n v="721.93"/>
    <n v="0.84"/>
    <n v="0.21"/>
    <n v="1995.9"/>
    <x v="2"/>
    <n v="694"/>
    <n v="0.37"/>
    <n v="313.88"/>
    <n v="7.0000000000000007E-2"/>
    <n v="0"/>
    <n v="0"/>
    <n v="6"/>
    <n v="0"/>
    <n v="22"/>
    <n v="0"/>
    <n v="311.83"/>
    <n v="1904.77"/>
    <x v="0"/>
    <n v="1376.42"/>
    <x v="9"/>
    <x v="0"/>
    <n v="18.5"/>
    <s v="Low"/>
    <n v="721.93"/>
    <n v="0"/>
  </r>
  <r>
    <x v="8"/>
    <x v="6"/>
    <n v="1888"/>
    <n v="3705.7"/>
    <n v="3096.15"/>
    <n v="609.54999999999995"/>
    <n v="0.84"/>
    <n v="0.34"/>
    <n v="3409.55"/>
    <x v="0"/>
    <n v="789"/>
    <n v="0.28000000000000003"/>
    <n v="246.21"/>
    <n v="7.0000000000000007E-2"/>
    <n v="383.64"/>
    <n v="0.1"/>
    <n v="7"/>
    <n v="520.39"/>
    <n v="28"/>
    <n v="0"/>
    <n v="221.17"/>
    <n v="1444.1"/>
    <x v="2"/>
    <n v="829.53"/>
    <x v="5"/>
    <x v="0"/>
    <n v="91.4"/>
    <s v="Low"/>
    <n v="609.54999999999995"/>
    <n v="0"/>
  </r>
  <r>
    <x v="8"/>
    <x v="6"/>
    <n v="1940"/>
    <n v="4963.1099999999997"/>
    <n v="2114.38"/>
    <n v="2848.73"/>
    <n v="0.43"/>
    <n v="0.18"/>
    <n v="3074.25"/>
    <x v="0"/>
    <n v="650"/>
    <n v="0.53"/>
    <n v="385.78"/>
    <n v="0.08"/>
    <n v="169.69"/>
    <n v="0.03"/>
    <n v="9"/>
    <n v="1457.37"/>
    <n v="82"/>
    <n v="0"/>
    <n v="512.96"/>
    <n v="2440.5100000000002"/>
    <x v="2"/>
    <n v="1105.3800000000001"/>
    <x v="7"/>
    <x v="0"/>
    <n v="13"/>
    <s v="Low"/>
    <n v="2848.73"/>
    <n v="0"/>
  </r>
  <r>
    <x v="8"/>
    <x v="6"/>
    <n v="1064"/>
    <n v="3248.45"/>
    <n v="3543.08"/>
    <n v="-294.63"/>
    <n v="1.0900000000000001"/>
    <n v="0.18"/>
    <n v="3388"/>
    <x v="1"/>
    <n v="645"/>
    <n v="0.32"/>
    <n v="370.96"/>
    <n v="0.11"/>
    <n v="506.02"/>
    <n v="0.16"/>
    <n v="6"/>
    <n v="864.63"/>
    <n v="31"/>
    <n v="0"/>
    <n v="572.55999999999995"/>
    <n v="2542.38"/>
    <x v="2"/>
    <n v="1326.8"/>
    <x v="0"/>
    <x v="1"/>
    <n v="41.2"/>
    <s v="Low"/>
    <n v="0"/>
    <n v="0"/>
  </r>
  <r>
    <x v="8"/>
    <x v="6"/>
    <n v="1361"/>
    <n v="2299.83"/>
    <n v="3381.44"/>
    <n v="-1081.6099999999999"/>
    <n v="1.47"/>
    <n v="0.17"/>
    <n v="2504.7600000000002"/>
    <x v="1"/>
    <n v="740"/>
    <n v="0.47"/>
    <n v="508.06"/>
    <n v="0.22"/>
    <n v="742.51"/>
    <n v="0.32"/>
    <n v="7"/>
    <n v="729.88"/>
    <n v="66"/>
    <n v="0"/>
    <n v="699.82"/>
    <n v="1815.15"/>
    <x v="1"/>
    <n v="1349.08"/>
    <x v="6"/>
    <x v="2"/>
    <n v="83.4"/>
    <s v="Low"/>
    <n v="0"/>
    <n v="0"/>
  </r>
  <r>
    <x v="8"/>
    <x v="6"/>
    <n v="1856"/>
    <n v="3839.81"/>
    <n v="3850.24"/>
    <n v="-10.43"/>
    <n v="1"/>
    <n v="0.39"/>
    <n v="3066.87"/>
    <x v="2"/>
    <n v="738"/>
    <n v="0.37"/>
    <n v="36.380000000000003"/>
    <n v="0.01"/>
    <n v="269.63"/>
    <n v="7.0000000000000007E-2"/>
    <n v="2"/>
    <n v="1677.24"/>
    <n v="89"/>
    <n v="0"/>
    <n v="434.05"/>
    <n v="1000"/>
    <x v="1"/>
    <n v="1415.55"/>
    <x v="2"/>
    <x v="1"/>
    <n v="24.5"/>
    <s v="High"/>
    <n v="0"/>
    <n v="0"/>
  </r>
  <r>
    <x v="8"/>
    <x v="6"/>
    <n v="1529"/>
    <n v="5363.63"/>
    <n v="3374.67"/>
    <n v="1988.96"/>
    <n v="0.63"/>
    <n v="7.0000000000000007E-2"/>
    <n v="2877.08"/>
    <x v="1"/>
    <n v="689"/>
    <n v="0.37"/>
    <n v="730.61"/>
    <n v="0.14000000000000001"/>
    <n v="48.38"/>
    <n v="0.01"/>
    <n v="8"/>
    <n v="604.51"/>
    <n v="21"/>
    <n v="0"/>
    <n v="557"/>
    <n v="2468.79"/>
    <x v="0"/>
    <n v="1399.46"/>
    <x v="3"/>
    <x v="0"/>
    <n v="43.4"/>
    <s v="Low"/>
    <n v="1988.96"/>
    <n v="0"/>
  </r>
  <r>
    <x v="8"/>
    <x v="6"/>
    <n v="1094"/>
    <n v="4157.9799999999996"/>
    <n v="3327.52"/>
    <n v="830.46"/>
    <n v="0.8"/>
    <n v="0.14000000000000001"/>
    <n v="3434.96"/>
    <x v="1"/>
    <n v="767"/>
    <n v="0.46"/>
    <n v="629.48"/>
    <n v="0.15"/>
    <n v="448.39"/>
    <n v="0.11"/>
    <n v="7"/>
    <n v="826.59"/>
    <n v="28"/>
    <n v="0"/>
    <n v="562.42999999999995"/>
    <n v="2066.85"/>
    <x v="1"/>
    <n v="1403.3"/>
    <x v="5"/>
    <x v="1"/>
    <n v="50.8"/>
    <s v="Low"/>
    <n v="830.46"/>
    <n v="0"/>
  </r>
  <r>
    <x v="8"/>
    <x v="6"/>
    <n v="1705"/>
    <n v="3207.33"/>
    <n v="3144.3"/>
    <n v="63.03"/>
    <n v="0.98"/>
    <n v="7.0000000000000007E-2"/>
    <n v="2011.84"/>
    <x v="1"/>
    <n v="655"/>
    <n v="0.51"/>
    <n v="60.63"/>
    <n v="0.02"/>
    <n v="956.98"/>
    <n v="0.3"/>
    <n v="5"/>
    <n v="656.3"/>
    <n v="86"/>
    <n v="0"/>
    <n v="184.1"/>
    <n v="1307.69"/>
    <x v="2"/>
    <n v="859.69"/>
    <x v="6"/>
    <x v="0"/>
    <n v="19.2"/>
    <s v="Low"/>
    <n v="63.03"/>
    <n v="0"/>
  </r>
  <r>
    <x v="8"/>
    <x v="6"/>
    <n v="1565"/>
    <n v="4791.07"/>
    <n v="2547.23"/>
    <n v="2243.84"/>
    <n v="0.53"/>
    <n v="0.2"/>
    <n v="3765.74"/>
    <x v="1"/>
    <n v="641"/>
    <n v="0.1"/>
    <n v="957.01"/>
    <n v="0.2"/>
    <n v="256.62"/>
    <n v="0.05"/>
    <n v="9"/>
    <n v="1194.3"/>
    <n v="30"/>
    <n v="0"/>
    <n v="479.48"/>
    <n v="3235.56"/>
    <x v="2"/>
    <n v="1733.3"/>
    <x v="1"/>
    <x v="1"/>
    <n v="13.1"/>
    <s v="Low"/>
    <n v="2243.84"/>
    <n v="0"/>
  </r>
  <r>
    <x v="8"/>
    <x v="6"/>
    <n v="1829"/>
    <n v="2925.98"/>
    <n v="3851.42"/>
    <n v="-925.44"/>
    <n v="1.32"/>
    <n v="0.08"/>
    <n v="3612.55"/>
    <x v="2"/>
    <n v="812"/>
    <n v="0.55000000000000004"/>
    <n v="452.95"/>
    <n v="0.15"/>
    <n v="363.97"/>
    <n v="0.12"/>
    <n v="1"/>
    <n v="464"/>
    <n v="80"/>
    <n v="0"/>
    <n v="488.6"/>
    <n v="2102.23"/>
    <x v="1"/>
    <n v="1631.4"/>
    <x v="8"/>
    <x v="2"/>
    <n v="7.4"/>
    <s v="Low"/>
    <n v="0"/>
    <n v="0"/>
  </r>
  <r>
    <x v="8"/>
    <x v="6"/>
    <n v="1823"/>
    <n v="3139.62"/>
    <n v="4186.8900000000003"/>
    <n v="-1047.27"/>
    <n v="1.33"/>
    <n v="0.3"/>
    <n v="2431.98"/>
    <x v="0"/>
    <n v="694"/>
    <n v="0.52"/>
    <n v="359.36"/>
    <n v="0.11"/>
    <n v="581.41"/>
    <n v="0.19"/>
    <n v="5"/>
    <n v="1378.33"/>
    <n v="88"/>
    <n v="0"/>
    <n v="246.46"/>
    <n v="2463.0500000000002"/>
    <x v="2"/>
    <n v="1017.52"/>
    <x v="4"/>
    <x v="2"/>
    <n v="16.5"/>
    <s v="Low"/>
    <n v="0"/>
    <n v="0"/>
  </r>
  <r>
    <x v="8"/>
    <x v="6"/>
    <n v="1649"/>
    <n v="4543.47"/>
    <n v="2187.2600000000002"/>
    <n v="2356.21"/>
    <n v="0.48"/>
    <n v="0.09"/>
    <n v="2771.86"/>
    <x v="1"/>
    <n v="698"/>
    <n v="0.3"/>
    <n v="399.66"/>
    <n v="0.09"/>
    <n v="80.53"/>
    <n v="0.02"/>
    <n v="7"/>
    <n v="1582.48"/>
    <n v="37"/>
    <n v="0"/>
    <n v="439.06"/>
    <n v="2190.5500000000002"/>
    <x v="1"/>
    <n v="730.39"/>
    <x v="7"/>
    <x v="0"/>
    <n v="70.8"/>
    <s v="Low"/>
    <n v="2356.21"/>
    <n v="0"/>
  </r>
  <r>
    <x v="8"/>
    <x v="6"/>
    <n v="1411"/>
    <n v="3605.42"/>
    <n v="1967.19"/>
    <n v="1638.23"/>
    <n v="0.55000000000000004"/>
    <n v="0.12"/>
    <n v="3775.75"/>
    <x v="1"/>
    <n v="632"/>
    <n v="0.31"/>
    <n v="460.33"/>
    <n v="0.13"/>
    <n v="802.34"/>
    <n v="0.22"/>
    <n v="7"/>
    <n v="669.82"/>
    <n v="85"/>
    <n v="0"/>
    <n v="752.72"/>
    <n v="2787.72"/>
    <x v="1"/>
    <n v="763.19"/>
    <x v="5"/>
    <x v="0"/>
    <n v="67.099999999999994"/>
    <s v="Low"/>
    <n v="1638.23"/>
    <n v="0"/>
  </r>
  <r>
    <x v="8"/>
    <x v="6"/>
    <n v="1607"/>
    <n v="1988.41"/>
    <n v="2745.91"/>
    <n v="-757.5"/>
    <n v="1.38"/>
    <n v="0.18"/>
    <n v="2064.9299999999998"/>
    <x v="1"/>
    <n v="685"/>
    <n v="0.15"/>
    <n v="173.49"/>
    <n v="0.09"/>
    <n v="0"/>
    <n v="0"/>
    <n v="7"/>
    <n v="1106.1400000000001"/>
    <n v="39"/>
    <n v="0"/>
    <n v="372.8"/>
    <n v="2435.91"/>
    <x v="0"/>
    <n v="811.73"/>
    <x v="0"/>
    <x v="0"/>
    <n v="35.200000000000003"/>
    <s v="Medium"/>
    <n v="0"/>
    <n v="0"/>
  </r>
  <r>
    <x v="8"/>
    <x v="6"/>
    <n v="1541"/>
    <n v="3658.24"/>
    <n v="3009.93"/>
    <n v="648.30999999999995"/>
    <n v="0.82"/>
    <n v="0.18"/>
    <n v="2489.2399999999998"/>
    <x v="1"/>
    <n v="684"/>
    <n v="0.6"/>
    <n v="250.23"/>
    <n v="7.0000000000000007E-2"/>
    <n v="661.53"/>
    <n v="0.18"/>
    <n v="6"/>
    <n v="955.7"/>
    <n v="28"/>
    <n v="0"/>
    <n v="282.08999999999997"/>
    <n v="1412.52"/>
    <x v="0"/>
    <n v="1225.4100000000001"/>
    <x v="0"/>
    <x v="0"/>
    <n v="22.9"/>
    <s v="Medium"/>
    <n v="648.30999999999995"/>
    <n v="0"/>
  </r>
  <r>
    <x v="8"/>
    <x v="6"/>
    <n v="1171"/>
    <n v="4373.5"/>
    <n v="3078.52"/>
    <n v="1294.98"/>
    <n v="0.7"/>
    <n v="0.15"/>
    <n v="2364.9"/>
    <x v="1"/>
    <n v="681"/>
    <n v="0.56999999999999995"/>
    <n v="280.56"/>
    <n v="0.06"/>
    <n v="614.42999999999995"/>
    <n v="0.14000000000000001"/>
    <n v="2"/>
    <n v="1583.72"/>
    <n v="71"/>
    <n v="0"/>
    <n v="390.81"/>
    <n v="2605.64"/>
    <x v="1"/>
    <n v="1223.07"/>
    <x v="9"/>
    <x v="0"/>
    <n v="83.8"/>
    <s v="High"/>
    <n v="1294.98"/>
    <n v="0"/>
  </r>
  <r>
    <x v="9"/>
    <x v="7"/>
    <n v="1454"/>
    <n v="3581.79"/>
    <n v="3370.8"/>
    <n v="210.99"/>
    <n v="0.94"/>
    <n v="0.13"/>
    <n v="2195.92"/>
    <x v="1"/>
    <n v="749"/>
    <n v="0.52"/>
    <n v="643.48"/>
    <n v="0.18"/>
    <n v="261.39"/>
    <n v="7.0000000000000007E-2"/>
    <n v="9"/>
    <n v="1057.0999999999999"/>
    <n v="91"/>
    <n v="0"/>
    <n v="464.34"/>
    <n v="1691.26"/>
    <x v="1"/>
    <n v="682.16"/>
    <x v="9"/>
    <x v="0"/>
    <n v="77.900000000000006"/>
    <s v="High"/>
    <n v="210.99"/>
    <n v="0"/>
  </r>
  <r>
    <x v="9"/>
    <x v="7"/>
    <n v="1038"/>
    <n v="3705.56"/>
    <n v="2972.45"/>
    <n v="733.11"/>
    <n v="0.8"/>
    <n v="0.18"/>
    <n v="2874.56"/>
    <x v="1"/>
    <n v="692"/>
    <n v="0.11"/>
    <n v="686.14"/>
    <n v="0.19"/>
    <n v="0"/>
    <n v="0"/>
    <n v="4"/>
    <n v="1420.62"/>
    <n v="77"/>
    <n v="0"/>
    <n v="47.46"/>
    <n v="1052.47"/>
    <x v="1"/>
    <n v="1347.05"/>
    <x v="7"/>
    <x v="2"/>
    <n v="97.4"/>
    <s v="Medium"/>
    <n v="733.11"/>
    <n v="0"/>
  </r>
  <r>
    <x v="9"/>
    <x v="7"/>
    <n v="1120"/>
    <n v="2413.7399999999998"/>
    <n v="2468.21"/>
    <n v="-54.47"/>
    <n v="1.02"/>
    <n v="0.36"/>
    <n v="1868.91"/>
    <x v="1"/>
    <n v="728"/>
    <n v="0.23"/>
    <n v="775.44"/>
    <n v="0.32"/>
    <n v="391.76"/>
    <n v="0.16"/>
    <n v="8"/>
    <n v="1205.19"/>
    <n v="60"/>
    <n v="0"/>
    <n v="309.67"/>
    <n v="2016.58"/>
    <x v="1"/>
    <n v="1710.16"/>
    <x v="3"/>
    <x v="0"/>
    <n v="6.3"/>
    <s v="High"/>
    <n v="0"/>
    <n v="0"/>
  </r>
  <r>
    <x v="9"/>
    <x v="7"/>
    <n v="1567"/>
    <n v="2602.6999999999998"/>
    <n v="3487.53"/>
    <n v="-884.83"/>
    <n v="1.34"/>
    <n v="0.38"/>
    <n v="2589.63"/>
    <x v="1"/>
    <n v="654"/>
    <n v="0.19"/>
    <n v="306.94"/>
    <n v="0.12"/>
    <n v="289.13"/>
    <n v="0.11"/>
    <n v="1"/>
    <n v="1684.59"/>
    <n v="34"/>
    <n v="0"/>
    <n v="236.9"/>
    <n v="1778.1"/>
    <x v="1"/>
    <n v="1418.38"/>
    <x v="1"/>
    <x v="1"/>
    <n v="86.1"/>
    <s v="Medium"/>
    <n v="0"/>
    <n v="0"/>
  </r>
  <r>
    <x v="9"/>
    <x v="7"/>
    <n v="1432"/>
    <n v="4636.99"/>
    <n v="2274.65"/>
    <n v="2362.34"/>
    <n v="0.49"/>
    <n v="0.31"/>
    <n v="1541.2"/>
    <x v="2"/>
    <n v="691"/>
    <n v="0.41"/>
    <n v="689.38"/>
    <n v="0.15"/>
    <n v="360.27"/>
    <n v="0.08"/>
    <n v="5"/>
    <n v="789.39"/>
    <n v="28"/>
    <n v="0"/>
    <n v="843.52"/>
    <n v="3159.83"/>
    <x v="2"/>
    <n v="1368.84"/>
    <x v="1"/>
    <x v="0"/>
    <n v="34.799999999999997"/>
    <s v="Low"/>
    <n v="2362.34"/>
    <n v="1"/>
  </r>
  <r>
    <x v="9"/>
    <x v="7"/>
    <n v="1702"/>
    <n v="2981.02"/>
    <n v="1794.53"/>
    <n v="1186.49"/>
    <n v="0.6"/>
    <n v="0.25"/>
    <n v="2942.05"/>
    <x v="2"/>
    <n v="722"/>
    <n v="0.37"/>
    <n v="790.68"/>
    <n v="0.27"/>
    <n v="813.49"/>
    <n v="0.27"/>
    <n v="9"/>
    <n v="2026.73"/>
    <n v="49"/>
    <n v="0"/>
    <n v="267.45999999999998"/>
    <n v="2625.12"/>
    <x v="1"/>
    <n v="1491.65"/>
    <x v="0"/>
    <x v="1"/>
    <n v="13.7"/>
    <s v="High"/>
    <n v="1186.49"/>
    <n v="0"/>
  </r>
  <r>
    <x v="9"/>
    <x v="7"/>
    <n v="1661"/>
    <n v="3247.54"/>
    <n v="2924.49"/>
    <n v="323.05"/>
    <n v="0.9"/>
    <n v="0.19"/>
    <n v="2637.44"/>
    <x v="1"/>
    <n v="726"/>
    <n v="0.6"/>
    <n v="288.20999999999998"/>
    <n v="0.09"/>
    <n v="522.91"/>
    <n v="0.16"/>
    <n v="8"/>
    <n v="1403.94"/>
    <n v="81"/>
    <n v="0"/>
    <n v="447.47"/>
    <n v="2216.73"/>
    <x v="2"/>
    <n v="1370.43"/>
    <x v="1"/>
    <x v="0"/>
    <n v="41.2"/>
    <s v="Low"/>
    <n v="323.05"/>
    <n v="0"/>
  </r>
  <r>
    <x v="9"/>
    <x v="7"/>
    <n v="1573"/>
    <n v="3669.75"/>
    <n v="3842.72"/>
    <n v="-172.97"/>
    <n v="1.05"/>
    <n v="0.21"/>
    <n v="3079.28"/>
    <x v="1"/>
    <n v="643"/>
    <n v="0.56000000000000005"/>
    <n v="531.91"/>
    <n v="0.14000000000000001"/>
    <n v="812.19"/>
    <n v="0.22"/>
    <n v="2"/>
    <n v="1225.71"/>
    <n v="96"/>
    <n v="0"/>
    <n v="544.49"/>
    <n v="2439.15"/>
    <x v="1"/>
    <n v="1291.8599999999999"/>
    <x v="2"/>
    <x v="0"/>
    <n v="99.8"/>
    <s v="Low"/>
    <n v="0"/>
    <n v="0"/>
  </r>
  <r>
    <x v="9"/>
    <x v="7"/>
    <n v="1071"/>
    <n v="3700.95"/>
    <n v="2040.78"/>
    <n v="1660.17"/>
    <n v="0.55000000000000004"/>
    <n v="0.11"/>
    <n v="3534.57"/>
    <x v="1"/>
    <n v="636"/>
    <n v="0.15"/>
    <n v="608.58000000000004"/>
    <n v="0.16"/>
    <n v="0"/>
    <n v="0"/>
    <n v="8"/>
    <n v="1749.08"/>
    <n v="82"/>
    <n v="0"/>
    <n v="359.12"/>
    <n v="2535.4499999999998"/>
    <x v="0"/>
    <n v="1756.04"/>
    <x v="3"/>
    <x v="1"/>
    <n v="68.2"/>
    <s v="Medium"/>
    <n v="1660.17"/>
    <n v="0"/>
  </r>
  <r>
    <x v="9"/>
    <x v="7"/>
    <n v="1616"/>
    <n v="5145.97"/>
    <n v="2035.42"/>
    <n v="3110.55"/>
    <n v="0.4"/>
    <n v="0.1"/>
    <n v="2841.29"/>
    <x v="1"/>
    <n v="693"/>
    <n v="0.48"/>
    <n v="270.82"/>
    <n v="0.05"/>
    <n v="354.12"/>
    <n v="7.0000000000000007E-2"/>
    <n v="7"/>
    <n v="1025.98"/>
    <n v="30"/>
    <n v="0"/>
    <n v="571.86"/>
    <n v="1282.6300000000001"/>
    <x v="1"/>
    <n v="1600.01"/>
    <x v="9"/>
    <x v="0"/>
    <n v="10.1"/>
    <s v="Low"/>
    <n v="3110.55"/>
    <n v="1"/>
  </r>
  <r>
    <x v="9"/>
    <x v="7"/>
    <n v="1788"/>
    <n v="2699.8"/>
    <n v="3344.48"/>
    <n v="-644.67999999999995"/>
    <n v="1.24"/>
    <n v="0.36"/>
    <n v="3116.25"/>
    <x v="1"/>
    <n v="637"/>
    <n v="0.22"/>
    <n v="513.32000000000005"/>
    <n v="0.19"/>
    <n v="533.78"/>
    <n v="0.2"/>
    <n v="9"/>
    <n v="1167.3499999999999"/>
    <n v="68"/>
    <n v="0"/>
    <n v="614.46"/>
    <n v="2244.25"/>
    <x v="1"/>
    <n v="1698.5"/>
    <x v="1"/>
    <x v="2"/>
    <n v="22.8"/>
    <s v="Medium"/>
    <n v="0"/>
    <n v="0"/>
  </r>
  <r>
    <x v="9"/>
    <x v="7"/>
    <n v="1963"/>
    <n v="2648.79"/>
    <n v="1408.03"/>
    <n v="1240.76"/>
    <n v="0.53"/>
    <n v="0.09"/>
    <n v="3518.22"/>
    <x v="2"/>
    <n v="744"/>
    <n v="0.37"/>
    <n v="123.09"/>
    <n v="0.05"/>
    <n v="224.6"/>
    <n v="0.08"/>
    <n v="2"/>
    <n v="1017.48"/>
    <n v="27"/>
    <n v="0"/>
    <n v="287.86"/>
    <n v="1935.56"/>
    <x v="1"/>
    <n v="1148.49"/>
    <x v="3"/>
    <x v="0"/>
    <n v="4.9000000000000004"/>
    <s v="Low"/>
    <n v="1240.76"/>
    <n v="0"/>
  </r>
  <r>
    <x v="9"/>
    <x v="7"/>
    <n v="1886"/>
    <n v="5234.17"/>
    <n v="3556.83"/>
    <n v="1677.34"/>
    <n v="0.68"/>
    <n v="0.15"/>
    <n v="3054.28"/>
    <x v="1"/>
    <n v="665"/>
    <n v="0.39"/>
    <n v="419.42"/>
    <n v="0.08"/>
    <n v="206.82"/>
    <n v="0.04"/>
    <n v="5"/>
    <n v="2140.65"/>
    <n v="66"/>
    <n v="0"/>
    <n v="686.73"/>
    <n v="1188.17"/>
    <x v="1"/>
    <n v="817.47"/>
    <x v="1"/>
    <x v="0"/>
    <n v="20.5"/>
    <s v="Low"/>
    <n v="1677.34"/>
    <n v="0"/>
  </r>
  <r>
    <x v="9"/>
    <x v="7"/>
    <n v="1442"/>
    <n v="2153.9299999999998"/>
    <n v="2102.7600000000002"/>
    <n v="51.17"/>
    <n v="0.98"/>
    <n v="0.23"/>
    <n v="3403.05"/>
    <x v="1"/>
    <n v="711"/>
    <n v="0.43"/>
    <n v="639.59"/>
    <n v="0.3"/>
    <n v="727.82"/>
    <n v="0.34"/>
    <n v="9"/>
    <n v="1049.8499999999999"/>
    <n v="74"/>
    <n v="0"/>
    <n v="271.3"/>
    <n v="2687.07"/>
    <x v="0"/>
    <n v="1178.43"/>
    <x v="2"/>
    <x v="2"/>
    <n v="35.4"/>
    <s v="High"/>
    <n v="51.17"/>
    <n v="0"/>
  </r>
  <r>
    <x v="9"/>
    <x v="7"/>
    <n v="1854"/>
    <n v="4190.03"/>
    <n v="2549.08"/>
    <n v="1640.95"/>
    <n v="0.61"/>
    <n v="0.4"/>
    <n v="2804.52"/>
    <x v="1"/>
    <n v="725"/>
    <n v="0.13"/>
    <n v="413.88"/>
    <n v="0.1"/>
    <n v="192.72"/>
    <n v="0.05"/>
    <n v="9"/>
    <n v="1584.57"/>
    <n v="82"/>
    <n v="0"/>
    <n v="659.97"/>
    <n v="1596.84"/>
    <x v="1"/>
    <n v="583.36"/>
    <x v="7"/>
    <x v="0"/>
    <n v="12.6"/>
    <s v="Medium"/>
    <n v="1640.95"/>
    <n v="0"/>
  </r>
  <r>
    <x v="9"/>
    <x v="7"/>
    <n v="1226"/>
    <n v="2315.79"/>
    <n v="2489.11"/>
    <n v="-173.32"/>
    <n v="1.07"/>
    <n v="0.27"/>
    <n v="2498.29"/>
    <x v="2"/>
    <n v="735"/>
    <n v="0.28999999999999998"/>
    <n v="590.73"/>
    <n v="0.26"/>
    <n v="0"/>
    <n v="0"/>
    <n v="9"/>
    <n v="764.82"/>
    <n v="88"/>
    <n v="0"/>
    <n v="397.97"/>
    <n v="2406.2199999999998"/>
    <x v="1"/>
    <n v="1465.42"/>
    <x v="4"/>
    <x v="0"/>
    <n v="14.1"/>
    <s v="Low"/>
    <n v="0"/>
    <n v="0"/>
  </r>
  <r>
    <x v="9"/>
    <x v="7"/>
    <n v="1223"/>
    <n v="5370.44"/>
    <n v="3621.65"/>
    <n v="1748.79"/>
    <n v="0.67"/>
    <n v="0.16"/>
    <n v="3037.85"/>
    <x v="1"/>
    <n v="717"/>
    <n v="0.12"/>
    <n v="663.98"/>
    <n v="0.12"/>
    <n v="0"/>
    <n v="0"/>
    <n v="1"/>
    <n v="132.26"/>
    <n v="20"/>
    <n v="0"/>
    <n v="450.86"/>
    <n v="1463.71"/>
    <x v="2"/>
    <n v="1842.48"/>
    <x v="5"/>
    <x v="2"/>
    <n v="74.400000000000006"/>
    <s v="Medium"/>
    <n v="1748.79"/>
    <n v="0"/>
  </r>
  <r>
    <x v="9"/>
    <x v="7"/>
    <n v="1773"/>
    <n v="3354.24"/>
    <n v="3694.49"/>
    <n v="-340.25"/>
    <n v="1.1000000000000001"/>
    <n v="0.25"/>
    <n v="2493.17"/>
    <x v="1"/>
    <n v="644"/>
    <n v="0.56999999999999995"/>
    <n v="792.28"/>
    <n v="0.24"/>
    <n v="34.770000000000003"/>
    <n v="0.01"/>
    <n v="5"/>
    <n v="162.94"/>
    <n v="85"/>
    <n v="0"/>
    <n v="0"/>
    <n v="2872.78"/>
    <x v="1"/>
    <n v="1182.78"/>
    <x v="8"/>
    <x v="2"/>
    <n v="28.5"/>
    <s v="Low"/>
    <n v="0"/>
    <n v="0"/>
  </r>
  <r>
    <x v="9"/>
    <x v="7"/>
    <n v="1606"/>
    <n v="4053.47"/>
    <n v="4006.81"/>
    <n v="46.66"/>
    <n v="0.99"/>
    <n v="0.14000000000000001"/>
    <n v="2391.9299999999998"/>
    <x v="1"/>
    <n v="622"/>
    <n v="0.31"/>
    <n v="491.23"/>
    <n v="0.12"/>
    <n v="645.73"/>
    <n v="0.16"/>
    <n v="5"/>
    <n v="890.18"/>
    <n v="84"/>
    <n v="0"/>
    <n v="337.57"/>
    <n v="1820.37"/>
    <x v="1"/>
    <n v="1588.74"/>
    <x v="5"/>
    <x v="1"/>
    <n v="86"/>
    <s v="Low"/>
    <n v="46.66"/>
    <n v="0"/>
  </r>
  <r>
    <x v="9"/>
    <x v="7"/>
    <n v="1105"/>
    <n v="4897.5200000000004"/>
    <n v="2716.08"/>
    <n v="2181.44"/>
    <n v="0.55000000000000004"/>
    <n v="0.35"/>
    <n v="3564.76"/>
    <x v="1"/>
    <n v="612"/>
    <n v="0.18"/>
    <n v="560.64"/>
    <n v="0.11"/>
    <n v="225.72"/>
    <n v="0.05"/>
    <n v="7"/>
    <n v="809.11"/>
    <n v="53"/>
    <n v="0"/>
    <n v="579.20000000000005"/>
    <n v="2551"/>
    <x v="1"/>
    <n v="547.27"/>
    <x v="8"/>
    <x v="2"/>
    <n v="23.4"/>
    <s v="High"/>
    <n v="2181.44"/>
    <n v="0"/>
  </r>
  <r>
    <x v="9"/>
    <x v="7"/>
    <n v="1309"/>
    <n v="2578.67"/>
    <n v="2666.67"/>
    <n v="-88"/>
    <n v="1.03"/>
    <n v="0.32"/>
    <n v="3519.54"/>
    <x v="2"/>
    <n v="605"/>
    <n v="0.56000000000000005"/>
    <n v="361.18"/>
    <n v="0.14000000000000001"/>
    <n v="455.21"/>
    <n v="0.18"/>
    <n v="8"/>
    <n v="1211.68"/>
    <n v="94"/>
    <n v="0"/>
    <n v="108.36"/>
    <n v="1408.92"/>
    <x v="1"/>
    <n v="496.4"/>
    <x v="9"/>
    <x v="0"/>
    <n v="13.5"/>
    <s v="Low"/>
    <n v="0"/>
    <n v="0"/>
  </r>
  <r>
    <x v="9"/>
    <x v="7"/>
    <n v="1019"/>
    <n v="6272.02"/>
    <n v="3516.79"/>
    <n v="2755.23"/>
    <n v="0.56000000000000005"/>
    <n v="0.38"/>
    <n v="2664.64"/>
    <x v="0"/>
    <n v="559"/>
    <n v="0.55000000000000004"/>
    <n v="727.15"/>
    <n v="0.12"/>
    <n v="158.62"/>
    <n v="0.03"/>
    <n v="8"/>
    <n v="1999.89"/>
    <n v="72"/>
    <n v="0"/>
    <n v="228.67"/>
    <n v="1811.31"/>
    <x v="1"/>
    <n v="599.04"/>
    <x v="4"/>
    <x v="0"/>
    <n v="75.7"/>
    <s v="Low"/>
    <n v="2755.23"/>
    <n v="1"/>
  </r>
  <r>
    <x v="9"/>
    <x v="7"/>
    <n v="1378"/>
    <n v="5083.2700000000004"/>
    <n v="2207.13"/>
    <n v="2876.14"/>
    <n v="0.43"/>
    <n v="0.08"/>
    <n v="3276.37"/>
    <x v="1"/>
    <n v="678"/>
    <n v="0.47"/>
    <n v="443.73"/>
    <n v="0.09"/>
    <n v="224.95"/>
    <n v="0.04"/>
    <n v="1"/>
    <n v="1423.77"/>
    <n v="46"/>
    <n v="0"/>
    <n v="399.37"/>
    <n v="2368.61"/>
    <x v="0"/>
    <n v="805.56"/>
    <x v="2"/>
    <x v="0"/>
    <n v="63.3"/>
    <s v="High"/>
    <n v="2876.14"/>
    <n v="0"/>
  </r>
  <r>
    <x v="9"/>
    <x v="7"/>
    <n v="1272"/>
    <n v="3343.67"/>
    <n v="4040.85"/>
    <n v="-697.18"/>
    <n v="1.21"/>
    <n v="0.39"/>
    <n v="2225.0300000000002"/>
    <x v="0"/>
    <n v="709"/>
    <n v="0.19"/>
    <n v="886.84"/>
    <n v="0.27"/>
    <n v="453.44"/>
    <n v="0.14000000000000001"/>
    <n v="9"/>
    <n v="260.54000000000002"/>
    <n v="97"/>
    <n v="0"/>
    <n v="677.08"/>
    <n v="3043.98"/>
    <x v="1"/>
    <n v="843.92"/>
    <x v="4"/>
    <x v="2"/>
    <n v="58.4"/>
    <s v="Medium"/>
    <n v="0"/>
    <n v="0"/>
  </r>
  <r>
    <x v="9"/>
    <x v="7"/>
    <n v="1876"/>
    <n v="3515.59"/>
    <n v="2670.95"/>
    <n v="844.64"/>
    <n v="0.76"/>
    <n v="0.16"/>
    <n v="2901.02"/>
    <x v="2"/>
    <n v="638"/>
    <n v="0.51"/>
    <n v="246.31"/>
    <n v="7.0000000000000007E-2"/>
    <n v="531.52"/>
    <n v="0.15"/>
    <n v="5"/>
    <n v="332.72"/>
    <n v="53"/>
    <n v="0"/>
    <n v="704.24"/>
    <n v="1243.48"/>
    <x v="1"/>
    <n v="1342.14"/>
    <x v="8"/>
    <x v="1"/>
    <n v="66.400000000000006"/>
    <s v="High"/>
    <n v="844.64"/>
    <n v="0"/>
  </r>
  <r>
    <x v="9"/>
    <x v="7"/>
    <n v="1799"/>
    <n v="3695.13"/>
    <n v="1871.43"/>
    <n v="1823.7"/>
    <n v="0.51"/>
    <n v="0.37"/>
    <n v="3777.31"/>
    <x v="0"/>
    <n v="692"/>
    <n v="0.47"/>
    <n v="543.62"/>
    <n v="0.15"/>
    <n v="202.39"/>
    <n v="0.05"/>
    <n v="1"/>
    <n v="83.95"/>
    <n v="85"/>
    <n v="0"/>
    <n v="358.11"/>
    <n v="3034.33"/>
    <x v="1"/>
    <n v="985.86"/>
    <x v="5"/>
    <x v="0"/>
    <n v="53.5"/>
    <s v="Low"/>
    <n v="1823.7"/>
    <n v="0"/>
  </r>
  <r>
    <x v="9"/>
    <x v="7"/>
    <n v="1521"/>
    <n v="4900.43"/>
    <n v="3829.43"/>
    <n v="1071"/>
    <n v="0.78"/>
    <n v="7.0000000000000007E-2"/>
    <n v="2610.75"/>
    <x v="1"/>
    <n v="710"/>
    <n v="0.33"/>
    <n v="404.32"/>
    <n v="0.08"/>
    <n v="318.27"/>
    <n v="0.06"/>
    <n v="6"/>
    <n v="357.73"/>
    <n v="94"/>
    <n v="0"/>
    <n v="702.48"/>
    <n v="3137.2"/>
    <x v="1"/>
    <n v="898.59"/>
    <x v="1"/>
    <x v="0"/>
    <n v="42.2"/>
    <s v="Low"/>
    <n v="1071"/>
    <n v="0"/>
  </r>
  <r>
    <x v="9"/>
    <x v="7"/>
    <n v="1974"/>
    <n v="4319.0200000000004"/>
    <n v="2586.75"/>
    <n v="1732.27"/>
    <n v="0.6"/>
    <n v="0.31"/>
    <n v="4263.1499999999996"/>
    <x v="0"/>
    <n v="750"/>
    <n v="0.57999999999999996"/>
    <n v="775.89"/>
    <n v="0.18"/>
    <n v="67.540000000000006"/>
    <n v="0.02"/>
    <n v="6"/>
    <n v="1108.6400000000001"/>
    <n v="45"/>
    <n v="0"/>
    <n v="363.63"/>
    <n v="1766.05"/>
    <x v="0"/>
    <n v="1461.33"/>
    <x v="9"/>
    <x v="2"/>
    <n v="54.8"/>
    <s v="High"/>
    <n v="1732.27"/>
    <n v="0"/>
  </r>
  <r>
    <x v="9"/>
    <x v="7"/>
    <n v="1418"/>
    <n v="3739.5"/>
    <n v="3502.33"/>
    <n v="237.17"/>
    <n v="0.94"/>
    <n v="7.0000000000000007E-2"/>
    <n v="3396.07"/>
    <x v="1"/>
    <n v="686"/>
    <n v="0.56000000000000005"/>
    <n v="531.17999999999995"/>
    <n v="0.14000000000000001"/>
    <n v="284.02"/>
    <n v="0.08"/>
    <n v="8"/>
    <n v="1634.17"/>
    <n v="80"/>
    <n v="0"/>
    <n v="1132.6099999999999"/>
    <n v="1867.51"/>
    <x v="1"/>
    <n v="1128.93"/>
    <x v="5"/>
    <x v="0"/>
    <n v="11.3"/>
    <s v="Low"/>
    <n v="237.17"/>
    <n v="0"/>
  </r>
  <r>
    <x v="9"/>
    <x v="7"/>
    <n v="1000"/>
    <n v="3374.92"/>
    <n v="4718.17"/>
    <n v="-1343.25"/>
    <n v="1.4"/>
    <n v="0.38"/>
    <n v="3863.29"/>
    <x v="0"/>
    <n v="677"/>
    <n v="0.36"/>
    <n v="527.88"/>
    <n v="0.16"/>
    <n v="402.65"/>
    <n v="0.12"/>
    <n v="8"/>
    <n v="1110.0999999999999"/>
    <n v="61"/>
    <n v="0"/>
    <n v="456.4"/>
    <n v="2245.69"/>
    <x v="0"/>
    <n v="1521.3"/>
    <x v="2"/>
    <x v="2"/>
    <n v="31.7"/>
    <s v="Low"/>
    <n v="0"/>
    <n v="0"/>
  </r>
  <r>
    <x v="9"/>
    <x v="7"/>
    <n v="1072"/>
    <n v="3396.12"/>
    <n v="3121.91"/>
    <n v="274.20999999999998"/>
    <n v="0.92"/>
    <n v="0.26"/>
    <n v="2760.99"/>
    <x v="0"/>
    <n v="651"/>
    <n v="0.4"/>
    <n v="380.08"/>
    <n v="0.11"/>
    <n v="0"/>
    <n v="0"/>
    <n v="4"/>
    <n v="437.95"/>
    <n v="59"/>
    <n v="0"/>
    <n v="253.96"/>
    <n v="1845.56"/>
    <x v="0"/>
    <n v="1897.05"/>
    <x v="3"/>
    <x v="1"/>
    <n v="49.8"/>
    <s v="Low"/>
    <n v="274.20999999999998"/>
    <n v="0"/>
  </r>
  <r>
    <x v="9"/>
    <x v="7"/>
    <n v="1035"/>
    <n v="4483.58"/>
    <n v="3970.71"/>
    <n v="512.87"/>
    <n v="0.89"/>
    <n v="0.12"/>
    <n v="1672.27"/>
    <x v="0"/>
    <n v="661"/>
    <n v="0.18"/>
    <n v="190.4"/>
    <n v="0.04"/>
    <n v="209.18"/>
    <n v="0.05"/>
    <n v="6"/>
    <n v="747.42"/>
    <n v="71"/>
    <n v="0"/>
    <n v="431.81"/>
    <n v="2178.7399999999998"/>
    <x v="1"/>
    <n v="960.35"/>
    <x v="8"/>
    <x v="2"/>
    <n v="0.9"/>
    <s v="Low"/>
    <n v="512.87"/>
    <n v="0"/>
  </r>
  <r>
    <x v="9"/>
    <x v="7"/>
    <n v="1650"/>
    <n v="4234.68"/>
    <n v="3186.99"/>
    <n v="1047.69"/>
    <n v="0.75"/>
    <n v="0.4"/>
    <n v="2816.06"/>
    <x v="1"/>
    <n v="715"/>
    <n v="0.15"/>
    <n v="522.77"/>
    <n v="0.12"/>
    <n v="561.25"/>
    <n v="0.13"/>
    <n v="9"/>
    <n v="1507.11"/>
    <n v="97"/>
    <n v="0"/>
    <n v="532.01"/>
    <n v="2005.38"/>
    <x v="2"/>
    <n v="2215.04"/>
    <x v="0"/>
    <x v="1"/>
    <n v="36"/>
    <s v="Low"/>
    <n v="1047.69"/>
    <n v="0"/>
  </r>
  <r>
    <x v="9"/>
    <x v="7"/>
    <n v="1549"/>
    <n v="3972.99"/>
    <n v="2917.83"/>
    <n v="1055.1600000000001"/>
    <n v="0.73"/>
    <n v="0.34"/>
    <n v="2605.37"/>
    <x v="1"/>
    <n v="637"/>
    <n v="0.6"/>
    <n v="638.22"/>
    <n v="0.16"/>
    <n v="592.83000000000004"/>
    <n v="0.15"/>
    <n v="7"/>
    <n v="1511.13"/>
    <n v="24"/>
    <n v="0"/>
    <n v="492.63"/>
    <n v="2386.09"/>
    <x v="1"/>
    <n v="956.17"/>
    <x v="4"/>
    <x v="0"/>
    <n v="50.5"/>
    <s v="Low"/>
    <n v="1055.1600000000001"/>
    <n v="0"/>
  </r>
  <r>
    <x v="9"/>
    <x v="7"/>
    <n v="1100"/>
    <n v="4101.62"/>
    <n v="3541.71"/>
    <n v="559.91"/>
    <n v="0.86"/>
    <n v="0.14000000000000001"/>
    <n v="2793.18"/>
    <x v="1"/>
    <n v="667"/>
    <n v="0.32"/>
    <n v="279.47000000000003"/>
    <n v="7.0000000000000007E-2"/>
    <n v="469.83"/>
    <n v="0.11"/>
    <n v="7"/>
    <n v="1674.38"/>
    <n v="39"/>
    <n v="0"/>
    <n v="558.04"/>
    <n v="1333.24"/>
    <x v="1"/>
    <n v="1373.16"/>
    <x v="0"/>
    <x v="0"/>
    <n v="39.700000000000003"/>
    <s v="Low"/>
    <n v="559.91"/>
    <n v="0"/>
  </r>
  <r>
    <x v="9"/>
    <x v="7"/>
    <n v="1938"/>
    <n v="3381.06"/>
    <n v="2417.67"/>
    <n v="963.39"/>
    <n v="0.72"/>
    <n v="0.33"/>
    <n v="2632.84"/>
    <x v="1"/>
    <n v="697"/>
    <n v="0.14000000000000001"/>
    <n v="155.80000000000001"/>
    <n v="0.05"/>
    <n v="392.1"/>
    <n v="0.12"/>
    <n v="8"/>
    <n v="766.2"/>
    <n v="58"/>
    <n v="0"/>
    <n v="196.61"/>
    <n v="2723.06"/>
    <x v="1"/>
    <n v="1095.73"/>
    <x v="2"/>
    <x v="0"/>
    <n v="83.2"/>
    <s v="Low"/>
    <n v="963.39"/>
    <n v="0"/>
  </r>
  <r>
    <x v="9"/>
    <x v="7"/>
    <n v="1082"/>
    <n v="3947.11"/>
    <n v="2107.58"/>
    <n v="1839.53"/>
    <n v="0.53"/>
    <n v="0.23"/>
    <n v="2304.5"/>
    <x v="1"/>
    <n v="606"/>
    <n v="0.14000000000000001"/>
    <n v="383.28"/>
    <n v="0.1"/>
    <n v="504.7"/>
    <n v="0.13"/>
    <n v="8"/>
    <n v="573.9"/>
    <n v="23"/>
    <n v="0"/>
    <n v="451.65"/>
    <n v="1933.5"/>
    <x v="1"/>
    <n v="1326.35"/>
    <x v="1"/>
    <x v="1"/>
    <n v="34.9"/>
    <s v="High"/>
    <n v="1839.53"/>
    <n v="0"/>
  </r>
  <r>
    <x v="9"/>
    <x v="7"/>
    <n v="1946"/>
    <n v="4335.41"/>
    <n v="3622.24"/>
    <n v="713.17"/>
    <n v="0.84"/>
    <n v="0.05"/>
    <n v="2914.92"/>
    <x v="0"/>
    <n v="671"/>
    <n v="0.49"/>
    <n v="292.95999999999998"/>
    <n v="7.0000000000000007E-2"/>
    <n v="258.66000000000003"/>
    <n v="0.06"/>
    <n v="1"/>
    <n v="943.66"/>
    <n v="97"/>
    <n v="0"/>
    <n v="592.32000000000005"/>
    <n v="2888.68"/>
    <x v="2"/>
    <n v="1696.48"/>
    <x v="4"/>
    <x v="2"/>
    <n v="31.1"/>
    <s v="Low"/>
    <n v="713.17"/>
    <n v="0"/>
  </r>
  <r>
    <x v="9"/>
    <x v="7"/>
    <n v="1048"/>
    <n v="3642.81"/>
    <n v="2100.88"/>
    <n v="1541.93"/>
    <n v="0.57999999999999996"/>
    <n v="0.2"/>
    <n v="2936.39"/>
    <x v="1"/>
    <n v="650"/>
    <n v="0.55000000000000004"/>
    <n v="527.30999999999995"/>
    <n v="0.14000000000000001"/>
    <n v="376.91"/>
    <n v="0.1"/>
    <n v="1"/>
    <n v="498.42"/>
    <n v="38"/>
    <n v="0"/>
    <n v="843.03"/>
    <n v="2424.02"/>
    <x v="1"/>
    <n v="1045.58"/>
    <x v="7"/>
    <x v="1"/>
    <n v="47.5"/>
    <s v="Low"/>
    <n v="1541.93"/>
    <n v="0"/>
  </r>
  <r>
    <x v="9"/>
    <x v="7"/>
    <n v="1122"/>
    <n v="5339.91"/>
    <n v="4261.75"/>
    <n v="1078.1600000000001"/>
    <n v="0.8"/>
    <n v="0.25"/>
    <n v="2114.91"/>
    <x v="1"/>
    <n v="635"/>
    <n v="0.32"/>
    <n v="639.38"/>
    <n v="0.12"/>
    <n v="327.54000000000002"/>
    <n v="0.06"/>
    <n v="7"/>
    <n v="1435.96"/>
    <n v="90"/>
    <n v="0"/>
    <n v="424.66"/>
    <n v="3797.5"/>
    <x v="0"/>
    <n v="1461.61"/>
    <x v="7"/>
    <x v="0"/>
    <n v="90.3"/>
    <s v="Low"/>
    <n v="1078.1600000000001"/>
    <n v="0"/>
  </r>
  <r>
    <x v="9"/>
    <x v="7"/>
    <n v="1585"/>
    <n v="2420.64"/>
    <n v="3221.73"/>
    <n v="-801.09"/>
    <n v="1.33"/>
    <n v="0.35"/>
    <n v="2484.69"/>
    <x v="0"/>
    <n v="713"/>
    <n v="0.15"/>
    <n v="648.54"/>
    <n v="0.27"/>
    <n v="615.16999999999996"/>
    <n v="0.25"/>
    <n v="6"/>
    <n v="1191.82"/>
    <n v="61"/>
    <n v="0"/>
    <n v="724.04"/>
    <n v="3108.26"/>
    <x v="1"/>
    <n v="1084.42"/>
    <x v="1"/>
    <x v="1"/>
    <n v="12.9"/>
    <s v="Medium"/>
    <n v="0"/>
    <n v="0"/>
  </r>
  <r>
    <x v="9"/>
    <x v="7"/>
    <n v="1881"/>
    <n v="5100.75"/>
    <n v="2667.75"/>
    <n v="2433"/>
    <n v="0.52"/>
    <n v="0.28999999999999998"/>
    <n v="2814.12"/>
    <x v="1"/>
    <n v="810"/>
    <n v="0.18"/>
    <n v="661.33"/>
    <n v="0.13"/>
    <n v="631.11"/>
    <n v="0.12"/>
    <n v="6"/>
    <n v="1151.68"/>
    <n v="62"/>
    <n v="0"/>
    <n v="590.16999999999996"/>
    <n v="2289.87"/>
    <x v="1"/>
    <n v="1090.94"/>
    <x v="4"/>
    <x v="0"/>
    <n v="23.7"/>
    <s v="High"/>
    <n v="2433"/>
    <n v="0"/>
  </r>
  <r>
    <x v="9"/>
    <x v="7"/>
    <n v="1825"/>
    <n v="4575.2700000000004"/>
    <n v="3696.96"/>
    <n v="878.31"/>
    <n v="0.81"/>
    <n v="0.34"/>
    <n v="2896.57"/>
    <x v="1"/>
    <n v="698"/>
    <n v="0.14000000000000001"/>
    <n v="476.15"/>
    <n v="0.1"/>
    <n v="0"/>
    <n v="0"/>
    <n v="3"/>
    <n v="1173.53"/>
    <n v="60"/>
    <n v="0"/>
    <n v="331.97"/>
    <n v="2235.36"/>
    <x v="0"/>
    <n v="1211.81"/>
    <x v="2"/>
    <x v="0"/>
    <n v="70.900000000000006"/>
    <s v="High"/>
    <n v="878.31"/>
    <n v="0"/>
  </r>
  <r>
    <x v="9"/>
    <x v="7"/>
    <n v="1192"/>
    <n v="3884.71"/>
    <n v="1642.92"/>
    <n v="2241.79"/>
    <n v="0.42"/>
    <n v="0.08"/>
    <n v="2196.84"/>
    <x v="0"/>
    <n v="752"/>
    <n v="0.5"/>
    <n v="281.29000000000002"/>
    <n v="7.0000000000000007E-2"/>
    <n v="369.17"/>
    <n v="0.1"/>
    <n v="7"/>
    <n v="1081.9000000000001"/>
    <n v="93"/>
    <n v="0"/>
    <n v="556"/>
    <n v="1051.5"/>
    <x v="1"/>
    <n v="1890.47"/>
    <x v="1"/>
    <x v="0"/>
    <n v="56.4"/>
    <s v="Medium"/>
    <n v="2241.79"/>
    <n v="1"/>
  </r>
  <r>
    <x v="9"/>
    <x v="7"/>
    <n v="1200"/>
    <n v="4569.58"/>
    <n v="3569.71"/>
    <n v="999.87"/>
    <n v="0.78"/>
    <n v="0.21"/>
    <n v="2778.01"/>
    <x v="1"/>
    <n v="625"/>
    <n v="0.27"/>
    <n v="669.93"/>
    <n v="0.15"/>
    <n v="561.14"/>
    <n v="0.12"/>
    <n v="8"/>
    <n v="1267.48"/>
    <n v="66"/>
    <n v="0"/>
    <n v="660.7"/>
    <n v="3072.73"/>
    <x v="1"/>
    <n v="971.84"/>
    <x v="2"/>
    <x v="2"/>
    <n v="5.0999999999999996"/>
    <s v="Low"/>
    <n v="999.87"/>
    <n v="0"/>
  </r>
  <r>
    <x v="9"/>
    <x v="7"/>
    <n v="1464"/>
    <n v="4184.43"/>
    <n v="2190.7800000000002"/>
    <n v="1993.65"/>
    <n v="0.52"/>
    <n v="0.21"/>
    <n v="2728.62"/>
    <x v="1"/>
    <n v="636"/>
    <n v="0.51"/>
    <n v="353.45"/>
    <n v="0.08"/>
    <n v="0"/>
    <n v="0"/>
    <n v="7"/>
    <n v="1000.13"/>
    <n v="67"/>
    <n v="0"/>
    <n v="333.29"/>
    <n v="3286.93"/>
    <x v="0"/>
    <n v="965.31"/>
    <x v="1"/>
    <x v="0"/>
    <n v="66.8"/>
    <s v="Medium"/>
    <n v="1993.65"/>
    <n v="0"/>
  </r>
  <r>
    <x v="9"/>
    <x v="7"/>
    <n v="1227"/>
    <n v="3704.29"/>
    <n v="3077.46"/>
    <n v="626.83000000000004"/>
    <n v="0.83"/>
    <n v="0.33"/>
    <n v="2194.0500000000002"/>
    <x v="2"/>
    <n v="632"/>
    <n v="0.57999999999999996"/>
    <n v="569.28"/>
    <n v="0.15"/>
    <n v="140.81"/>
    <n v="0.04"/>
    <n v="3"/>
    <n v="540.88"/>
    <n v="69"/>
    <n v="0"/>
    <n v="464.49"/>
    <n v="1786.51"/>
    <x v="0"/>
    <n v="1071.82"/>
    <x v="2"/>
    <x v="2"/>
    <n v="89.4"/>
    <s v="Medium"/>
    <n v="626.83000000000004"/>
    <n v="0"/>
  </r>
  <r>
    <x v="9"/>
    <x v="7"/>
    <n v="1087"/>
    <n v="4045.07"/>
    <n v="3018.16"/>
    <n v="1026.9100000000001"/>
    <n v="0.75"/>
    <n v="0.24"/>
    <n v="2691.5"/>
    <x v="1"/>
    <n v="652"/>
    <n v="0.21"/>
    <n v="678.91"/>
    <n v="0.17"/>
    <n v="340.77"/>
    <n v="0.08"/>
    <n v="6"/>
    <n v="1266.3800000000001"/>
    <n v="99"/>
    <n v="0"/>
    <n v="557.61"/>
    <n v="1893.1"/>
    <x v="1"/>
    <n v="911.51"/>
    <x v="2"/>
    <x v="0"/>
    <n v="55.1"/>
    <s v="High"/>
    <n v="1026.9100000000001"/>
    <n v="0"/>
  </r>
  <r>
    <x v="9"/>
    <x v="7"/>
    <n v="1975"/>
    <n v="3195.06"/>
    <n v="1142.97"/>
    <n v="2052.09"/>
    <n v="0.36"/>
    <n v="0.09"/>
    <n v="3431.81"/>
    <x v="1"/>
    <n v="738"/>
    <n v="0.11"/>
    <n v="610.42999999999995"/>
    <n v="0.19"/>
    <n v="343.98"/>
    <n v="0.11"/>
    <n v="9"/>
    <n v="349.47"/>
    <n v="74"/>
    <n v="0"/>
    <n v="517.16999999999996"/>
    <n v="1059.52"/>
    <x v="1"/>
    <n v="662.86"/>
    <x v="4"/>
    <x v="0"/>
    <n v="53.6"/>
    <s v="Low"/>
    <n v="2052.09"/>
    <n v="0"/>
  </r>
  <r>
    <x v="9"/>
    <x v="7"/>
    <n v="1825"/>
    <n v="3270.53"/>
    <n v="3556.06"/>
    <n v="-285.52999999999997"/>
    <n v="1.0900000000000001"/>
    <n v="0.31"/>
    <n v="2727.97"/>
    <x v="2"/>
    <n v="620"/>
    <n v="0.18"/>
    <n v="604.15"/>
    <n v="0.18"/>
    <n v="778.78"/>
    <n v="0.24"/>
    <n v="4"/>
    <n v="995.67"/>
    <n v="50"/>
    <n v="0"/>
    <n v="564.54999999999995"/>
    <n v="3401.18"/>
    <x v="1"/>
    <n v="1478.25"/>
    <x v="1"/>
    <x v="1"/>
    <n v="41.9"/>
    <s v="High"/>
    <n v="0"/>
    <n v="0"/>
  </r>
  <r>
    <x v="10"/>
    <x v="8"/>
    <n v="1045"/>
    <n v="3832.71"/>
    <n v="3230.77"/>
    <n v="601.94000000000005"/>
    <n v="0.84"/>
    <n v="0.23"/>
    <n v="3178.17"/>
    <x v="1"/>
    <n v="611"/>
    <n v="0.19"/>
    <n v="316.33999999999997"/>
    <n v="0.08"/>
    <n v="452.59"/>
    <n v="0.12"/>
    <n v="9"/>
    <n v="1095.6300000000001"/>
    <n v="73"/>
    <n v="0"/>
    <n v="585.69000000000005"/>
    <n v="3029.36"/>
    <x v="2"/>
    <n v="1254.48"/>
    <x v="0"/>
    <x v="0"/>
    <n v="62.5"/>
    <s v="Medium"/>
    <n v="601.94000000000005"/>
    <n v="0"/>
  </r>
  <r>
    <x v="10"/>
    <x v="8"/>
    <n v="1595"/>
    <n v="4521.79"/>
    <n v="3131.93"/>
    <n v="1389.86"/>
    <n v="0.69"/>
    <n v="0.37"/>
    <n v="3025.06"/>
    <x v="1"/>
    <n v="645"/>
    <n v="0.41"/>
    <n v="280.93"/>
    <n v="0.06"/>
    <n v="303.33999999999997"/>
    <n v="7.0000000000000007E-2"/>
    <n v="1"/>
    <n v="1013.99"/>
    <n v="90"/>
    <n v="0"/>
    <n v="187.14"/>
    <n v="1731.05"/>
    <x v="1"/>
    <n v="368.58"/>
    <x v="9"/>
    <x v="2"/>
    <n v="62.2"/>
    <s v="High"/>
    <n v="1389.86"/>
    <n v="0"/>
  </r>
  <r>
    <x v="10"/>
    <x v="8"/>
    <n v="1942"/>
    <n v="3351.95"/>
    <n v="2206.7600000000002"/>
    <n v="1145.19"/>
    <n v="0.66"/>
    <n v="0.16"/>
    <n v="3223.23"/>
    <x v="1"/>
    <n v="731"/>
    <n v="0.33"/>
    <n v="615.16"/>
    <n v="0.18"/>
    <n v="369.66"/>
    <n v="0.11"/>
    <n v="7"/>
    <n v="1342.36"/>
    <n v="57"/>
    <n v="0"/>
    <n v="795.63"/>
    <n v="1842.64"/>
    <x v="1"/>
    <n v="916.09"/>
    <x v="1"/>
    <x v="0"/>
    <n v="51.2"/>
    <s v="Medium"/>
    <n v="1145.19"/>
    <n v="0"/>
  </r>
  <r>
    <x v="10"/>
    <x v="8"/>
    <n v="1634"/>
    <n v="3970.71"/>
    <n v="4435.95"/>
    <n v="-465.24"/>
    <n v="1.1200000000000001"/>
    <n v="0.15"/>
    <n v="2748.72"/>
    <x v="2"/>
    <n v="676"/>
    <n v="0.44"/>
    <n v="640.58000000000004"/>
    <n v="0.16"/>
    <n v="273.26"/>
    <n v="7.0000000000000007E-2"/>
    <n v="6"/>
    <n v="1635.22"/>
    <n v="35"/>
    <n v="0"/>
    <n v="852.02"/>
    <n v="2311.11"/>
    <x v="0"/>
    <n v="1355.55"/>
    <x v="9"/>
    <x v="1"/>
    <n v="29.9"/>
    <s v="Low"/>
    <n v="0"/>
    <n v="0"/>
  </r>
  <r>
    <x v="10"/>
    <x v="8"/>
    <n v="1652"/>
    <n v="3828.64"/>
    <n v="2606.4699999999998"/>
    <n v="1222.17"/>
    <n v="0.68"/>
    <n v="0.2"/>
    <n v="2631.87"/>
    <x v="1"/>
    <n v="690"/>
    <n v="0.49"/>
    <n v="369.24"/>
    <n v="0.1"/>
    <n v="172.91"/>
    <n v="0.05"/>
    <n v="4"/>
    <n v="1175.3499999999999"/>
    <n v="23"/>
    <n v="0"/>
    <n v="385.35"/>
    <n v="1024.55"/>
    <x v="1"/>
    <n v="337.61"/>
    <x v="3"/>
    <x v="2"/>
    <n v="73.8"/>
    <s v="Medium"/>
    <n v="1222.17"/>
    <n v="0"/>
  </r>
  <r>
    <x v="10"/>
    <x v="8"/>
    <n v="1132"/>
    <n v="6056.93"/>
    <n v="3329.73"/>
    <n v="2727.2"/>
    <n v="0.55000000000000004"/>
    <n v="0.28000000000000003"/>
    <n v="2610.6799999999998"/>
    <x v="1"/>
    <n v="705"/>
    <n v="0.26"/>
    <n v="536.89"/>
    <n v="0.09"/>
    <n v="156.68"/>
    <n v="0.03"/>
    <n v="7"/>
    <n v="1040.05"/>
    <n v="66"/>
    <n v="0"/>
    <n v="569.5"/>
    <n v="1000"/>
    <x v="2"/>
    <n v="1386.32"/>
    <x v="6"/>
    <x v="0"/>
    <n v="62.3"/>
    <s v="Medium"/>
    <n v="2727.2"/>
    <n v="1"/>
  </r>
  <r>
    <x v="10"/>
    <x v="8"/>
    <n v="1264"/>
    <n v="5270.31"/>
    <n v="2463.85"/>
    <n v="2806.46"/>
    <n v="0.47"/>
    <n v="0.25"/>
    <n v="3141.09"/>
    <x v="1"/>
    <n v="699"/>
    <n v="0.22"/>
    <n v="746.89"/>
    <n v="0.14000000000000001"/>
    <n v="246.83"/>
    <n v="0.05"/>
    <n v="2"/>
    <n v="843.27"/>
    <n v="34"/>
    <n v="0"/>
    <n v="213.12"/>
    <n v="1846.67"/>
    <x v="1"/>
    <n v="583.66"/>
    <x v="0"/>
    <x v="2"/>
    <n v="75.3"/>
    <s v="High"/>
    <n v="2806.46"/>
    <n v="0"/>
  </r>
  <r>
    <x v="10"/>
    <x v="8"/>
    <n v="1847"/>
    <n v="4190.5200000000004"/>
    <n v="4255.47"/>
    <n v="-64.95"/>
    <n v="1.02"/>
    <n v="0.12"/>
    <n v="2765"/>
    <x v="1"/>
    <n v="695"/>
    <n v="0.51"/>
    <n v="279.63"/>
    <n v="7.0000000000000007E-2"/>
    <n v="208.07"/>
    <n v="0.05"/>
    <n v="5"/>
    <n v="1409.21"/>
    <n v="96"/>
    <n v="0"/>
    <n v="154"/>
    <n v="1186.27"/>
    <x v="1"/>
    <n v="1136.3399999999999"/>
    <x v="3"/>
    <x v="0"/>
    <n v="22.6"/>
    <s v="Medium"/>
    <n v="0"/>
    <n v="0"/>
  </r>
  <r>
    <x v="10"/>
    <x v="8"/>
    <n v="1633"/>
    <n v="3545.88"/>
    <n v="4354.28"/>
    <n v="-808.4"/>
    <n v="1.23"/>
    <n v="0.39"/>
    <n v="2551.98"/>
    <x v="1"/>
    <n v="628"/>
    <n v="0.36"/>
    <n v="327.94"/>
    <n v="0.09"/>
    <n v="560.62"/>
    <n v="0.16"/>
    <n v="8"/>
    <n v="353.45"/>
    <n v="98"/>
    <n v="0"/>
    <n v="577.41"/>
    <n v="2632.91"/>
    <x v="1"/>
    <n v="1864.38"/>
    <x v="1"/>
    <x v="0"/>
    <n v="22.1"/>
    <s v="Medium"/>
    <n v="0"/>
    <n v="0"/>
  </r>
  <r>
    <x v="10"/>
    <x v="8"/>
    <n v="1989"/>
    <n v="4401.6000000000004"/>
    <n v="2701.36"/>
    <n v="1700.24"/>
    <n v="0.61"/>
    <n v="0.19"/>
    <n v="2812.68"/>
    <x v="1"/>
    <n v="657"/>
    <n v="0.39"/>
    <n v="491.03"/>
    <n v="0.11"/>
    <n v="504.49"/>
    <n v="0.11"/>
    <n v="3"/>
    <n v="1075.57"/>
    <n v="43"/>
    <n v="0"/>
    <n v="518.78"/>
    <n v="1979.82"/>
    <x v="2"/>
    <n v="1740.01"/>
    <x v="6"/>
    <x v="0"/>
    <n v="48"/>
    <s v="Medium"/>
    <n v="1700.24"/>
    <n v="0"/>
  </r>
  <r>
    <x v="10"/>
    <x v="8"/>
    <n v="1647"/>
    <n v="3287.92"/>
    <n v="2927.23"/>
    <n v="360.69"/>
    <n v="0.89"/>
    <n v="0.2"/>
    <n v="1804.6"/>
    <x v="2"/>
    <n v="659"/>
    <n v="0.49"/>
    <n v="360.71"/>
    <n v="0.11"/>
    <n v="523.87"/>
    <n v="0.16"/>
    <n v="3"/>
    <n v="803.95"/>
    <n v="46"/>
    <n v="0"/>
    <n v="613.41"/>
    <n v="1411.17"/>
    <x v="1"/>
    <n v="1237.32"/>
    <x v="0"/>
    <x v="2"/>
    <n v="75.7"/>
    <s v="Low"/>
    <n v="360.69"/>
    <n v="0"/>
  </r>
  <r>
    <x v="10"/>
    <x v="8"/>
    <n v="1447"/>
    <n v="4220.47"/>
    <n v="2406.9"/>
    <n v="1813.57"/>
    <n v="0.56999999999999995"/>
    <n v="0.26"/>
    <n v="2941.72"/>
    <x v="0"/>
    <n v="657"/>
    <n v="0.33"/>
    <n v="448.69"/>
    <n v="0.11"/>
    <n v="371.29"/>
    <n v="0.09"/>
    <n v="6"/>
    <n v="188.69"/>
    <n v="28"/>
    <n v="0"/>
    <n v="719.01"/>
    <n v="1395.3"/>
    <x v="1"/>
    <n v="1593.72"/>
    <x v="5"/>
    <x v="1"/>
    <n v="64.7"/>
    <s v="Low"/>
    <n v="1813.57"/>
    <n v="0"/>
  </r>
  <r>
    <x v="10"/>
    <x v="8"/>
    <n v="1466"/>
    <n v="4775.91"/>
    <n v="4227.82"/>
    <n v="548.09"/>
    <n v="0.89"/>
    <n v="0.16"/>
    <n v="3301"/>
    <x v="1"/>
    <n v="601"/>
    <n v="0.15"/>
    <n v="456.07"/>
    <n v="0.1"/>
    <n v="299.99"/>
    <n v="0.06"/>
    <n v="5"/>
    <n v="435.04"/>
    <n v="56"/>
    <n v="0"/>
    <n v="120.68"/>
    <n v="2814.52"/>
    <x v="0"/>
    <n v="1328.93"/>
    <x v="6"/>
    <x v="0"/>
    <n v="31.4"/>
    <s v="Low"/>
    <n v="548.09"/>
    <n v="0"/>
  </r>
  <r>
    <x v="10"/>
    <x v="8"/>
    <n v="1294"/>
    <n v="2911.8"/>
    <n v="3514.78"/>
    <n v="-602.98"/>
    <n v="1.21"/>
    <n v="0.17"/>
    <n v="2727.75"/>
    <x v="0"/>
    <n v="667"/>
    <n v="0.37"/>
    <n v="245.39"/>
    <n v="0.08"/>
    <n v="327.63"/>
    <n v="0.11"/>
    <n v="2"/>
    <n v="1639.53"/>
    <n v="71"/>
    <n v="0"/>
    <n v="699.62"/>
    <n v="1817.3"/>
    <x v="1"/>
    <n v="1324.8"/>
    <x v="9"/>
    <x v="2"/>
    <n v="88.5"/>
    <s v="Low"/>
    <n v="0"/>
    <n v="0"/>
  </r>
  <r>
    <x v="10"/>
    <x v="8"/>
    <n v="1275"/>
    <n v="5303.49"/>
    <n v="3706.63"/>
    <n v="1596.86"/>
    <n v="0.7"/>
    <n v="0.13"/>
    <n v="2385.15"/>
    <x v="1"/>
    <n v="678"/>
    <n v="0.22"/>
    <n v="626.35"/>
    <n v="0.12"/>
    <n v="470.88"/>
    <n v="0.09"/>
    <n v="7"/>
    <n v="770.83"/>
    <n v="66"/>
    <n v="0"/>
    <n v="269.75"/>
    <n v="1942.42"/>
    <x v="1"/>
    <n v="1469.9"/>
    <x v="0"/>
    <x v="2"/>
    <n v="11.6"/>
    <s v="Low"/>
    <n v="1596.86"/>
    <n v="0"/>
  </r>
  <r>
    <x v="10"/>
    <x v="8"/>
    <n v="1531"/>
    <n v="4842.78"/>
    <n v="3005.7"/>
    <n v="1837.08"/>
    <n v="0.62"/>
    <n v="0.24"/>
    <n v="2363.89"/>
    <x v="2"/>
    <n v="562"/>
    <n v="0.36"/>
    <n v="883.06"/>
    <n v="0.18"/>
    <n v="331.25"/>
    <n v="7.0000000000000007E-2"/>
    <n v="1"/>
    <n v="724.48"/>
    <n v="65"/>
    <n v="0"/>
    <n v="143.76"/>
    <n v="2598.42"/>
    <x v="0"/>
    <n v="644.22"/>
    <x v="0"/>
    <x v="1"/>
    <n v="94.3"/>
    <s v="Medium"/>
    <n v="1837.08"/>
    <n v="0"/>
  </r>
  <r>
    <x v="10"/>
    <x v="8"/>
    <n v="1473"/>
    <n v="5777.42"/>
    <n v="4027.9"/>
    <n v="1749.52"/>
    <n v="0.7"/>
    <n v="0.18"/>
    <n v="2740.06"/>
    <x v="0"/>
    <n v="748"/>
    <n v="0.47"/>
    <n v="656.06"/>
    <n v="0.11"/>
    <n v="506.07"/>
    <n v="0.09"/>
    <n v="5"/>
    <n v="784.77"/>
    <n v="34"/>
    <n v="0"/>
    <n v="518.21"/>
    <n v="2035.34"/>
    <x v="1"/>
    <n v="316.45999999999998"/>
    <x v="9"/>
    <x v="0"/>
    <n v="97.6"/>
    <s v="Low"/>
    <n v="1749.52"/>
    <n v="0"/>
  </r>
  <r>
    <x v="10"/>
    <x v="8"/>
    <n v="1387"/>
    <n v="3480.16"/>
    <n v="3775.44"/>
    <n v="-295.27999999999997"/>
    <n v="1.08"/>
    <n v="0.1"/>
    <n v="2507.33"/>
    <x v="1"/>
    <n v="639"/>
    <n v="0.1"/>
    <n v="772.91"/>
    <n v="0.22"/>
    <n v="427.53"/>
    <n v="0.12"/>
    <n v="1"/>
    <n v="1023.36"/>
    <n v="76"/>
    <n v="0"/>
    <n v="358.81"/>
    <n v="2021.35"/>
    <x v="1"/>
    <n v="1081.3399999999999"/>
    <x v="4"/>
    <x v="0"/>
    <n v="86.5"/>
    <s v="Low"/>
    <n v="0"/>
    <n v="0"/>
  </r>
  <r>
    <x v="10"/>
    <x v="8"/>
    <n v="1423"/>
    <n v="2997.24"/>
    <n v="3451.1"/>
    <n v="-453.86"/>
    <n v="1.1499999999999999"/>
    <n v="0.12"/>
    <n v="3040.04"/>
    <x v="1"/>
    <n v="675"/>
    <n v="0.28000000000000003"/>
    <n v="701.31"/>
    <n v="0.23"/>
    <n v="465.3"/>
    <n v="0.16"/>
    <n v="2"/>
    <n v="547.83000000000004"/>
    <n v="79"/>
    <n v="0"/>
    <n v="731.41"/>
    <n v="1604.62"/>
    <x v="1"/>
    <n v="1881.66"/>
    <x v="2"/>
    <x v="1"/>
    <n v="79.5"/>
    <s v="Medium"/>
    <n v="0"/>
    <n v="0"/>
  </r>
  <r>
    <x v="10"/>
    <x v="8"/>
    <n v="1752"/>
    <n v="3006.83"/>
    <n v="2995.2"/>
    <n v="11.63"/>
    <n v="1"/>
    <n v="7.0000000000000007E-2"/>
    <n v="3482.78"/>
    <x v="1"/>
    <n v="673"/>
    <n v="0.39"/>
    <n v="769.17"/>
    <n v="0.26"/>
    <n v="766.89"/>
    <n v="0.26"/>
    <n v="8"/>
    <n v="0"/>
    <n v="67"/>
    <n v="0"/>
    <n v="368.91"/>
    <n v="1000"/>
    <x v="1"/>
    <n v="1703.69"/>
    <x v="8"/>
    <x v="0"/>
    <n v="6.9"/>
    <s v="Low"/>
    <n v="11.63"/>
    <n v="0"/>
  </r>
  <r>
    <x v="10"/>
    <x v="8"/>
    <n v="1684"/>
    <n v="3143.62"/>
    <n v="2770.44"/>
    <n v="373.18"/>
    <n v="0.88"/>
    <n v="7.0000000000000007E-2"/>
    <n v="2729.98"/>
    <x v="1"/>
    <n v="706"/>
    <n v="0.57999999999999996"/>
    <n v="769.16"/>
    <n v="0.24"/>
    <n v="180.86"/>
    <n v="0.06"/>
    <n v="4"/>
    <n v="239.9"/>
    <n v="60"/>
    <n v="0"/>
    <n v="548.66999999999996"/>
    <n v="1752.85"/>
    <x v="1"/>
    <n v="1382.2"/>
    <x v="7"/>
    <x v="2"/>
    <n v="98.5"/>
    <s v="High"/>
    <n v="373.18"/>
    <n v="0"/>
  </r>
  <r>
    <x v="10"/>
    <x v="8"/>
    <n v="1821"/>
    <n v="5360.33"/>
    <n v="3361.21"/>
    <n v="1999.12"/>
    <n v="0.63"/>
    <n v="0.21"/>
    <n v="2575.0700000000002"/>
    <x v="1"/>
    <n v="789"/>
    <n v="0.27"/>
    <n v="567.66"/>
    <n v="0.11"/>
    <n v="246.38"/>
    <n v="0.05"/>
    <n v="3"/>
    <n v="840.41"/>
    <n v="88"/>
    <n v="0"/>
    <n v="333.7"/>
    <n v="2141.4899999999998"/>
    <x v="1"/>
    <n v="919.08"/>
    <x v="3"/>
    <x v="0"/>
    <n v="37.1"/>
    <s v="Low"/>
    <n v="1999.12"/>
    <n v="0"/>
  </r>
  <r>
    <x v="10"/>
    <x v="8"/>
    <n v="1380"/>
    <n v="6383.05"/>
    <n v="2096.21"/>
    <n v="4286.84"/>
    <n v="0.33"/>
    <n v="0.24"/>
    <n v="2745.05"/>
    <x v="2"/>
    <n v="652"/>
    <n v="0.27"/>
    <n v="556.78"/>
    <n v="0.09"/>
    <n v="777.8"/>
    <n v="0.12"/>
    <n v="7"/>
    <n v="785.22"/>
    <n v="45"/>
    <n v="0"/>
    <n v="623.04999999999995"/>
    <n v="2419.1799999999998"/>
    <x v="1"/>
    <n v="1456.71"/>
    <x v="4"/>
    <x v="1"/>
    <n v="42.8"/>
    <s v="Low"/>
    <n v="4286.84"/>
    <n v="1"/>
  </r>
  <r>
    <x v="10"/>
    <x v="8"/>
    <n v="1178"/>
    <n v="4228.3599999999997"/>
    <n v="2462.15"/>
    <n v="1766.21"/>
    <n v="0.57999999999999996"/>
    <n v="0.1"/>
    <n v="2895.03"/>
    <x v="1"/>
    <n v="689"/>
    <n v="0.25"/>
    <n v="273.56"/>
    <n v="0.06"/>
    <n v="269.32"/>
    <n v="0.06"/>
    <n v="7"/>
    <n v="908.76"/>
    <n v="38"/>
    <n v="0"/>
    <n v="374.34"/>
    <n v="1958.24"/>
    <x v="1"/>
    <n v="1593.07"/>
    <x v="2"/>
    <x v="0"/>
    <n v="80.400000000000006"/>
    <s v="Medium"/>
    <n v="1766.21"/>
    <n v="0"/>
  </r>
  <r>
    <x v="10"/>
    <x v="8"/>
    <n v="1601"/>
    <n v="3895.96"/>
    <n v="2484.08"/>
    <n v="1411.88"/>
    <n v="0.64"/>
    <n v="0.33"/>
    <n v="3528.81"/>
    <x v="1"/>
    <n v="656"/>
    <n v="0.19"/>
    <n v="813.92"/>
    <n v="0.21"/>
    <n v="1097.19"/>
    <n v="0.28000000000000003"/>
    <n v="1"/>
    <n v="515.48"/>
    <n v="53"/>
    <n v="0"/>
    <n v="88.56"/>
    <n v="1512.23"/>
    <x v="1"/>
    <n v="1246.8800000000001"/>
    <x v="2"/>
    <x v="0"/>
    <n v="97"/>
    <s v="Medium"/>
    <n v="1411.88"/>
    <n v="0"/>
  </r>
  <r>
    <x v="10"/>
    <x v="8"/>
    <n v="1653"/>
    <n v="2040.71"/>
    <n v="3426.8"/>
    <n v="-1386.09"/>
    <n v="1.68"/>
    <n v="0.37"/>
    <n v="2884.88"/>
    <x v="0"/>
    <n v="699"/>
    <n v="0.37"/>
    <n v="822.25"/>
    <n v="0.4"/>
    <n v="466.89"/>
    <n v="0.23"/>
    <n v="3"/>
    <n v="1794.91"/>
    <n v="78"/>
    <n v="0"/>
    <n v="672.48"/>
    <n v="1746.63"/>
    <x v="0"/>
    <n v="1015.93"/>
    <x v="2"/>
    <x v="0"/>
    <n v="71.8"/>
    <s v="Low"/>
    <n v="0"/>
    <n v="0"/>
  </r>
  <r>
    <x v="10"/>
    <x v="8"/>
    <n v="1444"/>
    <n v="4179.78"/>
    <n v="2074.66"/>
    <n v="2105.12"/>
    <n v="0.5"/>
    <n v="0.34"/>
    <n v="3144.57"/>
    <x v="0"/>
    <n v="650"/>
    <n v="0.33"/>
    <n v="772.96"/>
    <n v="0.18"/>
    <n v="503.12"/>
    <n v="0.12"/>
    <n v="3"/>
    <n v="1086.71"/>
    <n v="57"/>
    <n v="0"/>
    <n v="581.49"/>
    <n v="1420.39"/>
    <x v="0"/>
    <n v="1060.51"/>
    <x v="6"/>
    <x v="0"/>
    <n v="98.4"/>
    <s v="Low"/>
    <n v="2105.12"/>
    <n v="0"/>
  </r>
  <r>
    <x v="10"/>
    <x v="8"/>
    <n v="1207"/>
    <n v="5299.3"/>
    <n v="3674.03"/>
    <n v="1625.27"/>
    <n v="0.69"/>
    <n v="0.34"/>
    <n v="2011.2"/>
    <x v="1"/>
    <n v="757"/>
    <n v="0.24"/>
    <n v="65.959999999999994"/>
    <n v="0.01"/>
    <n v="89.8"/>
    <n v="0.02"/>
    <n v="5"/>
    <n v="1123.02"/>
    <n v="49"/>
    <n v="0"/>
    <n v="411.15"/>
    <n v="2304.77"/>
    <x v="0"/>
    <n v="1022.64"/>
    <x v="7"/>
    <x v="0"/>
    <n v="58.8"/>
    <s v="Low"/>
    <n v="1625.27"/>
    <n v="0"/>
  </r>
  <r>
    <x v="10"/>
    <x v="8"/>
    <n v="1420"/>
    <n v="3563.44"/>
    <n v="2817.55"/>
    <n v="745.89"/>
    <n v="0.79"/>
    <n v="0.11"/>
    <n v="2081.65"/>
    <x v="1"/>
    <n v="679"/>
    <n v="0.25"/>
    <n v="441.65"/>
    <n v="0.12"/>
    <n v="948.25"/>
    <n v="0.27"/>
    <n v="4"/>
    <n v="1283.94"/>
    <n v="51"/>
    <n v="0"/>
    <n v="644.79"/>
    <n v="2628.73"/>
    <x v="1"/>
    <n v="2358.42"/>
    <x v="5"/>
    <x v="0"/>
    <n v="19.3"/>
    <s v="Medium"/>
    <n v="745.89"/>
    <n v="0"/>
  </r>
  <r>
    <x v="10"/>
    <x v="8"/>
    <n v="1442"/>
    <n v="5648.53"/>
    <n v="4100.8599999999997"/>
    <n v="1547.67"/>
    <n v="0.73"/>
    <n v="0.24"/>
    <n v="2741.21"/>
    <x v="0"/>
    <n v="721"/>
    <n v="0.27"/>
    <n v="362.03"/>
    <n v="0.06"/>
    <n v="325.60000000000002"/>
    <n v="0.06"/>
    <n v="3"/>
    <n v="1037.32"/>
    <n v="49"/>
    <n v="0"/>
    <n v="551.62"/>
    <n v="2644.91"/>
    <x v="0"/>
    <n v="1671.27"/>
    <x v="6"/>
    <x v="1"/>
    <n v="69.900000000000006"/>
    <s v="Low"/>
    <n v="1547.67"/>
    <n v="0"/>
  </r>
  <r>
    <x v="10"/>
    <x v="8"/>
    <n v="1703"/>
    <n v="4066.63"/>
    <n v="4792.55"/>
    <n v="-725.92"/>
    <n v="1.18"/>
    <n v="0.15"/>
    <n v="2376.5700000000002"/>
    <x v="2"/>
    <n v="666"/>
    <n v="0.11"/>
    <n v="332.83"/>
    <n v="0.08"/>
    <n v="652.29"/>
    <n v="0.16"/>
    <n v="8"/>
    <n v="1242.3900000000001"/>
    <n v="43"/>
    <n v="0"/>
    <n v="401.36"/>
    <n v="2540.2600000000002"/>
    <x v="1"/>
    <n v="1573.09"/>
    <x v="7"/>
    <x v="0"/>
    <n v="41.7"/>
    <s v="Low"/>
    <n v="0"/>
    <n v="0"/>
  </r>
  <r>
    <x v="10"/>
    <x v="8"/>
    <n v="1805"/>
    <n v="4635.7299999999996"/>
    <n v="2587.17"/>
    <n v="2048.56"/>
    <n v="0.56000000000000005"/>
    <n v="0.35"/>
    <n v="2868.4"/>
    <x v="1"/>
    <n v="697"/>
    <n v="0.17"/>
    <n v="293.81"/>
    <n v="0.06"/>
    <n v="328.38"/>
    <n v="7.0000000000000007E-2"/>
    <n v="5"/>
    <n v="618.91999999999996"/>
    <n v="85"/>
    <n v="0"/>
    <n v="395.23"/>
    <n v="2479.0500000000002"/>
    <x v="1"/>
    <n v="1245.56"/>
    <x v="9"/>
    <x v="0"/>
    <n v="78.900000000000006"/>
    <s v="Low"/>
    <n v="2048.56"/>
    <n v="0"/>
  </r>
  <r>
    <x v="10"/>
    <x v="8"/>
    <n v="1104"/>
    <n v="2087.6"/>
    <n v="2099.66"/>
    <n v="-12.06"/>
    <n v="1.01"/>
    <n v="0.1"/>
    <n v="3183.14"/>
    <x v="1"/>
    <n v="761"/>
    <n v="0.16"/>
    <n v="793.61"/>
    <n v="0.38"/>
    <n v="543.97"/>
    <n v="0.26"/>
    <n v="2"/>
    <n v="786.51"/>
    <n v="84"/>
    <n v="0"/>
    <n v="628.15"/>
    <n v="2384.62"/>
    <x v="0"/>
    <n v="1223.8699999999999"/>
    <x v="7"/>
    <x v="0"/>
    <n v="62.8"/>
    <s v="High"/>
    <n v="0"/>
    <n v="0"/>
  </r>
  <r>
    <x v="10"/>
    <x v="8"/>
    <n v="1384"/>
    <n v="3767.92"/>
    <n v="2947.55"/>
    <n v="820.37"/>
    <n v="0.78"/>
    <n v="0.14000000000000001"/>
    <n v="2901.28"/>
    <x v="1"/>
    <n v="734"/>
    <n v="0.55000000000000004"/>
    <n v="623.48"/>
    <n v="0.17"/>
    <n v="353.36"/>
    <n v="0.09"/>
    <n v="9"/>
    <n v="0"/>
    <n v="27"/>
    <n v="0"/>
    <n v="642.29"/>
    <n v="2473.2800000000002"/>
    <x v="1"/>
    <n v="1313.75"/>
    <x v="2"/>
    <x v="2"/>
    <n v="48.6"/>
    <s v="Medium"/>
    <n v="820.37"/>
    <n v="0"/>
  </r>
  <r>
    <x v="10"/>
    <x v="8"/>
    <n v="1474"/>
    <n v="3434.13"/>
    <n v="3409.88"/>
    <n v="24.25"/>
    <n v="0.99"/>
    <n v="0.09"/>
    <n v="2704.81"/>
    <x v="1"/>
    <n v="722"/>
    <n v="0.37"/>
    <n v="475.77"/>
    <n v="0.14000000000000001"/>
    <n v="570.86"/>
    <n v="0.17"/>
    <n v="4"/>
    <n v="1285.55"/>
    <n v="60"/>
    <n v="0"/>
    <n v="824.07"/>
    <n v="3305.12"/>
    <x v="1"/>
    <n v="1385.04"/>
    <x v="2"/>
    <x v="0"/>
    <n v="44.7"/>
    <s v="Medium"/>
    <n v="24.25"/>
    <n v="0"/>
  </r>
  <r>
    <x v="10"/>
    <x v="8"/>
    <n v="1331"/>
    <n v="4376.38"/>
    <n v="3408.8"/>
    <n v="967.58"/>
    <n v="0.78"/>
    <n v="0.14000000000000001"/>
    <n v="2300.52"/>
    <x v="2"/>
    <n v="664"/>
    <n v="0.51"/>
    <n v="424.38"/>
    <n v="0.1"/>
    <n v="505.17"/>
    <n v="0.12"/>
    <n v="1"/>
    <n v="252.84"/>
    <n v="26"/>
    <n v="0"/>
    <n v="550.11"/>
    <n v="2680.72"/>
    <x v="1"/>
    <n v="1630.88"/>
    <x v="5"/>
    <x v="0"/>
    <n v="9.6999999999999993"/>
    <s v="Medium"/>
    <n v="967.58"/>
    <n v="0"/>
  </r>
  <r>
    <x v="10"/>
    <x v="8"/>
    <n v="1483"/>
    <n v="2604.0300000000002"/>
    <n v="2592.6"/>
    <n v="11.43"/>
    <n v="1"/>
    <n v="0.38"/>
    <n v="2828.63"/>
    <x v="1"/>
    <n v="713"/>
    <n v="0.19"/>
    <n v="476.6"/>
    <n v="0.18"/>
    <n v="274.01"/>
    <n v="0.11"/>
    <n v="4"/>
    <n v="919.62"/>
    <n v="62"/>
    <n v="0"/>
    <n v="218.14"/>
    <n v="1898.95"/>
    <x v="0"/>
    <n v="918.69"/>
    <x v="2"/>
    <x v="1"/>
    <n v="99.2"/>
    <s v="Low"/>
    <n v="11.43"/>
    <n v="0"/>
  </r>
  <r>
    <x v="10"/>
    <x v="8"/>
    <n v="1362"/>
    <n v="4116.08"/>
    <n v="3280.24"/>
    <n v="835.84"/>
    <n v="0.8"/>
    <n v="0.08"/>
    <n v="2847.94"/>
    <x v="2"/>
    <n v="657"/>
    <n v="0.14000000000000001"/>
    <n v="325.39999999999998"/>
    <n v="0.08"/>
    <n v="612.46"/>
    <n v="0.15"/>
    <n v="3"/>
    <n v="1063.3800000000001"/>
    <n v="71"/>
    <n v="0"/>
    <n v="822.21"/>
    <n v="2047.76"/>
    <x v="0"/>
    <n v="1043.6400000000001"/>
    <x v="5"/>
    <x v="0"/>
    <n v="53.4"/>
    <s v="High"/>
    <n v="835.84"/>
    <n v="0"/>
  </r>
  <r>
    <x v="10"/>
    <x v="8"/>
    <n v="1939"/>
    <n v="3051.32"/>
    <n v="1429.9"/>
    <n v="1621.42"/>
    <n v="0.47"/>
    <n v="0.16"/>
    <n v="3323.75"/>
    <x v="1"/>
    <n v="652"/>
    <n v="0.21"/>
    <n v="844.54"/>
    <n v="0.28000000000000003"/>
    <n v="674.72"/>
    <n v="0.22"/>
    <n v="3"/>
    <n v="1551.25"/>
    <n v="38"/>
    <n v="0"/>
    <n v="601.41"/>
    <n v="2366.7399999999998"/>
    <x v="1"/>
    <n v="1042.5999999999999"/>
    <x v="8"/>
    <x v="0"/>
    <n v="89.9"/>
    <s v="High"/>
    <n v="1621.42"/>
    <n v="0"/>
  </r>
  <r>
    <x v="10"/>
    <x v="8"/>
    <n v="1204"/>
    <n v="3751.46"/>
    <n v="3980.38"/>
    <n v="-228.92"/>
    <n v="1.06"/>
    <n v="0.28000000000000003"/>
    <n v="3905.73"/>
    <x v="1"/>
    <n v="686"/>
    <n v="0.33"/>
    <n v="958.87"/>
    <n v="0.26"/>
    <n v="318.98"/>
    <n v="0.09"/>
    <n v="7"/>
    <n v="2199.2600000000002"/>
    <n v="36"/>
    <n v="0"/>
    <n v="571.15"/>
    <n v="2152.58"/>
    <x v="1"/>
    <n v="731.48"/>
    <x v="1"/>
    <x v="2"/>
    <n v="90"/>
    <s v="Low"/>
    <n v="0"/>
    <n v="0"/>
  </r>
  <r>
    <x v="10"/>
    <x v="8"/>
    <n v="1948"/>
    <n v="4490.71"/>
    <n v="1950.14"/>
    <n v="2540.5700000000002"/>
    <n v="0.43"/>
    <n v="0.35"/>
    <n v="2392.69"/>
    <x v="2"/>
    <n v="723"/>
    <n v="0.53"/>
    <n v="331.27"/>
    <n v="7.0000000000000007E-2"/>
    <n v="86.95"/>
    <n v="0.02"/>
    <n v="7"/>
    <n v="846.84"/>
    <n v="63"/>
    <n v="0"/>
    <n v="712.28"/>
    <n v="2943.2"/>
    <x v="2"/>
    <n v="1151.45"/>
    <x v="1"/>
    <x v="2"/>
    <n v="39.1"/>
    <s v="Low"/>
    <n v="2540.5700000000002"/>
    <n v="1"/>
  </r>
  <r>
    <x v="10"/>
    <x v="8"/>
    <n v="1224"/>
    <n v="3875.08"/>
    <n v="4045.05"/>
    <n v="-169.97"/>
    <n v="1.04"/>
    <n v="0.17"/>
    <n v="2859.62"/>
    <x v="1"/>
    <n v="743"/>
    <n v="0.51"/>
    <n v="806.09"/>
    <n v="0.21"/>
    <n v="329.4"/>
    <n v="0.09"/>
    <n v="5"/>
    <n v="1496.24"/>
    <n v="27"/>
    <n v="0"/>
    <n v="401.19"/>
    <n v="2628.33"/>
    <x v="1"/>
    <n v="1810.13"/>
    <x v="0"/>
    <x v="1"/>
    <n v="11.2"/>
    <s v="High"/>
    <n v="0"/>
    <n v="0"/>
  </r>
  <r>
    <x v="10"/>
    <x v="8"/>
    <n v="1245"/>
    <n v="3679.31"/>
    <n v="3920.06"/>
    <n v="-240.75"/>
    <n v="1.07"/>
    <n v="0.39"/>
    <n v="1791.06"/>
    <x v="0"/>
    <n v="764"/>
    <n v="0.28999999999999998"/>
    <n v="640.01"/>
    <n v="0.17"/>
    <n v="31.11"/>
    <n v="0.01"/>
    <n v="6"/>
    <n v="1649.6"/>
    <n v="60"/>
    <n v="0"/>
    <n v="480.3"/>
    <n v="2672.64"/>
    <x v="1"/>
    <n v="1785.77"/>
    <x v="9"/>
    <x v="2"/>
    <n v="28.8"/>
    <s v="Medium"/>
    <n v="0"/>
    <n v="0"/>
  </r>
  <r>
    <x v="10"/>
    <x v="8"/>
    <n v="1812"/>
    <n v="3822.42"/>
    <n v="3772.83"/>
    <n v="49.59"/>
    <n v="0.99"/>
    <n v="0.28000000000000003"/>
    <n v="1993.38"/>
    <x v="1"/>
    <n v="755"/>
    <n v="0.28000000000000003"/>
    <n v="726.3"/>
    <n v="0.19"/>
    <n v="26.02"/>
    <n v="0.01"/>
    <n v="9"/>
    <n v="1257.03"/>
    <n v="70"/>
    <n v="0"/>
    <n v="338.15"/>
    <n v="1387.28"/>
    <x v="1"/>
    <n v="1344.55"/>
    <x v="6"/>
    <x v="0"/>
    <n v="15.7"/>
    <s v="Medium"/>
    <n v="49.59"/>
    <n v="0"/>
  </r>
  <r>
    <x v="10"/>
    <x v="8"/>
    <n v="1165"/>
    <n v="2297.31"/>
    <n v="3144.83"/>
    <n v="-847.52"/>
    <n v="1.37"/>
    <n v="0.15"/>
    <n v="2473.3200000000002"/>
    <x v="1"/>
    <n v="729"/>
    <n v="0.11"/>
    <n v="628.01"/>
    <n v="0.27"/>
    <n v="596.07000000000005"/>
    <n v="0.26"/>
    <n v="8"/>
    <n v="426.45"/>
    <n v="30"/>
    <n v="0"/>
    <n v="310.64999999999998"/>
    <n v="2618.7399999999998"/>
    <x v="1"/>
    <n v="1277.4100000000001"/>
    <x v="6"/>
    <x v="1"/>
    <n v="17.100000000000001"/>
    <s v="Low"/>
    <n v="0"/>
    <n v="0"/>
  </r>
  <r>
    <x v="10"/>
    <x v="8"/>
    <n v="1458"/>
    <n v="4122.43"/>
    <n v="4323.0200000000004"/>
    <n v="-200.59"/>
    <n v="1.05"/>
    <n v="0.13"/>
    <n v="3054.99"/>
    <x v="1"/>
    <n v="607"/>
    <n v="0.24"/>
    <n v="149.65"/>
    <n v="0.04"/>
    <n v="300.76"/>
    <n v="7.0000000000000007E-2"/>
    <n v="5"/>
    <n v="1595.21"/>
    <n v="85"/>
    <n v="0"/>
    <n v="613.16999999999996"/>
    <n v="2148.8200000000002"/>
    <x v="0"/>
    <n v="1558.68"/>
    <x v="7"/>
    <x v="0"/>
    <n v="79.5"/>
    <s v="Low"/>
    <n v="0"/>
    <n v="0"/>
  </r>
  <r>
    <x v="10"/>
    <x v="8"/>
    <n v="1882"/>
    <n v="2369.3200000000002"/>
    <n v="3415.98"/>
    <n v="-1046.6600000000001"/>
    <n v="1.44"/>
    <n v="0.16"/>
    <n v="2228.25"/>
    <x v="1"/>
    <n v="679"/>
    <n v="0.32"/>
    <n v="608.52"/>
    <n v="0.26"/>
    <n v="88.08"/>
    <n v="0.04"/>
    <n v="6"/>
    <n v="349.43"/>
    <n v="96"/>
    <n v="0"/>
    <n v="698.75"/>
    <n v="2691.42"/>
    <x v="0"/>
    <n v="762.69"/>
    <x v="3"/>
    <x v="0"/>
    <n v="21"/>
    <s v="Low"/>
    <n v="0"/>
    <n v="0"/>
  </r>
  <r>
    <x v="10"/>
    <x v="8"/>
    <n v="1860"/>
    <n v="3105.32"/>
    <n v="2551.36"/>
    <n v="553.96"/>
    <n v="0.82"/>
    <n v="0.28999999999999998"/>
    <n v="3082.91"/>
    <x v="1"/>
    <n v="655"/>
    <n v="0.34"/>
    <n v="355.22"/>
    <n v="0.11"/>
    <n v="547.16999999999996"/>
    <n v="0.18"/>
    <n v="8"/>
    <n v="1116.9000000000001"/>
    <n v="89"/>
    <n v="0"/>
    <n v="686.77"/>
    <n v="2002.55"/>
    <x v="0"/>
    <n v="1431.15"/>
    <x v="3"/>
    <x v="0"/>
    <n v="97.7"/>
    <s v="High"/>
    <n v="553.96"/>
    <n v="0"/>
  </r>
  <r>
    <x v="10"/>
    <x v="8"/>
    <n v="1622"/>
    <n v="3316.88"/>
    <n v="4179.63"/>
    <n v="-862.75"/>
    <n v="1.26"/>
    <n v="0.16"/>
    <n v="3308.06"/>
    <x v="1"/>
    <n v="657"/>
    <n v="0.52"/>
    <n v="450.56"/>
    <n v="0.14000000000000001"/>
    <n v="237.51"/>
    <n v="7.0000000000000007E-2"/>
    <n v="9"/>
    <n v="1140.8900000000001"/>
    <n v="30"/>
    <n v="0"/>
    <n v="248.06"/>
    <n v="1144.77"/>
    <x v="1"/>
    <n v="916.55"/>
    <x v="6"/>
    <x v="2"/>
    <n v="28.4"/>
    <s v="Medium"/>
    <n v="0"/>
    <n v="0"/>
  </r>
  <r>
    <x v="10"/>
    <x v="8"/>
    <n v="1825"/>
    <n v="4569.7299999999996"/>
    <n v="2998.19"/>
    <n v="1571.54"/>
    <n v="0.66"/>
    <n v="0.17"/>
    <n v="2844.53"/>
    <x v="0"/>
    <n v="703"/>
    <n v="0.57999999999999996"/>
    <n v="542.89"/>
    <n v="0.12"/>
    <n v="708.07"/>
    <n v="0.15"/>
    <n v="2"/>
    <n v="519"/>
    <n v="34"/>
    <n v="0"/>
    <n v="488.43"/>
    <n v="2242.08"/>
    <x v="1"/>
    <n v="1127.25"/>
    <x v="2"/>
    <x v="2"/>
    <n v="82.6"/>
    <s v="Medium"/>
    <n v="1571.54"/>
    <n v="0"/>
  </r>
  <r>
    <x v="11"/>
    <x v="9"/>
    <n v="1357"/>
    <n v="2136.79"/>
    <n v="3444.29"/>
    <n v="-1307.5"/>
    <n v="1.61"/>
    <n v="0.34"/>
    <n v="2685.16"/>
    <x v="1"/>
    <n v="669"/>
    <n v="0.39"/>
    <n v="285.31"/>
    <n v="0.13"/>
    <n v="528.04999999999995"/>
    <n v="0.25"/>
    <n v="5"/>
    <n v="1967.83"/>
    <n v="53"/>
    <n v="0"/>
    <n v="283.44"/>
    <n v="2492.21"/>
    <x v="0"/>
    <n v="773.98"/>
    <x v="9"/>
    <x v="2"/>
    <n v="36.1"/>
    <s v="High"/>
    <n v="0"/>
    <n v="0"/>
  </r>
  <r>
    <x v="11"/>
    <x v="9"/>
    <n v="1205"/>
    <n v="3629.51"/>
    <n v="3352.63"/>
    <n v="276.88"/>
    <n v="0.92"/>
    <n v="0.06"/>
    <n v="2658.66"/>
    <x v="1"/>
    <n v="727"/>
    <n v="0.39"/>
    <n v="4.7300000000000004"/>
    <n v="0"/>
    <n v="495.41"/>
    <n v="0.14000000000000001"/>
    <n v="7"/>
    <n v="1294.54"/>
    <n v="23"/>
    <n v="0"/>
    <n v="532.19000000000005"/>
    <n v="2227.09"/>
    <x v="1"/>
    <n v="1465.63"/>
    <x v="5"/>
    <x v="1"/>
    <n v="73.8"/>
    <s v="Low"/>
    <n v="276.88"/>
    <n v="0"/>
  </r>
  <r>
    <x v="11"/>
    <x v="9"/>
    <n v="1061"/>
    <n v="4724.3100000000004"/>
    <n v="3619.56"/>
    <n v="1104.75"/>
    <n v="0.77"/>
    <n v="0.06"/>
    <n v="2612.59"/>
    <x v="1"/>
    <n v="622"/>
    <n v="0.53"/>
    <n v="477.56"/>
    <n v="0.1"/>
    <n v="610.37"/>
    <n v="0.13"/>
    <n v="7"/>
    <n v="557.75"/>
    <n v="66"/>
    <n v="0"/>
    <n v="457.14"/>
    <n v="2159.52"/>
    <x v="1"/>
    <n v="1127.5899999999999"/>
    <x v="9"/>
    <x v="0"/>
    <n v="31"/>
    <s v="Low"/>
    <n v="1104.75"/>
    <n v="0"/>
  </r>
  <r>
    <x v="11"/>
    <x v="9"/>
    <n v="1800"/>
    <n v="4896.1000000000004"/>
    <n v="3404.36"/>
    <n v="1491.74"/>
    <n v="0.7"/>
    <n v="0.24"/>
    <n v="2018.65"/>
    <x v="0"/>
    <n v="757"/>
    <n v="0.36"/>
    <n v="542.80999999999995"/>
    <n v="0.11"/>
    <n v="487.6"/>
    <n v="0.1"/>
    <n v="2"/>
    <n v="838.45"/>
    <n v="70"/>
    <n v="0"/>
    <n v="687.49"/>
    <n v="1928.02"/>
    <x v="1"/>
    <n v="851.91"/>
    <x v="4"/>
    <x v="0"/>
    <n v="65.400000000000006"/>
    <s v="High"/>
    <n v="1491.74"/>
    <n v="0"/>
  </r>
  <r>
    <x v="11"/>
    <x v="9"/>
    <n v="1834"/>
    <n v="4317.8999999999996"/>
    <n v="4029.09"/>
    <n v="288.81"/>
    <n v="0.93"/>
    <n v="0.25"/>
    <n v="2380.06"/>
    <x v="1"/>
    <n v="608"/>
    <n v="0.34"/>
    <n v="357.29"/>
    <n v="0.08"/>
    <n v="437.23"/>
    <n v="0.1"/>
    <n v="8"/>
    <n v="1119.27"/>
    <n v="55"/>
    <n v="0"/>
    <n v="638.48"/>
    <n v="1678.86"/>
    <x v="1"/>
    <n v="1808.17"/>
    <x v="7"/>
    <x v="0"/>
    <n v="88.8"/>
    <s v="Low"/>
    <n v="288.81"/>
    <n v="0"/>
  </r>
  <r>
    <x v="11"/>
    <x v="9"/>
    <n v="1536"/>
    <n v="2565.16"/>
    <n v="3794.76"/>
    <n v="-1229.5999999999999"/>
    <n v="1.48"/>
    <n v="0.35"/>
    <n v="2632"/>
    <x v="2"/>
    <n v="700"/>
    <n v="0.22"/>
    <n v="749.45"/>
    <n v="0.28999999999999998"/>
    <n v="272.20999999999998"/>
    <n v="0.11"/>
    <n v="7"/>
    <n v="1972.24"/>
    <n v="51"/>
    <n v="0"/>
    <n v="480.12"/>
    <n v="1432.31"/>
    <x v="1"/>
    <n v="577.5"/>
    <x v="2"/>
    <x v="2"/>
    <n v="3.1"/>
    <s v="High"/>
    <n v="0"/>
    <n v="0"/>
  </r>
  <r>
    <x v="11"/>
    <x v="9"/>
    <n v="1891"/>
    <n v="5156.83"/>
    <n v="3422.85"/>
    <n v="1733.98"/>
    <n v="0.66"/>
    <n v="0.18"/>
    <n v="3144.24"/>
    <x v="1"/>
    <n v="665"/>
    <n v="0.28999999999999998"/>
    <n v="597.49"/>
    <n v="0.12"/>
    <n v="324.29000000000002"/>
    <n v="0.06"/>
    <n v="5"/>
    <n v="1840.38"/>
    <n v="60"/>
    <n v="0"/>
    <n v="0"/>
    <n v="3339.38"/>
    <x v="0"/>
    <n v="1375.73"/>
    <x v="5"/>
    <x v="2"/>
    <n v="57.6"/>
    <s v="Medium"/>
    <n v="1733.98"/>
    <n v="0"/>
  </r>
  <r>
    <x v="11"/>
    <x v="9"/>
    <n v="1424"/>
    <n v="4160.5"/>
    <n v="3810.28"/>
    <n v="350.22"/>
    <n v="0.92"/>
    <n v="0.11"/>
    <n v="1859.05"/>
    <x v="1"/>
    <n v="621"/>
    <n v="0.26"/>
    <n v="374.98"/>
    <n v="0.09"/>
    <n v="739.14"/>
    <n v="0.18"/>
    <n v="3"/>
    <n v="1270.99"/>
    <n v="84"/>
    <n v="0"/>
    <n v="887.98"/>
    <n v="2535.19"/>
    <x v="1"/>
    <n v="1219.7"/>
    <x v="9"/>
    <x v="0"/>
    <n v="94.6"/>
    <s v="Low"/>
    <n v="350.22"/>
    <n v="0"/>
  </r>
  <r>
    <x v="11"/>
    <x v="9"/>
    <n v="1805"/>
    <n v="5416.9"/>
    <n v="2656.43"/>
    <n v="2760.47"/>
    <n v="0.49"/>
    <n v="0.37"/>
    <n v="2662.77"/>
    <x v="1"/>
    <n v="549"/>
    <n v="0.3"/>
    <n v="416.53"/>
    <n v="0.08"/>
    <n v="299.35000000000002"/>
    <n v="0.06"/>
    <n v="4"/>
    <n v="555.55999999999995"/>
    <n v="55"/>
    <n v="0"/>
    <n v="308.85000000000002"/>
    <n v="1868.54"/>
    <x v="1"/>
    <n v="770.52"/>
    <x v="0"/>
    <x v="1"/>
    <n v="34.299999999999997"/>
    <s v="Medium"/>
    <n v="2760.47"/>
    <n v="1"/>
  </r>
  <r>
    <x v="11"/>
    <x v="9"/>
    <n v="1020"/>
    <n v="4336.5200000000004"/>
    <n v="3222.21"/>
    <n v="1114.31"/>
    <n v="0.74"/>
    <n v="0.22"/>
    <n v="2512.14"/>
    <x v="1"/>
    <n v="673"/>
    <n v="0.13"/>
    <n v="523.77"/>
    <n v="0.12"/>
    <n v="518.72"/>
    <n v="0.12"/>
    <n v="3"/>
    <n v="944.52"/>
    <n v="86"/>
    <n v="0"/>
    <n v="478.39"/>
    <n v="2352.14"/>
    <x v="1"/>
    <n v="738.74"/>
    <x v="7"/>
    <x v="1"/>
    <n v="98.9"/>
    <s v="Medium"/>
    <n v="1114.31"/>
    <n v="0"/>
  </r>
  <r>
    <x v="11"/>
    <x v="9"/>
    <n v="1485"/>
    <n v="2761.4"/>
    <n v="3472.7"/>
    <n v="-711.3"/>
    <n v="1.26"/>
    <n v="0.11"/>
    <n v="2604.13"/>
    <x v="1"/>
    <n v="656"/>
    <n v="0.28000000000000003"/>
    <n v="701.48"/>
    <n v="0.25"/>
    <n v="0"/>
    <n v="0"/>
    <n v="4"/>
    <n v="751.98"/>
    <n v="54"/>
    <n v="0"/>
    <n v="495.84"/>
    <n v="1538.37"/>
    <x v="0"/>
    <n v="1184.58"/>
    <x v="5"/>
    <x v="0"/>
    <n v="26.4"/>
    <s v="Low"/>
    <n v="0"/>
    <n v="0"/>
  </r>
  <r>
    <x v="11"/>
    <x v="9"/>
    <n v="1075"/>
    <n v="3721.67"/>
    <n v="1965.74"/>
    <n v="1755.93"/>
    <n v="0.53"/>
    <n v="0.33"/>
    <n v="3273.66"/>
    <x v="1"/>
    <n v="699"/>
    <n v="0.28999999999999998"/>
    <n v="499.24"/>
    <n v="0.13"/>
    <n v="460.01"/>
    <n v="0.12"/>
    <n v="2"/>
    <n v="1018.89"/>
    <n v="72"/>
    <n v="0"/>
    <n v="0"/>
    <n v="2589.5100000000002"/>
    <x v="1"/>
    <n v="1339.14"/>
    <x v="1"/>
    <x v="0"/>
    <n v="71.2"/>
    <s v="Low"/>
    <n v="1755.93"/>
    <n v="0"/>
  </r>
  <r>
    <x v="11"/>
    <x v="9"/>
    <n v="1650"/>
    <n v="3256.31"/>
    <n v="4113.42"/>
    <n v="-857.11"/>
    <n v="1.26"/>
    <n v="0.31"/>
    <n v="2881.28"/>
    <x v="0"/>
    <n v="665"/>
    <n v="0.57999999999999996"/>
    <n v="137.77000000000001"/>
    <n v="0.04"/>
    <n v="334.65"/>
    <n v="0.1"/>
    <n v="9"/>
    <n v="1370.47"/>
    <n v="37"/>
    <n v="0"/>
    <n v="341.89"/>
    <n v="2869.74"/>
    <x v="2"/>
    <n v="1251.95"/>
    <x v="3"/>
    <x v="2"/>
    <n v="2.9"/>
    <s v="High"/>
    <n v="0"/>
    <n v="0"/>
  </r>
  <r>
    <x v="11"/>
    <x v="9"/>
    <n v="1892"/>
    <n v="4372.83"/>
    <n v="4567.62"/>
    <n v="-194.79"/>
    <n v="1.04"/>
    <n v="0.24"/>
    <n v="2492.9699999999998"/>
    <x v="1"/>
    <n v="722"/>
    <n v="0.32"/>
    <n v="467.93"/>
    <n v="0.11"/>
    <n v="190.73"/>
    <n v="0.04"/>
    <n v="1"/>
    <n v="1349.67"/>
    <n v="64"/>
    <n v="0"/>
    <n v="861.98"/>
    <n v="2183.7399999999998"/>
    <x v="0"/>
    <n v="1585.41"/>
    <x v="8"/>
    <x v="0"/>
    <n v="99.3"/>
    <s v="Low"/>
    <n v="0"/>
    <n v="0"/>
  </r>
  <r>
    <x v="11"/>
    <x v="9"/>
    <n v="1511"/>
    <n v="3766.15"/>
    <n v="4153.67"/>
    <n v="-387.52"/>
    <n v="1.1000000000000001"/>
    <n v="0.33"/>
    <n v="2724.38"/>
    <x v="1"/>
    <n v="608"/>
    <n v="0.38"/>
    <n v="250.14"/>
    <n v="7.0000000000000007E-2"/>
    <n v="522.36"/>
    <n v="0.14000000000000001"/>
    <n v="6"/>
    <n v="476.18"/>
    <n v="61"/>
    <n v="0"/>
    <n v="518.74"/>
    <n v="1398.69"/>
    <x v="2"/>
    <n v="584.28"/>
    <x v="2"/>
    <x v="1"/>
    <n v="89.5"/>
    <s v="Low"/>
    <n v="0"/>
    <n v="0"/>
  </r>
  <r>
    <x v="11"/>
    <x v="9"/>
    <n v="1226"/>
    <n v="4788.3500000000004"/>
    <n v="3338.91"/>
    <n v="1449.44"/>
    <n v="0.7"/>
    <n v="0.19"/>
    <n v="2105.19"/>
    <x v="1"/>
    <n v="750"/>
    <n v="0.37"/>
    <n v="517.34"/>
    <n v="0.11"/>
    <n v="525.99"/>
    <n v="0.11"/>
    <n v="1"/>
    <n v="1218.2"/>
    <n v="70"/>
    <n v="0"/>
    <n v="749.14"/>
    <n v="2412.41"/>
    <x v="1"/>
    <n v="1499.56"/>
    <x v="4"/>
    <x v="0"/>
    <n v="33.4"/>
    <s v="Low"/>
    <n v="1449.44"/>
    <n v="0"/>
  </r>
  <r>
    <x v="11"/>
    <x v="9"/>
    <n v="1555"/>
    <n v="5007.12"/>
    <n v="3310.31"/>
    <n v="1696.81"/>
    <n v="0.66"/>
    <n v="0.15"/>
    <n v="2497.1999999999998"/>
    <x v="1"/>
    <n v="712"/>
    <n v="0.42"/>
    <n v="630.30999999999995"/>
    <n v="0.13"/>
    <n v="234.67"/>
    <n v="0.05"/>
    <n v="2"/>
    <n v="1520.99"/>
    <n v="47"/>
    <n v="0"/>
    <n v="167.15"/>
    <n v="1396.66"/>
    <x v="1"/>
    <n v="1044.25"/>
    <x v="4"/>
    <x v="0"/>
    <n v="69.099999999999994"/>
    <s v="Low"/>
    <n v="1696.81"/>
    <n v="0"/>
  </r>
  <r>
    <x v="11"/>
    <x v="9"/>
    <n v="1484"/>
    <n v="3803.28"/>
    <n v="3323.07"/>
    <n v="480.21"/>
    <n v="0.87"/>
    <n v="0.15"/>
    <n v="2688.57"/>
    <x v="1"/>
    <n v="648"/>
    <n v="0.28999999999999998"/>
    <n v="44.63"/>
    <n v="0.01"/>
    <n v="158.54"/>
    <n v="0.04"/>
    <n v="2"/>
    <n v="1334.9"/>
    <n v="91"/>
    <n v="0"/>
    <n v="789.93"/>
    <n v="2190.84"/>
    <x v="1"/>
    <n v="888.78"/>
    <x v="6"/>
    <x v="1"/>
    <n v="37.1"/>
    <s v="Low"/>
    <n v="480.21"/>
    <n v="0"/>
  </r>
  <r>
    <x v="11"/>
    <x v="9"/>
    <n v="1510"/>
    <n v="3379.99"/>
    <n v="3446.95"/>
    <n v="-66.959999999999994"/>
    <n v="1.02"/>
    <n v="0.28000000000000003"/>
    <n v="2849.9"/>
    <x v="1"/>
    <n v="696"/>
    <n v="0.39"/>
    <n v="458.86"/>
    <n v="0.14000000000000001"/>
    <n v="356.73"/>
    <n v="0.11"/>
    <n v="5"/>
    <n v="299.26"/>
    <n v="31"/>
    <n v="0"/>
    <n v="843.21"/>
    <n v="3100.23"/>
    <x v="2"/>
    <n v="1596.99"/>
    <x v="2"/>
    <x v="0"/>
    <n v="13.3"/>
    <s v="Medium"/>
    <n v="0"/>
    <n v="0"/>
  </r>
  <r>
    <x v="11"/>
    <x v="9"/>
    <n v="1551"/>
    <n v="4457.09"/>
    <n v="3930.75"/>
    <n v="526.34"/>
    <n v="0.88"/>
    <n v="0.13"/>
    <n v="3484.69"/>
    <x v="0"/>
    <n v="675"/>
    <n v="0.48"/>
    <n v="550.97"/>
    <n v="0.12"/>
    <n v="589.59"/>
    <n v="0.13"/>
    <n v="2"/>
    <n v="544.08000000000004"/>
    <n v="83"/>
    <n v="0"/>
    <n v="984.78"/>
    <n v="2305.8000000000002"/>
    <x v="1"/>
    <n v="897.5"/>
    <x v="6"/>
    <x v="1"/>
    <n v="32.5"/>
    <s v="High"/>
    <n v="526.34"/>
    <n v="0"/>
  </r>
  <r>
    <x v="11"/>
    <x v="9"/>
    <n v="1310"/>
    <n v="4688.2700000000004"/>
    <n v="2886.49"/>
    <n v="1801.78"/>
    <n v="0.62"/>
    <n v="7.0000000000000007E-2"/>
    <n v="3149.38"/>
    <x v="1"/>
    <n v="653"/>
    <n v="0.14000000000000001"/>
    <n v="516.04999999999995"/>
    <n v="0.11"/>
    <n v="112.8"/>
    <n v="0.02"/>
    <n v="7"/>
    <n v="1594.84"/>
    <n v="69"/>
    <n v="0"/>
    <n v="510.08"/>
    <n v="2354.1799999999998"/>
    <x v="1"/>
    <n v="1316.32"/>
    <x v="1"/>
    <x v="2"/>
    <n v="99.3"/>
    <s v="Low"/>
    <n v="1801.78"/>
    <n v="0"/>
  </r>
  <r>
    <x v="11"/>
    <x v="9"/>
    <n v="1842"/>
    <n v="3148.12"/>
    <n v="2926.14"/>
    <n v="221.98"/>
    <n v="0.93"/>
    <n v="0.19"/>
    <n v="2938.43"/>
    <x v="2"/>
    <n v="756"/>
    <n v="0.43"/>
    <n v="489.6"/>
    <n v="0.16"/>
    <n v="541.70000000000005"/>
    <n v="0.17"/>
    <n v="9"/>
    <n v="955.62"/>
    <n v="46"/>
    <n v="0"/>
    <n v="678.74"/>
    <n v="1156.46"/>
    <x v="0"/>
    <n v="1760.59"/>
    <x v="4"/>
    <x v="1"/>
    <n v="18.5"/>
    <s v="Low"/>
    <n v="221.98"/>
    <n v="0"/>
  </r>
  <r>
    <x v="11"/>
    <x v="9"/>
    <n v="1992"/>
    <n v="5293.28"/>
    <n v="2396.09"/>
    <n v="2897.19"/>
    <n v="0.45"/>
    <n v="0.1"/>
    <n v="3033.07"/>
    <x v="1"/>
    <n v="684"/>
    <n v="0.52"/>
    <n v="507.86"/>
    <n v="0.1"/>
    <n v="463.56"/>
    <n v="0.09"/>
    <n v="4"/>
    <n v="1156.3699999999999"/>
    <n v="80"/>
    <n v="0"/>
    <n v="672.62"/>
    <n v="1851.73"/>
    <x v="1"/>
    <n v="1428.2"/>
    <x v="2"/>
    <x v="0"/>
    <n v="74.5"/>
    <s v="Low"/>
    <n v="2897.19"/>
    <n v="0"/>
  </r>
  <r>
    <x v="11"/>
    <x v="9"/>
    <n v="1187"/>
    <n v="4279.18"/>
    <n v="2748.64"/>
    <n v="1530.54"/>
    <n v="0.64"/>
    <n v="0.1"/>
    <n v="2606.42"/>
    <x v="1"/>
    <n v="712"/>
    <n v="0.59"/>
    <n v="548.24"/>
    <n v="0.13"/>
    <n v="65.86"/>
    <n v="0.02"/>
    <n v="9"/>
    <n v="854.65"/>
    <n v="82"/>
    <n v="0"/>
    <n v="262.68"/>
    <n v="2466.17"/>
    <x v="0"/>
    <n v="1326.78"/>
    <x v="9"/>
    <x v="0"/>
    <n v="31.9"/>
    <s v="Medium"/>
    <n v="1530.54"/>
    <n v="0"/>
  </r>
  <r>
    <x v="11"/>
    <x v="9"/>
    <n v="1784"/>
    <n v="2669.1"/>
    <n v="2938.03"/>
    <n v="-268.93"/>
    <n v="1.1000000000000001"/>
    <n v="7.0000000000000007E-2"/>
    <n v="3185.65"/>
    <x v="2"/>
    <n v="752"/>
    <n v="0.35"/>
    <n v="543.29"/>
    <n v="0.2"/>
    <n v="266.77"/>
    <n v="0.1"/>
    <n v="1"/>
    <n v="566.61"/>
    <n v="86"/>
    <n v="0"/>
    <n v="398.49"/>
    <n v="3643.11"/>
    <x v="2"/>
    <n v="1377.98"/>
    <x v="4"/>
    <x v="0"/>
    <n v="87.9"/>
    <s v="Medium"/>
    <n v="0"/>
    <n v="0"/>
  </r>
  <r>
    <x v="11"/>
    <x v="9"/>
    <n v="1962"/>
    <n v="4620.6000000000004"/>
    <n v="4344.55"/>
    <n v="276.05"/>
    <n v="0.94"/>
    <n v="0.27"/>
    <n v="2889.83"/>
    <x v="1"/>
    <n v="682"/>
    <n v="0.48"/>
    <n v="621.87"/>
    <n v="0.13"/>
    <n v="383.99"/>
    <n v="0.08"/>
    <n v="3"/>
    <n v="1502.47"/>
    <n v="47"/>
    <n v="0"/>
    <n v="442.1"/>
    <n v="2202.7199999999998"/>
    <x v="1"/>
    <n v="1060.05"/>
    <x v="3"/>
    <x v="0"/>
    <n v="74.5"/>
    <s v="Low"/>
    <n v="276.05"/>
    <n v="0"/>
  </r>
  <r>
    <x v="11"/>
    <x v="9"/>
    <n v="1383"/>
    <n v="3308.17"/>
    <n v="3601.86"/>
    <n v="-293.69"/>
    <n v="1.0900000000000001"/>
    <n v="0.31"/>
    <n v="3065.33"/>
    <x v="2"/>
    <n v="637"/>
    <n v="0.16"/>
    <n v="410.41"/>
    <n v="0.12"/>
    <n v="183.93"/>
    <n v="0.06"/>
    <n v="1"/>
    <n v="524.91"/>
    <n v="55"/>
    <n v="0"/>
    <n v="675.62"/>
    <n v="2092.0100000000002"/>
    <x v="1"/>
    <n v="1919.94"/>
    <x v="0"/>
    <x v="2"/>
    <n v="47.8"/>
    <s v="Medium"/>
    <n v="0"/>
    <n v="0"/>
  </r>
  <r>
    <x v="11"/>
    <x v="9"/>
    <n v="1577"/>
    <n v="6206.68"/>
    <n v="3557.51"/>
    <n v="2649.17"/>
    <n v="0.56999999999999995"/>
    <n v="0.28999999999999998"/>
    <n v="2942.37"/>
    <x v="2"/>
    <n v="686"/>
    <n v="0.12"/>
    <n v="0"/>
    <n v="0"/>
    <n v="357.43"/>
    <n v="0.06"/>
    <n v="1"/>
    <n v="1548.86"/>
    <n v="48"/>
    <n v="0"/>
    <n v="578.16999999999996"/>
    <n v="1968"/>
    <x v="1"/>
    <n v="1749.92"/>
    <x v="1"/>
    <x v="1"/>
    <n v="35.299999999999997"/>
    <s v="Low"/>
    <n v="2649.17"/>
    <n v="0"/>
  </r>
  <r>
    <x v="11"/>
    <x v="9"/>
    <n v="1784"/>
    <n v="5377.21"/>
    <n v="2401.5100000000002"/>
    <n v="2975.7"/>
    <n v="0.45"/>
    <n v="0.37"/>
    <n v="2279.6799999999998"/>
    <x v="1"/>
    <n v="728"/>
    <n v="0.15"/>
    <n v="383.67"/>
    <n v="7.0000000000000007E-2"/>
    <n v="549.86"/>
    <n v="0.1"/>
    <n v="6"/>
    <n v="720.75"/>
    <n v="72"/>
    <n v="0"/>
    <n v="654.34"/>
    <n v="2888.06"/>
    <x v="1"/>
    <n v="1485.74"/>
    <x v="8"/>
    <x v="0"/>
    <n v="98.4"/>
    <s v="High"/>
    <n v="2975.7"/>
    <n v="1"/>
  </r>
  <r>
    <x v="11"/>
    <x v="9"/>
    <n v="1556"/>
    <n v="5018.91"/>
    <n v="3206.89"/>
    <n v="1812.02"/>
    <n v="0.64"/>
    <n v="0.05"/>
    <n v="3687.43"/>
    <x v="1"/>
    <n v="629"/>
    <n v="0.53"/>
    <n v="499.13"/>
    <n v="0.1"/>
    <n v="298.47000000000003"/>
    <n v="0.06"/>
    <n v="3"/>
    <n v="1105.21"/>
    <n v="61"/>
    <n v="0"/>
    <n v="562.41"/>
    <n v="3039.23"/>
    <x v="1"/>
    <n v="1529.72"/>
    <x v="1"/>
    <x v="0"/>
    <n v="57.6"/>
    <s v="High"/>
    <n v="1812.02"/>
    <n v="0"/>
  </r>
  <r>
    <x v="11"/>
    <x v="9"/>
    <n v="1818"/>
    <n v="2558.08"/>
    <n v="2852.04"/>
    <n v="-293.95999999999998"/>
    <n v="1.1100000000000001"/>
    <n v="0.2"/>
    <n v="2908.77"/>
    <x v="1"/>
    <n v="798"/>
    <n v="0.47"/>
    <n v="472.82"/>
    <n v="0.18"/>
    <n v="295.35000000000002"/>
    <n v="0.12"/>
    <n v="8"/>
    <n v="1451.3"/>
    <n v="35"/>
    <n v="0"/>
    <n v="315.86"/>
    <n v="2812.71"/>
    <x v="1"/>
    <n v="1459.11"/>
    <x v="2"/>
    <x v="0"/>
    <n v="76.900000000000006"/>
    <s v="Low"/>
    <n v="0"/>
    <n v="0"/>
  </r>
  <r>
    <x v="11"/>
    <x v="9"/>
    <n v="1016"/>
    <n v="4328.95"/>
    <n v="3001.03"/>
    <n v="1327.92"/>
    <n v="0.69"/>
    <n v="0.13"/>
    <n v="3695.99"/>
    <x v="1"/>
    <n v="643"/>
    <n v="0.46"/>
    <n v="510.03"/>
    <n v="0.12"/>
    <n v="484.59"/>
    <n v="0.11"/>
    <n v="7"/>
    <n v="2485.71"/>
    <n v="82"/>
    <n v="0"/>
    <n v="711.89"/>
    <n v="2186.6999999999998"/>
    <x v="1"/>
    <n v="591.82000000000005"/>
    <x v="4"/>
    <x v="2"/>
    <n v="83.6"/>
    <s v="Low"/>
    <n v="1327.92"/>
    <n v="0"/>
  </r>
  <r>
    <x v="11"/>
    <x v="9"/>
    <n v="1843"/>
    <n v="4006.74"/>
    <n v="2535.16"/>
    <n v="1471.58"/>
    <n v="0.63"/>
    <n v="0.27"/>
    <n v="3170.18"/>
    <x v="1"/>
    <n v="678"/>
    <n v="0.37"/>
    <n v="353.23"/>
    <n v="0.09"/>
    <n v="25.12"/>
    <n v="0.01"/>
    <n v="9"/>
    <n v="793.84"/>
    <n v="73"/>
    <n v="0"/>
    <n v="47.1"/>
    <n v="2894.44"/>
    <x v="1"/>
    <n v="1618.72"/>
    <x v="3"/>
    <x v="2"/>
    <n v="67.099999999999994"/>
    <s v="Low"/>
    <n v="1471.58"/>
    <n v="0"/>
  </r>
  <r>
    <x v="11"/>
    <x v="9"/>
    <n v="1904"/>
    <n v="2962.46"/>
    <n v="2467.0700000000002"/>
    <n v="495.39"/>
    <n v="0.83"/>
    <n v="0.36"/>
    <n v="2794.86"/>
    <x v="1"/>
    <n v="708"/>
    <n v="0.23"/>
    <n v="606.19000000000005"/>
    <n v="0.2"/>
    <n v="521.20000000000005"/>
    <n v="0.18"/>
    <n v="3"/>
    <n v="747.81"/>
    <n v="72"/>
    <n v="0"/>
    <n v="433.31"/>
    <n v="1715.5"/>
    <x v="2"/>
    <n v="1643.78"/>
    <x v="4"/>
    <x v="2"/>
    <n v="61.4"/>
    <s v="Medium"/>
    <n v="495.39"/>
    <n v="0"/>
  </r>
  <r>
    <x v="11"/>
    <x v="9"/>
    <n v="1772"/>
    <n v="3821.34"/>
    <n v="2224.71"/>
    <n v="1596.63"/>
    <n v="0.57999999999999996"/>
    <n v="0.12"/>
    <n v="3241.04"/>
    <x v="0"/>
    <n v="639"/>
    <n v="0.53"/>
    <n v="311.08"/>
    <n v="0.08"/>
    <n v="754.93"/>
    <n v="0.2"/>
    <n v="7"/>
    <n v="1091.58"/>
    <n v="94"/>
    <n v="0"/>
    <n v="519.83000000000004"/>
    <n v="1278.47"/>
    <x v="1"/>
    <n v="1012.63"/>
    <x v="2"/>
    <x v="2"/>
    <n v="54.6"/>
    <s v="Medium"/>
    <n v="1596.63"/>
    <n v="0"/>
  </r>
  <r>
    <x v="11"/>
    <x v="9"/>
    <n v="1621"/>
    <n v="3231.49"/>
    <n v="1759.04"/>
    <n v="1472.45"/>
    <n v="0.54"/>
    <n v="0.36"/>
    <n v="2426.75"/>
    <x v="1"/>
    <n v="694"/>
    <n v="0.46"/>
    <n v="451.57"/>
    <n v="0.14000000000000001"/>
    <n v="278.39"/>
    <n v="0.09"/>
    <n v="2"/>
    <n v="1215.1099999999999"/>
    <n v="59"/>
    <n v="0"/>
    <n v="518.78"/>
    <n v="3029.03"/>
    <x v="1"/>
    <n v="1144.06"/>
    <x v="2"/>
    <x v="0"/>
    <n v="72.599999999999994"/>
    <s v="High"/>
    <n v="1472.45"/>
    <n v="0"/>
  </r>
  <r>
    <x v="11"/>
    <x v="9"/>
    <n v="1661"/>
    <n v="3056.74"/>
    <n v="2519.5500000000002"/>
    <n v="537.19000000000005"/>
    <n v="0.82"/>
    <n v="0.17"/>
    <n v="2937.24"/>
    <x v="1"/>
    <n v="733"/>
    <n v="0.56000000000000005"/>
    <n v="386.17"/>
    <n v="0.13"/>
    <n v="684.17"/>
    <n v="0.22"/>
    <n v="8"/>
    <n v="1255.9000000000001"/>
    <n v="96"/>
    <n v="0"/>
    <n v="778"/>
    <n v="2123.9299999999998"/>
    <x v="0"/>
    <n v="1325.17"/>
    <x v="4"/>
    <x v="1"/>
    <n v="22.3"/>
    <s v="High"/>
    <n v="537.19000000000005"/>
    <n v="0"/>
  </r>
  <r>
    <x v="11"/>
    <x v="9"/>
    <n v="1719"/>
    <n v="3380.05"/>
    <n v="2043.2"/>
    <n v="1336.85"/>
    <n v="0.6"/>
    <n v="0.21"/>
    <n v="2381.25"/>
    <x v="1"/>
    <n v="655"/>
    <n v="0.39"/>
    <n v="474.04"/>
    <n v="0.14000000000000001"/>
    <n v="225.3"/>
    <n v="7.0000000000000007E-2"/>
    <n v="9"/>
    <n v="899.27"/>
    <n v="39"/>
    <n v="0"/>
    <n v="396.28"/>
    <n v="2706.53"/>
    <x v="1"/>
    <n v="1059.82"/>
    <x v="8"/>
    <x v="1"/>
    <n v="11.2"/>
    <s v="Medium"/>
    <n v="1336.85"/>
    <n v="0"/>
  </r>
  <r>
    <x v="11"/>
    <x v="9"/>
    <n v="1349"/>
    <n v="4959.68"/>
    <n v="3802.55"/>
    <n v="1157.1300000000001"/>
    <n v="0.77"/>
    <n v="7.0000000000000007E-2"/>
    <n v="2342.41"/>
    <x v="1"/>
    <n v="696"/>
    <n v="0.33"/>
    <n v="1020.47"/>
    <n v="0.21"/>
    <n v="492.43"/>
    <n v="0.1"/>
    <n v="1"/>
    <n v="1189.52"/>
    <n v="65"/>
    <n v="0"/>
    <n v="449.1"/>
    <n v="1872"/>
    <x v="0"/>
    <n v="1513.29"/>
    <x v="7"/>
    <x v="0"/>
    <n v="96.1"/>
    <s v="Medium"/>
    <n v="1157.1300000000001"/>
    <n v="0"/>
  </r>
  <r>
    <x v="11"/>
    <x v="9"/>
    <n v="1991"/>
    <n v="3777.55"/>
    <n v="2864.03"/>
    <n v="913.52"/>
    <n v="0.76"/>
    <n v="0.06"/>
    <n v="3206"/>
    <x v="0"/>
    <n v="672"/>
    <n v="0.55000000000000004"/>
    <n v="417.88"/>
    <n v="0.11"/>
    <n v="771.31"/>
    <n v="0.2"/>
    <n v="9"/>
    <n v="813.97"/>
    <n v="88"/>
    <n v="0"/>
    <n v="375.95"/>
    <n v="3620.2"/>
    <x v="1"/>
    <n v="1441.06"/>
    <x v="6"/>
    <x v="1"/>
    <n v="12"/>
    <s v="Low"/>
    <n v="913.52"/>
    <n v="0"/>
  </r>
  <r>
    <x v="11"/>
    <x v="9"/>
    <n v="1422"/>
    <n v="5059.6499999999996"/>
    <n v="4360.8599999999997"/>
    <n v="698.79"/>
    <n v="0.86"/>
    <n v="0.13"/>
    <n v="2259.0700000000002"/>
    <x v="1"/>
    <n v="572"/>
    <n v="0.39"/>
    <n v="432.38"/>
    <n v="0.09"/>
    <n v="148.47999999999999"/>
    <n v="0.03"/>
    <n v="7"/>
    <n v="1352.42"/>
    <n v="61"/>
    <n v="0"/>
    <n v="514.5"/>
    <n v="2146.4"/>
    <x v="1"/>
    <n v="1357.95"/>
    <x v="9"/>
    <x v="0"/>
    <n v="11.8"/>
    <s v="Medium"/>
    <n v="698.79"/>
    <n v="0"/>
  </r>
  <r>
    <x v="11"/>
    <x v="9"/>
    <n v="1418"/>
    <n v="3489.19"/>
    <n v="2068.6"/>
    <n v="1420.59"/>
    <n v="0.59"/>
    <n v="0.33"/>
    <n v="2375.64"/>
    <x v="1"/>
    <n v="728"/>
    <n v="0.55000000000000004"/>
    <n v="546.22"/>
    <n v="0.16"/>
    <n v="369.52"/>
    <n v="0.11"/>
    <n v="6"/>
    <n v="1613.28"/>
    <n v="29"/>
    <n v="0"/>
    <n v="706.54"/>
    <n v="2679"/>
    <x v="1"/>
    <n v="1072.74"/>
    <x v="7"/>
    <x v="0"/>
    <n v="91.6"/>
    <s v="Low"/>
    <n v="1420.59"/>
    <n v="0"/>
  </r>
  <r>
    <x v="11"/>
    <x v="9"/>
    <n v="1270"/>
    <n v="4848.8"/>
    <n v="3679.83"/>
    <n v="1168.97"/>
    <n v="0.76"/>
    <n v="0.32"/>
    <n v="2734.17"/>
    <x v="1"/>
    <n v="700"/>
    <n v="0.33"/>
    <n v="371.01"/>
    <n v="0.08"/>
    <n v="743.26"/>
    <n v="0.15"/>
    <n v="1"/>
    <n v="212.7"/>
    <n v="31"/>
    <n v="0"/>
    <n v="331.58"/>
    <n v="1000"/>
    <x v="1"/>
    <n v="1602.78"/>
    <x v="1"/>
    <x v="1"/>
    <n v="87.3"/>
    <s v="Low"/>
    <n v="1168.97"/>
    <n v="0"/>
  </r>
  <r>
    <x v="11"/>
    <x v="9"/>
    <n v="1522"/>
    <n v="5263.61"/>
    <n v="1126.55"/>
    <n v="4137.0600000000004"/>
    <n v="0.21"/>
    <n v="0.18"/>
    <n v="2626.09"/>
    <x v="1"/>
    <n v="660"/>
    <n v="0.28000000000000003"/>
    <n v="417.03"/>
    <n v="0.08"/>
    <n v="615.24"/>
    <n v="0.12"/>
    <n v="8"/>
    <n v="903.41"/>
    <n v="57"/>
    <n v="0"/>
    <n v="485.23"/>
    <n v="1683.85"/>
    <x v="0"/>
    <n v="1230.79"/>
    <x v="3"/>
    <x v="2"/>
    <n v="19.8"/>
    <s v="Low"/>
    <n v="4137.0600000000004"/>
    <n v="1"/>
  </r>
  <r>
    <x v="11"/>
    <x v="9"/>
    <n v="1827"/>
    <n v="3606.54"/>
    <n v="4063.18"/>
    <n v="-456.64"/>
    <n v="1.1299999999999999"/>
    <n v="0.24"/>
    <n v="2511.9899999999998"/>
    <x v="1"/>
    <n v="615"/>
    <n v="0.25"/>
    <n v="446.64"/>
    <n v="0.12"/>
    <n v="348.41"/>
    <n v="0.1"/>
    <n v="1"/>
    <n v="714.95"/>
    <n v="95"/>
    <n v="0"/>
    <n v="558.79"/>
    <n v="2390.4699999999998"/>
    <x v="0"/>
    <n v="774.45"/>
    <x v="8"/>
    <x v="2"/>
    <n v="33.1"/>
    <s v="Low"/>
    <n v="0"/>
    <n v="0"/>
  </r>
  <r>
    <x v="11"/>
    <x v="9"/>
    <n v="1053"/>
    <n v="2551.5700000000002"/>
    <n v="2293.94"/>
    <n v="257.63"/>
    <n v="0.9"/>
    <n v="0.22"/>
    <n v="3572.97"/>
    <x v="1"/>
    <n v="685"/>
    <n v="0.31"/>
    <n v="503.07"/>
    <n v="0.2"/>
    <n v="423.98"/>
    <n v="0.17"/>
    <n v="2"/>
    <n v="1166.07"/>
    <n v="86"/>
    <n v="0"/>
    <n v="379.32"/>
    <n v="2753.34"/>
    <x v="0"/>
    <n v="300"/>
    <x v="2"/>
    <x v="0"/>
    <n v="95.9"/>
    <s v="Medium"/>
    <n v="257.63"/>
    <n v="0"/>
  </r>
  <r>
    <x v="11"/>
    <x v="9"/>
    <n v="1605"/>
    <n v="1940.92"/>
    <n v="3667.78"/>
    <n v="-1726.86"/>
    <n v="1.89"/>
    <n v="0.19"/>
    <n v="2711.17"/>
    <x v="1"/>
    <n v="639"/>
    <n v="0.25"/>
    <n v="663.6"/>
    <n v="0.34"/>
    <n v="79"/>
    <n v="0.04"/>
    <n v="9"/>
    <n v="1452.51"/>
    <n v="21"/>
    <n v="0"/>
    <n v="340.8"/>
    <n v="1193.92"/>
    <x v="2"/>
    <n v="755.67"/>
    <x v="1"/>
    <x v="1"/>
    <n v="37.700000000000003"/>
    <s v="Low"/>
    <n v="0"/>
    <n v="0"/>
  </r>
  <r>
    <x v="11"/>
    <x v="9"/>
    <n v="1570"/>
    <n v="3873.08"/>
    <n v="3407.05"/>
    <n v="466.03"/>
    <n v="0.88"/>
    <n v="0.24"/>
    <n v="2344.84"/>
    <x v="0"/>
    <n v="715"/>
    <n v="0.42"/>
    <n v="456.39"/>
    <n v="0.12"/>
    <n v="542.11"/>
    <n v="0.14000000000000001"/>
    <n v="9"/>
    <n v="332.7"/>
    <n v="37"/>
    <n v="0"/>
    <n v="776.79"/>
    <n v="1890.7"/>
    <x v="1"/>
    <n v="1970"/>
    <x v="6"/>
    <x v="0"/>
    <n v="37"/>
    <s v="Low"/>
    <n v="466.03"/>
    <n v="0"/>
  </r>
  <r>
    <x v="11"/>
    <x v="9"/>
    <n v="1821"/>
    <n v="4505.99"/>
    <n v="3356.57"/>
    <n v="1149.42"/>
    <n v="0.74"/>
    <n v="0.18"/>
    <n v="3326.8"/>
    <x v="1"/>
    <n v="712"/>
    <n v="0.38"/>
    <n v="569.62"/>
    <n v="0.13"/>
    <n v="863.13"/>
    <n v="0.19"/>
    <n v="9"/>
    <n v="922.02"/>
    <n v="40"/>
    <n v="0"/>
    <n v="847.83"/>
    <n v="2191.06"/>
    <x v="1"/>
    <n v="1173.82"/>
    <x v="4"/>
    <x v="0"/>
    <n v="22.8"/>
    <s v="Medium"/>
    <n v="1149.42"/>
    <n v="0"/>
  </r>
  <r>
    <x v="11"/>
    <x v="9"/>
    <n v="1502"/>
    <n v="4074.98"/>
    <n v="3802.35"/>
    <n v="272.63"/>
    <n v="0.93"/>
    <n v="0.37"/>
    <n v="2054.54"/>
    <x v="0"/>
    <n v="654"/>
    <n v="0.25"/>
    <n v="305.42"/>
    <n v="7.0000000000000007E-2"/>
    <n v="692.32"/>
    <n v="0.17"/>
    <n v="1"/>
    <n v="1243.48"/>
    <n v="48"/>
    <n v="0"/>
    <n v="717.86"/>
    <n v="3050.1"/>
    <x v="0"/>
    <n v="1650.43"/>
    <x v="6"/>
    <x v="0"/>
    <n v="95.4"/>
    <s v="Medium"/>
    <n v="272.63"/>
    <n v="0"/>
  </r>
  <r>
    <x v="12"/>
    <x v="10"/>
    <n v="1403"/>
    <n v="5462.92"/>
    <n v="3049.29"/>
    <n v="2413.63"/>
    <n v="0.56000000000000005"/>
    <n v="0.28999999999999998"/>
    <n v="2973.21"/>
    <x v="2"/>
    <n v="670"/>
    <n v="0.23"/>
    <n v="679.87"/>
    <n v="0.12"/>
    <n v="275.58"/>
    <n v="0.05"/>
    <n v="2"/>
    <n v="1431.37"/>
    <n v="41"/>
    <n v="0"/>
    <n v="582.65"/>
    <n v="1483.81"/>
    <x v="1"/>
    <n v="1502.86"/>
    <x v="7"/>
    <x v="0"/>
    <n v="39"/>
    <s v="Low"/>
    <n v="2413.63"/>
    <n v="0"/>
  </r>
  <r>
    <x v="12"/>
    <x v="10"/>
    <n v="1511"/>
    <n v="2586.17"/>
    <n v="2534.0300000000002"/>
    <n v="52.14"/>
    <n v="0.98"/>
    <n v="0.09"/>
    <n v="2409.44"/>
    <x v="0"/>
    <n v="613"/>
    <n v="0.56000000000000005"/>
    <n v="604.13"/>
    <n v="0.23"/>
    <n v="979.88"/>
    <n v="0.38"/>
    <n v="7"/>
    <n v="185.58"/>
    <n v="34"/>
    <n v="0"/>
    <n v="679"/>
    <n v="2078.09"/>
    <x v="1"/>
    <n v="1681.8"/>
    <x v="6"/>
    <x v="0"/>
    <n v="50.3"/>
    <s v="Medium"/>
    <n v="52.14"/>
    <n v="0"/>
  </r>
  <r>
    <x v="12"/>
    <x v="10"/>
    <n v="1857"/>
    <n v="4744.74"/>
    <n v="2737.26"/>
    <n v="2007.48"/>
    <n v="0.57999999999999996"/>
    <n v="0.08"/>
    <n v="2829.23"/>
    <x v="1"/>
    <n v="734"/>
    <n v="0.44"/>
    <n v="473.71"/>
    <n v="0.1"/>
    <n v="815.78"/>
    <n v="0.17"/>
    <n v="8"/>
    <n v="295.45"/>
    <n v="64"/>
    <n v="0"/>
    <n v="490.81"/>
    <n v="1374.36"/>
    <x v="2"/>
    <n v="1535.78"/>
    <x v="3"/>
    <x v="0"/>
    <n v="46.9"/>
    <s v="High"/>
    <n v="2007.48"/>
    <n v="0"/>
  </r>
  <r>
    <x v="12"/>
    <x v="10"/>
    <n v="1108"/>
    <n v="2149.4899999999998"/>
    <n v="3535.83"/>
    <n v="-1386.34"/>
    <n v="1.64"/>
    <n v="0.06"/>
    <n v="3321.08"/>
    <x v="1"/>
    <n v="662"/>
    <n v="0.57999999999999996"/>
    <n v="537.20000000000005"/>
    <n v="0.25"/>
    <n v="577.28"/>
    <n v="0.27"/>
    <n v="5"/>
    <n v="442.88"/>
    <n v="93"/>
    <n v="0"/>
    <n v="337.93"/>
    <n v="1883.77"/>
    <x v="1"/>
    <n v="904.08"/>
    <x v="4"/>
    <x v="2"/>
    <n v="84.9"/>
    <s v="High"/>
    <n v="0"/>
    <n v="0"/>
  </r>
  <r>
    <x v="12"/>
    <x v="10"/>
    <n v="1994"/>
    <n v="3518.17"/>
    <n v="2805.6"/>
    <n v="712.57"/>
    <n v="0.8"/>
    <n v="0.33"/>
    <n v="2453.71"/>
    <x v="0"/>
    <n v="697"/>
    <n v="0.13"/>
    <n v="347.13"/>
    <n v="0.1"/>
    <n v="156.47999999999999"/>
    <n v="0.04"/>
    <n v="2"/>
    <n v="583.75"/>
    <n v="64"/>
    <n v="0"/>
    <n v="587.21"/>
    <n v="2684.17"/>
    <x v="2"/>
    <n v="711.26"/>
    <x v="6"/>
    <x v="2"/>
    <n v="46.3"/>
    <s v="Low"/>
    <n v="712.57"/>
    <n v="0"/>
  </r>
  <r>
    <x v="12"/>
    <x v="10"/>
    <n v="1656"/>
    <n v="4371.67"/>
    <n v="3226.87"/>
    <n v="1144.8"/>
    <n v="0.74"/>
    <n v="0.18"/>
    <n v="3120.73"/>
    <x v="1"/>
    <n v="682"/>
    <n v="0.44"/>
    <n v="627.15"/>
    <n v="0.14000000000000001"/>
    <n v="463.85"/>
    <n v="0.11"/>
    <n v="5"/>
    <n v="708.55"/>
    <n v="88"/>
    <n v="0"/>
    <n v="748.92"/>
    <n v="1718.06"/>
    <x v="2"/>
    <n v="1261.6400000000001"/>
    <x v="8"/>
    <x v="0"/>
    <n v="43.2"/>
    <s v="Low"/>
    <n v="1144.8"/>
    <n v="0"/>
  </r>
  <r>
    <x v="12"/>
    <x v="10"/>
    <n v="1718"/>
    <n v="4533.0200000000004"/>
    <n v="1986.53"/>
    <n v="2546.4899999999998"/>
    <n v="0.44"/>
    <n v="0.06"/>
    <n v="3838.57"/>
    <x v="1"/>
    <n v="687"/>
    <n v="0.47"/>
    <n v="296.74"/>
    <n v="7.0000000000000007E-2"/>
    <n v="733.01"/>
    <n v="0.16"/>
    <n v="4"/>
    <n v="735.12"/>
    <n v="96"/>
    <n v="0"/>
    <n v="617.45000000000005"/>
    <n v="1914.6"/>
    <x v="1"/>
    <n v="1591.84"/>
    <x v="4"/>
    <x v="0"/>
    <n v="12.2"/>
    <s v="High"/>
    <n v="2546.4899999999998"/>
    <n v="0"/>
  </r>
  <r>
    <x v="12"/>
    <x v="10"/>
    <n v="1173"/>
    <n v="6406.73"/>
    <n v="2085.38"/>
    <n v="4321.3500000000004"/>
    <n v="0.33"/>
    <n v="0.3"/>
    <n v="2600.2199999999998"/>
    <x v="0"/>
    <n v="705"/>
    <n v="0.17"/>
    <n v="418.28"/>
    <n v="7.0000000000000007E-2"/>
    <n v="375.62"/>
    <n v="0.06"/>
    <n v="2"/>
    <n v="560.9"/>
    <n v="61"/>
    <n v="0"/>
    <n v="750.01"/>
    <n v="2451.91"/>
    <x v="1"/>
    <n v="529.35"/>
    <x v="9"/>
    <x v="1"/>
    <n v="42.8"/>
    <s v="High"/>
    <n v="4321.3500000000004"/>
    <n v="1"/>
  </r>
  <r>
    <x v="12"/>
    <x v="10"/>
    <n v="1498"/>
    <n v="4089.24"/>
    <n v="4604.97"/>
    <n v="-515.73"/>
    <n v="1.1299999999999999"/>
    <n v="0.25"/>
    <n v="2460.5700000000002"/>
    <x v="1"/>
    <n v="654"/>
    <n v="0.3"/>
    <n v="660.55"/>
    <n v="0.16"/>
    <n v="363.43"/>
    <n v="0.09"/>
    <n v="9"/>
    <n v="670.34"/>
    <n v="71"/>
    <n v="0"/>
    <n v="569.65"/>
    <n v="1486.8"/>
    <x v="1"/>
    <n v="1258.71"/>
    <x v="7"/>
    <x v="1"/>
    <n v="42.3"/>
    <s v="Medium"/>
    <n v="0"/>
    <n v="0"/>
  </r>
  <r>
    <x v="12"/>
    <x v="10"/>
    <n v="1750"/>
    <n v="4495.95"/>
    <n v="2659.34"/>
    <n v="1836.61"/>
    <n v="0.59"/>
    <n v="0.3"/>
    <n v="3119.23"/>
    <x v="0"/>
    <n v="684"/>
    <n v="0.22"/>
    <n v="721.23"/>
    <n v="0.16"/>
    <n v="231.02"/>
    <n v="0.05"/>
    <n v="4"/>
    <n v="1015.66"/>
    <n v="27"/>
    <n v="0"/>
    <n v="450.4"/>
    <n v="2441.85"/>
    <x v="1"/>
    <n v="1152.04"/>
    <x v="5"/>
    <x v="1"/>
    <n v="39"/>
    <s v="Low"/>
    <n v="1836.61"/>
    <n v="0"/>
  </r>
  <r>
    <x v="12"/>
    <x v="10"/>
    <n v="1285"/>
    <n v="5728.92"/>
    <n v="3119.95"/>
    <n v="2608.9699999999998"/>
    <n v="0.54"/>
    <n v="0.36"/>
    <n v="2274.25"/>
    <x v="0"/>
    <n v="594"/>
    <n v="0.1"/>
    <n v="158.26"/>
    <n v="0.03"/>
    <n v="47.05"/>
    <n v="0.01"/>
    <n v="1"/>
    <n v="1010.98"/>
    <n v="31"/>
    <n v="1"/>
    <n v="470.69"/>
    <n v="1000"/>
    <x v="1"/>
    <n v="1048.07"/>
    <x v="0"/>
    <x v="2"/>
    <n v="42.9"/>
    <s v="Low"/>
    <n v="2608.9699999999998"/>
    <n v="1"/>
  </r>
  <r>
    <x v="12"/>
    <x v="10"/>
    <n v="1674"/>
    <n v="3551.42"/>
    <n v="3519.52"/>
    <n v="31.9"/>
    <n v="0.99"/>
    <n v="0.3"/>
    <n v="2156.62"/>
    <x v="1"/>
    <n v="748"/>
    <n v="0.28999999999999998"/>
    <n v="668.47"/>
    <n v="0.19"/>
    <n v="375.38"/>
    <n v="0.11"/>
    <n v="3"/>
    <n v="776.38"/>
    <n v="48"/>
    <n v="0"/>
    <n v="1155.77"/>
    <n v="1723.52"/>
    <x v="1"/>
    <n v="1676.37"/>
    <x v="5"/>
    <x v="1"/>
    <n v="66.3"/>
    <s v="Low"/>
    <n v="31.9"/>
    <n v="0"/>
  </r>
  <r>
    <x v="12"/>
    <x v="10"/>
    <n v="1978"/>
    <n v="3409.21"/>
    <n v="2482.21"/>
    <n v="927"/>
    <n v="0.73"/>
    <n v="0.13"/>
    <n v="3487.54"/>
    <x v="1"/>
    <n v="654"/>
    <n v="0.11"/>
    <n v="491.2"/>
    <n v="0.14000000000000001"/>
    <n v="705.43"/>
    <n v="0.21"/>
    <n v="2"/>
    <n v="1561.27"/>
    <n v="57"/>
    <n v="0"/>
    <n v="310.48"/>
    <n v="1795.41"/>
    <x v="0"/>
    <n v="1166.45"/>
    <x v="5"/>
    <x v="0"/>
    <n v="24.3"/>
    <s v="Medium"/>
    <n v="927"/>
    <n v="0"/>
  </r>
  <r>
    <x v="12"/>
    <x v="10"/>
    <n v="1350"/>
    <n v="5147.1400000000003"/>
    <n v="4477.9799999999996"/>
    <n v="669.16"/>
    <n v="0.87"/>
    <n v="0.38"/>
    <n v="3459.09"/>
    <x v="1"/>
    <n v="584"/>
    <n v="0.57999999999999996"/>
    <n v="229.5"/>
    <n v="0.04"/>
    <n v="685.28"/>
    <n v="0.13"/>
    <n v="7"/>
    <n v="783.34"/>
    <n v="90"/>
    <n v="0"/>
    <n v="561.94000000000005"/>
    <n v="2149.5100000000002"/>
    <x v="1"/>
    <n v="1778.79"/>
    <x v="6"/>
    <x v="0"/>
    <n v="59.1"/>
    <s v="High"/>
    <n v="669.16"/>
    <n v="0"/>
  </r>
  <r>
    <x v="12"/>
    <x v="10"/>
    <n v="1464"/>
    <n v="2264.88"/>
    <n v="2096.54"/>
    <n v="168.34"/>
    <n v="0.93"/>
    <n v="0.19"/>
    <n v="2190.87"/>
    <x v="0"/>
    <n v="755"/>
    <n v="0.4"/>
    <n v="188.86"/>
    <n v="0.08"/>
    <n v="887.66"/>
    <n v="0.39"/>
    <n v="6"/>
    <n v="112.96"/>
    <n v="60"/>
    <n v="0"/>
    <n v="576.72"/>
    <n v="3053.82"/>
    <x v="0"/>
    <n v="1578.99"/>
    <x v="0"/>
    <x v="0"/>
    <n v="32.799999999999997"/>
    <s v="Low"/>
    <n v="168.34"/>
    <n v="0"/>
  </r>
  <r>
    <x v="12"/>
    <x v="10"/>
    <n v="1552"/>
    <n v="3523.77"/>
    <n v="2486.14"/>
    <n v="1037.6300000000001"/>
    <n v="0.71"/>
    <n v="0.16"/>
    <n v="2000.32"/>
    <x v="1"/>
    <n v="683"/>
    <n v="0.43"/>
    <n v="303.91000000000003"/>
    <n v="0.09"/>
    <n v="257.87"/>
    <n v="7.0000000000000007E-2"/>
    <n v="3"/>
    <n v="1088.74"/>
    <n v="20"/>
    <n v="0"/>
    <n v="452.98"/>
    <n v="2433.54"/>
    <x v="1"/>
    <n v="1395.36"/>
    <x v="2"/>
    <x v="0"/>
    <n v="37.700000000000003"/>
    <s v="Medium"/>
    <n v="1037.6300000000001"/>
    <n v="0"/>
  </r>
  <r>
    <x v="12"/>
    <x v="10"/>
    <n v="1707"/>
    <n v="4286.3500000000004"/>
    <n v="3701.82"/>
    <n v="584.53"/>
    <n v="0.86"/>
    <n v="0.31"/>
    <n v="1704.7"/>
    <x v="2"/>
    <n v="696"/>
    <n v="0.34"/>
    <n v="1053.9100000000001"/>
    <n v="0.25"/>
    <n v="266.38"/>
    <n v="0.06"/>
    <n v="6"/>
    <n v="1601"/>
    <n v="38"/>
    <n v="0"/>
    <n v="585.86"/>
    <n v="1712.12"/>
    <x v="1"/>
    <n v="1223.17"/>
    <x v="7"/>
    <x v="2"/>
    <n v="22.5"/>
    <s v="Medium"/>
    <n v="584.53"/>
    <n v="0"/>
  </r>
  <r>
    <x v="12"/>
    <x v="10"/>
    <n v="1614"/>
    <n v="2521.17"/>
    <n v="2507.6799999999998"/>
    <n v="13.49"/>
    <n v="0.99"/>
    <n v="0.09"/>
    <n v="2730.81"/>
    <x v="0"/>
    <n v="567"/>
    <n v="0.27"/>
    <n v="631.99"/>
    <n v="0.25"/>
    <n v="11.25"/>
    <n v="0"/>
    <n v="3"/>
    <n v="1138.08"/>
    <n v="52"/>
    <n v="0"/>
    <n v="745.68"/>
    <n v="1630.68"/>
    <x v="1"/>
    <n v="1076.93"/>
    <x v="9"/>
    <x v="0"/>
    <n v="27.6"/>
    <s v="Medium"/>
    <n v="13.49"/>
    <n v="0"/>
  </r>
  <r>
    <x v="12"/>
    <x v="10"/>
    <n v="1930"/>
    <n v="3083.05"/>
    <n v="4311.2299999999996"/>
    <n v="-1228.18"/>
    <n v="1.4"/>
    <n v="0.08"/>
    <n v="3384.32"/>
    <x v="0"/>
    <n v="695"/>
    <n v="0.32"/>
    <n v="362.5"/>
    <n v="0.12"/>
    <n v="7.18"/>
    <n v="0"/>
    <n v="1"/>
    <n v="1333.28"/>
    <n v="55"/>
    <n v="0"/>
    <n v="477.98"/>
    <n v="3487.11"/>
    <x v="0"/>
    <n v="1491.89"/>
    <x v="6"/>
    <x v="0"/>
    <n v="38.799999999999997"/>
    <s v="Low"/>
    <n v="0"/>
    <n v="0"/>
  </r>
  <r>
    <x v="12"/>
    <x v="10"/>
    <n v="1075"/>
    <n v="3229.27"/>
    <n v="3232.55"/>
    <n v="-3.28"/>
    <n v="1"/>
    <n v="0.4"/>
    <n v="1719.16"/>
    <x v="1"/>
    <n v="596"/>
    <n v="0.39"/>
    <n v="723"/>
    <n v="0.22"/>
    <n v="443.63"/>
    <n v="0.14000000000000001"/>
    <n v="9"/>
    <n v="1280.1300000000001"/>
    <n v="80"/>
    <n v="1"/>
    <n v="544.71"/>
    <n v="2819.56"/>
    <x v="1"/>
    <n v="1063.1600000000001"/>
    <x v="8"/>
    <x v="0"/>
    <n v="43.1"/>
    <s v="Medium"/>
    <n v="0"/>
    <n v="0"/>
  </r>
  <r>
    <x v="12"/>
    <x v="10"/>
    <n v="1515"/>
    <n v="4263.13"/>
    <n v="1756.35"/>
    <n v="2506.7800000000002"/>
    <n v="0.41"/>
    <n v="0.38"/>
    <n v="3083.67"/>
    <x v="2"/>
    <n v="649"/>
    <n v="0.39"/>
    <n v="366.24"/>
    <n v="0.09"/>
    <n v="1028.1500000000001"/>
    <n v="0.24"/>
    <n v="4"/>
    <n v="662.02"/>
    <n v="53"/>
    <n v="0"/>
    <n v="540.5"/>
    <n v="2241.85"/>
    <x v="1"/>
    <n v="1591.51"/>
    <x v="0"/>
    <x v="0"/>
    <n v="66"/>
    <s v="Medium"/>
    <n v="2506.7800000000002"/>
    <n v="0"/>
  </r>
  <r>
    <x v="12"/>
    <x v="10"/>
    <n v="1917"/>
    <n v="2947.45"/>
    <n v="3373.17"/>
    <n v="-425.72"/>
    <n v="1.1399999999999999"/>
    <n v="0.32"/>
    <n v="2670.61"/>
    <x v="2"/>
    <n v="762"/>
    <n v="0.27"/>
    <n v="803.49"/>
    <n v="0.27"/>
    <n v="315.58999999999997"/>
    <n v="0.11"/>
    <n v="2"/>
    <n v="898.29"/>
    <n v="70"/>
    <n v="0"/>
    <n v="661.62"/>
    <n v="2171.7199999999998"/>
    <x v="2"/>
    <n v="963.64"/>
    <x v="9"/>
    <x v="0"/>
    <n v="55.2"/>
    <s v="Medium"/>
    <n v="0"/>
    <n v="0"/>
  </r>
  <r>
    <x v="12"/>
    <x v="10"/>
    <n v="1453"/>
    <n v="5447.32"/>
    <n v="3872.62"/>
    <n v="1574.7"/>
    <n v="0.71"/>
    <n v="0.31"/>
    <n v="2622.29"/>
    <x v="1"/>
    <n v="745"/>
    <n v="0.5"/>
    <n v="392.34"/>
    <n v="7.0000000000000007E-2"/>
    <n v="395.52"/>
    <n v="7.0000000000000007E-2"/>
    <n v="4"/>
    <n v="1255.79"/>
    <n v="93"/>
    <n v="0"/>
    <n v="200.49"/>
    <n v="2157.19"/>
    <x v="2"/>
    <n v="662.55"/>
    <x v="3"/>
    <x v="0"/>
    <n v="87.3"/>
    <s v="Medium"/>
    <n v="1574.7"/>
    <n v="0"/>
  </r>
  <r>
    <x v="12"/>
    <x v="10"/>
    <n v="1464"/>
    <n v="3954.72"/>
    <n v="3614.49"/>
    <n v="340.23"/>
    <n v="0.91"/>
    <n v="7.0000000000000007E-2"/>
    <n v="2529.0700000000002"/>
    <x v="1"/>
    <n v="668"/>
    <n v="0.15"/>
    <n v="762"/>
    <n v="0.19"/>
    <n v="563.48"/>
    <n v="0.14000000000000001"/>
    <n v="7"/>
    <n v="797.91"/>
    <n v="98"/>
    <n v="1"/>
    <n v="332.3"/>
    <n v="2269.5500000000002"/>
    <x v="1"/>
    <n v="1449.47"/>
    <x v="4"/>
    <x v="2"/>
    <n v="38.5"/>
    <s v="Low"/>
    <n v="340.23"/>
    <n v="0"/>
  </r>
  <r>
    <x v="12"/>
    <x v="10"/>
    <n v="1001"/>
    <n v="5343.85"/>
    <n v="4082.16"/>
    <n v="1261.69"/>
    <n v="0.76"/>
    <n v="0.13"/>
    <n v="2101.12"/>
    <x v="1"/>
    <n v="687"/>
    <n v="0.27"/>
    <n v="692.51"/>
    <n v="0.13"/>
    <n v="35.82"/>
    <n v="0.01"/>
    <n v="3"/>
    <n v="168.87"/>
    <n v="69"/>
    <n v="0"/>
    <n v="193.65"/>
    <n v="3263.26"/>
    <x v="1"/>
    <n v="1502.98"/>
    <x v="8"/>
    <x v="0"/>
    <n v="49.2"/>
    <s v="Medium"/>
    <n v="1261.69"/>
    <n v="0"/>
  </r>
  <r>
    <x v="12"/>
    <x v="10"/>
    <n v="1679"/>
    <n v="3413.85"/>
    <n v="3451.51"/>
    <n v="-37.659999999999997"/>
    <n v="1.01"/>
    <n v="0.21"/>
    <n v="2516.75"/>
    <x v="1"/>
    <n v="597"/>
    <n v="0.49"/>
    <n v="226.37"/>
    <n v="7.0000000000000007E-2"/>
    <n v="380.06"/>
    <n v="0.11"/>
    <n v="5"/>
    <n v="1683.19"/>
    <n v="64"/>
    <n v="0"/>
    <n v="206.73"/>
    <n v="1963.1"/>
    <x v="1"/>
    <n v="1411.29"/>
    <x v="6"/>
    <x v="0"/>
    <n v="22.5"/>
    <s v="Low"/>
    <n v="0"/>
    <n v="0"/>
  </r>
  <r>
    <x v="12"/>
    <x v="10"/>
    <n v="1045"/>
    <n v="3655.81"/>
    <n v="3709.65"/>
    <n v="-53.84"/>
    <n v="1.01"/>
    <n v="0.2"/>
    <n v="2990.21"/>
    <x v="1"/>
    <n v="740"/>
    <n v="0.18"/>
    <n v="404.11"/>
    <n v="0.11"/>
    <n v="655.25"/>
    <n v="0.18"/>
    <n v="2"/>
    <n v="1089.33"/>
    <n v="32"/>
    <n v="0"/>
    <n v="427.1"/>
    <n v="2487.4699999999998"/>
    <x v="2"/>
    <n v="919.49"/>
    <x v="3"/>
    <x v="2"/>
    <n v="75.8"/>
    <s v="Medium"/>
    <n v="0"/>
    <n v="0"/>
  </r>
  <r>
    <x v="12"/>
    <x v="10"/>
    <n v="1894"/>
    <n v="5774.37"/>
    <n v="3152.04"/>
    <n v="2622.33"/>
    <n v="0.55000000000000004"/>
    <n v="0.28000000000000003"/>
    <n v="2539.08"/>
    <x v="1"/>
    <n v="720"/>
    <n v="0.56999999999999995"/>
    <n v="336.22"/>
    <n v="0.06"/>
    <n v="30.64"/>
    <n v="0.01"/>
    <n v="8"/>
    <n v="1733.47"/>
    <n v="59"/>
    <n v="0"/>
    <n v="804.41"/>
    <n v="2943.47"/>
    <x v="1"/>
    <n v="1035.1600000000001"/>
    <x v="3"/>
    <x v="0"/>
    <n v="33.799999999999997"/>
    <s v="High"/>
    <n v="2622.33"/>
    <n v="1"/>
  </r>
  <r>
    <x v="12"/>
    <x v="10"/>
    <n v="1005"/>
    <n v="4862.26"/>
    <n v="3358.43"/>
    <n v="1503.83"/>
    <n v="0.69"/>
    <n v="0.12"/>
    <n v="2524.54"/>
    <x v="1"/>
    <n v="655"/>
    <n v="0.48"/>
    <n v="329.87"/>
    <n v="7.0000000000000007E-2"/>
    <n v="7.55"/>
    <n v="0"/>
    <n v="4"/>
    <n v="597.37"/>
    <n v="21"/>
    <n v="0"/>
    <n v="833.07"/>
    <n v="2772.01"/>
    <x v="1"/>
    <n v="1769.22"/>
    <x v="7"/>
    <x v="1"/>
    <n v="31.9"/>
    <s v="Low"/>
    <n v="1503.83"/>
    <n v="0"/>
  </r>
  <r>
    <x v="12"/>
    <x v="10"/>
    <n v="1190"/>
    <n v="3459.71"/>
    <n v="3007.72"/>
    <n v="451.99"/>
    <n v="0.87"/>
    <n v="0.27"/>
    <n v="2128.75"/>
    <x v="1"/>
    <n v="674"/>
    <n v="0.5"/>
    <n v="311.31"/>
    <n v="0.09"/>
    <n v="0"/>
    <n v="0"/>
    <n v="7"/>
    <n v="1775.81"/>
    <n v="80"/>
    <n v="0"/>
    <n v="439.2"/>
    <n v="2412.54"/>
    <x v="1"/>
    <n v="850.78"/>
    <x v="3"/>
    <x v="0"/>
    <n v="57.4"/>
    <s v="Low"/>
    <n v="451.99"/>
    <n v="0"/>
  </r>
  <r>
    <x v="12"/>
    <x v="10"/>
    <n v="1659"/>
    <n v="3762"/>
    <n v="3573.26"/>
    <n v="188.74"/>
    <n v="0.95"/>
    <n v="0.33"/>
    <n v="3385.31"/>
    <x v="0"/>
    <n v="668"/>
    <n v="0.56000000000000005"/>
    <n v="932.6"/>
    <n v="0.25"/>
    <n v="448.53"/>
    <n v="0.12"/>
    <n v="5"/>
    <n v="1660.75"/>
    <n v="77"/>
    <n v="0"/>
    <n v="318.20999999999998"/>
    <n v="3012.81"/>
    <x v="1"/>
    <n v="782.06"/>
    <x v="0"/>
    <x v="0"/>
    <n v="35.9"/>
    <s v="Medium"/>
    <n v="188.74"/>
    <n v="0"/>
  </r>
  <r>
    <x v="12"/>
    <x v="10"/>
    <n v="1343"/>
    <n v="4441.1099999999997"/>
    <n v="2796.79"/>
    <n v="1644.32"/>
    <n v="0.63"/>
    <n v="0.18"/>
    <n v="1800.28"/>
    <x v="2"/>
    <n v="755"/>
    <n v="0.36"/>
    <n v="617.11"/>
    <n v="0.14000000000000001"/>
    <n v="474.6"/>
    <n v="0.11"/>
    <n v="9"/>
    <n v="0"/>
    <n v="39"/>
    <n v="0"/>
    <n v="153.96"/>
    <n v="2780.44"/>
    <x v="1"/>
    <n v="958.08"/>
    <x v="0"/>
    <x v="1"/>
    <n v="86.3"/>
    <s v="Medium"/>
    <n v="1644.32"/>
    <n v="0"/>
  </r>
  <r>
    <x v="12"/>
    <x v="10"/>
    <n v="1621"/>
    <n v="3680.45"/>
    <n v="4042.22"/>
    <n v="-361.77"/>
    <n v="1.1000000000000001"/>
    <n v="0.27"/>
    <n v="3495.84"/>
    <x v="2"/>
    <n v="660"/>
    <n v="0.34"/>
    <n v="249.96"/>
    <n v="7.0000000000000007E-2"/>
    <n v="355.59"/>
    <n v="0.1"/>
    <n v="7"/>
    <n v="466.37"/>
    <n v="46"/>
    <n v="0"/>
    <n v="762.98"/>
    <n v="1995.76"/>
    <x v="1"/>
    <n v="1419.3"/>
    <x v="1"/>
    <x v="2"/>
    <n v="91.1"/>
    <s v="Low"/>
    <n v="0"/>
    <n v="0"/>
  </r>
  <r>
    <x v="12"/>
    <x v="10"/>
    <n v="1906"/>
    <n v="2711.24"/>
    <n v="3801.96"/>
    <n v="-1090.72"/>
    <n v="1.4"/>
    <n v="0.11"/>
    <n v="2930.94"/>
    <x v="1"/>
    <n v="537"/>
    <n v="0.35"/>
    <n v="367.32"/>
    <n v="0.14000000000000001"/>
    <n v="613.5"/>
    <n v="0.23"/>
    <n v="2"/>
    <n v="684.86"/>
    <n v="47"/>
    <n v="0"/>
    <n v="699.68"/>
    <n v="2596.14"/>
    <x v="1"/>
    <n v="557.29999999999995"/>
    <x v="5"/>
    <x v="2"/>
    <n v="4.0999999999999996"/>
    <s v="Medium"/>
    <n v="0"/>
    <n v="0"/>
  </r>
  <r>
    <x v="12"/>
    <x v="10"/>
    <n v="1181"/>
    <n v="4501.68"/>
    <n v="4413.32"/>
    <n v="88.36"/>
    <n v="0.98"/>
    <n v="0.37"/>
    <n v="3020.86"/>
    <x v="1"/>
    <n v="611"/>
    <n v="0.49"/>
    <n v="507.52"/>
    <n v="0.11"/>
    <n v="133.41999999999999"/>
    <n v="0.03"/>
    <n v="3"/>
    <n v="605.79"/>
    <n v="56"/>
    <n v="0"/>
    <n v="243.94"/>
    <n v="2881.34"/>
    <x v="1"/>
    <n v="1557.25"/>
    <x v="2"/>
    <x v="2"/>
    <n v="71"/>
    <s v="Low"/>
    <n v="88.36"/>
    <n v="0"/>
  </r>
  <r>
    <x v="12"/>
    <x v="10"/>
    <n v="1535"/>
    <n v="3785.95"/>
    <n v="2378.21"/>
    <n v="1407.74"/>
    <n v="0.63"/>
    <n v="0.32"/>
    <n v="3084.82"/>
    <x v="2"/>
    <n v="765"/>
    <n v="0.23"/>
    <n v="386.79"/>
    <n v="0.1"/>
    <n v="159.13999999999999"/>
    <n v="0.04"/>
    <n v="9"/>
    <n v="737.64"/>
    <n v="29"/>
    <n v="0"/>
    <n v="259.85000000000002"/>
    <n v="1000"/>
    <x v="1"/>
    <n v="781.03"/>
    <x v="3"/>
    <x v="0"/>
    <n v="97.4"/>
    <s v="Medium"/>
    <n v="1407.74"/>
    <n v="0"/>
  </r>
  <r>
    <x v="12"/>
    <x v="10"/>
    <n v="1018"/>
    <n v="3520.91"/>
    <n v="3596.26"/>
    <n v="-75.349999999999994"/>
    <n v="1.02"/>
    <n v="0.35"/>
    <n v="3052.57"/>
    <x v="1"/>
    <n v="699"/>
    <n v="0.15"/>
    <n v="964.18"/>
    <n v="0.27"/>
    <n v="193.58"/>
    <n v="0.05"/>
    <n v="2"/>
    <n v="1026.24"/>
    <n v="95"/>
    <n v="0"/>
    <n v="566.36"/>
    <n v="1704.73"/>
    <x v="1"/>
    <n v="684.71"/>
    <x v="8"/>
    <x v="2"/>
    <n v="10.6"/>
    <s v="High"/>
    <n v="0"/>
    <n v="0"/>
  </r>
  <r>
    <x v="12"/>
    <x v="10"/>
    <n v="1242"/>
    <n v="3475.1"/>
    <n v="3307.57"/>
    <n v="167.53"/>
    <n v="0.95"/>
    <n v="0.27"/>
    <n v="2600.36"/>
    <x v="0"/>
    <n v="704"/>
    <n v="0.51"/>
    <n v="618.29999999999995"/>
    <n v="0.18"/>
    <n v="665.62"/>
    <n v="0.19"/>
    <n v="5"/>
    <n v="702.17"/>
    <n v="97"/>
    <n v="0"/>
    <n v="144.86000000000001"/>
    <n v="1000"/>
    <x v="1"/>
    <n v="1014.69"/>
    <x v="9"/>
    <x v="0"/>
    <n v="56.7"/>
    <s v="Low"/>
    <n v="167.53"/>
    <n v="0"/>
  </r>
  <r>
    <x v="12"/>
    <x v="10"/>
    <n v="1144"/>
    <n v="5209.0600000000004"/>
    <n v="2367.65"/>
    <n v="2841.41"/>
    <n v="0.45"/>
    <n v="0.16"/>
    <n v="3119.57"/>
    <x v="2"/>
    <n v="672"/>
    <n v="0.56999999999999995"/>
    <n v="757.5"/>
    <n v="0.15"/>
    <n v="403.08"/>
    <n v="0.08"/>
    <n v="1"/>
    <n v="0"/>
    <n v="48"/>
    <n v="0"/>
    <n v="459.2"/>
    <n v="2119.27"/>
    <x v="1"/>
    <n v="1511.43"/>
    <x v="5"/>
    <x v="0"/>
    <n v="63"/>
    <s v="Low"/>
    <n v="2841.41"/>
    <n v="0"/>
  </r>
  <r>
    <x v="12"/>
    <x v="10"/>
    <n v="1568"/>
    <n v="3377.81"/>
    <n v="2269.94"/>
    <n v="1107.8699999999999"/>
    <n v="0.67"/>
    <n v="0.39"/>
    <n v="2407.85"/>
    <x v="1"/>
    <n v="691"/>
    <n v="0.13"/>
    <n v="290.39999999999998"/>
    <n v="0.09"/>
    <n v="446.36"/>
    <n v="0.13"/>
    <n v="7"/>
    <n v="842.38"/>
    <n v="49"/>
    <n v="0"/>
    <n v="164.67"/>
    <n v="3227.58"/>
    <x v="1"/>
    <n v="1354.04"/>
    <x v="4"/>
    <x v="0"/>
    <n v="35.299999999999997"/>
    <s v="Low"/>
    <n v="1107.8699999999999"/>
    <n v="0"/>
  </r>
  <r>
    <x v="12"/>
    <x v="10"/>
    <n v="1211"/>
    <n v="2921.37"/>
    <n v="4232.7700000000004"/>
    <n v="-1311.4"/>
    <n v="1.45"/>
    <n v="0.18"/>
    <n v="3422.24"/>
    <x v="2"/>
    <n v="760"/>
    <n v="0.56000000000000005"/>
    <n v="1054.19"/>
    <n v="0.36"/>
    <n v="316.36"/>
    <n v="0.11"/>
    <n v="5"/>
    <n v="1348.9"/>
    <n v="38"/>
    <n v="0"/>
    <n v="488.34"/>
    <n v="2750.29"/>
    <x v="0"/>
    <n v="1367.9"/>
    <x v="4"/>
    <x v="0"/>
    <n v="1.5"/>
    <s v="Low"/>
    <n v="0"/>
    <n v="0"/>
  </r>
  <r>
    <x v="12"/>
    <x v="10"/>
    <n v="1509"/>
    <n v="5090.21"/>
    <n v="4712.13"/>
    <n v="378.08"/>
    <n v="0.93"/>
    <n v="0.31"/>
    <n v="3024.71"/>
    <x v="2"/>
    <n v="653"/>
    <n v="0.44"/>
    <n v="364.46"/>
    <n v="7.0000000000000007E-2"/>
    <n v="469.84"/>
    <n v="0.09"/>
    <n v="1"/>
    <n v="842.3"/>
    <n v="77"/>
    <n v="0"/>
    <n v="484.99"/>
    <n v="2145.13"/>
    <x v="1"/>
    <n v="1550.02"/>
    <x v="6"/>
    <x v="0"/>
    <n v="4.5"/>
    <s v="Low"/>
    <n v="378.08"/>
    <n v="0"/>
  </r>
  <r>
    <x v="12"/>
    <x v="10"/>
    <n v="1190"/>
    <n v="4254.03"/>
    <n v="2610.84"/>
    <n v="1643.19"/>
    <n v="0.61"/>
    <n v="0.33"/>
    <n v="2544.98"/>
    <x v="1"/>
    <n v="559"/>
    <n v="0.46"/>
    <n v="588.76"/>
    <n v="0.14000000000000001"/>
    <n v="411.87"/>
    <n v="0.1"/>
    <n v="5"/>
    <n v="1725.53"/>
    <n v="28"/>
    <n v="0"/>
    <n v="692.08"/>
    <n v="2794.27"/>
    <x v="1"/>
    <n v="843.64"/>
    <x v="8"/>
    <x v="0"/>
    <n v="26"/>
    <s v="Medium"/>
    <n v="1643.19"/>
    <n v="0"/>
  </r>
  <r>
    <x v="12"/>
    <x v="10"/>
    <n v="1164"/>
    <n v="4562.57"/>
    <n v="1738.88"/>
    <n v="2823.69"/>
    <n v="0.38"/>
    <n v="0.11"/>
    <n v="2093.61"/>
    <x v="1"/>
    <n v="679"/>
    <n v="0.31"/>
    <n v="270.52999999999997"/>
    <n v="0.06"/>
    <n v="592.38"/>
    <n v="0.13"/>
    <n v="3"/>
    <n v="948.69"/>
    <n v="20"/>
    <n v="0"/>
    <n v="441.47"/>
    <n v="2432.27"/>
    <x v="0"/>
    <n v="1215.94"/>
    <x v="1"/>
    <x v="1"/>
    <n v="10.3"/>
    <s v="Medium"/>
    <n v="2823.69"/>
    <n v="1"/>
  </r>
  <r>
    <x v="12"/>
    <x v="10"/>
    <n v="1804"/>
    <n v="3901.15"/>
    <n v="2717"/>
    <n v="1184.1500000000001"/>
    <n v="0.7"/>
    <n v="0.3"/>
    <n v="1855.69"/>
    <x v="1"/>
    <n v="622"/>
    <n v="0.38"/>
    <n v="767.81"/>
    <n v="0.2"/>
    <n v="486.09"/>
    <n v="0.12"/>
    <n v="2"/>
    <n v="1199.7"/>
    <n v="73"/>
    <n v="0"/>
    <n v="710.38"/>
    <n v="1652.88"/>
    <x v="1"/>
    <n v="740.95"/>
    <x v="9"/>
    <x v="1"/>
    <n v="21.5"/>
    <s v="Medium"/>
    <n v="1184.1500000000001"/>
    <n v="0"/>
  </r>
  <r>
    <x v="12"/>
    <x v="10"/>
    <n v="1048"/>
    <n v="4910.32"/>
    <n v="2386.86"/>
    <n v="2523.46"/>
    <n v="0.49"/>
    <n v="0.05"/>
    <n v="2359.4499999999998"/>
    <x v="1"/>
    <n v="693"/>
    <n v="0.2"/>
    <n v="794.2"/>
    <n v="0.16"/>
    <n v="558.22"/>
    <n v="0.11"/>
    <n v="5"/>
    <n v="716.03"/>
    <n v="86"/>
    <n v="0"/>
    <n v="422.18"/>
    <n v="2973.95"/>
    <x v="1"/>
    <n v="1073.3399999999999"/>
    <x v="9"/>
    <x v="0"/>
    <n v="71.3"/>
    <s v="Low"/>
    <n v="2523.46"/>
    <n v="1"/>
  </r>
  <r>
    <x v="12"/>
    <x v="10"/>
    <n v="1757"/>
    <n v="3568.93"/>
    <n v="2621.82"/>
    <n v="947.11"/>
    <n v="0.73"/>
    <n v="0.19"/>
    <n v="2343.12"/>
    <x v="1"/>
    <n v="681"/>
    <n v="0.55000000000000004"/>
    <n v="385.83"/>
    <n v="0.11"/>
    <n v="455.31"/>
    <n v="0.13"/>
    <n v="4"/>
    <n v="911.69"/>
    <n v="49"/>
    <n v="0"/>
    <n v="360.97"/>
    <n v="1357.68"/>
    <x v="0"/>
    <n v="1028.19"/>
    <x v="2"/>
    <x v="0"/>
    <n v="36.700000000000003"/>
    <s v="High"/>
    <n v="947.11"/>
    <n v="0"/>
  </r>
  <r>
    <x v="12"/>
    <x v="10"/>
    <n v="1642"/>
    <n v="3306.56"/>
    <n v="3844.91"/>
    <n v="-538.35"/>
    <n v="1.1599999999999999"/>
    <n v="0.28000000000000003"/>
    <n v="2816.23"/>
    <x v="1"/>
    <n v="668"/>
    <n v="0.13"/>
    <n v="270.83"/>
    <n v="0.08"/>
    <n v="818.92"/>
    <n v="0.25"/>
    <n v="7"/>
    <n v="1064.48"/>
    <n v="56"/>
    <n v="1"/>
    <n v="222.52"/>
    <n v="2888.05"/>
    <x v="1"/>
    <n v="1127.29"/>
    <x v="3"/>
    <x v="1"/>
    <n v="20.8"/>
    <s v="Medium"/>
    <n v="0"/>
    <n v="0"/>
  </r>
  <r>
    <x v="12"/>
    <x v="10"/>
    <n v="1103"/>
    <n v="4147.4399999999996"/>
    <n v="2334.44"/>
    <n v="1813"/>
    <n v="0.56000000000000005"/>
    <n v="0.17"/>
    <n v="2864.82"/>
    <x v="2"/>
    <n v="655"/>
    <n v="0.36"/>
    <n v="824.75"/>
    <n v="0.2"/>
    <n v="160.43"/>
    <n v="0.04"/>
    <n v="3"/>
    <n v="683.93"/>
    <n v="63"/>
    <n v="0"/>
    <n v="417.61"/>
    <n v="3503.29"/>
    <x v="1"/>
    <n v="1761.14"/>
    <x v="3"/>
    <x v="0"/>
    <n v="15.5"/>
    <s v="Medium"/>
    <n v="1813"/>
    <n v="0"/>
  </r>
  <r>
    <x v="12"/>
    <x v="10"/>
    <n v="1584"/>
    <n v="4819.38"/>
    <n v="2130.0700000000002"/>
    <n v="2689.31"/>
    <n v="0.44"/>
    <n v="0.08"/>
    <n v="3172.58"/>
    <x v="1"/>
    <n v="604"/>
    <n v="0.45"/>
    <n v="563.5"/>
    <n v="0.12"/>
    <n v="465.6"/>
    <n v="0.1"/>
    <n v="3"/>
    <n v="966.55"/>
    <n v="72"/>
    <n v="0"/>
    <n v="793.26"/>
    <n v="3060.69"/>
    <x v="1"/>
    <n v="1584.54"/>
    <x v="0"/>
    <x v="0"/>
    <n v="54.2"/>
    <s v="High"/>
    <n v="2689.31"/>
    <n v="0"/>
  </r>
  <r>
    <x v="13"/>
    <x v="11"/>
    <n v="1884"/>
    <n v="2110.66"/>
    <n v="2707.86"/>
    <n v="-597.20000000000005"/>
    <n v="1.28"/>
    <n v="0.24"/>
    <n v="1420.73"/>
    <x v="2"/>
    <n v="647"/>
    <n v="0.32"/>
    <n v="331.5"/>
    <n v="0.16"/>
    <n v="563.48"/>
    <n v="0.27"/>
    <n v="6"/>
    <n v="1153.6400000000001"/>
    <n v="86"/>
    <n v="0"/>
    <n v="309.45999999999998"/>
    <n v="3236.23"/>
    <x v="1"/>
    <n v="790.3"/>
    <x v="1"/>
    <x v="0"/>
    <n v="17.2"/>
    <s v="Medium"/>
    <n v="0"/>
    <n v="0"/>
  </r>
  <r>
    <x v="13"/>
    <x v="11"/>
    <n v="1084"/>
    <n v="3677.05"/>
    <n v="2276.04"/>
    <n v="1401.01"/>
    <n v="0.62"/>
    <n v="0.17"/>
    <n v="3074.08"/>
    <x v="1"/>
    <n v="753"/>
    <n v="0.56999999999999995"/>
    <n v="366.83"/>
    <n v="0.1"/>
    <n v="601.09"/>
    <n v="0.16"/>
    <n v="9"/>
    <n v="834.09"/>
    <n v="36"/>
    <n v="0"/>
    <n v="146.24"/>
    <n v="2715.84"/>
    <x v="1"/>
    <n v="1441.28"/>
    <x v="7"/>
    <x v="0"/>
    <n v="74.5"/>
    <s v="Medium"/>
    <n v="1401.01"/>
    <n v="0"/>
  </r>
  <r>
    <x v="13"/>
    <x v="11"/>
    <n v="1178"/>
    <n v="4019.61"/>
    <n v="3348.09"/>
    <n v="671.52"/>
    <n v="0.83"/>
    <n v="0.09"/>
    <n v="2223.5"/>
    <x v="0"/>
    <n v="662"/>
    <n v="0.44"/>
    <n v="361.59"/>
    <n v="0.09"/>
    <n v="39.159999999999997"/>
    <n v="0.01"/>
    <n v="6"/>
    <n v="1207.0999999999999"/>
    <n v="27"/>
    <n v="0"/>
    <n v="373.47"/>
    <n v="2248.86"/>
    <x v="1"/>
    <n v="591"/>
    <x v="2"/>
    <x v="1"/>
    <n v="93.2"/>
    <s v="Low"/>
    <n v="671.52"/>
    <n v="0"/>
  </r>
  <r>
    <x v="13"/>
    <x v="11"/>
    <n v="1332"/>
    <n v="4425.12"/>
    <n v="2375.5100000000002"/>
    <n v="2049.61"/>
    <n v="0.54"/>
    <n v="0.25"/>
    <n v="3099.92"/>
    <x v="1"/>
    <n v="656"/>
    <n v="0.15"/>
    <n v="379.77"/>
    <n v="0.09"/>
    <n v="221.77"/>
    <n v="0.05"/>
    <n v="3"/>
    <n v="1568.27"/>
    <n v="53"/>
    <n v="0"/>
    <n v="861.52"/>
    <n v="2568.6"/>
    <x v="1"/>
    <n v="798.01"/>
    <x v="8"/>
    <x v="0"/>
    <n v="7.9"/>
    <s v="Medium"/>
    <n v="2049.61"/>
    <n v="0"/>
  </r>
  <r>
    <x v="13"/>
    <x v="11"/>
    <n v="1314"/>
    <n v="4083.62"/>
    <n v="3354.56"/>
    <n v="729.06"/>
    <n v="0.82"/>
    <n v="0.09"/>
    <n v="2979.78"/>
    <x v="1"/>
    <n v="636"/>
    <n v="0.42"/>
    <n v="300.91000000000003"/>
    <n v="7.0000000000000007E-2"/>
    <n v="196.15"/>
    <n v="0.05"/>
    <n v="9"/>
    <n v="1743.24"/>
    <n v="37"/>
    <n v="0"/>
    <n v="413.06"/>
    <n v="2072.7199999999998"/>
    <x v="1"/>
    <n v="1039.3499999999999"/>
    <x v="0"/>
    <x v="0"/>
    <n v="59"/>
    <s v="Medium"/>
    <n v="729.06"/>
    <n v="0"/>
  </r>
  <r>
    <x v="13"/>
    <x v="11"/>
    <n v="1587"/>
    <n v="5040.93"/>
    <n v="3350.26"/>
    <n v="1690.67"/>
    <n v="0.66"/>
    <n v="0.21"/>
    <n v="3111.74"/>
    <x v="2"/>
    <n v="708"/>
    <n v="0.43"/>
    <n v="760.56"/>
    <n v="0.15"/>
    <n v="300.43"/>
    <n v="0.06"/>
    <n v="9"/>
    <n v="789.99"/>
    <n v="21"/>
    <n v="0"/>
    <n v="516.09"/>
    <n v="2329.35"/>
    <x v="1"/>
    <n v="802.08"/>
    <x v="4"/>
    <x v="1"/>
    <n v="56.5"/>
    <s v="Medium"/>
    <n v="1690.67"/>
    <n v="0"/>
  </r>
  <r>
    <x v="13"/>
    <x v="11"/>
    <n v="1562"/>
    <n v="3704.46"/>
    <n v="2639.58"/>
    <n v="1064.8800000000001"/>
    <n v="0.71"/>
    <n v="7.0000000000000007E-2"/>
    <n v="3431.52"/>
    <x v="2"/>
    <n v="681"/>
    <n v="0.21"/>
    <n v="564.79999999999995"/>
    <n v="0.15"/>
    <n v="675.96"/>
    <n v="0.18"/>
    <n v="7"/>
    <n v="686.59"/>
    <n v="29"/>
    <n v="0"/>
    <n v="487.78"/>
    <n v="2115.7600000000002"/>
    <x v="1"/>
    <n v="924.55"/>
    <x v="1"/>
    <x v="0"/>
    <n v="69.5"/>
    <s v="Low"/>
    <n v="1064.8800000000001"/>
    <n v="0"/>
  </r>
  <r>
    <x v="13"/>
    <x v="11"/>
    <n v="1918"/>
    <n v="3907.04"/>
    <n v="3703.17"/>
    <n v="203.87"/>
    <n v="0.95"/>
    <n v="0.27"/>
    <n v="3478.79"/>
    <x v="1"/>
    <n v="691"/>
    <n v="0.17"/>
    <n v="724.76"/>
    <n v="0.19"/>
    <n v="594.5"/>
    <n v="0.15"/>
    <n v="3"/>
    <n v="465.67"/>
    <n v="98"/>
    <n v="0"/>
    <n v="222.83"/>
    <n v="3042.43"/>
    <x v="0"/>
    <n v="1685.33"/>
    <x v="3"/>
    <x v="1"/>
    <n v="23.7"/>
    <s v="Medium"/>
    <n v="203.87"/>
    <n v="0"/>
  </r>
  <r>
    <x v="13"/>
    <x v="11"/>
    <n v="1739"/>
    <n v="4492.59"/>
    <n v="2873.25"/>
    <n v="1619.34"/>
    <n v="0.64"/>
    <n v="0.32"/>
    <n v="3344.62"/>
    <x v="1"/>
    <n v="624"/>
    <n v="0.13"/>
    <n v="246.14"/>
    <n v="0.05"/>
    <n v="784.42"/>
    <n v="0.17"/>
    <n v="6"/>
    <n v="46.45"/>
    <n v="55"/>
    <n v="0"/>
    <n v="511.39"/>
    <n v="3125.72"/>
    <x v="1"/>
    <n v="1266.22"/>
    <x v="8"/>
    <x v="1"/>
    <n v="29.2"/>
    <s v="Medium"/>
    <n v="1619.34"/>
    <n v="0"/>
  </r>
  <r>
    <x v="13"/>
    <x v="11"/>
    <n v="1698"/>
    <n v="6342.61"/>
    <n v="4550.07"/>
    <n v="1792.54"/>
    <n v="0.72"/>
    <n v="0.28000000000000003"/>
    <n v="2529.62"/>
    <x v="1"/>
    <n v="627"/>
    <n v="0.27"/>
    <n v="503.36"/>
    <n v="0.08"/>
    <n v="339.45"/>
    <n v="0.05"/>
    <n v="2"/>
    <n v="877.33"/>
    <n v="87"/>
    <n v="0"/>
    <n v="555.62"/>
    <n v="1446.41"/>
    <x v="0"/>
    <n v="1500.98"/>
    <x v="6"/>
    <x v="0"/>
    <n v="0.8"/>
    <s v="Low"/>
    <n v="1792.54"/>
    <n v="0"/>
  </r>
  <r>
    <x v="13"/>
    <x v="11"/>
    <n v="1051"/>
    <n v="5818.42"/>
    <n v="3482.83"/>
    <n v="2335.59"/>
    <n v="0.6"/>
    <n v="0.17"/>
    <n v="4052.73"/>
    <x v="1"/>
    <n v="597"/>
    <n v="0.25"/>
    <n v="438.88"/>
    <n v="0.08"/>
    <n v="976.79"/>
    <n v="0.17"/>
    <n v="1"/>
    <n v="815.23"/>
    <n v="79"/>
    <n v="0"/>
    <n v="311.56"/>
    <n v="3460.6"/>
    <x v="1"/>
    <n v="1308.32"/>
    <x v="9"/>
    <x v="0"/>
    <n v="25.9"/>
    <s v="Low"/>
    <n v="2335.59"/>
    <n v="0"/>
  </r>
  <r>
    <x v="13"/>
    <x v="11"/>
    <n v="1310"/>
    <n v="3432.58"/>
    <n v="3031.3"/>
    <n v="401.28"/>
    <n v="0.88"/>
    <n v="0.24"/>
    <n v="3192.88"/>
    <x v="2"/>
    <n v="700"/>
    <n v="0.22"/>
    <n v="430.84"/>
    <n v="0.13"/>
    <n v="621.29"/>
    <n v="0.18"/>
    <n v="9"/>
    <n v="1606.24"/>
    <n v="23"/>
    <n v="0"/>
    <n v="876.67"/>
    <n v="2509"/>
    <x v="1"/>
    <n v="880.24"/>
    <x v="7"/>
    <x v="0"/>
    <n v="79.3"/>
    <s v="Low"/>
    <n v="401.28"/>
    <n v="0"/>
  </r>
  <r>
    <x v="13"/>
    <x v="11"/>
    <n v="1318"/>
    <n v="3417.45"/>
    <n v="2612.92"/>
    <n v="804.53"/>
    <n v="0.76"/>
    <n v="0.4"/>
    <n v="3335.81"/>
    <x v="1"/>
    <n v="643"/>
    <n v="0.19"/>
    <n v="612.08000000000004"/>
    <n v="0.18"/>
    <n v="220.03"/>
    <n v="0.06"/>
    <n v="7"/>
    <n v="674.17"/>
    <n v="52"/>
    <n v="0"/>
    <n v="1073.03"/>
    <n v="1534.53"/>
    <x v="1"/>
    <n v="1811.29"/>
    <x v="9"/>
    <x v="0"/>
    <n v="24.3"/>
    <s v="Medium"/>
    <n v="804.53"/>
    <n v="0"/>
  </r>
  <r>
    <x v="13"/>
    <x v="11"/>
    <n v="1168"/>
    <n v="4074.14"/>
    <n v="2901.58"/>
    <n v="1172.56"/>
    <n v="0.71"/>
    <n v="0.34"/>
    <n v="3393.59"/>
    <x v="2"/>
    <n v="588"/>
    <n v="0.51"/>
    <n v="369.34"/>
    <n v="0.09"/>
    <n v="201.66"/>
    <n v="0.05"/>
    <n v="9"/>
    <n v="477.53"/>
    <n v="55"/>
    <n v="0"/>
    <n v="271.68"/>
    <n v="3001.95"/>
    <x v="1"/>
    <n v="1006.58"/>
    <x v="0"/>
    <x v="1"/>
    <n v="76.900000000000006"/>
    <s v="Low"/>
    <n v="1172.56"/>
    <n v="0"/>
  </r>
  <r>
    <x v="13"/>
    <x v="11"/>
    <n v="1882"/>
    <n v="4210.93"/>
    <n v="3379.3"/>
    <n v="831.63"/>
    <n v="0.8"/>
    <n v="0.2"/>
    <n v="2830.4"/>
    <x v="0"/>
    <n v="732"/>
    <n v="0.5"/>
    <n v="749.5"/>
    <n v="0.18"/>
    <n v="291.58"/>
    <n v="7.0000000000000007E-2"/>
    <n v="7"/>
    <n v="559.70000000000005"/>
    <n v="71"/>
    <n v="0"/>
    <n v="574.76"/>
    <n v="1266.43"/>
    <x v="1"/>
    <n v="1665.92"/>
    <x v="1"/>
    <x v="0"/>
    <n v="6.6"/>
    <s v="Low"/>
    <n v="831.63"/>
    <n v="0"/>
  </r>
  <r>
    <x v="13"/>
    <x v="11"/>
    <n v="1392"/>
    <n v="3805.5"/>
    <n v="3553.07"/>
    <n v="252.43"/>
    <n v="0.93"/>
    <n v="0.08"/>
    <n v="2634.24"/>
    <x v="1"/>
    <n v="651"/>
    <n v="0.23"/>
    <n v="723.55"/>
    <n v="0.19"/>
    <n v="298.68"/>
    <n v="0.08"/>
    <n v="6"/>
    <n v="469.05"/>
    <n v="32"/>
    <n v="0"/>
    <n v="442.15"/>
    <n v="2480.52"/>
    <x v="0"/>
    <n v="1613.14"/>
    <x v="1"/>
    <x v="1"/>
    <n v="1.9"/>
    <s v="High"/>
    <n v="252.43"/>
    <n v="0"/>
  </r>
  <r>
    <x v="13"/>
    <x v="11"/>
    <n v="1326"/>
    <n v="5252.02"/>
    <n v="1576.39"/>
    <n v="3675.63"/>
    <n v="0.3"/>
    <n v="0.22"/>
    <n v="2389.19"/>
    <x v="1"/>
    <n v="691"/>
    <n v="0.34"/>
    <n v="704.57"/>
    <n v="0.13"/>
    <n v="373.61"/>
    <n v="7.0000000000000007E-2"/>
    <n v="7"/>
    <n v="509.68"/>
    <n v="52"/>
    <n v="0"/>
    <n v="379.64"/>
    <n v="2006.8"/>
    <x v="1"/>
    <n v="1809.63"/>
    <x v="9"/>
    <x v="2"/>
    <n v="42.9"/>
    <s v="High"/>
    <n v="3675.63"/>
    <n v="1"/>
  </r>
  <r>
    <x v="13"/>
    <x v="11"/>
    <n v="1945"/>
    <n v="5866.09"/>
    <n v="2721.01"/>
    <n v="3145.08"/>
    <n v="0.46"/>
    <n v="0.06"/>
    <n v="2751.2"/>
    <x v="0"/>
    <n v="703"/>
    <n v="0.17"/>
    <n v="712"/>
    <n v="0.12"/>
    <n v="0"/>
    <n v="0"/>
    <n v="8"/>
    <n v="1164.18"/>
    <n v="41"/>
    <n v="0"/>
    <n v="607.83000000000004"/>
    <n v="2221.14"/>
    <x v="1"/>
    <n v="1630.53"/>
    <x v="3"/>
    <x v="1"/>
    <n v="18.899999999999999"/>
    <s v="Low"/>
    <n v="3145.08"/>
    <n v="1"/>
  </r>
  <r>
    <x v="13"/>
    <x v="11"/>
    <n v="1703"/>
    <n v="3363.59"/>
    <n v="2688.39"/>
    <n v="675.2"/>
    <n v="0.8"/>
    <n v="0.24"/>
    <n v="2058.94"/>
    <x v="2"/>
    <n v="765"/>
    <n v="0.59"/>
    <n v="285.74"/>
    <n v="0.08"/>
    <n v="737.1"/>
    <n v="0.22"/>
    <n v="1"/>
    <n v="1226.21"/>
    <n v="63"/>
    <n v="0"/>
    <n v="417.44"/>
    <n v="1883.79"/>
    <x v="1"/>
    <n v="804.19"/>
    <x v="5"/>
    <x v="1"/>
    <n v="25.2"/>
    <s v="High"/>
    <n v="675.2"/>
    <n v="0"/>
  </r>
  <r>
    <x v="13"/>
    <x v="11"/>
    <n v="1268"/>
    <n v="4118.2700000000004"/>
    <n v="2496.65"/>
    <n v="1621.62"/>
    <n v="0.61"/>
    <n v="0.28000000000000003"/>
    <n v="2563.67"/>
    <x v="1"/>
    <n v="604"/>
    <n v="0.17"/>
    <n v="535.37"/>
    <n v="0.13"/>
    <n v="76.52"/>
    <n v="0.02"/>
    <n v="3"/>
    <n v="1805.38"/>
    <n v="62"/>
    <n v="0"/>
    <n v="348.11"/>
    <n v="2046.1"/>
    <x v="0"/>
    <n v="1056.8599999999999"/>
    <x v="8"/>
    <x v="2"/>
    <n v="32.799999999999997"/>
    <s v="Medium"/>
    <n v="1621.62"/>
    <n v="0"/>
  </r>
  <r>
    <x v="13"/>
    <x v="11"/>
    <n v="1101"/>
    <n v="4600.5"/>
    <n v="2374.79"/>
    <n v="2225.71"/>
    <n v="0.52"/>
    <n v="0.1"/>
    <n v="1881.59"/>
    <x v="0"/>
    <n v="660"/>
    <n v="0.39"/>
    <n v="455.62"/>
    <n v="0.1"/>
    <n v="566.71"/>
    <n v="0.12"/>
    <n v="1"/>
    <n v="421.11"/>
    <n v="96"/>
    <n v="0"/>
    <n v="184.3"/>
    <n v="2604.3200000000002"/>
    <x v="1"/>
    <n v="875.26"/>
    <x v="7"/>
    <x v="0"/>
    <n v="47.8"/>
    <s v="High"/>
    <n v="2225.71"/>
    <n v="1"/>
  </r>
  <r>
    <x v="13"/>
    <x v="11"/>
    <n v="1091"/>
    <n v="3745.31"/>
    <n v="3629.61"/>
    <n v="115.7"/>
    <n v="0.97"/>
    <n v="0.18"/>
    <n v="3352.12"/>
    <x v="1"/>
    <n v="770"/>
    <n v="0.41"/>
    <n v="126.23"/>
    <n v="0.03"/>
    <n v="567.92999999999995"/>
    <n v="0.15"/>
    <n v="4"/>
    <n v="1158.5899999999999"/>
    <n v="31"/>
    <n v="0"/>
    <n v="211.46"/>
    <n v="2655.27"/>
    <x v="1"/>
    <n v="2135.98"/>
    <x v="6"/>
    <x v="0"/>
    <n v="86.9"/>
    <s v="Low"/>
    <n v="115.7"/>
    <n v="0"/>
  </r>
  <r>
    <x v="13"/>
    <x v="11"/>
    <n v="1220"/>
    <n v="2959.45"/>
    <n v="2040.15"/>
    <n v="919.3"/>
    <n v="0.69"/>
    <n v="0.22"/>
    <n v="2831.12"/>
    <x v="1"/>
    <n v="713"/>
    <n v="0.38"/>
    <n v="306.48"/>
    <n v="0.1"/>
    <n v="173.52"/>
    <n v="0.06"/>
    <n v="7"/>
    <n v="944.79"/>
    <n v="69"/>
    <n v="0"/>
    <n v="887.86"/>
    <n v="2282.65"/>
    <x v="1"/>
    <n v="1318.39"/>
    <x v="4"/>
    <x v="1"/>
    <n v="23.7"/>
    <s v="Medium"/>
    <n v="919.3"/>
    <n v="0"/>
  </r>
  <r>
    <x v="13"/>
    <x v="11"/>
    <n v="1402"/>
    <n v="2439.35"/>
    <n v="4489.22"/>
    <n v="-2049.87"/>
    <n v="1.84"/>
    <n v="0.31"/>
    <n v="2727.01"/>
    <x v="1"/>
    <n v="542"/>
    <n v="0.5"/>
    <n v="582.26"/>
    <n v="0.24"/>
    <n v="246.75"/>
    <n v="0.1"/>
    <n v="9"/>
    <n v="1161.03"/>
    <n v="37"/>
    <n v="0"/>
    <n v="436.87"/>
    <n v="2311.88"/>
    <x v="1"/>
    <n v="1798.84"/>
    <x v="3"/>
    <x v="0"/>
    <n v="51.9"/>
    <s v="Low"/>
    <n v="0"/>
    <n v="0"/>
  </r>
  <r>
    <x v="13"/>
    <x v="11"/>
    <n v="1861"/>
    <n v="4665.72"/>
    <n v="3673.97"/>
    <n v="991.75"/>
    <n v="0.79"/>
    <n v="0.18"/>
    <n v="2936.08"/>
    <x v="2"/>
    <n v="657"/>
    <n v="0.41"/>
    <n v="294.92"/>
    <n v="0.06"/>
    <n v="356.98"/>
    <n v="0.08"/>
    <n v="5"/>
    <n v="892.44"/>
    <n v="25"/>
    <n v="0"/>
    <n v="249.23"/>
    <n v="2779.61"/>
    <x v="1"/>
    <n v="946.42"/>
    <x v="6"/>
    <x v="1"/>
    <n v="32.5"/>
    <s v="Low"/>
    <n v="991.75"/>
    <n v="0"/>
  </r>
  <r>
    <x v="13"/>
    <x v="11"/>
    <n v="1633"/>
    <n v="3751.34"/>
    <n v="3193.56"/>
    <n v="557.78"/>
    <n v="0.85"/>
    <n v="0.26"/>
    <n v="3496.77"/>
    <x v="1"/>
    <n v="658"/>
    <n v="0.56999999999999995"/>
    <n v="674.61"/>
    <n v="0.18"/>
    <n v="396.18"/>
    <n v="0.11"/>
    <n v="6"/>
    <n v="1288.18"/>
    <n v="51"/>
    <n v="0"/>
    <n v="342.06"/>
    <n v="2869.83"/>
    <x v="1"/>
    <n v="2048.44"/>
    <x v="3"/>
    <x v="1"/>
    <n v="19.8"/>
    <s v="High"/>
    <n v="557.78"/>
    <n v="0"/>
  </r>
  <r>
    <x v="13"/>
    <x v="11"/>
    <n v="1533"/>
    <n v="4768.97"/>
    <n v="3790.59"/>
    <n v="978.38"/>
    <n v="0.79"/>
    <n v="0.36"/>
    <n v="2980.38"/>
    <x v="1"/>
    <n v="664"/>
    <n v="0.25"/>
    <n v="107.69"/>
    <n v="0.02"/>
    <n v="489.18"/>
    <n v="0.1"/>
    <n v="9"/>
    <n v="1080.48"/>
    <n v="79"/>
    <n v="0"/>
    <n v="333.22"/>
    <n v="1456.47"/>
    <x v="1"/>
    <n v="1543.19"/>
    <x v="1"/>
    <x v="0"/>
    <n v="78.2"/>
    <s v="Medium"/>
    <n v="978.38"/>
    <n v="0"/>
  </r>
  <r>
    <x v="13"/>
    <x v="11"/>
    <n v="1077"/>
    <n v="4808.33"/>
    <n v="3498.61"/>
    <n v="1309.72"/>
    <n v="0.73"/>
    <n v="0.21"/>
    <n v="2693.97"/>
    <x v="1"/>
    <n v="684"/>
    <n v="0.38"/>
    <n v="556.76"/>
    <n v="0.12"/>
    <n v="309.92"/>
    <n v="0.06"/>
    <n v="2"/>
    <n v="1964.99"/>
    <n v="61"/>
    <n v="0"/>
    <n v="135.1"/>
    <n v="2591.46"/>
    <x v="1"/>
    <n v="1277.19"/>
    <x v="2"/>
    <x v="1"/>
    <n v="55.1"/>
    <s v="Medium"/>
    <n v="1309.72"/>
    <n v="0"/>
  </r>
  <r>
    <x v="13"/>
    <x v="11"/>
    <n v="1354"/>
    <n v="3915.46"/>
    <n v="989.71"/>
    <n v="2925.75"/>
    <n v="0.25"/>
    <n v="0.28000000000000003"/>
    <n v="2528.4899999999998"/>
    <x v="1"/>
    <n v="652"/>
    <n v="0.17"/>
    <n v="497.58"/>
    <n v="0.13"/>
    <n v="507.24"/>
    <n v="0.13"/>
    <n v="4"/>
    <n v="703.28"/>
    <n v="48"/>
    <n v="0"/>
    <n v="587.58000000000004"/>
    <n v="3454.97"/>
    <x v="1"/>
    <n v="1319.73"/>
    <x v="6"/>
    <x v="0"/>
    <n v="24.3"/>
    <s v="Medium"/>
    <n v="2925.75"/>
    <n v="1"/>
  </r>
  <r>
    <x v="13"/>
    <x v="11"/>
    <n v="1042"/>
    <n v="6256.88"/>
    <n v="4736.42"/>
    <n v="1520.46"/>
    <n v="0.76"/>
    <n v="0.38"/>
    <n v="2677.07"/>
    <x v="1"/>
    <n v="634"/>
    <n v="0.49"/>
    <n v="972.68"/>
    <n v="0.16"/>
    <n v="177.41"/>
    <n v="0.03"/>
    <n v="7"/>
    <n v="424.52"/>
    <n v="34"/>
    <n v="0"/>
    <n v="710.08"/>
    <n v="1759.63"/>
    <x v="1"/>
    <n v="982.62"/>
    <x v="7"/>
    <x v="0"/>
    <n v="46.1"/>
    <s v="Low"/>
    <n v="1520.46"/>
    <n v="0"/>
  </r>
  <r>
    <x v="13"/>
    <x v="11"/>
    <n v="1502"/>
    <n v="3570.21"/>
    <n v="3878.51"/>
    <n v="-308.3"/>
    <n v="1.0900000000000001"/>
    <n v="0.33"/>
    <n v="2523.44"/>
    <x v="1"/>
    <n v="691"/>
    <n v="0.52"/>
    <n v="482.56"/>
    <n v="0.14000000000000001"/>
    <n v="244.84"/>
    <n v="7.0000000000000007E-2"/>
    <n v="6"/>
    <n v="373.3"/>
    <n v="45"/>
    <n v="0"/>
    <n v="649.85"/>
    <n v="1484.72"/>
    <x v="1"/>
    <n v="1320.75"/>
    <x v="6"/>
    <x v="0"/>
    <n v="93.3"/>
    <s v="Low"/>
    <n v="0"/>
    <n v="0"/>
  </r>
  <r>
    <x v="13"/>
    <x v="11"/>
    <n v="1873"/>
    <n v="5737.31"/>
    <n v="2864.03"/>
    <n v="2873.28"/>
    <n v="0.5"/>
    <n v="0.18"/>
    <n v="2888.49"/>
    <x v="1"/>
    <n v="736"/>
    <n v="0.47"/>
    <n v="581.66999999999996"/>
    <n v="0.1"/>
    <n v="128.57"/>
    <n v="0.02"/>
    <n v="6"/>
    <n v="335.67"/>
    <n v="72"/>
    <n v="0"/>
    <n v="697.76"/>
    <n v="3254.64"/>
    <x v="1"/>
    <n v="1500.16"/>
    <x v="6"/>
    <x v="0"/>
    <n v="81.7"/>
    <s v="High"/>
    <n v="2873.28"/>
    <n v="0"/>
  </r>
  <r>
    <x v="13"/>
    <x v="11"/>
    <n v="1531"/>
    <n v="4300.3599999999997"/>
    <n v="2324.91"/>
    <n v="1975.45"/>
    <n v="0.54"/>
    <n v="0.37"/>
    <n v="2274.58"/>
    <x v="0"/>
    <n v="652"/>
    <n v="0.16"/>
    <n v="472.14"/>
    <n v="0.11"/>
    <n v="71.94"/>
    <n v="0.02"/>
    <n v="1"/>
    <n v="1484.18"/>
    <n v="56"/>
    <n v="0"/>
    <n v="695.22"/>
    <n v="1484.24"/>
    <x v="1"/>
    <n v="1259.46"/>
    <x v="3"/>
    <x v="1"/>
    <n v="69.400000000000006"/>
    <s v="Low"/>
    <n v="1975.45"/>
    <n v="0"/>
  </r>
  <r>
    <x v="13"/>
    <x v="11"/>
    <n v="1532"/>
    <n v="3451.22"/>
    <n v="3040.58"/>
    <n v="410.64"/>
    <n v="0.88"/>
    <n v="0.05"/>
    <n v="2756.09"/>
    <x v="2"/>
    <n v="682"/>
    <n v="0.28999999999999998"/>
    <n v="687.35"/>
    <n v="0.2"/>
    <n v="289.85000000000002"/>
    <n v="0.08"/>
    <n v="1"/>
    <n v="368.52"/>
    <n v="57"/>
    <n v="0"/>
    <n v="220.69"/>
    <n v="1325.09"/>
    <x v="1"/>
    <n v="1375.44"/>
    <x v="0"/>
    <x v="0"/>
    <n v="1.3"/>
    <s v="Low"/>
    <n v="410.64"/>
    <n v="0"/>
  </r>
  <r>
    <x v="13"/>
    <x v="11"/>
    <n v="1579"/>
    <n v="5011.45"/>
    <n v="4327.24"/>
    <n v="684.21"/>
    <n v="0.86"/>
    <n v="0.35"/>
    <n v="2938.63"/>
    <x v="0"/>
    <n v="692"/>
    <n v="0.26"/>
    <n v="560.21"/>
    <n v="0.11"/>
    <n v="191.87"/>
    <n v="0.04"/>
    <n v="6"/>
    <n v="1024.93"/>
    <n v="38"/>
    <n v="0"/>
    <n v="323.52"/>
    <n v="1986.03"/>
    <x v="1"/>
    <n v="948.65"/>
    <x v="5"/>
    <x v="0"/>
    <n v="92.2"/>
    <s v="High"/>
    <n v="684.21"/>
    <n v="0"/>
  </r>
  <r>
    <x v="13"/>
    <x v="11"/>
    <n v="1568"/>
    <n v="3740.82"/>
    <n v="3064.66"/>
    <n v="676.16"/>
    <n v="0.82"/>
    <n v="0.36"/>
    <n v="2125.4899999999998"/>
    <x v="0"/>
    <n v="696"/>
    <n v="0.37"/>
    <n v="488.94"/>
    <n v="0.13"/>
    <n v="65.319999999999993"/>
    <n v="0.02"/>
    <n v="7"/>
    <n v="816.9"/>
    <n v="57"/>
    <n v="0"/>
    <n v="308.74"/>
    <n v="2579.29"/>
    <x v="1"/>
    <n v="2377.12"/>
    <x v="9"/>
    <x v="0"/>
    <n v="15.3"/>
    <s v="High"/>
    <n v="676.16"/>
    <n v="0"/>
  </r>
  <r>
    <x v="13"/>
    <x v="11"/>
    <n v="1689"/>
    <n v="4239.9399999999996"/>
    <n v="1037.77"/>
    <n v="3202.17"/>
    <n v="0.24"/>
    <n v="0.08"/>
    <n v="2679.78"/>
    <x v="1"/>
    <n v="661"/>
    <n v="0.17"/>
    <n v="128.07"/>
    <n v="0.03"/>
    <n v="469.52"/>
    <n v="0.11"/>
    <n v="9"/>
    <n v="1465.3"/>
    <n v="57"/>
    <n v="0"/>
    <n v="273.14"/>
    <n v="2573.4"/>
    <x v="1"/>
    <n v="1812.84"/>
    <x v="2"/>
    <x v="0"/>
    <n v="24.3"/>
    <s v="Low"/>
    <n v="3202.17"/>
    <n v="1"/>
  </r>
  <r>
    <x v="13"/>
    <x v="11"/>
    <n v="1958"/>
    <n v="3874.11"/>
    <n v="2638.1"/>
    <n v="1236.01"/>
    <n v="0.68"/>
    <n v="0.36"/>
    <n v="2786.25"/>
    <x v="0"/>
    <n v="576"/>
    <n v="0.56999999999999995"/>
    <n v="542.03"/>
    <n v="0.14000000000000001"/>
    <n v="593.88"/>
    <n v="0.15"/>
    <n v="4"/>
    <n v="392.49"/>
    <n v="37"/>
    <n v="0"/>
    <n v="779.48"/>
    <n v="2333.41"/>
    <x v="1"/>
    <n v="784.48"/>
    <x v="6"/>
    <x v="2"/>
    <n v="84.1"/>
    <s v="High"/>
    <n v="1236.01"/>
    <n v="0"/>
  </r>
  <r>
    <x v="13"/>
    <x v="11"/>
    <n v="1182"/>
    <n v="3503.81"/>
    <n v="2708.25"/>
    <n v="795.56"/>
    <n v="0.77"/>
    <n v="0.24"/>
    <n v="2741.25"/>
    <x v="1"/>
    <n v="782"/>
    <n v="0.5"/>
    <n v="508.9"/>
    <n v="0.15"/>
    <n v="78.58"/>
    <n v="0.02"/>
    <n v="4"/>
    <n v="590.89"/>
    <n v="87"/>
    <n v="0"/>
    <n v="386.19"/>
    <n v="2282.1799999999998"/>
    <x v="1"/>
    <n v="1514.94"/>
    <x v="6"/>
    <x v="0"/>
    <n v="74.900000000000006"/>
    <s v="Low"/>
    <n v="795.56"/>
    <n v="0"/>
  </r>
  <r>
    <x v="13"/>
    <x v="11"/>
    <n v="1288"/>
    <n v="4198.0600000000004"/>
    <n v="3631.02"/>
    <n v="567.04"/>
    <n v="0.86"/>
    <n v="0.09"/>
    <n v="2389.09"/>
    <x v="0"/>
    <n v="662"/>
    <n v="0.16"/>
    <n v="165.72"/>
    <n v="0.04"/>
    <n v="722.5"/>
    <n v="0.17"/>
    <n v="1"/>
    <n v="585.57000000000005"/>
    <n v="31"/>
    <n v="0"/>
    <n v="778.69"/>
    <n v="2816.41"/>
    <x v="1"/>
    <n v="984.92"/>
    <x v="2"/>
    <x v="2"/>
    <n v="22.3"/>
    <s v="Medium"/>
    <n v="567.04"/>
    <n v="0"/>
  </r>
  <r>
    <x v="13"/>
    <x v="11"/>
    <n v="1378"/>
    <n v="3484.28"/>
    <n v="4214.47"/>
    <n v="-730.19"/>
    <n v="1.21"/>
    <n v="0.37"/>
    <n v="2420.75"/>
    <x v="1"/>
    <n v="650"/>
    <n v="0.44"/>
    <n v="285.67"/>
    <n v="0.08"/>
    <n v="0"/>
    <n v="0"/>
    <n v="6"/>
    <n v="1335.17"/>
    <n v="85"/>
    <n v="0"/>
    <n v="377.32"/>
    <n v="2106.27"/>
    <x v="1"/>
    <n v="1203.17"/>
    <x v="6"/>
    <x v="0"/>
    <n v="53.4"/>
    <s v="High"/>
    <n v="0"/>
    <n v="0"/>
  </r>
  <r>
    <x v="13"/>
    <x v="11"/>
    <n v="1713"/>
    <n v="3127.19"/>
    <n v="3533.41"/>
    <n v="-406.22"/>
    <n v="1.1299999999999999"/>
    <n v="0.25"/>
    <n v="2085.02"/>
    <x v="1"/>
    <n v="678"/>
    <n v="0.27"/>
    <n v="607.26"/>
    <n v="0.19"/>
    <n v="331.38"/>
    <n v="0.11"/>
    <n v="8"/>
    <n v="1449.52"/>
    <n v="62"/>
    <n v="0"/>
    <n v="365.33"/>
    <n v="2050.11"/>
    <x v="1"/>
    <n v="1397.11"/>
    <x v="5"/>
    <x v="0"/>
    <n v="70.8"/>
    <s v="Low"/>
    <n v="0"/>
    <n v="0"/>
  </r>
  <r>
    <x v="13"/>
    <x v="11"/>
    <n v="1931"/>
    <n v="4071.27"/>
    <n v="1710.97"/>
    <n v="2360.3000000000002"/>
    <n v="0.42"/>
    <n v="0.37"/>
    <n v="1997.19"/>
    <x v="1"/>
    <n v="653"/>
    <n v="0.28999999999999998"/>
    <n v="455.06"/>
    <n v="0.11"/>
    <n v="343.64"/>
    <n v="0.08"/>
    <n v="5"/>
    <n v="950.38"/>
    <n v="29"/>
    <n v="0"/>
    <n v="477.6"/>
    <n v="2523.62"/>
    <x v="2"/>
    <n v="1777.84"/>
    <x v="3"/>
    <x v="0"/>
    <n v="4.0999999999999996"/>
    <s v="Low"/>
    <n v="2360.3000000000002"/>
    <n v="1"/>
  </r>
  <r>
    <x v="13"/>
    <x v="11"/>
    <n v="1036"/>
    <n v="5227.74"/>
    <n v="1996.97"/>
    <n v="3230.77"/>
    <n v="0.38"/>
    <n v="7.0000000000000007E-2"/>
    <n v="3143.79"/>
    <x v="1"/>
    <n v="694"/>
    <n v="0.12"/>
    <n v="660.31"/>
    <n v="0.13"/>
    <n v="461.61"/>
    <n v="0.09"/>
    <n v="2"/>
    <n v="742.12"/>
    <n v="78"/>
    <n v="0"/>
    <n v="186.08"/>
    <n v="1094.29"/>
    <x v="1"/>
    <n v="1482.74"/>
    <x v="4"/>
    <x v="1"/>
    <n v="65.8"/>
    <s v="Medium"/>
    <n v="3230.77"/>
    <n v="1"/>
  </r>
  <r>
    <x v="13"/>
    <x v="11"/>
    <n v="1326"/>
    <n v="4061.33"/>
    <n v="3102.7"/>
    <n v="958.63"/>
    <n v="0.76"/>
    <n v="0.08"/>
    <n v="2469.4899999999998"/>
    <x v="2"/>
    <n v="680"/>
    <n v="0.56999999999999995"/>
    <n v="746.5"/>
    <n v="0.18"/>
    <n v="0"/>
    <n v="0"/>
    <n v="9"/>
    <n v="1638.43"/>
    <n v="55"/>
    <n v="0"/>
    <n v="773.07"/>
    <n v="1735.03"/>
    <x v="1"/>
    <n v="1224.6400000000001"/>
    <x v="9"/>
    <x v="1"/>
    <n v="19.600000000000001"/>
    <s v="Medium"/>
    <n v="958.63"/>
    <n v="0"/>
  </r>
  <r>
    <x v="13"/>
    <x v="11"/>
    <n v="1284"/>
    <n v="3324.79"/>
    <n v="3993.77"/>
    <n v="-668.98"/>
    <n v="1.2"/>
    <n v="0.33"/>
    <n v="3072.31"/>
    <x v="2"/>
    <n v="670"/>
    <n v="0.51"/>
    <n v="873.74"/>
    <n v="0.26"/>
    <n v="194.67"/>
    <n v="0.06"/>
    <n v="6"/>
    <n v="1396.84"/>
    <n v="23"/>
    <n v="0"/>
    <n v="646.94000000000005"/>
    <n v="1553.7"/>
    <x v="1"/>
    <n v="1362"/>
    <x v="4"/>
    <x v="0"/>
    <n v="96.1"/>
    <s v="High"/>
    <n v="0"/>
    <n v="0"/>
  </r>
  <r>
    <x v="13"/>
    <x v="11"/>
    <n v="1909"/>
    <n v="3718.65"/>
    <n v="2586.1999999999998"/>
    <n v="1132.45"/>
    <n v="0.7"/>
    <n v="0.27"/>
    <n v="3746.79"/>
    <x v="1"/>
    <n v="635"/>
    <n v="0.27"/>
    <n v="483.14"/>
    <n v="0.13"/>
    <n v="555.04999999999995"/>
    <n v="0.15"/>
    <n v="3"/>
    <n v="1282.18"/>
    <n v="34"/>
    <n v="0"/>
    <n v="600.24"/>
    <n v="3029.1"/>
    <x v="0"/>
    <n v="977.26"/>
    <x v="8"/>
    <x v="1"/>
    <n v="26.4"/>
    <s v="Medium"/>
    <n v="1132.45"/>
    <n v="0"/>
  </r>
  <r>
    <x v="13"/>
    <x v="11"/>
    <n v="1603"/>
    <n v="4408.7700000000004"/>
    <n v="1486.82"/>
    <n v="2921.95"/>
    <n v="0.34"/>
    <n v="0.11"/>
    <n v="2672.12"/>
    <x v="1"/>
    <n v="728"/>
    <n v="0.45"/>
    <n v="646.13"/>
    <n v="0.15"/>
    <n v="289.43"/>
    <n v="7.0000000000000007E-2"/>
    <n v="8"/>
    <n v="1194.49"/>
    <n v="96"/>
    <n v="0"/>
    <n v="546.05999999999995"/>
    <n v="2838.96"/>
    <x v="2"/>
    <n v="1394.25"/>
    <x v="1"/>
    <x v="0"/>
    <n v="59.3"/>
    <s v="Low"/>
    <n v="2921.95"/>
    <n v="1"/>
  </r>
  <r>
    <x v="13"/>
    <x v="11"/>
    <n v="1872"/>
    <n v="4136.71"/>
    <n v="3142.13"/>
    <n v="994.58"/>
    <n v="0.76"/>
    <n v="0.33"/>
    <n v="2719.09"/>
    <x v="2"/>
    <n v="696"/>
    <n v="0.4"/>
    <n v="307.57"/>
    <n v="7.0000000000000007E-2"/>
    <n v="15.69"/>
    <n v="0"/>
    <n v="2"/>
    <n v="1111.57"/>
    <n v="20"/>
    <n v="1"/>
    <n v="296.45999999999998"/>
    <n v="2135.5500000000002"/>
    <x v="0"/>
    <n v="1540.86"/>
    <x v="6"/>
    <x v="0"/>
    <n v="69"/>
    <s v="Medium"/>
    <n v="994.58"/>
    <n v="0"/>
  </r>
  <r>
    <x v="13"/>
    <x v="11"/>
    <n v="1668"/>
    <n v="3497.41"/>
    <n v="4721.74"/>
    <n v="-1224.33"/>
    <n v="1.35"/>
    <n v="0.1"/>
    <n v="2507.54"/>
    <x v="0"/>
    <n v="650"/>
    <n v="0.21"/>
    <n v="980.37"/>
    <n v="0.28000000000000003"/>
    <n v="531.63"/>
    <n v="0.15"/>
    <n v="2"/>
    <n v="1686.95"/>
    <n v="69"/>
    <n v="0"/>
    <n v="745.91"/>
    <n v="3182.4"/>
    <x v="1"/>
    <n v="790.89"/>
    <x v="1"/>
    <x v="0"/>
    <n v="47.3"/>
    <s v="Low"/>
    <n v="0"/>
    <n v="0"/>
  </r>
  <r>
    <x v="14"/>
    <x v="12"/>
    <n v="1675"/>
    <n v="3507.29"/>
    <n v="2661.4"/>
    <n v="845.89"/>
    <n v="0.76"/>
    <n v="0.26"/>
    <n v="3493.12"/>
    <x v="1"/>
    <n v="739"/>
    <n v="0.4"/>
    <n v="650.88"/>
    <n v="0.19"/>
    <n v="220.05"/>
    <n v="0.06"/>
    <n v="7"/>
    <n v="1405.48"/>
    <n v="74"/>
    <n v="0"/>
    <n v="248.39"/>
    <n v="2825.21"/>
    <x v="1"/>
    <n v="1009.85"/>
    <x v="0"/>
    <x v="1"/>
    <n v="11.2"/>
    <s v="Medium"/>
    <n v="845.89"/>
    <n v="0"/>
  </r>
  <r>
    <x v="14"/>
    <x v="12"/>
    <n v="1799"/>
    <n v="3285.42"/>
    <n v="2691.73"/>
    <n v="593.69000000000005"/>
    <n v="0.82"/>
    <n v="0.21"/>
    <n v="2966.68"/>
    <x v="2"/>
    <n v="714"/>
    <n v="0.47"/>
    <n v="706.65"/>
    <n v="0.22"/>
    <n v="406.24"/>
    <n v="0.12"/>
    <n v="7"/>
    <n v="195.09"/>
    <n v="76"/>
    <n v="0"/>
    <n v="586.33000000000004"/>
    <n v="1361.88"/>
    <x v="1"/>
    <n v="1121.3699999999999"/>
    <x v="9"/>
    <x v="0"/>
    <n v="33.799999999999997"/>
    <s v="High"/>
    <n v="593.69000000000005"/>
    <n v="0"/>
  </r>
  <r>
    <x v="14"/>
    <x v="12"/>
    <n v="1563"/>
    <n v="3366.47"/>
    <n v="4182.38"/>
    <n v="-815.91"/>
    <n v="1.24"/>
    <n v="0.31"/>
    <n v="1874.76"/>
    <x v="1"/>
    <n v="738"/>
    <n v="0.48"/>
    <n v="591.37"/>
    <n v="0.18"/>
    <n v="201.73"/>
    <n v="0.06"/>
    <n v="5"/>
    <n v="841.57"/>
    <n v="34"/>
    <n v="0"/>
    <n v="720.15"/>
    <n v="2563.36"/>
    <x v="1"/>
    <n v="2133.36"/>
    <x v="5"/>
    <x v="1"/>
    <n v="21.4"/>
    <s v="Medium"/>
    <n v="0"/>
    <n v="0"/>
  </r>
  <r>
    <x v="14"/>
    <x v="12"/>
    <n v="1521"/>
    <n v="4516.16"/>
    <n v="3683.37"/>
    <n v="832.79"/>
    <n v="0.82"/>
    <n v="0.31"/>
    <n v="1824.49"/>
    <x v="0"/>
    <n v="685"/>
    <n v="0.23"/>
    <n v="297.37"/>
    <n v="7.0000000000000007E-2"/>
    <n v="155.75"/>
    <n v="0.03"/>
    <n v="7"/>
    <n v="1878.64"/>
    <n v="42"/>
    <n v="0"/>
    <n v="440.47"/>
    <n v="1503.34"/>
    <x v="1"/>
    <n v="1362.81"/>
    <x v="0"/>
    <x v="1"/>
    <n v="33.700000000000003"/>
    <s v="Low"/>
    <n v="832.79"/>
    <n v="0"/>
  </r>
  <r>
    <x v="14"/>
    <x v="12"/>
    <n v="1950"/>
    <n v="4455.53"/>
    <n v="3308.17"/>
    <n v="1147.3599999999999"/>
    <n v="0.74"/>
    <n v="0.32"/>
    <n v="2815.92"/>
    <x v="1"/>
    <n v="720"/>
    <n v="0.54"/>
    <n v="402.27"/>
    <n v="0.09"/>
    <n v="371.17"/>
    <n v="0.08"/>
    <n v="9"/>
    <n v="1435.17"/>
    <n v="48"/>
    <n v="0"/>
    <n v="674.34"/>
    <n v="2461.61"/>
    <x v="1"/>
    <n v="1117.5899999999999"/>
    <x v="8"/>
    <x v="0"/>
    <n v="45.3"/>
    <s v="Medium"/>
    <n v="1147.3599999999999"/>
    <n v="0"/>
  </r>
  <r>
    <x v="14"/>
    <x v="12"/>
    <n v="1029"/>
    <n v="2498.0700000000002"/>
    <n v="3418.06"/>
    <n v="-919.99"/>
    <n v="1.37"/>
    <n v="0.2"/>
    <n v="2581.1799999999998"/>
    <x v="0"/>
    <n v="681"/>
    <n v="0.28999999999999998"/>
    <n v="403.3"/>
    <n v="0.16"/>
    <n v="200.59"/>
    <n v="0.08"/>
    <n v="2"/>
    <n v="275.75"/>
    <n v="79"/>
    <n v="0"/>
    <n v="481.99"/>
    <n v="1671.09"/>
    <x v="2"/>
    <n v="1822.25"/>
    <x v="8"/>
    <x v="2"/>
    <n v="99.3"/>
    <s v="Medium"/>
    <n v="0"/>
    <n v="0"/>
  </r>
  <r>
    <x v="14"/>
    <x v="12"/>
    <n v="1618"/>
    <n v="2461.89"/>
    <n v="2001.98"/>
    <n v="459.91"/>
    <n v="0.81"/>
    <n v="0.21"/>
    <n v="2506.4899999999998"/>
    <x v="2"/>
    <n v="672"/>
    <n v="0.15"/>
    <n v="975.97"/>
    <n v="0.4"/>
    <n v="337.94"/>
    <n v="0.14000000000000001"/>
    <n v="1"/>
    <n v="790.88"/>
    <n v="74"/>
    <n v="0"/>
    <n v="427.03"/>
    <n v="1829.64"/>
    <x v="0"/>
    <n v="775.16"/>
    <x v="3"/>
    <x v="2"/>
    <n v="79.7"/>
    <s v="High"/>
    <n v="459.91"/>
    <n v="0"/>
  </r>
  <r>
    <x v="14"/>
    <x v="12"/>
    <n v="1589"/>
    <n v="3868.2"/>
    <n v="2228.21"/>
    <n v="1639.99"/>
    <n v="0.57999999999999996"/>
    <n v="0.06"/>
    <n v="3671.15"/>
    <x v="1"/>
    <n v="661"/>
    <n v="0.49"/>
    <n v="776.42"/>
    <n v="0.2"/>
    <n v="549.12"/>
    <n v="0.14000000000000001"/>
    <n v="7"/>
    <n v="65.41"/>
    <n v="72"/>
    <n v="0"/>
    <n v="604.91999999999996"/>
    <n v="1027.6099999999999"/>
    <x v="1"/>
    <n v="1327.69"/>
    <x v="3"/>
    <x v="0"/>
    <n v="97.2"/>
    <s v="Low"/>
    <n v="1639.99"/>
    <n v="0"/>
  </r>
  <r>
    <x v="14"/>
    <x v="12"/>
    <n v="1439"/>
    <n v="7283.39"/>
    <n v="693.73"/>
    <n v="6589.66"/>
    <n v="0.1"/>
    <n v="0.15"/>
    <n v="4010.12"/>
    <x v="1"/>
    <n v="755"/>
    <n v="0.43"/>
    <n v="660.27"/>
    <n v="0.09"/>
    <n v="145.24"/>
    <n v="0.02"/>
    <n v="7"/>
    <n v="1318.23"/>
    <n v="60"/>
    <n v="0"/>
    <n v="384.64"/>
    <n v="1889.32"/>
    <x v="2"/>
    <n v="1073.45"/>
    <x v="0"/>
    <x v="0"/>
    <n v="29.2"/>
    <s v="Low"/>
    <n v="6589.66"/>
    <n v="1"/>
  </r>
  <r>
    <x v="14"/>
    <x v="12"/>
    <n v="1127"/>
    <n v="4476.58"/>
    <n v="2590.7399999999998"/>
    <n v="1885.84"/>
    <n v="0.57999999999999996"/>
    <n v="0.27"/>
    <n v="1943.46"/>
    <x v="1"/>
    <n v="719"/>
    <n v="0.28000000000000003"/>
    <n v="400.97"/>
    <n v="0.09"/>
    <n v="286.24"/>
    <n v="0.06"/>
    <n v="7"/>
    <n v="151.44999999999999"/>
    <n v="36"/>
    <n v="0"/>
    <n v="477.34"/>
    <n v="1174.8800000000001"/>
    <x v="1"/>
    <n v="1810.68"/>
    <x v="7"/>
    <x v="0"/>
    <n v="37.5"/>
    <s v="Medium"/>
    <n v="1885.84"/>
    <n v="0"/>
  </r>
  <r>
    <x v="14"/>
    <x v="12"/>
    <n v="1372"/>
    <n v="3708.57"/>
    <n v="1471.64"/>
    <n v="2236.9299999999998"/>
    <n v="0.4"/>
    <n v="0.26"/>
    <n v="2363.85"/>
    <x v="1"/>
    <n v="655"/>
    <n v="0.4"/>
    <n v="562.29"/>
    <n v="0.15"/>
    <n v="528.33000000000004"/>
    <n v="0.14000000000000001"/>
    <n v="4"/>
    <n v="1562.48"/>
    <n v="72"/>
    <n v="0"/>
    <n v="278.14999999999998"/>
    <n v="1685.83"/>
    <x v="2"/>
    <n v="1151.3399999999999"/>
    <x v="6"/>
    <x v="1"/>
    <n v="56.7"/>
    <s v="High"/>
    <n v="2236.9299999999998"/>
    <n v="0"/>
  </r>
  <r>
    <x v="14"/>
    <x v="12"/>
    <n v="1201"/>
    <n v="3899.34"/>
    <n v="4108.62"/>
    <n v="-209.28"/>
    <n v="1.05"/>
    <n v="0.3"/>
    <n v="1966.21"/>
    <x v="1"/>
    <n v="664"/>
    <n v="0.37"/>
    <n v="1064.0999999999999"/>
    <n v="0.27"/>
    <n v="460.52"/>
    <n v="0.12"/>
    <n v="1"/>
    <n v="1499.38"/>
    <n v="69"/>
    <n v="0"/>
    <n v="598.49"/>
    <n v="2541.9299999999998"/>
    <x v="1"/>
    <n v="330.13"/>
    <x v="2"/>
    <x v="1"/>
    <n v="67.900000000000006"/>
    <s v="Medium"/>
    <n v="0"/>
    <n v="0"/>
  </r>
  <r>
    <x v="14"/>
    <x v="12"/>
    <n v="1570"/>
    <n v="2004.74"/>
    <n v="3413.53"/>
    <n v="-1408.79"/>
    <n v="1.7"/>
    <n v="0.05"/>
    <n v="2787.08"/>
    <x v="1"/>
    <n v="738"/>
    <n v="0.38"/>
    <n v="729.66"/>
    <n v="0.36"/>
    <n v="287.77"/>
    <n v="0.14000000000000001"/>
    <n v="2"/>
    <n v="622.79"/>
    <n v="58"/>
    <n v="0"/>
    <n v="350.94"/>
    <n v="2271.5500000000002"/>
    <x v="1"/>
    <n v="1133.48"/>
    <x v="4"/>
    <x v="1"/>
    <n v="47.3"/>
    <s v="High"/>
    <n v="0"/>
    <n v="0"/>
  </r>
  <r>
    <x v="14"/>
    <x v="12"/>
    <n v="1327"/>
    <n v="4822.96"/>
    <n v="3197.11"/>
    <n v="1625.85"/>
    <n v="0.66"/>
    <n v="0.08"/>
    <n v="2918.12"/>
    <x v="1"/>
    <n v="716"/>
    <n v="0.43"/>
    <n v="347.64"/>
    <n v="7.0000000000000007E-2"/>
    <n v="441.85"/>
    <n v="0.09"/>
    <n v="1"/>
    <n v="1258.67"/>
    <n v="75"/>
    <n v="0"/>
    <n v="753.5"/>
    <n v="1761.88"/>
    <x v="1"/>
    <n v="1638.63"/>
    <x v="4"/>
    <x v="0"/>
    <n v="34.5"/>
    <s v="Low"/>
    <n v="1625.85"/>
    <n v="0"/>
  </r>
  <r>
    <x v="14"/>
    <x v="12"/>
    <n v="1560"/>
    <n v="3160.51"/>
    <n v="4038.02"/>
    <n v="-877.51"/>
    <n v="1.28"/>
    <n v="0.35"/>
    <n v="2401.7199999999998"/>
    <x v="1"/>
    <n v="736"/>
    <n v="0.54"/>
    <n v="519.39"/>
    <n v="0.16"/>
    <n v="134.97"/>
    <n v="0.04"/>
    <n v="4"/>
    <n v="1029.3"/>
    <n v="24"/>
    <n v="0"/>
    <n v="562.39"/>
    <n v="2829.31"/>
    <x v="0"/>
    <n v="1417"/>
    <x v="4"/>
    <x v="1"/>
    <n v="80.7"/>
    <s v="Low"/>
    <n v="0"/>
    <n v="0"/>
  </r>
  <r>
    <x v="14"/>
    <x v="12"/>
    <n v="1573"/>
    <n v="4714.82"/>
    <n v="2041.84"/>
    <n v="2672.98"/>
    <n v="0.43"/>
    <n v="0.05"/>
    <n v="2016.52"/>
    <x v="1"/>
    <n v="687"/>
    <n v="0.33"/>
    <n v="355.45"/>
    <n v="0.08"/>
    <n v="380.48"/>
    <n v="0.08"/>
    <n v="3"/>
    <n v="849.65"/>
    <n v="57"/>
    <n v="0"/>
    <n v="723.16"/>
    <n v="2045.86"/>
    <x v="2"/>
    <n v="827.96"/>
    <x v="4"/>
    <x v="0"/>
    <n v="82.7"/>
    <s v="Low"/>
    <n v="2672.98"/>
    <n v="1"/>
  </r>
  <r>
    <x v="14"/>
    <x v="12"/>
    <n v="1750"/>
    <n v="4099.25"/>
    <n v="3721.13"/>
    <n v="378.12"/>
    <n v="0.91"/>
    <n v="0.39"/>
    <n v="2534.13"/>
    <x v="1"/>
    <n v="668"/>
    <n v="0.37"/>
    <n v="340.21"/>
    <n v="0.08"/>
    <n v="426"/>
    <n v="0.1"/>
    <n v="3"/>
    <n v="1445.92"/>
    <n v="25"/>
    <n v="0"/>
    <n v="148.88"/>
    <n v="3195.98"/>
    <x v="1"/>
    <n v="1329.56"/>
    <x v="9"/>
    <x v="0"/>
    <n v="97.4"/>
    <s v="High"/>
    <n v="378.12"/>
    <n v="0"/>
  </r>
  <r>
    <x v="14"/>
    <x v="12"/>
    <n v="1055"/>
    <n v="5258.99"/>
    <n v="2632.55"/>
    <n v="2626.44"/>
    <n v="0.5"/>
    <n v="0.28999999999999998"/>
    <n v="2364.88"/>
    <x v="1"/>
    <n v="640"/>
    <n v="0.41"/>
    <n v="321.08999999999997"/>
    <n v="0.06"/>
    <n v="377.43"/>
    <n v="7.0000000000000007E-2"/>
    <n v="5"/>
    <n v="1926.59"/>
    <n v="69"/>
    <n v="0"/>
    <n v="770.47"/>
    <n v="2415.06"/>
    <x v="0"/>
    <n v="1497.26"/>
    <x v="2"/>
    <x v="0"/>
    <n v="86.3"/>
    <s v="Low"/>
    <n v="2626.44"/>
    <n v="1"/>
  </r>
  <r>
    <x v="14"/>
    <x v="12"/>
    <n v="1775"/>
    <n v="4052.79"/>
    <n v="2859.19"/>
    <n v="1193.5999999999999"/>
    <n v="0.71"/>
    <n v="0.08"/>
    <n v="2786.93"/>
    <x v="1"/>
    <n v="613"/>
    <n v="0.15"/>
    <n v="108.61"/>
    <n v="0.03"/>
    <n v="413.18"/>
    <n v="0.1"/>
    <n v="5"/>
    <n v="528.15"/>
    <n v="24"/>
    <n v="0"/>
    <n v="523.94000000000005"/>
    <n v="1458.48"/>
    <x v="1"/>
    <n v="1214.5999999999999"/>
    <x v="6"/>
    <x v="1"/>
    <n v="57.5"/>
    <s v="Low"/>
    <n v="1193.5999999999999"/>
    <n v="0"/>
  </r>
  <r>
    <x v="14"/>
    <x v="12"/>
    <n v="1097"/>
    <n v="3814.7"/>
    <n v="2436.64"/>
    <n v="1378.06"/>
    <n v="0.64"/>
    <n v="0.2"/>
    <n v="2889.7"/>
    <x v="1"/>
    <n v="605"/>
    <n v="0.36"/>
    <n v="362.91"/>
    <n v="0.1"/>
    <n v="673.23"/>
    <n v="0.18"/>
    <n v="2"/>
    <n v="703.41"/>
    <n v="68"/>
    <n v="0"/>
    <n v="321.67"/>
    <n v="2394.87"/>
    <x v="1"/>
    <n v="648.47"/>
    <x v="7"/>
    <x v="2"/>
    <n v="12.8"/>
    <s v="High"/>
    <n v="1378.06"/>
    <n v="0"/>
  </r>
  <r>
    <x v="14"/>
    <x v="12"/>
    <n v="1000"/>
    <n v="3381.06"/>
    <n v="2088.04"/>
    <n v="1293.02"/>
    <n v="0.62"/>
    <n v="0.35"/>
    <n v="2127.41"/>
    <x v="0"/>
    <n v="616"/>
    <n v="0.52"/>
    <n v="914.31"/>
    <n v="0.27"/>
    <n v="271.64"/>
    <n v="0.08"/>
    <n v="9"/>
    <n v="1737.8"/>
    <n v="67"/>
    <n v="0"/>
    <n v="430.48"/>
    <n v="2091.79"/>
    <x v="1"/>
    <n v="1140.2"/>
    <x v="8"/>
    <x v="0"/>
    <n v="66.3"/>
    <s v="Low"/>
    <n v="1293.02"/>
    <n v="0"/>
  </r>
  <r>
    <x v="14"/>
    <x v="12"/>
    <n v="1923"/>
    <n v="4305.4799999999996"/>
    <n v="3779.06"/>
    <n v="526.41999999999996"/>
    <n v="0.88"/>
    <n v="0.21"/>
    <n v="3028.18"/>
    <x v="1"/>
    <n v="695"/>
    <n v="0.2"/>
    <n v="607.62"/>
    <n v="0.14000000000000001"/>
    <n v="421.56"/>
    <n v="0.1"/>
    <n v="8"/>
    <n v="1516.44"/>
    <n v="66"/>
    <n v="0"/>
    <n v="166.06"/>
    <n v="3107.76"/>
    <x v="0"/>
    <n v="864.77"/>
    <x v="4"/>
    <x v="0"/>
    <n v="74.3"/>
    <s v="Medium"/>
    <n v="526.41999999999996"/>
    <n v="0"/>
  </r>
  <r>
    <x v="14"/>
    <x v="12"/>
    <n v="1957"/>
    <n v="4857.6899999999996"/>
    <n v="3463.34"/>
    <n v="1394.35"/>
    <n v="0.71"/>
    <n v="0.38"/>
    <n v="2435.11"/>
    <x v="0"/>
    <n v="642"/>
    <n v="0.41"/>
    <n v="697.55"/>
    <n v="0.14000000000000001"/>
    <n v="549.83000000000004"/>
    <n v="0.11"/>
    <n v="7"/>
    <n v="851.65"/>
    <n v="95"/>
    <n v="0"/>
    <n v="314.02999999999997"/>
    <n v="1761.8"/>
    <x v="0"/>
    <n v="929.51"/>
    <x v="2"/>
    <x v="0"/>
    <n v="25.2"/>
    <s v="Low"/>
    <n v="1394.35"/>
    <n v="0"/>
  </r>
  <r>
    <x v="14"/>
    <x v="12"/>
    <n v="1936"/>
    <n v="3852.59"/>
    <n v="2000.92"/>
    <n v="1851.67"/>
    <n v="0.52"/>
    <n v="0.31"/>
    <n v="3328.53"/>
    <x v="0"/>
    <n v="629"/>
    <n v="0.16"/>
    <n v="105.88"/>
    <n v="0.03"/>
    <n v="542.77"/>
    <n v="0.14000000000000001"/>
    <n v="8"/>
    <n v="2135.6799999999998"/>
    <n v="94"/>
    <n v="0"/>
    <n v="677.23"/>
    <n v="2446.83"/>
    <x v="1"/>
    <n v="1066.33"/>
    <x v="6"/>
    <x v="0"/>
    <n v="51.6"/>
    <s v="Medium"/>
    <n v="1851.67"/>
    <n v="0"/>
  </r>
  <r>
    <x v="14"/>
    <x v="12"/>
    <n v="1680"/>
    <n v="3653.03"/>
    <n v="2542.02"/>
    <n v="1111.01"/>
    <n v="0.7"/>
    <n v="0.33"/>
    <n v="2758.25"/>
    <x v="1"/>
    <n v="700"/>
    <n v="0.22"/>
    <n v="680.51"/>
    <n v="0.19"/>
    <n v="167.83"/>
    <n v="0.05"/>
    <n v="1"/>
    <n v="889.93"/>
    <n v="33"/>
    <n v="0"/>
    <n v="334.1"/>
    <n v="2855.32"/>
    <x v="1"/>
    <n v="1513.6"/>
    <x v="0"/>
    <x v="2"/>
    <n v="90.8"/>
    <s v="Low"/>
    <n v="1111.01"/>
    <n v="0"/>
  </r>
  <r>
    <x v="14"/>
    <x v="12"/>
    <n v="1959"/>
    <n v="4177.1899999999996"/>
    <n v="3911.36"/>
    <n v="265.83"/>
    <n v="0.94"/>
    <n v="0.15"/>
    <n v="3126.04"/>
    <x v="1"/>
    <n v="634"/>
    <n v="0.2"/>
    <n v="127.77"/>
    <n v="0.03"/>
    <n v="483.9"/>
    <n v="0.12"/>
    <n v="5"/>
    <n v="867.48"/>
    <n v="42"/>
    <n v="0"/>
    <n v="748.91"/>
    <n v="2386.6999999999998"/>
    <x v="0"/>
    <n v="954.59"/>
    <x v="2"/>
    <x v="0"/>
    <n v="0.1"/>
    <s v="High"/>
    <n v="265.83"/>
    <n v="0"/>
  </r>
  <r>
    <x v="14"/>
    <x v="12"/>
    <n v="1814"/>
    <n v="3983.3"/>
    <n v="2861.59"/>
    <n v="1121.71"/>
    <n v="0.72"/>
    <n v="0.19"/>
    <n v="2723.19"/>
    <x v="1"/>
    <n v="670"/>
    <n v="0.49"/>
    <n v="99.55"/>
    <n v="0.02"/>
    <n v="914.84"/>
    <n v="0.23"/>
    <n v="2"/>
    <n v="802.59"/>
    <n v="55"/>
    <n v="0"/>
    <n v="638.14"/>
    <n v="1000"/>
    <x v="1"/>
    <n v="1560.35"/>
    <x v="7"/>
    <x v="0"/>
    <n v="66.599999999999994"/>
    <s v="Low"/>
    <n v="1121.71"/>
    <n v="0"/>
  </r>
  <r>
    <x v="14"/>
    <x v="12"/>
    <n v="1471"/>
    <n v="2459.4499999999998"/>
    <n v="2956.95"/>
    <n v="-497.5"/>
    <n v="1.2"/>
    <n v="0.18"/>
    <n v="2297.71"/>
    <x v="2"/>
    <n v="583"/>
    <n v="0.19"/>
    <n v="520.45000000000005"/>
    <n v="0.21"/>
    <n v="500.02"/>
    <n v="0.2"/>
    <n v="1"/>
    <n v="1336.18"/>
    <n v="41"/>
    <n v="0"/>
    <n v="360.11"/>
    <n v="2893.8"/>
    <x v="0"/>
    <n v="1228.0899999999999"/>
    <x v="7"/>
    <x v="0"/>
    <n v="35.200000000000003"/>
    <s v="Low"/>
    <n v="0"/>
    <n v="0"/>
  </r>
  <r>
    <x v="14"/>
    <x v="12"/>
    <n v="1896"/>
    <n v="4503.57"/>
    <n v="3132.76"/>
    <n v="1370.81"/>
    <n v="0.7"/>
    <n v="0.06"/>
    <n v="3073.21"/>
    <x v="1"/>
    <n v="645"/>
    <n v="0.34"/>
    <n v="539.49"/>
    <n v="0.12"/>
    <n v="379.39"/>
    <n v="0.08"/>
    <n v="7"/>
    <n v="435.69"/>
    <n v="46"/>
    <n v="0"/>
    <n v="709.61"/>
    <n v="1000"/>
    <x v="1"/>
    <n v="1388.84"/>
    <x v="7"/>
    <x v="0"/>
    <n v="76.5"/>
    <s v="Low"/>
    <n v="1370.81"/>
    <n v="0"/>
  </r>
  <r>
    <x v="14"/>
    <x v="12"/>
    <n v="1980"/>
    <n v="5411.25"/>
    <n v="2735.63"/>
    <n v="2675.62"/>
    <n v="0.51"/>
    <n v="0.22"/>
    <n v="2999.41"/>
    <x v="2"/>
    <n v="728"/>
    <n v="0.3"/>
    <n v="422.93"/>
    <n v="0.08"/>
    <n v="224.21"/>
    <n v="0.04"/>
    <n v="7"/>
    <n v="798.53"/>
    <n v="32"/>
    <n v="0"/>
    <n v="444.74"/>
    <n v="2285.16"/>
    <x v="1"/>
    <n v="2025"/>
    <x v="4"/>
    <x v="0"/>
    <n v="83.2"/>
    <s v="Low"/>
    <n v="2675.62"/>
    <n v="0"/>
  </r>
  <r>
    <x v="14"/>
    <x v="12"/>
    <n v="1393"/>
    <n v="3419.02"/>
    <n v="4038.07"/>
    <n v="-619.04999999999995"/>
    <n v="1.18"/>
    <n v="0.25"/>
    <n v="3280.58"/>
    <x v="1"/>
    <n v="800"/>
    <n v="0.13"/>
    <n v="193.55"/>
    <n v="0.06"/>
    <n v="0"/>
    <n v="0"/>
    <n v="2"/>
    <n v="697.17"/>
    <n v="73"/>
    <n v="0"/>
    <n v="606.16"/>
    <n v="2286.08"/>
    <x v="0"/>
    <n v="1614.9"/>
    <x v="1"/>
    <x v="1"/>
    <n v="93.5"/>
    <s v="Low"/>
    <n v="0"/>
    <n v="0"/>
  </r>
  <r>
    <x v="14"/>
    <x v="12"/>
    <n v="1908"/>
    <n v="3664.79"/>
    <n v="2656.52"/>
    <n v="1008.27"/>
    <n v="0.72"/>
    <n v="0.22"/>
    <n v="2879.68"/>
    <x v="1"/>
    <n v="708"/>
    <n v="0.39"/>
    <n v="375.54"/>
    <n v="0.1"/>
    <n v="606.79"/>
    <n v="0.17"/>
    <n v="5"/>
    <n v="969.33"/>
    <n v="22"/>
    <n v="0"/>
    <n v="587.22"/>
    <n v="2225.48"/>
    <x v="0"/>
    <n v="1753.52"/>
    <x v="9"/>
    <x v="0"/>
    <n v="96"/>
    <s v="Medium"/>
    <n v="1008.27"/>
    <n v="0"/>
  </r>
  <r>
    <x v="14"/>
    <x v="12"/>
    <n v="1339"/>
    <n v="4756.9799999999996"/>
    <n v="3296.33"/>
    <n v="1460.65"/>
    <n v="0.69"/>
    <n v="0.21"/>
    <n v="3536.16"/>
    <x v="1"/>
    <n v="667"/>
    <n v="0.56999999999999995"/>
    <n v="822.74"/>
    <n v="0.17"/>
    <n v="290.63"/>
    <n v="0.06"/>
    <n v="5"/>
    <n v="753.3"/>
    <n v="91"/>
    <n v="0"/>
    <n v="602.1"/>
    <n v="2163.0300000000002"/>
    <x v="1"/>
    <n v="1326.26"/>
    <x v="5"/>
    <x v="0"/>
    <n v="34.5"/>
    <s v="Medium"/>
    <n v="1460.65"/>
    <n v="0"/>
  </r>
  <r>
    <x v="14"/>
    <x v="12"/>
    <n v="1532"/>
    <n v="3584.44"/>
    <n v="2089.59"/>
    <n v="1494.85"/>
    <n v="0.57999999999999996"/>
    <n v="0.1"/>
    <n v="3000.28"/>
    <x v="1"/>
    <n v="683"/>
    <n v="0.38"/>
    <n v="575.35"/>
    <n v="0.16"/>
    <n v="114.79"/>
    <n v="0.03"/>
    <n v="1"/>
    <n v="847.45"/>
    <n v="36"/>
    <n v="0"/>
    <n v="609.59"/>
    <n v="1257.6400000000001"/>
    <x v="1"/>
    <n v="1235.56"/>
    <x v="1"/>
    <x v="0"/>
    <n v="7.1"/>
    <s v="High"/>
    <n v="1494.85"/>
    <n v="0"/>
  </r>
  <r>
    <x v="14"/>
    <x v="12"/>
    <n v="1525"/>
    <n v="2076.37"/>
    <n v="2096.5500000000002"/>
    <n v="-20.18"/>
    <n v="1.01"/>
    <n v="0.14000000000000001"/>
    <n v="1760.02"/>
    <x v="1"/>
    <n v="669"/>
    <n v="0.4"/>
    <n v="607.11"/>
    <n v="0.28999999999999998"/>
    <n v="735.29"/>
    <n v="0.35"/>
    <n v="2"/>
    <n v="1770.02"/>
    <n v="37"/>
    <n v="0"/>
    <n v="593.65"/>
    <n v="2008.17"/>
    <x v="1"/>
    <n v="1516.4"/>
    <x v="4"/>
    <x v="2"/>
    <n v="32.9"/>
    <s v="Medium"/>
    <n v="0"/>
    <n v="0"/>
  </r>
  <r>
    <x v="14"/>
    <x v="12"/>
    <n v="1474"/>
    <n v="4789.4399999999996"/>
    <n v="3046.26"/>
    <n v="1743.18"/>
    <n v="0.64"/>
    <n v="0.12"/>
    <n v="3592.84"/>
    <x v="0"/>
    <n v="755"/>
    <n v="0.39"/>
    <n v="856.62"/>
    <n v="0.18"/>
    <n v="116.54"/>
    <n v="0.02"/>
    <n v="2"/>
    <n v="1156.8800000000001"/>
    <n v="70"/>
    <n v="0"/>
    <n v="666.98"/>
    <n v="1352.01"/>
    <x v="2"/>
    <n v="1609.14"/>
    <x v="3"/>
    <x v="0"/>
    <n v="46.8"/>
    <s v="Low"/>
    <n v="1743.18"/>
    <n v="0"/>
  </r>
  <r>
    <x v="14"/>
    <x v="12"/>
    <n v="1370"/>
    <n v="5403.29"/>
    <n v="2570.2800000000002"/>
    <n v="2833.01"/>
    <n v="0.48"/>
    <n v="0.22"/>
    <n v="3311.33"/>
    <x v="0"/>
    <n v="774"/>
    <n v="0.22"/>
    <n v="501.77"/>
    <n v="0.09"/>
    <n v="887.27"/>
    <n v="0.16"/>
    <n v="6"/>
    <n v="1409.17"/>
    <n v="83"/>
    <n v="0"/>
    <n v="705.39"/>
    <n v="2026.05"/>
    <x v="1"/>
    <n v="1039.54"/>
    <x v="4"/>
    <x v="0"/>
    <n v="79.900000000000006"/>
    <s v="Low"/>
    <n v="2833.01"/>
    <n v="0"/>
  </r>
  <r>
    <x v="14"/>
    <x v="12"/>
    <n v="1479"/>
    <n v="4511.12"/>
    <n v="4149.1899999999996"/>
    <n v="361.93"/>
    <n v="0.92"/>
    <n v="0.39"/>
    <n v="2661.05"/>
    <x v="1"/>
    <n v="684"/>
    <n v="0.14000000000000001"/>
    <n v="581.61"/>
    <n v="0.13"/>
    <n v="321.99"/>
    <n v="7.0000000000000007E-2"/>
    <n v="7"/>
    <n v="789.42"/>
    <n v="53"/>
    <n v="0"/>
    <n v="586.1"/>
    <n v="2044.63"/>
    <x v="1"/>
    <n v="1335.47"/>
    <x v="5"/>
    <x v="0"/>
    <n v="95.4"/>
    <s v="High"/>
    <n v="361.93"/>
    <n v="0"/>
  </r>
  <r>
    <x v="14"/>
    <x v="12"/>
    <n v="1790"/>
    <n v="3236.55"/>
    <n v="1999.26"/>
    <n v="1237.29"/>
    <n v="0.62"/>
    <n v="0.06"/>
    <n v="2890.69"/>
    <x v="1"/>
    <n v="738"/>
    <n v="0.51"/>
    <n v="408.68"/>
    <n v="0.13"/>
    <n v="269.95999999999998"/>
    <n v="0.08"/>
    <n v="3"/>
    <n v="709.63"/>
    <n v="48"/>
    <n v="0"/>
    <n v="906.36"/>
    <n v="1825.72"/>
    <x v="0"/>
    <n v="1257.5999999999999"/>
    <x v="5"/>
    <x v="0"/>
    <n v="90"/>
    <s v="Low"/>
    <n v="1237.29"/>
    <n v="0"/>
  </r>
  <r>
    <x v="14"/>
    <x v="12"/>
    <n v="1554"/>
    <n v="4263.07"/>
    <n v="2589.71"/>
    <n v="1673.36"/>
    <n v="0.61"/>
    <n v="0.11"/>
    <n v="2880.11"/>
    <x v="1"/>
    <n v="699"/>
    <n v="0.34"/>
    <n v="528.94000000000005"/>
    <n v="0.12"/>
    <n v="463.76"/>
    <n v="0.11"/>
    <n v="8"/>
    <n v="530.99"/>
    <n v="89"/>
    <n v="0"/>
    <n v="223.14"/>
    <n v="1821.92"/>
    <x v="2"/>
    <n v="1130.8599999999999"/>
    <x v="3"/>
    <x v="0"/>
    <n v="74.099999999999994"/>
    <s v="Low"/>
    <n v="1673.36"/>
    <n v="0"/>
  </r>
  <r>
    <x v="14"/>
    <x v="12"/>
    <n v="1896"/>
    <n v="6002.52"/>
    <n v="985.01"/>
    <n v="5017.51"/>
    <n v="0.16"/>
    <n v="0.13"/>
    <n v="3742.75"/>
    <x v="1"/>
    <n v="736"/>
    <n v="0.4"/>
    <n v="486.01"/>
    <n v="0.08"/>
    <n v="741.82"/>
    <n v="0.12"/>
    <n v="2"/>
    <n v="700.45"/>
    <n v="34"/>
    <n v="0"/>
    <n v="411.36"/>
    <n v="1860.28"/>
    <x v="1"/>
    <n v="1061.6300000000001"/>
    <x v="2"/>
    <x v="0"/>
    <n v="39.6"/>
    <s v="Low"/>
    <n v="5017.51"/>
    <n v="1"/>
  </r>
  <r>
    <x v="14"/>
    <x v="12"/>
    <n v="1592"/>
    <n v="2399.9"/>
    <n v="1800.87"/>
    <n v="599.03"/>
    <n v="0.75"/>
    <n v="0.06"/>
    <n v="2876.9"/>
    <x v="0"/>
    <n v="585"/>
    <n v="0.12"/>
    <n v="545.84"/>
    <n v="0.23"/>
    <n v="628.23"/>
    <n v="0.26"/>
    <n v="3"/>
    <n v="1575.54"/>
    <n v="75"/>
    <n v="0"/>
    <n v="745.29"/>
    <n v="2133.9499999999998"/>
    <x v="0"/>
    <n v="1653.27"/>
    <x v="4"/>
    <x v="0"/>
    <n v="81.400000000000006"/>
    <s v="Low"/>
    <n v="599.03"/>
    <n v="0"/>
  </r>
  <r>
    <x v="14"/>
    <x v="12"/>
    <n v="1466"/>
    <n v="5357.48"/>
    <n v="3249.94"/>
    <n v="2107.54"/>
    <n v="0.61"/>
    <n v="0.22"/>
    <n v="2967.63"/>
    <x v="0"/>
    <n v="670"/>
    <n v="0.52"/>
    <n v="826.78"/>
    <n v="0.15"/>
    <n v="0"/>
    <n v="0"/>
    <n v="6"/>
    <n v="809.59"/>
    <n v="36"/>
    <n v="0"/>
    <n v="280.07"/>
    <n v="1782.45"/>
    <x v="0"/>
    <n v="1890.56"/>
    <x v="2"/>
    <x v="2"/>
    <n v="37.9"/>
    <s v="Low"/>
    <n v="2107.54"/>
    <n v="0"/>
  </r>
  <r>
    <x v="14"/>
    <x v="12"/>
    <n v="1104"/>
    <n v="3372.16"/>
    <n v="2710.54"/>
    <n v="661.62"/>
    <n v="0.8"/>
    <n v="7.0000000000000007E-2"/>
    <n v="3037.42"/>
    <x v="1"/>
    <n v="789"/>
    <n v="0.56000000000000005"/>
    <n v="488.08"/>
    <n v="0.14000000000000001"/>
    <n v="997.72"/>
    <n v="0.3"/>
    <n v="4"/>
    <n v="741.1"/>
    <n v="73"/>
    <n v="0"/>
    <n v="497.05"/>
    <n v="1127.81"/>
    <x v="0"/>
    <n v="1275.8599999999999"/>
    <x v="3"/>
    <x v="2"/>
    <n v="71.599999999999994"/>
    <s v="High"/>
    <n v="661.62"/>
    <n v="0"/>
  </r>
  <r>
    <x v="14"/>
    <x v="12"/>
    <n v="1621"/>
    <n v="4200.3900000000003"/>
    <n v="2733.36"/>
    <n v="1467.03"/>
    <n v="0.65"/>
    <n v="0.14000000000000001"/>
    <n v="3651.54"/>
    <x v="1"/>
    <n v="658"/>
    <n v="0.36"/>
    <n v="737.39"/>
    <n v="0.18"/>
    <n v="813.94"/>
    <n v="0.19"/>
    <n v="4"/>
    <n v="0"/>
    <n v="39"/>
    <n v="0"/>
    <n v="666.01"/>
    <n v="1000"/>
    <x v="1"/>
    <n v="1336.37"/>
    <x v="9"/>
    <x v="0"/>
    <n v="44.8"/>
    <s v="High"/>
    <n v="1467.03"/>
    <n v="0"/>
  </r>
  <r>
    <x v="14"/>
    <x v="12"/>
    <n v="1408"/>
    <n v="2571.25"/>
    <n v="1455.54"/>
    <n v="1115.71"/>
    <n v="0.56999999999999995"/>
    <n v="0.25"/>
    <n v="2439.37"/>
    <x v="1"/>
    <n v="637"/>
    <n v="0.39"/>
    <n v="486.3"/>
    <n v="0.19"/>
    <n v="342.51"/>
    <n v="0.13"/>
    <n v="3"/>
    <n v="507.87"/>
    <n v="60"/>
    <n v="0"/>
    <n v="452.25"/>
    <n v="2924.52"/>
    <x v="1"/>
    <n v="1550.85"/>
    <x v="3"/>
    <x v="0"/>
    <n v="28.8"/>
    <s v="Low"/>
    <n v="1115.71"/>
    <n v="0"/>
  </r>
  <r>
    <x v="14"/>
    <x v="12"/>
    <n v="1220"/>
    <n v="4237.7"/>
    <n v="2526.7800000000002"/>
    <n v="1710.92"/>
    <n v="0.6"/>
    <n v="7.0000000000000007E-2"/>
    <n v="3161"/>
    <x v="2"/>
    <n v="704"/>
    <n v="0.43"/>
    <n v="144.97"/>
    <n v="0.03"/>
    <n v="328.86"/>
    <n v="0.08"/>
    <n v="1"/>
    <n v="1301.1300000000001"/>
    <n v="37"/>
    <n v="0"/>
    <n v="828.46"/>
    <n v="1271.5"/>
    <x v="1"/>
    <n v="1561.97"/>
    <x v="4"/>
    <x v="0"/>
    <n v="35.6"/>
    <s v="Low"/>
    <n v="1710.92"/>
    <n v="0"/>
  </r>
  <r>
    <x v="14"/>
    <x v="12"/>
    <n v="1755"/>
    <n v="2333.9699999999998"/>
    <n v="3590.9"/>
    <n v="-1256.93"/>
    <n v="1.54"/>
    <n v="0.28999999999999998"/>
    <n v="2591.5300000000002"/>
    <x v="1"/>
    <n v="649"/>
    <n v="0.56999999999999995"/>
    <n v="895.03"/>
    <n v="0.38"/>
    <n v="493.96"/>
    <n v="0.21"/>
    <n v="3"/>
    <n v="1245.3800000000001"/>
    <n v="87"/>
    <n v="0"/>
    <n v="292.20999999999998"/>
    <n v="2806.17"/>
    <x v="0"/>
    <n v="763.47"/>
    <x v="5"/>
    <x v="0"/>
    <n v="74.400000000000006"/>
    <s v="Medium"/>
    <n v="0"/>
    <n v="0"/>
  </r>
  <r>
    <x v="14"/>
    <x v="12"/>
    <n v="1274"/>
    <n v="3844.43"/>
    <n v="2510.8000000000002"/>
    <n v="1333.63"/>
    <n v="0.65"/>
    <n v="0.17"/>
    <n v="1990.63"/>
    <x v="1"/>
    <n v="697"/>
    <n v="0.3"/>
    <n v="363.42"/>
    <n v="0.09"/>
    <n v="678.57"/>
    <n v="0.18"/>
    <n v="8"/>
    <n v="747.35"/>
    <n v="55"/>
    <n v="0"/>
    <n v="249"/>
    <n v="3586.9"/>
    <x v="1"/>
    <n v="1343.76"/>
    <x v="9"/>
    <x v="0"/>
    <n v="37.4"/>
    <s v="Medium"/>
    <n v="1333.63"/>
    <n v="0"/>
  </r>
  <r>
    <x v="14"/>
    <x v="12"/>
    <n v="1901"/>
    <n v="2733.95"/>
    <n v="2653.62"/>
    <n v="80.33"/>
    <n v="0.97"/>
    <n v="0.18"/>
    <n v="3020.08"/>
    <x v="0"/>
    <n v="677"/>
    <n v="0.57999999999999996"/>
    <n v="365.7"/>
    <n v="0.13"/>
    <n v="725.23"/>
    <n v="0.27"/>
    <n v="6"/>
    <n v="657.65"/>
    <n v="89"/>
    <n v="0"/>
    <n v="495.89"/>
    <n v="1856.22"/>
    <x v="0"/>
    <n v="906.49"/>
    <x v="7"/>
    <x v="0"/>
    <n v="86.1"/>
    <s v="Low"/>
    <n v="80.33"/>
    <n v="0"/>
  </r>
  <r>
    <x v="15"/>
    <x v="13"/>
    <n v="1750"/>
    <n v="2098.58"/>
    <n v="4614.09"/>
    <n v="-2515.5100000000002"/>
    <n v="2.2000000000000002"/>
    <n v="0.16"/>
    <n v="2896.61"/>
    <x v="1"/>
    <n v="620"/>
    <n v="0.28999999999999998"/>
    <n v="655.47"/>
    <n v="0.31"/>
    <n v="284.89"/>
    <n v="0.14000000000000001"/>
    <n v="1"/>
    <n v="1381.6"/>
    <n v="58"/>
    <n v="0"/>
    <n v="494.7"/>
    <n v="1332.65"/>
    <x v="1"/>
    <n v="868.9"/>
    <x v="2"/>
    <x v="0"/>
    <n v="94.2"/>
    <s v="Low"/>
    <n v="0"/>
    <n v="0"/>
  </r>
  <r>
    <x v="15"/>
    <x v="13"/>
    <n v="1866"/>
    <n v="3814.84"/>
    <n v="2020.61"/>
    <n v="1794.23"/>
    <n v="0.53"/>
    <n v="0.14000000000000001"/>
    <n v="2757.38"/>
    <x v="2"/>
    <n v="670"/>
    <n v="0.18"/>
    <n v="367.81"/>
    <n v="0.1"/>
    <n v="666.47"/>
    <n v="0.17"/>
    <n v="8"/>
    <n v="1872.93"/>
    <n v="37"/>
    <n v="0"/>
    <n v="537.92999999999995"/>
    <n v="2462.69"/>
    <x v="0"/>
    <n v="465.23"/>
    <x v="6"/>
    <x v="0"/>
    <n v="96.9"/>
    <s v="Low"/>
    <n v="1794.23"/>
    <n v="0"/>
  </r>
  <r>
    <x v="15"/>
    <x v="13"/>
    <n v="1788"/>
    <n v="4236.25"/>
    <n v="1861.05"/>
    <n v="2375.1999999999998"/>
    <n v="0.44"/>
    <n v="0.31"/>
    <n v="3863.63"/>
    <x v="2"/>
    <n v="661"/>
    <n v="0.3"/>
    <n v="375.76"/>
    <n v="0.09"/>
    <n v="115.31"/>
    <n v="0.03"/>
    <n v="1"/>
    <n v="588.54999999999995"/>
    <n v="80"/>
    <n v="0"/>
    <n v="388.07"/>
    <n v="2759.05"/>
    <x v="2"/>
    <n v="1059.8699999999999"/>
    <x v="8"/>
    <x v="0"/>
    <n v="95.1"/>
    <s v="Medium"/>
    <n v="2375.1999999999998"/>
    <n v="0"/>
  </r>
  <r>
    <x v="15"/>
    <x v="13"/>
    <n v="1749"/>
    <n v="4960.3599999999997"/>
    <n v="3565.49"/>
    <n v="1394.87"/>
    <n v="0.72"/>
    <n v="0.35"/>
    <n v="2418.21"/>
    <x v="2"/>
    <n v="654"/>
    <n v="0.56999999999999995"/>
    <n v="781.6"/>
    <n v="0.16"/>
    <n v="436.03"/>
    <n v="0.09"/>
    <n v="5"/>
    <n v="1351.29"/>
    <n v="25"/>
    <n v="0"/>
    <n v="289.44"/>
    <n v="3135.85"/>
    <x v="2"/>
    <n v="947.18"/>
    <x v="2"/>
    <x v="1"/>
    <n v="77"/>
    <s v="Low"/>
    <n v="1394.87"/>
    <n v="0"/>
  </r>
  <r>
    <x v="15"/>
    <x v="13"/>
    <n v="1982"/>
    <n v="3787.96"/>
    <n v="1551.83"/>
    <n v="2236.13"/>
    <n v="0.41"/>
    <n v="0.19"/>
    <n v="3098.12"/>
    <x v="1"/>
    <n v="627"/>
    <n v="0.41"/>
    <n v="712.19"/>
    <n v="0.19"/>
    <n v="483.07"/>
    <n v="0.13"/>
    <n v="2"/>
    <n v="1110.8699999999999"/>
    <n v="52"/>
    <n v="0"/>
    <n v="443.07"/>
    <n v="1233.79"/>
    <x v="1"/>
    <n v="622.67999999999995"/>
    <x v="6"/>
    <x v="0"/>
    <n v="87.8"/>
    <s v="Low"/>
    <n v="2236.13"/>
    <n v="0"/>
  </r>
  <r>
    <x v="15"/>
    <x v="13"/>
    <n v="1924"/>
    <n v="3314.49"/>
    <n v="2616.7399999999998"/>
    <n v="697.75"/>
    <n v="0.79"/>
    <n v="0.12"/>
    <n v="2834.98"/>
    <x v="0"/>
    <n v="668"/>
    <n v="0.12"/>
    <n v="906.75"/>
    <n v="0.27"/>
    <n v="1006.41"/>
    <n v="0.3"/>
    <n v="4"/>
    <n v="930.4"/>
    <n v="91"/>
    <n v="0"/>
    <n v="578.38"/>
    <n v="2802.85"/>
    <x v="1"/>
    <n v="664.43"/>
    <x v="2"/>
    <x v="2"/>
    <n v="90.7"/>
    <s v="Low"/>
    <n v="697.75"/>
    <n v="0"/>
  </r>
  <r>
    <x v="15"/>
    <x v="13"/>
    <n v="1325"/>
    <n v="3193.44"/>
    <n v="3294.84"/>
    <n v="-101.4"/>
    <n v="1.03"/>
    <n v="0.39"/>
    <n v="2294.64"/>
    <x v="1"/>
    <n v="773"/>
    <n v="0.3"/>
    <n v="635.95000000000005"/>
    <n v="0.2"/>
    <n v="311.31"/>
    <n v="0.1"/>
    <n v="7"/>
    <n v="1137.6099999999999"/>
    <n v="46"/>
    <n v="0"/>
    <n v="570.91999999999996"/>
    <n v="3173.48"/>
    <x v="1"/>
    <n v="1278.43"/>
    <x v="0"/>
    <x v="0"/>
    <n v="25"/>
    <s v="Medium"/>
    <n v="0"/>
    <n v="0"/>
  </r>
  <r>
    <x v="15"/>
    <x v="13"/>
    <n v="1274"/>
    <n v="5263.09"/>
    <n v="3299.5"/>
    <n v="1963.59"/>
    <n v="0.63"/>
    <n v="0.31"/>
    <n v="1664.8"/>
    <x v="1"/>
    <n v="684"/>
    <n v="0.23"/>
    <n v="599.35"/>
    <n v="0.11"/>
    <n v="260.85000000000002"/>
    <n v="0.05"/>
    <n v="9"/>
    <n v="747.05"/>
    <n v="85"/>
    <n v="0"/>
    <n v="569.14"/>
    <n v="2330.0500000000002"/>
    <x v="0"/>
    <n v="1181.6099999999999"/>
    <x v="7"/>
    <x v="1"/>
    <n v="29.9"/>
    <s v="Low"/>
    <n v="1963.59"/>
    <n v="1"/>
  </r>
  <r>
    <x v="15"/>
    <x v="13"/>
    <n v="1716"/>
    <n v="2721.22"/>
    <n v="3791.53"/>
    <n v="-1070.31"/>
    <n v="1.39"/>
    <n v="0.38"/>
    <n v="2851.26"/>
    <x v="0"/>
    <n v="653"/>
    <n v="0.23"/>
    <n v="224.08"/>
    <n v="0.08"/>
    <n v="657.92"/>
    <n v="0.24"/>
    <n v="3"/>
    <n v="178.67"/>
    <n v="42"/>
    <n v="0"/>
    <n v="153.44"/>
    <n v="1587.65"/>
    <x v="1"/>
    <n v="920.79"/>
    <x v="7"/>
    <x v="0"/>
    <n v="84.2"/>
    <s v="Low"/>
    <n v="0"/>
    <n v="0"/>
  </r>
  <r>
    <x v="15"/>
    <x v="13"/>
    <n v="1286"/>
    <n v="3580.69"/>
    <n v="2853.5"/>
    <n v="727.19"/>
    <n v="0.8"/>
    <n v="0.18"/>
    <n v="3095.01"/>
    <x v="2"/>
    <n v="671"/>
    <n v="0.28000000000000003"/>
    <n v="698.86"/>
    <n v="0.2"/>
    <n v="420.88"/>
    <n v="0.12"/>
    <n v="5"/>
    <n v="239.15"/>
    <n v="95"/>
    <n v="0"/>
    <n v="249.33"/>
    <n v="2080.16"/>
    <x v="1"/>
    <n v="831.02"/>
    <x v="5"/>
    <x v="2"/>
    <n v="19.100000000000001"/>
    <s v="Low"/>
    <n v="727.19"/>
    <n v="0"/>
  </r>
  <r>
    <x v="15"/>
    <x v="13"/>
    <n v="1672"/>
    <n v="3430.78"/>
    <n v="1850.13"/>
    <n v="1580.65"/>
    <n v="0.54"/>
    <n v="0.23"/>
    <n v="3549.62"/>
    <x v="0"/>
    <n v="695"/>
    <n v="0.26"/>
    <n v="630.27"/>
    <n v="0.18"/>
    <n v="105.93"/>
    <n v="0.03"/>
    <n v="8"/>
    <n v="2048.3000000000002"/>
    <n v="20"/>
    <n v="0"/>
    <n v="651.67999999999995"/>
    <n v="2442.16"/>
    <x v="1"/>
    <n v="891.75"/>
    <x v="7"/>
    <x v="2"/>
    <n v="20.8"/>
    <s v="High"/>
    <n v="1580.65"/>
    <n v="0"/>
  </r>
  <r>
    <x v="15"/>
    <x v="13"/>
    <n v="1900"/>
    <n v="3808.43"/>
    <n v="2154.1999999999998"/>
    <n v="1654.23"/>
    <n v="0.56999999999999995"/>
    <n v="0.1"/>
    <n v="2060.09"/>
    <x v="1"/>
    <n v="629"/>
    <n v="0.6"/>
    <n v="320.04000000000002"/>
    <n v="0.08"/>
    <n v="127.57"/>
    <n v="0.03"/>
    <n v="3"/>
    <n v="1041.29"/>
    <n v="25"/>
    <n v="0"/>
    <n v="556.85"/>
    <n v="2918.28"/>
    <x v="1"/>
    <n v="762.66"/>
    <x v="3"/>
    <x v="0"/>
    <n v="68.099999999999994"/>
    <s v="High"/>
    <n v="1654.23"/>
    <n v="0"/>
  </r>
  <r>
    <x v="15"/>
    <x v="13"/>
    <n v="1345"/>
    <n v="4233.57"/>
    <n v="2846.38"/>
    <n v="1387.19"/>
    <n v="0.67"/>
    <n v="0.38"/>
    <n v="3135.34"/>
    <x v="1"/>
    <n v="615"/>
    <n v="0.32"/>
    <n v="426.01"/>
    <n v="0.1"/>
    <n v="955.54"/>
    <n v="0.23"/>
    <n v="4"/>
    <n v="816.89"/>
    <n v="88"/>
    <n v="0"/>
    <n v="650.55999999999995"/>
    <n v="2943.68"/>
    <x v="1"/>
    <n v="1095.21"/>
    <x v="4"/>
    <x v="2"/>
    <n v="19.399999999999999"/>
    <s v="Medium"/>
    <n v="1387.19"/>
    <n v="0"/>
  </r>
  <r>
    <x v="15"/>
    <x v="13"/>
    <n v="1152"/>
    <n v="3925.88"/>
    <n v="2459.81"/>
    <n v="1466.07"/>
    <n v="0.63"/>
    <n v="0.36"/>
    <n v="3537.37"/>
    <x v="2"/>
    <n v="698"/>
    <n v="0.44"/>
    <n v="721.88"/>
    <n v="0.18"/>
    <n v="384.95"/>
    <n v="0.1"/>
    <n v="4"/>
    <n v="838.73"/>
    <n v="76"/>
    <n v="0"/>
    <n v="170.36"/>
    <n v="1062.95"/>
    <x v="1"/>
    <n v="1004.05"/>
    <x v="7"/>
    <x v="0"/>
    <n v="36.299999999999997"/>
    <s v="Low"/>
    <n v="1466.07"/>
    <n v="0"/>
  </r>
  <r>
    <x v="15"/>
    <x v="13"/>
    <n v="1037"/>
    <n v="4797.88"/>
    <n v="2182.62"/>
    <n v="2615.2600000000002"/>
    <n v="0.45"/>
    <n v="0.18"/>
    <n v="2667.16"/>
    <x v="2"/>
    <n v="645"/>
    <n v="0.21"/>
    <n v="236.42"/>
    <n v="0.05"/>
    <n v="149.96"/>
    <n v="0.03"/>
    <n v="4"/>
    <n v="1347.91"/>
    <n v="86"/>
    <n v="0"/>
    <n v="369.78"/>
    <n v="2961.04"/>
    <x v="1"/>
    <n v="1402.67"/>
    <x v="4"/>
    <x v="0"/>
    <n v="0.6"/>
    <s v="High"/>
    <n v="2615.2600000000002"/>
    <n v="0"/>
  </r>
  <r>
    <x v="15"/>
    <x v="13"/>
    <n v="1081"/>
    <n v="5689.03"/>
    <n v="2454.2199999999998"/>
    <n v="3234.81"/>
    <n v="0.43"/>
    <n v="0.1"/>
    <n v="2222.85"/>
    <x v="0"/>
    <n v="686"/>
    <n v="0.11"/>
    <n v="550.69000000000005"/>
    <n v="0.1"/>
    <n v="468.14"/>
    <n v="0.08"/>
    <n v="3"/>
    <n v="1868.19"/>
    <n v="50"/>
    <n v="0"/>
    <n v="704.52"/>
    <n v="1743.89"/>
    <x v="2"/>
    <n v="2092.8000000000002"/>
    <x v="3"/>
    <x v="0"/>
    <n v="46.4"/>
    <s v="Low"/>
    <n v="3234.81"/>
    <n v="1"/>
  </r>
  <r>
    <x v="15"/>
    <x v="13"/>
    <n v="1097"/>
    <n v="3213.26"/>
    <n v="1793.93"/>
    <n v="1419.33"/>
    <n v="0.56000000000000005"/>
    <n v="0.1"/>
    <n v="3418.06"/>
    <x v="2"/>
    <n v="674"/>
    <n v="0.38"/>
    <n v="911.02"/>
    <n v="0.28000000000000003"/>
    <n v="1020.87"/>
    <n v="0.32"/>
    <n v="6"/>
    <n v="86.37"/>
    <n v="51"/>
    <n v="0"/>
    <n v="680.08"/>
    <n v="2946.01"/>
    <x v="1"/>
    <n v="1436.6"/>
    <x v="0"/>
    <x v="0"/>
    <n v="12.9"/>
    <s v="Low"/>
    <n v="1419.33"/>
    <n v="0"/>
  </r>
  <r>
    <x v="15"/>
    <x v="13"/>
    <n v="1566"/>
    <n v="4067.93"/>
    <n v="3038.68"/>
    <n v="1029.25"/>
    <n v="0.75"/>
    <n v="0.31"/>
    <n v="2890.52"/>
    <x v="0"/>
    <n v="636"/>
    <n v="0.14000000000000001"/>
    <n v="683.68"/>
    <n v="0.17"/>
    <n v="284.02"/>
    <n v="7.0000000000000007E-2"/>
    <n v="3"/>
    <n v="1095.55"/>
    <n v="79"/>
    <n v="0"/>
    <n v="626.41"/>
    <n v="1869.17"/>
    <x v="0"/>
    <n v="1482.5"/>
    <x v="7"/>
    <x v="2"/>
    <n v="23.2"/>
    <s v="Low"/>
    <n v="1029.25"/>
    <n v="0"/>
  </r>
  <r>
    <x v="15"/>
    <x v="13"/>
    <n v="1667"/>
    <n v="4374.68"/>
    <n v="3464.74"/>
    <n v="909.94"/>
    <n v="0.79"/>
    <n v="0.31"/>
    <n v="3000.42"/>
    <x v="1"/>
    <n v="663"/>
    <n v="0.45"/>
    <n v="618.71"/>
    <n v="0.14000000000000001"/>
    <n v="323.24"/>
    <n v="7.0000000000000007E-2"/>
    <n v="1"/>
    <n v="924.93"/>
    <n v="99"/>
    <n v="0"/>
    <n v="527.65"/>
    <n v="3431.66"/>
    <x v="1"/>
    <n v="2009.45"/>
    <x v="9"/>
    <x v="1"/>
    <n v="17.8"/>
    <s v="Low"/>
    <n v="909.94"/>
    <n v="0"/>
  </r>
  <r>
    <x v="15"/>
    <x v="13"/>
    <n v="1274"/>
    <n v="1346.96"/>
    <n v="3085.74"/>
    <n v="-1738.78"/>
    <n v="2.29"/>
    <n v="0.3"/>
    <n v="2640.98"/>
    <x v="0"/>
    <n v="742"/>
    <n v="0.46"/>
    <n v="409.03"/>
    <n v="0.3"/>
    <n v="288.51"/>
    <n v="0.21"/>
    <n v="5"/>
    <n v="1429.59"/>
    <n v="80"/>
    <n v="0"/>
    <n v="280.82"/>
    <n v="2134.5100000000002"/>
    <x v="1"/>
    <n v="893.39"/>
    <x v="3"/>
    <x v="0"/>
    <n v="32.9"/>
    <s v="Low"/>
    <n v="0"/>
    <n v="0"/>
  </r>
  <r>
    <x v="15"/>
    <x v="13"/>
    <n v="1681"/>
    <n v="5312.2"/>
    <n v="2953.76"/>
    <n v="2358.44"/>
    <n v="0.56000000000000005"/>
    <n v="0.16"/>
    <n v="2769.19"/>
    <x v="1"/>
    <n v="675"/>
    <n v="0.32"/>
    <n v="233.87"/>
    <n v="0.04"/>
    <n v="523.38"/>
    <n v="0.1"/>
    <n v="8"/>
    <n v="1204.45"/>
    <n v="34"/>
    <n v="0"/>
    <n v="636.6"/>
    <n v="1265.21"/>
    <x v="1"/>
    <n v="1649.06"/>
    <x v="7"/>
    <x v="1"/>
    <n v="14.4"/>
    <s v="Low"/>
    <n v="2358.44"/>
    <n v="0"/>
  </r>
  <r>
    <x v="15"/>
    <x v="13"/>
    <n v="1264"/>
    <n v="4549.6899999999996"/>
    <n v="3338.99"/>
    <n v="1210.7"/>
    <n v="0.73"/>
    <n v="0.35"/>
    <n v="3564.46"/>
    <x v="1"/>
    <n v="642"/>
    <n v="0.45"/>
    <n v="607.85"/>
    <n v="0.13"/>
    <n v="0"/>
    <n v="0"/>
    <n v="3"/>
    <n v="909.23"/>
    <n v="69"/>
    <n v="0"/>
    <n v="492.24"/>
    <n v="2260.14"/>
    <x v="1"/>
    <n v="1074.17"/>
    <x v="1"/>
    <x v="0"/>
    <n v="4.5"/>
    <s v="Low"/>
    <n v="1210.7"/>
    <n v="0"/>
  </r>
  <r>
    <x v="15"/>
    <x v="13"/>
    <n v="1593"/>
    <n v="5499.2"/>
    <n v="1964.02"/>
    <n v="3535.18"/>
    <n v="0.36"/>
    <n v="0.11"/>
    <n v="2143.61"/>
    <x v="2"/>
    <n v="698"/>
    <n v="0.51"/>
    <n v="621.69000000000005"/>
    <n v="0.11"/>
    <n v="275.75"/>
    <n v="0.05"/>
    <n v="2"/>
    <n v="773.32"/>
    <n v="87"/>
    <n v="0"/>
    <n v="184.18"/>
    <n v="2671.26"/>
    <x v="1"/>
    <n v="1483.48"/>
    <x v="0"/>
    <x v="0"/>
    <n v="44.9"/>
    <s v="High"/>
    <n v="3535.18"/>
    <n v="1"/>
  </r>
  <r>
    <x v="15"/>
    <x v="13"/>
    <n v="1540"/>
    <n v="4856.47"/>
    <n v="4627.6899999999996"/>
    <n v="228.78"/>
    <n v="0.95"/>
    <n v="0.06"/>
    <n v="3301.08"/>
    <x v="1"/>
    <n v="663"/>
    <n v="0.55000000000000004"/>
    <n v="537.15"/>
    <n v="0.11"/>
    <n v="771.96"/>
    <n v="0.16"/>
    <n v="7"/>
    <n v="729.48"/>
    <n v="34"/>
    <n v="0"/>
    <n v="680.92"/>
    <n v="1791.98"/>
    <x v="1"/>
    <n v="1903.92"/>
    <x v="8"/>
    <x v="0"/>
    <n v="68.8"/>
    <s v="Low"/>
    <n v="228.78"/>
    <n v="0"/>
  </r>
  <r>
    <x v="15"/>
    <x v="13"/>
    <n v="1517"/>
    <n v="3896.29"/>
    <n v="2072.6799999999998"/>
    <n v="1823.61"/>
    <n v="0.53"/>
    <n v="0.16"/>
    <n v="3071.32"/>
    <x v="0"/>
    <n v="712"/>
    <n v="0.59"/>
    <n v="441.12"/>
    <n v="0.11"/>
    <n v="331.99"/>
    <n v="0.09"/>
    <n v="2"/>
    <n v="1607.56"/>
    <n v="84"/>
    <n v="0"/>
    <n v="252.45"/>
    <n v="2620.87"/>
    <x v="2"/>
    <n v="1652.43"/>
    <x v="5"/>
    <x v="2"/>
    <n v="0.9"/>
    <s v="High"/>
    <n v="1823.61"/>
    <n v="0"/>
  </r>
  <r>
    <x v="15"/>
    <x v="13"/>
    <n v="1378"/>
    <n v="5380.6"/>
    <n v="2955.18"/>
    <n v="2425.42"/>
    <n v="0.55000000000000004"/>
    <n v="0.28999999999999998"/>
    <n v="3234.64"/>
    <x v="2"/>
    <n v="698"/>
    <n v="0.16"/>
    <n v="720.03"/>
    <n v="0.13"/>
    <n v="541.13"/>
    <n v="0.1"/>
    <n v="1"/>
    <n v="80.849999999999994"/>
    <n v="51"/>
    <n v="0"/>
    <n v="584.91999999999996"/>
    <n v="1884.09"/>
    <x v="1"/>
    <n v="1162.02"/>
    <x v="6"/>
    <x v="0"/>
    <n v="61.4"/>
    <s v="High"/>
    <n v="2425.42"/>
    <n v="0"/>
  </r>
  <r>
    <x v="15"/>
    <x v="13"/>
    <n v="1874"/>
    <n v="4608.24"/>
    <n v="3625.17"/>
    <n v="983.07"/>
    <n v="0.79"/>
    <n v="0.06"/>
    <n v="2930.12"/>
    <x v="0"/>
    <n v="620"/>
    <n v="0.55000000000000004"/>
    <n v="515.45000000000005"/>
    <n v="0.11"/>
    <n v="416.9"/>
    <n v="0.09"/>
    <n v="7"/>
    <n v="1164.02"/>
    <n v="48"/>
    <n v="0"/>
    <n v="51.5"/>
    <n v="1419.08"/>
    <x v="1"/>
    <n v="1110.6099999999999"/>
    <x v="9"/>
    <x v="1"/>
    <n v="6.6"/>
    <s v="High"/>
    <n v="983.07"/>
    <n v="0"/>
  </r>
  <r>
    <x v="15"/>
    <x v="13"/>
    <n v="1543"/>
    <n v="5932.37"/>
    <n v="4386.9399999999996"/>
    <n v="1545.43"/>
    <n v="0.74"/>
    <n v="0.31"/>
    <n v="2431.9499999999998"/>
    <x v="0"/>
    <n v="742"/>
    <n v="0.59"/>
    <n v="318.04000000000002"/>
    <n v="0.05"/>
    <n v="203.91"/>
    <n v="0.03"/>
    <n v="8"/>
    <n v="719.68"/>
    <n v="22"/>
    <n v="0"/>
    <n v="622.29"/>
    <n v="1326.26"/>
    <x v="0"/>
    <n v="437.88"/>
    <x v="0"/>
    <x v="0"/>
    <n v="87"/>
    <s v="Medium"/>
    <n v="1545.43"/>
    <n v="0"/>
  </r>
  <r>
    <x v="15"/>
    <x v="13"/>
    <n v="1227"/>
    <n v="4403.12"/>
    <n v="3012.03"/>
    <n v="1391.09"/>
    <n v="0.68"/>
    <n v="0.13"/>
    <n v="2354.84"/>
    <x v="1"/>
    <n v="709"/>
    <n v="0.42"/>
    <n v="288.83"/>
    <n v="7.0000000000000007E-2"/>
    <n v="771.88"/>
    <n v="0.18"/>
    <n v="8"/>
    <n v="725.96"/>
    <n v="90"/>
    <n v="0"/>
    <n v="477.07"/>
    <n v="1876.96"/>
    <x v="1"/>
    <n v="912.6"/>
    <x v="6"/>
    <x v="0"/>
    <n v="39.299999999999997"/>
    <s v="Low"/>
    <n v="1391.09"/>
    <n v="0"/>
  </r>
  <r>
    <x v="15"/>
    <x v="13"/>
    <n v="1798"/>
    <n v="1818.94"/>
    <n v="2323.98"/>
    <n v="-505.04"/>
    <n v="1.28"/>
    <n v="0.18"/>
    <n v="3037.3"/>
    <x v="1"/>
    <n v="686"/>
    <n v="0.5"/>
    <n v="335.67"/>
    <n v="0.18"/>
    <n v="674.57"/>
    <n v="0.37"/>
    <n v="7"/>
    <n v="1161.2"/>
    <n v="45"/>
    <n v="0"/>
    <n v="295.75"/>
    <n v="2342.52"/>
    <x v="0"/>
    <n v="1432.9"/>
    <x v="2"/>
    <x v="0"/>
    <n v="91.1"/>
    <s v="Low"/>
    <n v="0"/>
    <n v="0"/>
  </r>
  <r>
    <x v="15"/>
    <x v="13"/>
    <n v="1082"/>
    <n v="5262.83"/>
    <n v="1927.35"/>
    <n v="3335.48"/>
    <n v="0.37"/>
    <n v="0.3"/>
    <n v="2331.17"/>
    <x v="1"/>
    <n v="810"/>
    <n v="0.55000000000000004"/>
    <n v="421.44"/>
    <n v="0.08"/>
    <n v="847.02"/>
    <n v="0.16"/>
    <n v="7"/>
    <n v="2563.5100000000002"/>
    <n v="32"/>
    <n v="0"/>
    <n v="575.95000000000005"/>
    <n v="2734.46"/>
    <x v="1"/>
    <n v="1026.95"/>
    <x v="1"/>
    <x v="2"/>
    <n v="18.2"/>
    <s v="Low"/>
    <n v="3335.48"/>
    <n v="1"/>
  </r>
  <r>
    <x v="15"/>
    <x v="13"/>
    <n v="1371"/>
    <n v="4529.79"/>
    <n v="3188.92"/>
    <n v="1340.87"/>
    <n v="0.7"/>
    <n v="0.06"/>
    <n v="2895.1"/>
    <x v="1"/>
    <n v="687"/>
    <n v="0.23"/>
    <n v="858.29"/>
    <n v="0.19"/>
    <n v="178.38"/>
    <n v="0.04"/>
    <n v="4"/>
    <n v="1416.14"/>
    <n v="76"/>
    <n v="0"/>
    <n v="668.38"/>
    <n v="1000"/>
    <x v="1"/>
    <n v="2172.11"/>
    <x v="3"/>
    <x v="0"/>
    <n v="51.6"/>
    <s v="Medium"/>
    <n v="1340.87"/>
    <n v="0"/>
  </r>
  <r>
    <x v="15"/>
    <x v="13"/>
    <n v="1238"/>
    <n v="3122.86"/>
    <n v="2184.06"/>
    <n v="938.8"/>
    <n v="0.7"/>
    <n v="7.0000000000000007E-2"/>
    <n v="2212.2800000000002"/>
    <x v="0"/>
    <n v="621"/>
    <n v="0.51"/>
    <n v="721.92"/>
    <n v="0.23"/>
    <n v="425.67"/>
    <n v="0.14000000000000001"/>
    <n v="7"/>
    <n v="147.28"/>
    <n v="35"/>
    <n v="0"/>
    <n v="570.52"/>
    <n v="2395.42"/>
    <x v="1"/>
    <n v="1212.26"/>
    <x v="6"/>
    <x v="2"/>
    <n v="43.7"/>
    <s v="Low"/>
    <n v="938.8"/>
    <n v="0"/>
  </r>
  <r>
    <x v="15"/>
    <x v="13"/>
    <n v="1378"/>
    <n v="3311.26"/>
    <n v="3268.93"/>
    <n v="42.33"/>
    <n v="0.99"/>
    <n v="0.4"/>
    <n v="3357.18"/>
    <x v="0"/>
    <n v="681"/>
    <n v="0.15"/>
    <n v="799.71"/>
    <n v="0.24"/>
    <n v="304.55"/>
    <n v="0.09"/>
    <n v="3"/>
    <n v="1281.47"/>
    <n v="80"/>
    <n v="0"/>
    <n v="676.19"/>
    <n v="3378.95"/>
    <x v="1"/>
    <n v="492.36"/>
    <x v="5"/>
    <x v="0"/>
    <n v="81.900000000000006"/>
    <s v="Low"/>
    <n v="42.33"/>
    <n v="0"/>
  </r>
  <r>
    <x v="15"/>
    <x v="13"/>
    <n v="1355"/>
    <n v="5559.53"/>
    <n v="2918.58"/>
    <n v="2640.95"/>
    <n v="0.52"/>
    <n v="0.32"/>
    <n v="3153.86"/>
    <x v="1"/>
    <n v="661"/>
    <n v="0.24"/>
    <n v="832.8"/>
    <n v="0.15"/>
    <n v="190.64"/>
    <n v="0.03"/>
    <n v="9"/>
    <n v="1211.1400000000001"/>
    <n v="54"/>
    <n v="0"/>
    <n v="307.87"/>
    <n v="2471.5500000000002"/>
    <x v="2"/>
    <n v="1794.87"/>
    <x v="7"/>
    <x v="2"/>
    <n v="48.6"/>
    <s v="Medium"/>
    <n v="2640.95"/>
    <n v="0"/>
  </r>
  <r>
    <x v="15"/>
    <x v="13"/>
    <n v="1664"/>
    <n v="4786.41"/>
    <n v="3225.68"/>
    <n v="1560.73"/>
    <n v="0.67"/>
    <n v="0.19"/>
    <n v="2791.91"/>
    <x v="0"/>
    <n v="679"/>
    <n v="0.47"/>
    <n v="552.61"/>
    <n v="0.12"/>
    <n v="873.88"/>
    <n v="0.18"/>
    <n v="8"/>
    <n v="617.54999999999995"/>
    <n v="46"/>
    <n v="0"/>
    <n v="295.01"/>
    <n v="2033.26"/>
    <x v="1"/>
    <n v="581.95000000000005"/>
    <x v="6"/>
    <x v="0"/>
    <n v="34.9"/>
    <s v="Medium"/>
    <n v="1560.73"/>
    <n v="0"/>
  </r>
  <r>
    <x v="15"/>
    <x v="13"/>
    <n v="1998"/>
    <n v="4476.68"/>
    <n v="3057.81"/>
    <n v="1418.87"/>
    <n v="0.68"/>
    <n v="0.28000000000000003"/>
    <n v="2721.64"/>
    <x v="0"/>
    <n v="702"/>
    <n v="0.42"/>
    <n v="459.85"/>
    <n v="0.1"/>
    <n v="758.52"/>
    <n v="0.17"/>
    <n v="3"/>
    <n v="1358.44"/>
    <n v="90"/>
    <n v="0"/>
    <n v="388.93"/>
    <n v="2022.37"/>
    <x v="1"/>
    <n v="1346.97"/>
    <x v="7"/>
    <x v="0"/>
    <n v="22.5"/>
    <s v="High"/>
    <n v="1418.87"/>
    <n v="0"/>
  </r>
  <r>
    <x v="15"/>
    <x v="13"/>
    <n v="1226"/>
    <n v="4760.28"/>
    <n v="3543.35"/>
    <n v="1216.93"/>
    <n v="0.74"/>
    <n v="7.0000000000000007E-2"/>
    <n v="2947.74"/>
    <x v="1"/>
    <n v="632"/>
    <n v="0.22"/>
    <n v="111.38"/>
    <n v="0.02"/>
    <n v="686.84"/>
    <n v="0.14000000000000001"/>
    <n v="2"/>
    <n v="949.81"/>
    <n v="69"/>
    <n v="0"/>
    <n v="682.25"/>
    <n v="2850.31"/>
    <x v="1"/>
    <n v="1535.29"/>
    <x v="8"/>
    <x v="0"/>
    <n v="69.8"/>
    <s v="Low"/>
    <n v="1216.93"/>
    <n v="0"/>
  </r>
  <r>
    <x v="15"/>
    <x v="13"/>
    <n v="1714"/>
    <n v="4685.03"/>
    <n v="2951.98"/>
    <n v="1733.05"/>
    <n v="0.63"/>
    <n v="0.09"/>
    <n v="1814.53"/>
    <x v="0"/>
    <n v="729"/>
    <n v="0.6"/>
    <n v="582.24"/>
    <n v="0.12"/>
    <n v="541.41999999999996"/>
    <n v="0.12"/>
    <n v="6"/>
    <n v="690.53"/>
    <n v="41"/>
    <n v="0"/>
    <n v="743.8"/>
    <n v="2361.16"/>
    <x v="1"/>
    <n v="1086.03"/>
    <x v="4"/>
    <x v="0"/>
    <n v="83.3"/>
    <s v="Medium"/>
    <n v="1733.05"/>
    <n v="0"/>
  </r>
  <r>
    <x v="15"/>
    <x v="13"/>
    <n v="1510"/>
    <n v="4561.17"/>
    <n v="3149.25"/>
    <n v="1411.92"/>
    <n v="0.69"/>
    <n v="0.38"/>
    <n v="3389.86"/>
    <x v="1"/>
    <n v="672"/>
    <n v="0.46"/>
    <n v="286.31"/>
    <n v="0.06"/>
    <n v="220.48"/>
    <n v="0.05"/>
    <n v="2"/>
    <n v="1523.43"/>
    <n v="62"/>
    <n v="0"/>
    <n v="586.84"/>
    <n v="3344.51"/>
    <x v="1"/>
    <n v="660.57"/>
    <x v="5"/>
    <x v="2"/>
    <n v="84.7"/>
    <s v="Medium"/>
    <n v="1411.92"/>
    <n v="0"/>
  </r>
  <r>
    <x v="15"/>
    <x v="13"/>
    <n v="1620"/>
    <n v="3718.28"/>
    <n v="2430.39"/>
    <n v="1287.8900000000001"/>
    <n v="0.65"/>
    <n v="0.36"/>
    <n v="2898.54"/>
    <x v="0"/>
    <n v="632"/>
    <n v="0.11"/>
    <n v="463.01"/>
    <n v="0.12"/>
    <n v="158.28"/>
    <n v="0.04"/>
    <n v="2"/>
    <n v="986.41"/>
    <n v="85"/>
    <n v="0"/>
    <n v="673.05"/>
    <n v="2778.06"/>
    <x v="1"/>
    <n v="944.76"/>
    <x v="9"/>
    <x v="0"/>
    <n v="25"/>
    <s v="Low"/>
    <n v="1287.8900000000001"/>
    <n v="0"/>
  </r>
  <r>
    <x v="15"/>
    <x v="13"/>
    <n v="1546"/>
    <n v="3573.59"/>
    <n v="1348.89"/>
    <n v="2224.6999999999998"/>
    <n v="0.38"/>
    <n v="0.26"/>
    <n v="2959.77"/>
    <x v="2"/>
    <n v="695"/>
    <n v="0.17"/>
    <n v="480.7"/>
    <n v="0.13"/>
    <n v="592.71"/>
    <n v="0.17"/>
    <n v="6"/>
    <n v="1662.35"/>
    <n v="59"/>
    <n v="0"/>
    <n v="604.5"/>
    <n v="1348.61"/>
    <x v="0"/>
    <n v="1017.07"/>
    <x v="5"/>
    <x v="2"/>
    <n v="50.8"/>
    <s v="Medium"/>
    <n v="2224.6999999999998"/>
    <n v="0"/>
  </r>
  <r>
    <x v="15"/>
    <x v="13"/>
    <n v="1544"/>
    <n v="4521.67"/>
    <n v="3115.2"/>
    <n v="1406.47"/>
    <n v="0.69"/>
    <n v="0.38"/>
    <n v="3880.88"/>
    <x v="1"/>
    <n v="721"/>
    <n v="0.1"/>
    <n v="384.85"/>
    <n v="0.09"/>
    <n v="147.02000000000001"/>
    <n v="0.03"/>
    <n v="3"/>
    <n v="572.84"/>
    <n v="67"/>
    <n v="0"/>
    <n v="548.89"/>
    <n v="1578.26"/>
    <x v="1"/>
    <n v="1121.71"/>
    <x v="9"/>
    <x v="1"/>
    <n v="13.4"/>
    <s v="Low"/>
    <n v="1406.47"/>
    <n v="0"/>
  </r>
  <r>
    <x v="15"/>
    <x v="13"/>
    <n v="1669"/>
    <n v="3119.24"/>
    <n v="2985.71"/>
    <n v="133.53"/>
    <n v="0.96"/>
    <n v="0.38"/>
    <n v="2459.62"/>
    <x v="1"/>
    <n v="615"/>
    <n v="0.38"/>
    <n v="354.25"/>
    <n v="0.11"/>
    <n v="1171.69"/>
    <n v="0.38"/>
    <n v="7"/>
    <n v="641.29999999999995"/>
    <n v="58"/>
    <n v="1"/>
    <n v="362.6"/>
    <n v="1815.86"/>
    <x v="1"/>
    <n v="534.39"/>
    <x v="6"/>
    <x v="0"/>
    <n v="59"/>
    <s v="Low"/>
    <n v="133.53"/>
    <n v="0"/>
  </r>
  <r>
    <x v="15"/>
    <x v="13"/>
    <n v="1543"/>
    <n v="5502.02"/>
    <n v="3872.48"/>
    <n v="1629.54"/>
    <n v="0.7"/>
    <n v="0.19"/>
    <n v="3166.58"/>
    <x v="1"/>
    <n v="650"/>
    <n v="0.16"/>
    <n v="314.64"/>
    <n v="0.06"/>
    <n v="360.5"/>
    <n v="7.0000000000000007E-2"/>
    <n v="4"/>
    <n v="1339.67"/>
    <n v="89"/>
    <n v="0"/>
    <n v="502.01"/>
    <n v="1629.73"/>
    <x v="1"/>
    <n v="1718.29"/>
    <x v="8"/>
    <x v="0"/>
    <n v="72"/>
    <s v="Medium"/>
    <n v="1629.54"/>
    <n v="0"/>
  </r>
  <r>
    <x v="15"/>
    <x v="13"/>
    <n v="1437"/>
    <n v="4687.22"/>
    <n v="2770.55"/>
    <n v="1916.67"/>
    <n v="0.59"/>
    <n v="0.36"/>
    <n v="2952.45"/>
    <x v="2"/>
    <n v="687"/>
    <n v="0.22"/>
    <n v="143.66999999999999"/>
    <n v="0.03"/>
    <n v="560.85"/>
    <n v="0.12"/>
    <n v="4"/>
    <n v="1074.57"/>
    <n v="25"/>
    <n v="0"/>
    <n v="493.52"/>
    <n v="2635.11"/>
    <x v="1"/>
    <n v="1512.87"/>
    <x v="4"/>
    <x v="1"/>
    <n v="90"/>
    <s v="Low"/>
    <n v="1916.67"/>
    <n v="0"/>
  </r>
  <r>
    <x v="15"/>
    <x v="13"/>
    <n v="1415"/>
    <n v="6326.95"/>
    <n v="3744.31"/>
    <n v="2582.64"/>
    <n v="0.59"/>
    <n v="0.18"/>
    <n v="2110.9899999999998"/>
    <x v="1"/>
    <n v="734"/>
    <n v="0.54"/>
    <n v="548.16"/>
    <n v="0.09"/>
    <n v="565.97"/>
    <n v="0.09"/>
    <n v="2"/>
    <n v="883.99"/>
    <n v="38"/>
    <n v="0"/>
    <n v="614.14"/>
    <n v="2175.37"/>
    <x v="2"/>
    <n v="648.88"/>
    <x v="9"/>
    <x v="0"/>
    <n v="60"/>
    <s v="Low"/>
    <n v="2582.64"/>
    <n v="1"/>
  </r>
  <r>
    <x v="15"/>
    <x v="13"/>
    <n v="1938"/>
    <n v="1634.88"/>
    <n v="1022.59"/>
    <n v="612.29"/>
    <n v="0.63"/>
    <n v="0.14000000000000001"/>
    <n v="2389.1999999999998"/>
    <x v="1"/>
    <n v="622"/>
    <n v="0.12"/>
    <n v="280.81"/>
    <n v="0.17"/>
    <n v="544.65"/>
    <n v="0.33"/>
    <n v="8"/>
    <n v="1196.04"/>
    <n v="31"/>
    <n v="0"/>
    <n v="527.17999999999995"/>
    <n v="3060.86"/>
    <x v="0"/>
    <n v="1520.66"/>
    <x v="4"/>
    <x v="2"/>
    <n v="36.799999999999997"/>
    <s v="High"/>
    <n v="612.29"/>
    <n v="0"/>
  </r>
  <r>
    <x v="15"/>
    <x v="13"/>
    <n v="1719"/>
    <n v="2096.0500000000002"/>
    <n v="3937.16"/>
    <n v="-1841.11"/>
    <n v="1.88"/>
    <n v="0.24"/>
    <n v="2905.61"/>
    <x v="2"/>
    <n v="675"/>
    <n v="0.23"/>
    <n v="471.65"/>
    <n v="0.23"/>
    <n v="385.39"/>
    <n v="0.18"/>
    <n v="8"/>
    <n v="1105.46"/>
    <n v="87"/>
    <n v="0"/>
    <n v="514.62"/>
    <n v="1826.23"/>
    <x v="1"/>
    <n v="1224.98"/>
    <x v="4"/>
    <x v="0"/>
    <n v="38.200000000000003"/>
    <s v="Medium"/>
    <n v="0"/>
    <n v="0"/>
  </r>
  <r>
    <x v="15"/>
    <x v="13"/>
    <n v="1788"/>
    <n v="5235.5600000000004"/>
    <n v="3948.58"/>
    <n v="1286.98"/>
    <n v="0.75"/>
    <n v="0.11"/>
    <n v="2463.44"/>
    <x v="0"/>
    <n v="706"/>
    <n v="0.42"/>
    <n v="826.13"/>
    <n v="0.16"/>
    <n v="471.72"/>
    <n v="0.09"/>
    <n v="2"/>
    <n v="981.71"/>
    <n v="75"/>
    <n v="0"/>
    <n v="455.22"/>
    <n v="2786.8"/>
    <x v="1"/>
    <n v="1793.05"/>
    <x v="6"/>
    <x v="0"/>
    <n v="98.7"/>
    <s v="Medium"/>
    <n v="1286.98"/>
    <n v="0"/>
  </r>
  <r>
    <x v="16"/>
    <x v="14"/>
    <n v="1222"/>
    <n v="3677.65"/>
    <n v="3489.82"/>
    <n v="187.83"/>
    <n v="0.95"/>
    <n v="0.3"/>
    <n v="2068.33"/>
    <x v="1"/>
    <n v="631"/>
    <n v="0.13"/>
    <n v="511.94"/>
    <n v="0.14000000000000001"/>
    <n v="347.32"/>
    <n v="0.09"/>
    <n v="7"/>
    <n v="1729.56"/>
    <n v="66"/>
    <n v="1"/>
    <n v="362.3"/>
    <n v="2576.38"/>
    <x v="2"/>
    <n v="1284.68"/>
    <x v="7"/>
    <x v="2"/>
    <n v="50"/>
    <s v="Low"/>
    <n v="187.83"/>
    <n v="0"/>
  </r>
  <r>
    <x v="16"/>
    <x v="14"/>
    <n v="1949"/>
    <n v="2282.15"/>
    <n v="1808.42"/>
    <n v="473.73"/>
    <n v="0.79"/>
    <n v="0.08"/>
    <n v="2036.74"/>
    <x v="1"/>
    <n v="612"/>
    <n v="0.43"/>
    <n v="573.76"/>
    <n v="0.25"/>
    <n v="489.73"/>
    <n v="0.21"/>
    <n v="5"/>
    <n v="486.95"/>
    <n v="93"/>
    <n v="0"/>
    <n v="438.09"/>
    <n v="2490.75"/>
    <x v="1"/>
    <n v="928.5"/>
    <x v="0"/>
    <x v="0"/>
    <n v="55.7"/>
    <s v="Low"/>
    <n v="473.73"/>
    <n v="0"/>
  </r>
  <r>
    <x v="16"/>
    <x v="14"/>
    <n v="1759"/>
    <n v="3391.04"/>
    <n v="4857.8500000000004"/>
    <n v="-1466.81"/>
    <n v="1.43"/>
    <n v="0.37"/>
    <n v="3028.27"/>
    <x v="0"/>
    <n v="726"/>
    <n v="0.17"/>
    <n v="420.55"/>
    <n v="0.12"/>
    <n v="748.4"/>
    <n v="0.22"/>
    <n v="2"/>
    <n v="1696.56"/>
    <n v="83"/>
    <n v="0"/>
    <n v="879.56"/>
    <n v="1430.28"/>
    <x v="1"/>
    <n v="1914.63"/>
    <x v="6"/>
    <x v="1"/>
    <n v="5.9"/>
    <s v="Low"/>
    <n v="0"/>
    <n v="0"/>
  </r>
  <r>
    <x v="16"/>
    <x v="14"/>
    <n v="1244"/>
    <n v="3579.28"/>
    <n v="3564.95"/>
    <n v="14.33"/>
    <n v="1"/>
    <n v="0.08"/>
    <n v="3138.08"/>
    <x v="1"/>
    <n v="578"/>
    <n v="0.55000000000000004"/>
    <n v="697.35"/>
    <n v="0.19"/>
    <n v="582.85"/>
    <n v="0.16"/>
    <n v="1"/>
    <n v="1135.29"/>
    <n v="49"/>
    <n v="0"/>
    <n v="461.58"/>
    <n v="2004.93"/>
    <x v="1"/>
    <n v="982.64"/>
    <x v="8"/>
    <x v="0"/>
    <n v="73.5"/>
    <s v="Low"/>
    <n v="14.33"/>
    <n v="0"/>
  </r>
  <r>
    <x v="16"/>
    <x v="14"/>
    <n v="1891"/>
    <n v="3379.5"/>
    <n v="3878.12"/>
    <n v="-498.62"/>
    <n v="1.1499999999999999"/>
    <n v="0.12"/>
    <n v="2734.71"/>
    <x v="2"/>
    <n v="616"/>
    <n v="0.57999999999999996"/>
    <n v="215.77"/>
    <n v="0.06"/>
    <n v="402.27"/>
    <n v="0.12"/>
    <n v="4"/>
    <n v="669.03"/>
    <n v="80"/>
    <n v="0"/>
    <n v="552.46"/>
    <n v="2799.78"/>
    <x v="1"/>
    <n v="1095.54"/>
    <x v="5"/>
    <x v="1"/>
    <n v="13.1"/>
    <s v="Medium"/>
    <n v="0"/>
    <n v="0"/>
  </r>
  <r>
    <x v="16"/>
    <x v="14"/>
    <n v="1066"/>
    <n v="3804.27"/>
    <n v="2920.26"/>
    <n v="884.01"/>
    <n v="0.77"/>
    <n v="0.09"/>
    <n v="3017.68"/>
    <x v="2"/>
    <n v="638"/>
    <n v="0.32"/>
    <n v="772.03"/>
    <n v="0.2"/>
    <n v="189.5"/>
    <n v="0.05"/>
    <n v="2"/>
    <n v="311.97000000000003"/>
    <n v="22"/>
    <n v="0"/>
    <n v="241.23"/>
    <n v="2253.0500000000002"/>
    <x v="1"/>
    <n v="1250.3900000000001"/>
    <x v="4"/>
    <x v="0"/>
    <n v="22.8"/>
    <s v="Low"/>
    <n v="884.01"/>
    <n v="0"/>
  </r>
  <r>
    <x v="16"/>
    <x v="14"/>
    <n v="1023"/>
    <n v="4493.74"/>
    <n v="2518.77"/>
    <n v="1974.97"/>
    <n v="0.56000000000000005"/>
    <n v="0.17"/>
    <n v="2045.48"/>
    <x v="2"/>
    <n v="632"/>
    <n v="0.16"/>
    <n v="550.48"/>
    <n v="0.12"/>
    <n v="0"/>
    <n v="0"/>
    <n v="7"/>
    <n v="1584.71"/>
    <n v="94"/>
    <n v="0"/>
    <n v="310.54000000000002"/>
    <n v="2016.61"/>
    <x v="1"/>
    <n v="692.79"/>
    <x v="8"/>
    <x v="2"/>
    <n v="41.5"/>
    <s v="High"/>
    <n v="1974.97"/>
    <n v="0"/>
  </r>
  <r>
    <x v="16"/>
    <x v="14"/>
    <n v="1922"/>
    <n v="1830.45"/>
    <n v="3499.35"/>
    <n v="-1668.9"/>
    <n v="1.91"/>
    <n v="0.13"/>
    <n v="2932.96"/>
    <x v="0"/>
    <n v="708"/>
    <n v="0.26"/>
    <n v="555.32000000000005"/>
    <n v="0.3"/>
    <n v="586.41"/>
    <n v="0.32"/>
    <n v="9"/>
    <n v="1899.02"/>
    <n v="87"/>
    <n v="0"/>
    <n v="740.71"/>
    <n v="2218.7600000000002"/>
    <x v="1"/>
    <n v="1143.57"/>
    <x v="9"/>
    <x v="0"/>
    <n v="77.5"/>
    <s v="High"/>
    <n v="0"/>
    <n v="0"/>
  </r>
  <r>
    <x v="16"/>
    <x v="14"/>
    <n v="1511"/>
    <n v="4081.92"/>
    <n v="3107.84"/>
    <n v="974.08"/>
    <n v="0.76"/>
    <n v="0.28000000000000003"/>
    <n v="2893.95"/>
    <x v="1"/>
    <n v="601"/>
    <n v="0.51"/>
    <n v="491.31"/>
    <n v="0.12"/>
    <n v="266.66000000000003"/>
    <n v="7.0000000000000007E-2"/>
    <n v="3"/>
    <n v="1373.48"/>
    <n v="65"/>
    <n v="0"/>
    <n v="411.45"/>
    <n v="3098.26"/>
    <x v="1"/>
    <n v="770.57"/>
    <x v="8"/>
    <x v="2"/>
    <n v="65.7"/>
    <s v="Medium"/>
    <n v="974.08"/>
    <n v="0"/>
  </r>
  <r>
    <x v="16"/>
    <x v="14"/>
    <n v="1647"/>
    <n v="2914.83"/>
    <n v="3348.88"/>
    <n v="-434.05"/>
    <n v="1.1499999999999999"/>
    <n v="0.14000000000000001"/>
    <n v="2709.64"/>
    <x v="1"/>
    <n v="604"/>
    <n v="0.41"/>
    <n v="519.34"/>
    <n v="0.18"/>
    <n v="352.22"/>
    <n v="0.12"/>
    <n v="3"/>
    <n v="1049.97"/>
    <n v="47"/>
    <n v="0"/>
    <n v="248.6"/>
    <n v="3093.26"/>
    <x v="1"/>
    <n v="1381.48"/>
    <x v="0"/>
    <x v="1"/>
    <n v="68.599999999999994"/>
    <s v="High"/>
    <n v="0"/>
    <n v="0"/>
  </r>
  <r>
    <x v="16"/>
    <x v="14"/>
    <n v="1280"/>
    <n v="3986.88"/>
    <n v="2654.7"/>
    <n v="1332.18"/>
    <n v="0.67"/>
    <n v="0.22"/>
    <n v="3285.38"/>
    <x v="1"/>
    <n v="689"/>
    <n v="0.26"/>
    <n v="564.72"/>
    <n v="0.14000000000000001"/>
    <n v="726.66"/>
    <n v="0.18"/>
    <n v="2"/>
    <n v="1169.52"/>
    <n v="84"/>
    <n v="0"/>
    <n v="575.1"/>
    <n v="2640.91"/>
    <x v="1"/>
    <n v="1228.4000000000001"/>
    <x v="8"/>
    <x v="2"/>
    <n v="49.4"/>
    <s v="Low"/>
    <n v="1332.18"/>
    <n v="0"/>
  </r>
  <r>
    <x v="16"/>
    <x v="14"/>
    <n v="1953"/>
    <n v="2461.7800000000002"/>
    <n v="1372.67"/>
    <n v="1089.1099999999999"/>
    <n v="0.56000000000000005"/>
    <n v="0.3"/>
    <n v="3114.1"/>
    <x v="2"/>
    <n v="763"/>
    <n v="0.44"/>
    <n v="557.48"/>
    <n v="0.23"/>
    <n v="718.62"/>
    <n v="0.28999999999999998"/>
    <n v="4"/>
    <n v="1333.9"/>
    <n v="54"/>
    <n v="0"/>
    <n v="369.41"/>
    <n v="2034.16"/>
    <x v="1"/>
    <n v="1558.73"/>
    <x v="4"/>
    <x v="2"/>
    <n v="4.2"/>
    <s v="Low"/>
    <n v="1089.1099999999999"/>
    <n v="0"/>
  </r>
  <r>
    <x v="16"/>
    <x v="14"/>
    <n v="1818"/>
    <n v="4226.7"/>
    <n v="2268.11"/>
    <n v="1958.59"/>
    <n v="0.54"/>
    <n v="0.22"/>
    <n v="2727.01"/>
    <x v="0"/>
    <n v="605"/>
    <n v="0.2"/>
    <n v="562.99"/>
    <n v="0.13"/>
    <n v="224.12"/>
    <n v="0.05"/>
    <n v="9"/>
    <n v="1790.08"/>
    <n v="54"/>
    <n v="0"/>
    <n v="556.17999999999995"/>
    <n v="3032.39"/>
    <x v="2"/>
    <n v="1397.43"/>
    <x v="4"/>
    <x v="2"/>
    <n v="38"/>
    <s v="Low"/>
    <n v="1958.59"/>
    <n v="0"/>
  </r>
  <r>
    <x v="16"/>
    <x v="14"/>
    <n v="1215"/>
    <n v="4702.3599999999997"/>
    <n v="1359.84"/>
    <n v="3342.52"/>
    <n v="0.28999999999999998"/>
    <n v="0.24"/>
    <n v="2764.38"/>
    <x v="1"/>
    <n v="672"/>
    <n v="0.21"/>
    <n v="582.83000000000004"/>
    <n v="0.12"/>
    <n v="374.05"/>
    <n v="0.08"/>
    <n v="1"/>
    <n v="965.94"/>
    <n v="63"/>
    <n v="0"/>
    <n v="534.94000000000005"/>
    <n v="2079.3000000000002"/>
    <x v="1"/>
    <n v="891.36"/>
    <x v="2"/>
    <x v="0"/>
    <n v="97"/>
    <s v="Medium"/>
    <n v="3342.52"/>
    <n v="1"/>
  </r>
  <r>
    <x v="16"/>
    <x v="14"/>
    <n v="1889"/>
    <n v="3130.77"/>
    <n v="3962.61"/>
    <n v="-831.84"/>
    <n v="1.27"/>
    <n v="0.08"/>
    <n v="2756.68"/>
    <x v="0"/>
    <n v="717"/>
    <n v="0.12"/>
    <n v="720.65"/>
    <n v="0.23"/>
    <n v="417.85"/>
    <n v="0.13"/>
    <n v="2"/>
    <n v="2191.34"/>
    <n v="44"/>
    <n v="0"/>
    <n v="663.17"/>
    <n v="1322.39"/>
    <x v="0"/>
    <n v="394.1"/>
    <x v="8"/>
    <x v="0"/>
    <n v="53.7"/>
    <s v="Low"/>
    <n v="0"/>
    <n v="0"/>
  </r>
  <r>
    <x v="16"/>
    <x v="14"/>
    <n v="1516"/>
    <n v="4744.3599999999997"/>
    <n v="2837.84"/>
    <n v="1906.52"/>
    <n v="0.6"/>
    <n v="0.35"/>
    <n v="2811.8"/>
    <x v="2"/>
    <n v="704"/>
    <n v="0.56999999999999995"/>
    <n v="581.99"/>
    <n v="0.12"/>
    <n v="322.26"/>
    <n v="7.0000000000000007E-2"/>
    <n v="8"/>
    <n v="681.49"/>
    <n v="64"/>
    <n v="0"/>
    <n v="515.84"/>
    <n v="2347.1799999999998"/>
    <x v="1"/>
    <n v="1501.13"/>
    <x v="8"/>
    <x v="1"/>
    <n v="7.5"/>
    <s v="Low"/>
    <n v="1906.52"/>
    <n v="0"/>
  </r>
  <r>
    <x v="16"/>
    <x v="14"/>
    <n v="1002"/>
    <n v="4712.63"/>
    <n v="2307.9"/>
    <n v="2404.73"/>
    <n v="0.49"/>
    <n v="0.2"/>
    <n v="3174.14"/>
    <x v="1"/>
    <n v="615"/>
    <n v="0.22"/>
    <n v="184.54"/>
    <n v="0.04"/>
    <n v="605.21"/>
    <n v="0.13"/>
    <n v="5"/>
    <n v="1318.93"/>
    <n v="83"/>
    <n v="0"/>
    <n v="460.49"/>
    <n v="1814.41"/>
    <x v="0"/>
    <n v="1415.75"/>
    <x v="5"/>
    <x v="0"/>
    <n v="85.3"/>
    <s v="Low"/>
    <n v="2404.73"/>
    <n v="0"/>
  </r>
  <r>
    <x v="16"/>
    <x v="14"/>
    <n v="1763"/>
    <n v="3914.89"/>
    <n v="3911.52"/>
    <n v="3.37"/>
    <n v="1"/>
    <n v="0.39"/>
    <n v="2415.9"/>
    <x v="1"/>
    <n v="623"/>
    <n v="0.52"/>
    <n v="416.89"/>
    <n v="0.11"/>
    <n v="510.11"/>
    <n v="0.13"/>
    <n v="2"/>
    <n v="636.46"/>
    <n v="86"/>
    <n v="0"/>
    <n v="440.37"/>
    <n v="2342.96"/>
    <x v="0"/>
    <n v="830.68"/>
    <x v="2"/>
    <x v="0"/>
    <n v="13.5"/>
    <s v="Low"/>
    <n v="3.37"/>
    <n v="0"/>
  </r>
  <r>
    <x v="16"/>
    <x v="14"/>
    <n v="1884"/>
    <n v="3676.37"/>
    <n v="1911.12"/>
    <n v="1765.25"/>
    <n v="0.52"/>
    <n v="0.3"/>
    <n v="2559.83"/>
    <x v="1"/>
    <n v="703"/>
    <n v="0.44"/>
    <n v="920.41"/>
    <n v="0.25"/>
    <n v="410.4"/>
    <n v="0.11"/>
    <n v="5"/>
    <n v="786.74"/>
    <n v="98"/>
    <n v="0"/>
    <n v="595.16"/>
    <n v="3313.32"/>
    <x v="2"/>
    <n v="777.98"/>
    <x v="1"/>
    <x v="1"/>
    <n v="21.3"/>
    <s v="High"/>
    <n v="1765.25"/>
    <n v="0"/>
  </r>
  <r>
    <x v="16"/>
    <x v="14"/>
    <n v="1313"/>
    <n v="4159.08"/>
    <n v="3558.11"/>
    <n v="600.97"/>
    <n v="0.86"/>
    <n v="0.15"/>
    <n v="2985.75"/>
    <x v="2"/>
    <n v="605"/>
    <n v="0.21"/>
    <n v="474.77"/>
    <n v="0.11"/>
    <n v="896.42"/>
    <n v="0.22"/>
    <n v="8"/>
    <n v="1246.47"/>
    <n v="90"/>
    <n v="1"/>
    <n v="380.89"/>
    <n v="2468.66"/>
    <x v="1"/>
    <n v="1430.57"/>
    <x v="2"/>
    <x v="0"/>
    <n v="94.2"/>
    <s v="Low"/>
    <n v="600.97"/>
    <n v="0"/>
  </r>
  <r>
    <x v="16"/>
    <x v="14"/>
    <n v="1789"/>
    <n v="4438.58"/>
    <n v="2404.56"/>
    <n v="2034.02"/>
    <n v="0.54"/>
    <n v="0.33"/>
    <n v="1888.02"/>
    <x v="1"/>
    <n v="571"/>
    <n v="0.21"/>
    <n v="696.45"/>
    <n v="0.16"/>
    <n v="258.07"/>
    <n v="0.06"/>
    <n v="1"/>
    <n v="801.51"/>
    <n v="43"/>
    <n v="0"/>
    <n v="304.97000000000003"/>
    <n v="2676.6"/>
    <x v="0"/>
    <n v="693.64"/>
    <x v="2"/>
    <x v="0"/>
    <n v="19.399999999999999"/>
    <s v="High"/>
    <n v="2034.02"/>
    <n v="1"/>
  </r>
  <r>
    <x v="16"/>
    <x v="14"/>
    <n v="1810"/>
    <n v="5195.83"/>
    <n v="3514.07"/>
    <n v="1681.76"/>
    <n v="0.68"/>
    <n v="0.27"/>
    <n v="3207.02"/>
    <x v="1"/>
    <n v="740"/>
    <n v="0.14000000000000001"/>
    <n v="438.63"/>
    <n v="0.08"/>
    <n v="560.26"/>
    <n v="0.11"/>
    <n v="5"/>
    <n v="506.28"/>
    <n v="52"/>
    <n v="0"/>
    <n v="834.28"/>
    <n v="1091.92"/>
    <x v="0"/>
    <n v="1726.51"/>
    <x v="8"/>
    <x v="2"/>
    <n v="58.2"/>
    <s v="High"/>
    <n v="1681.76"/>
    <n v="0"/>
  </r>
  <r>
    <x v="16"/>
    <x v="14"/>
    <n v="1914"/>
    <n v="4396.8100000000004"/>
    <n v="2857.63"/>
    <n v="1539.18"/>
    <n v="0.65"/>
    <n v="0.12"/>
    <n v="2238.12"/>
    <x v="2"/>
    <n v="591"/>
    <n v="0.51"/>
    <n v="587.09"/>
    <n v="0.13"/>
    <n v="109.29"/>
    <n v="0.02"/>
    <n v="2"/>
    <n v="1118.3499999999999"/>
    <n v="88"/>
    <n v="0"/>
    <n v="240.41"/>
    <n v="1334.17"/>
    <x v="0"/>
    <n v="300"/>
    <x v="4"/>
    <x v="2"/>
    <n v="69.3"/>
    <s v="High"/>
    <n v="1539.18"/>
    <n v="0"/>
  </r>
  <r>
    <x v="16"/>
    <x v="14"/>
    <n v="1371"/>
    <n v="3218.96"/>
    <n v="4282.76"/>
    <n v="-1063.8"/>
    <n v="1.33"/>
    <n v="0.36"/>
    <n v="3390.91"/>
    <x v="1"/>
    <n v="691"/>
    <n v="0.5"/>
    <n v="258.87"/>
    <n v="0.08"/>
    <n v="326.11"/>
    <n v="0.1"/>
    <n v="8"/>
    <n v="1178.8800000000001"/>
    <n v="41"/>
    <n v="0"/>
    <n v="742.02"/>
    <n v="1800.47"/>
    <x v="1"/>
    <n v="1167.3399999999999"/>
    <x v="9"/>
    <x v="0"/>
    <n v="80.400000000000006"/>
    <s v="Low"/>
    <n v="0"/>
    <n v="0"/>
  </r>
  <r>
    <x v="16"/>
    <x v="14"/>
    <n v="1179"/>
    <n v="4658.8"/>
    <n v="3544.55"/>
    <n v="1114.25"/>
    <n v="0.76"/>
    <n v="0.35"/>
    <n v="2656.31"/>
    <x v="1"/>
    <n v="729"/>
    <n v="0.15"/>
    <n v="393.83"/>
    <n v="0.08"/>
    <n v="462.86"/>
    <n v="0.1"/>
    <n v="7"/>
    <n v="1470.17"/>
    <n v="54"/>
    <n v="0"/>
    <n v="761.01"/>
    <n v="1903.22"/>
    <x v="1"/>
    <n v="957.44"/>
    <x v="7"/>
    <x v="2"/>
    <n v="42.7"/>
    <s v="Low"/>
    <n v="1114.25"/>
    <n v="0"/>
  </r>
  <r>
    <x v="16"/>
    <x v="14"/>
    <n v="1464"/>
    <n v="5234.63"/>
    <n v="2610.4299999999998"/>
    <n v="2624.2"/>
    <n v="0.5"/>
    <n v="0.08"/>
    <n v="2292.4699999999998"/>
    <x v="1"/>
    <n v="715"/>
    <n v="0.39"/>
    <n v="272.94"/>
    <n v="0.05"/>
    <n v="286.17"/>
    <n v="0.05"/>
    <n v="6"/>
    <n v="975.31"/>
    <n v="35"/>
    <n v="0"/>
    <n v="423.58"/>
    <n v="2285.0300000000002"/>
    <x v="1"/>
    <n v="300"/>
    <x v="4"/>
    <x v="2"/>
    <n v="77.3"/>
    <s v="High"/>
    <n v="2624.2"/>
    <n v="1"/>
  </r>
  <r>
    <x v="16"/>
    <x v="14"/>
    <n v="1947"/>
    <n v="4400.6000000000004"/>
    <n v="2105.98"/>
    <n v="2294.62"/>
    <n v="0.48"/>
    <n v="0.05"/>
    <n v="2493.16"/>
    <x v="1"/>
    <n v="728"/>
    <n v="0.31"/>
    <n v="743.62"/>
    <n v="0.17"/>
    <n v="406.5"/>
    <n v="0.09"/>
    <n v="5"/>
    <n v="747.85"/>
    <n v="73"/>
    <n v="0"/>
    <n v="535.63"/>
    <n v="2613.2199999999998"/>
    <x v="1"/>
    <n v="1376.96"/>
    <x v="6"/>
    <x v="0"/>
    <n v="10.9"/>
    <s v="High"/>
    <n v="2294.62"/>
    <n v="0"/>
  </r>
  <r>
    <x v="16"/>
    <x v="14"/>
    <n v="1347"/>
    <n v="3989.47"/>
    <n v="1511.71"/>
    <n v="2477.7600000000002"/>
    <n v="0.38"/>
    <n v="0.08"/>
    <n v="3296.36"/>
    <x v="2"/>
    <n v="730"/>
    <n v="0.17"/>
    <n v="503.55"/>
    <n v="0.13"/>
    <n v="151.56"/>
    <n v="0.04"/>
    <n v="3"/>
    <n v="740.54"/>
    <n v="21"/>
    <n v="0"/>
    <n v="858.32"/>
    <n v="1474.71"/>
    <x v="0"/>
    <n v="1445.16"/>
    <x v="4"/>
    <x v="0"/>
    <n v="45.4"/>
    <s v="Medium"/>
    <n v="2477.7600000000002"/>
    <n v="0"/>
  </r>
  <r>
    <x v="16"/>
    <x v="14"/>
    <n v="1731"/>
    <n v="3227.23"/>
    <n v="2309.79"/>
    <n v="917.44"/>
    <n v="0.72"/>
    <n v="0.13"/>
    <n v="2406.41"/>
    <x v="1"/>
    <n v="676"/>
    <n v="0.23"/>
    <n v="578.54"/>
    <n v="0.18"/>
    <n v="824.93"/>
    <n v="0.26"/>
    <n v="3"/>
    <n v="834.48"/>
    <n v="66"/>
    <n v="0"/>
    <n v="481.87"/>
    <n v="2016.05"/>
    <x v="1"/>
    <n v="1035.8499999999999"/>
    <x v="1"/>
    <x v="2"/>
    <n v="15.7"/>
    <s v="Medium"/>
    <n v="917.44"/>
    <n v="0"/>
  </r>
  <r>
    <x v="16"/>
    <x v="14"/>
    <n v="1647"/>
    <n v="5174.97"/>
    <n v="3141.27"/>
    <n v="2033.7"/>
    <n v="0.61"/>
    <n v="0.27"/>
    <n v="2379.14"/>
    <x v="2"/>
    <n v="686"/>
    <n v="0.25"/>
    <n v="262.04000000000002"/>
    <n v="0.05"/>
    <n v="301.27"/>
    <n v="0.06"/>
    <n v="1"/>
    <n v="437.83"/>
    <n v="82"/>
    <n v="0"/>
    <n v="460.93"/>
    <n v="3113.47"/>
    <x v="1"/>
    <n v="1461.15"/>
    <x v="6"/>
    <x v="0"/>
    <n v="50.5"/>
    <s v="High"/>
    <n v="2033.7"/>
    <n v="0"/>
  </r>
  <r>
    <x v="16"/>
    <x v="14"/>
    <n v="1294"/>
    <n v="3854.89"/>
    <n v="2443.44"/>
    <n v="1411.45"/>
    <n v="0.63"/>
    <n v="0.14000000000000001"/>
    <n v="2346.98"/>
    <x v="1"/>
    <n v="719"/>
    <n v="0.17"/>
    <n v="477.79"/>
    <n v="0.12"/>
    <n v="202.27"/>
    <n v="0.05"/>
    <n v="4"/>
    <n v="1286.49"/>
    <n v="73"/>
    <n v="0"/>
    <n v="753.26"/>
    <n v="1740"/>
    <x v="0"/>
    <n v="1086.19"/>
    <x v="3"/>
    <x v="1"/>
    <n v="20"/>
    <s v="Medium"/>
    <n v="1411.45"/>
    <n v="0"/>
  </r>
  <r>
    <x v="16"/>
    <x v="14"/>
    <n v="1701"/>
    <n v="4457.3999999999996"/>
    <n v="3435.29"/>
    <n v="1022.11"/>
    <n v="0.77"/>
    <n v="0.27"/>
    <n v="2427.06"/>
    <x v="1"/>
    <n v="637"/>
    <n v="0.5"/>
    <n v="40.9"/>
    <n v="0.01"/>
    <n v="253.5"/>
    <n v="0.06"/>
    <n v="3"/>
    <n v="1365.4"/>
    <n v="94"/>
    <n v="0"/>
    <n v="456.27"/>
    <n v="1660.94"/>
    <x v="1"/>
    <n v="935.89"/>
    <x v="7"/>
    <x v="0"/>
    <n v="55.8"/>
    <s v="Medium"/>
    <n v="1022.11"/>
    <n v="0"/>
  </r>
  <r>
    <x v="16"/>
    <x v="14"/>
    <n v="1040"/>
    <n v="3723.09"/>
    <n v="1632.99"/>
    <n v="2090.1"/>
    <n v="0.44"/>
    <n v="0.33"/>
    <n v="2708.52"/>
    <x v="1"/>
    <n v="695"/>
    <n v="0.15"/>
    <n v="915.97"/>
    <n v="0.25"/>
    <n v="349.9"/>
    <n v="0.09"/>
    <n v="9"/>
    <n v="0"/>
    <n v="52"/>
    <n v="0"/>
    <n v="677.64"/>
    <n v="3467.09"/>
    <x v="1"/>
    <n v="1127.74"/>
    <x v="6"/>
    <x v="0"/>
    <n v="43"/>
    <s v="Low"/>
    <n v="2090.1"/>
    <n v="0"/>
  </r>
  <r>
    <x v="16"/>
    <x v="14"/>
    <n v="1571"/>
    <n v="3722.17"/>
    <n v="2698.77"/>
    <n v="1023.4"/>
    <n v="0.73"/>
    <n v="0.28999999999999998"/>
    <n v="3200.6"/>
    <x v="1"/>
    <n v="673"/>
    <n v="0.32"/>
    <n v="357.42"/>
    <n v="0.1"/>
    <n v="981.94"/>
    <n v="0.26"/>
    <n v="6"/>
    <n v="549.38"/>
    <n v="20"/>
    <n v="0"/>
    <n v="349.02"/>
    <n v="1780.53"/>
    <x v="1"/>
    <n v="1344.85"/>
    <x v="2"/>
    <x v="2"/>
    <n v="54.8"/>
    <s v="High"/>
    <n v="1023.4"/>
    <n v="0"/>
  </r>
  <r>
    <x v="16"/>
    <x v="14"/>
    <n v="1204"/>
    <n v="3709"/>
    <n v="2579.19"/>
    <n v="1129.81"/>
    <n v="0.7"/>
    <n v="0.13"/>
    <n v="3047.43"/>
    <x v="1"/>
    <n v="619"/>
    <n v="0.34"/>
    <n v="571.91"/>
    <n v="0.15"/>
    <n v="376.32"/>
    <n v="0.1"/>
    <n v="2"/>
    <n v="141.29"/>
    <n v="59"/>
    <n v="0"/>
    <n v="478.88"/>
    <n v="2553.4699999999998"/>
    <x v="1"/>
    <n v="1008.4"/>
    <x v="4"/>
    <x v="0"/>
    <n v="22.3"/>
    <s v="High"/>
    <n v="1129.81"/>
    <n v="0"/>
  </r>
  <r>
    <x v="16"/>
    <x v="14"/>
    <n v="1043"/>
    <n v="3519.82"/>
    <n v="2372.88"/>
    <n v="1146.94"/>
    <n v="0.67"/>
    <n v="0.21"/>
    <n v="2780.81"/>
    <x v="1"/>
    <n v="634"/>
    <n v="0.56999999999999995"/>
    <n v="363.81"/>
    <n v="0.1"/>
    <n v="233.72"/>
    <n v="7.0000000000000007E-2"/>
    <n v="1"/>
    <n v="1195.27"/>
    <n v="93"/>
    <n v="0"/>
    <n v="527.76"/>
    <n v="2354.0700000000002"/>
    <x v="2"/>
    <n v="1122.74"/>
    <x v="0"/>
    <x v="1"/>
    <n v="10.3"/>
    <s v="Low"/>
    <n v="1146.94"/>
    <n v="0"/>
  </r>
  <r>
    <x v="16"/>
    <x v="14"/>
    <n v="1298"/>
    <n v="3633.98"/>
    <n v="3113.24"/>
    <n v="520.74"/>
    <n v="0.86"/>
    <n v="0.23"/>
    <n v="2273.34"/>
    <x v="1"/>
    <n v="668"/>
    <n v="0.53"/>
    <n v="265.02999999999997"/>
    <n v="7.0000000000000007E-2"/>
    <n v="274.19"/>
    <n v="0.08"/>
    <n v="1"/>
    <n v="1384.06"/>
    <n v="58"/>
    <n v="0"/>
    <n v="0"/>
    <n v="2414.06"/>
    <x v="0"/>
    <n v="1492.58"/>
    <x v="5"/>
    <x v="1"/>
    <n v="92.9"/>
    <s v="Medium"/>
    <n v="520.74"/>
    <n v="0"/>
  </r>
  <r>
    <x v="16"/>
    <x v="14"/>
    <n v="1570"/>
    <n v="6003.35"/>
    <n v="3555.37"/>
    <n v="2447.98"/>
    <n v="0.59"/>
    <n v="0.36"/>
    <n v="4262.5200000000004"/>
    <x v="0"/>
    <n v="712"/>
    <n v="0.19"/>
    <n v="397.27"/>
    <n v="7.0000000000000007E-2"/>
    <n v="107.59"/>
    <n v="0.02"/>
    <n v="4"/>
    <n v="1168.22"/>
    <n v="91"/>
    <n v="0"/>
    <n v="342.13"/>
    <n v="2276.75"/>
    <x v="0"/>
    <n v="1818.81"/>
    <x v="3"/>
    <x v="0"/>
    <n v="31.1"/>
    <s v="Low"/>
    <n v="2447.98"/>
    <n v="0"/>
  </r>
  <r>
    <x v="16"/>
    <x v="14"/>
    <n v="1176"/>
    <n v="5323.58"/>
    <n v="4325.1499999999996"/>
    <n v="998.43"/>
    <n v="0.81"/>
    <n v="0.31"/>
    <n v="2673.2"/>
    <x v="1"/>
    <n v="679"/>
    <n v="0.5"/>
    <n v="678.56"/>
    <n v="0.13"/>
    <n v="524.21"/>
    <n v="0.1"/>
    <n v="8"/>
    <n v="80.930000000000007"/>
    <n v="99"/>
    <n v="1"/>
    <n v="639.84"/>
    <n v="2987.39"/>
    <x v="1"/>
    <n v="678.98"/>
    <x v="5"/>
    <x v="0"/>
    <n v="98.2"/>
    <s v="Low"/>
    <n v="998.43"/>
    <n v="0"/>
  </r>
  <r>
    <x v="16"/>
    <x v="14"/>
    <n v="1966"/>
    <n v="3475.29"/>
    <n v="3536.74"/>
    <n v="-61.45"/>
    <n v="1.02"/>
    <n v="0.05"/>
    <n v="2613.46"/>
    <x v="0"/>
    <n v="786"/>
    <n v="0.56999999999999995"/>
    <n v="734.61"/>
    <n v="0.21"/>
    <n v="0"/>
    <n v="0"/>
    <n v="2"/>
    <n v="783.53"/>
    <n v="95"/>
    <n v="0"/>
    <n v="821.66"/>
    <n v="2274.12"/>
    <x v="1"/>
    <n v="789.9"/>
    <x v="7"/>
    <x v="0"/>
    <n v="38.700000000000003"/>
    <s v="Medium"/>
    <n v="0"/>
    <n v="0"/>
  </r>
  <r>
    <x v="16"/>
    <x v="14"/>
    <n v="1280"/>
    <n v="4932.71"/>
    <n v="2546.71"/>
    <n v="2386"/>
    <n v="0.52"/>
    <n v="0.38"/>
    <n v="2468.31"/>
    <x v="1"/>
    <n v="652"/>
    <n v="0.21"/>
    <n v="568.75"/>
    <n v="0.12"/>
    <n v="519.62"/>
    <n v="0.11"/>
    <n v="1"/>
    <n v="779.76"/>
    <n v="63"/>
    <n v="0"/>
    <n v="384.75"/>
    <n v="2779.89"/>
    <x v="1"/>
    <n v="826.62"/>
    <x v="3"/>
    <x v="0"/>
    <n v="94.3"/>
    <s v="Low"/>
    <n v="2386"/>
    <n v="0"/>
  </r>
  <r>
    <x v="16"/>
    <x v="14"/>
    <n v="1632"/>
    <n v="4830.58"/>
    <n v="3774.05"/>
    <n v="1056.53"/>
    <n v="0.78"/>
    <n v="0.18"/>
    <n v="2819.09"/>
    <x v="1"/>
    <n v="688"/>
    <n v="0.15"/>
    <n v="385.07"/>
    <n v="0.08"/>
    <n v="90.72"/>
    <n v="0.02"/>
    <n v="4"/>
    <n v="856.02"/>
    <n v="33"/>
    <n v="0"/>
    <n v="665.36"/>
    <n v="2102.46"/>
    <x v="1"/>
    <n v="1074.78"/>
    <x v="9"/>
    <x v="0"/>
    <n v="77"/>
    <s v="Low"/>
    <n v="1056.53"/>
    <n v="0"/>
  </r>
  <r>
    <x v="16"/>
    <x v="14"/>
    <n v="1190"/>
    <n v="2783.2"/>
    <n v="2110.1"/>
    <n v="673.1"/>
    <n v="0.76"/>
    <n v="0.3"/>
    <n v="3384.5"/>
    <x v="2"/>
    <n v="721"/>
    <n v="0.52"/>
    <n v="95.28"/>
    <n v="0.03"/>
    <n v="669.29"/>
    <n v="0.24"/>
    <n v="2"/>
    <n v="1392.78"/>
    <n v="90"/>
    <n v="0"/>
    <n v="395.3"/>
    <n v="3054.2"/>
    <x v="2"/>
    <n v="716.94"/>
    <x v="9"/>
    <x v="0"/>
    <n v="74.7"/>
    <s v="High"/>
    <n v="673.1"/>
    <n v="0"/>
  </r>
  <r>
    <x v="16"/>
    <x v="14"/>
    <n v="1087"/>
    <n v="3672.17"/>
    <n v="2924.18"/>
    <n v="747.99"/>
    <n v="0.8"/>
    <n v="0.33"/>
    <n v="2655.87"/>
    <x v="1"/>
    <n v="653"/>
    <n v="0.13"/>
    <n v="577.11"/>
    <n v="0.16"/>
    <n v="568.87"/>
    <n v="0.15"/>
    <n v="3"/>
    <n v="947.03"/>
    <n v="69"/>
    <n v="0"/>
    <n v="391.13"/>
    <n v="2511.88"/>
    <x v="1"/>
    <n v="1185.81"/>
    <x v="1"/>
    <x v="1"/>
    <n v="75.8"/>
    <s v="Medium"/>
    <n v="747.99"/>
    <n v="0"/>
  </r>
  <r>
    <x v="16"/>
    <x v="14"/>
    <n v="1153"/>
    <n v="4987.93"/>
    <n v="2830.48"/>
    <n v="2157.4499999999998"/>
    <n v="0.56999999999999995"/>
    <n v="0.19"/>
    <n v="2370.91"/>
    <x v="2"/>
    <n v="744"/>
    <n v="0.13"/>
    <n v="411.87"/>
    <n v="0.08"/>
    <n v="595.71"/>
    <n v="0.12"/>
    <n v="8"/>
    <n v="623.64"/>
    <n v="93"/>
    <n v="0"/>
    <n v="560.04999999999995"/>
    <n v="1912.31"/>
    <x v="1"/>
    <n v="1725.13"/>
    <x v="0"/>
    <x v="1"/>
    <n v="0.9"/>
    <s v="Low"/>
    <n v="2157.4499999999998"/>
    <n v="0"/>
  </r>
  <r>
    <x v="16"/>
    <x v="14"/>
    <n v="1076"/>
    <n v="5454.76"/>
    <n v="2154.4699999999998"/>
    <n v="3300.29"/>
    <n v="0.39"/>
    <n v="0.24"/>
    <n v="2266.39"/>
    <x v="1"/>
    <n v="710"/>
    <n v="0.5"/>
    <n v="637.62"/>
    <n v="0.12"/>
    <n v="641.61"/>
    <n v="0.12"/>
    <n v="4"/>
    <n v="677.57"/>
    <n v="21"/>
    <n v="0"/>
    <n v="489.71"/>
    <n v="2510.36"/>
    <x v="0"/>
    <n v="1543.86"/>
    <x v="3"/>
    <x v="2"/>
    <n v="81.400000000000006"/>
    <s v="Medium"/>
    <n v="3300.29"/>
    <n v="1"/>
  </r>
  <r>
    <x v="16"/>
    <x v="14"/>
    <n v="1631"/>
    <n v="3397.68"/>
    <n v="2411.48"/>
    <n v="986.2"/>
    <n v="0.71"/>
    <n v="0.25"/>
    <n v="3757.28"/>
    <x v="0"/>
    <n v="640"/>
    <n v="0.45"/>
    <n v="547.42999999999995"/>
    <n v="0.16"/>
    <n v="532.64"/>
    <n v="0.16"/>
    <n v="4"/>
    <n v="105"/>
    <n v="93"/>
    <n v="0"/>
    <n v="456.26"/>
    <n v="1885.64"/>
    <x v="1"/>
    <n v="1065.27"/>
    <x v="0"/>
    <x v="1"/>
    <n v="59.5"/>
    <s v="Medium"/>
    <n v="986.2"/>
    <n v="0"/>
  </r>
  <r>
    <x v="16"/>
    <x v="14"/>
    <n v="1529"/>
    <n v="3001.94"/>
    <n v="3635.21"/>
    <n v="-633.27"/>
    <n v="1.21"/>
    <n v="0.13"/>
    <n v="3014.23"/>
    <x v="2"/>
    <n v="667"/>
    <n v="0.13"/>
    <n v="859.22"/>
    <n v="0.28999999999999998"/>
    <n v="110.94"/>
    <n v="0.04"/>
    <n v="5"/>
    <n v="158.97"/>
    <n v="64"/>
    <n v="0"/>
    <n v="766.06"/>
    <n v="1421.02"/>
    <x v="1"/>
    <n v="2056.7600000000002"/>
    <x v="1"/>
    <x v="2"/>
    <n v="41"/>
    <s v="High"/>
    <n v="0"/>
    <n v="0"/>
  </r>
  <r>
    <x v="16"/>
    <x v="14"/>
    <n v="1472"/>
    <n v="3764.76"/>
    <n v="3345.58"/>
    <n v="419.18"/>
    <n v="0.89"/>
    <n v="0.31"/>
    <n v="2450.86"/>
    <x v="0"/>
    <n v="678"/>
    <n v="0.47"/>
    <n v="512.46"/>
    <n v="0.14000000000000001"/>
    <n v="211.66"/>
    <n v="0.06"/>
    <n v="9"/>
    <n v="846.86"/>
    <n v="96"/>
    <n v="0"/>
    <n v="694.38"/>
    <n v="2051.12"/>
    <x v="1"/>
    <n v="983.29"/>
    <x v="1"/>
    <x v="2"/>
    <n v="96.6"/>
    <s v="Low"/>
    <n v="419.18"/>
    <n v="0"/>
  </r>
  <r>
    <x v="16"/>
    <x v="14"/>
    <n v="1167"/>
    <n v="2108.86"/>
    <n v="2913.53"/>
    <n v="-804.67"/>
    <n v="1.38"/>
    <n v="0.39"/>
    <n v="2092.2600000000002"/>
    <x v="2"/>
    <n v="660"/>
    <n v="0.38"/>
    <n v="380.34"/>
    <n v="0.18"/>
    <n v="255.41"/>
    <n v="0.12"/>
    <n v="5"/>
    <n v="659.84"/>
    <n v="40"/>
    <n v="0"/>
    <n v="392.67"/>
    <n v="2158.27"/>
    <x v="0"/>
    <n v="1586.08"/>
    <x v="9"/>
    <x v="0"/>
    <n v="86.7"/>
    <s v="Low"/>
    <n v="0"/>
    <n v="0"/>
  </r>
  <r>
    <x v="17"/>
    <x v="15"/>
    <n v="1050"/>
    <n v="1884.19"/>
    <n v="2764.11"/>
    <n v="-879.92"/>
    <n v="1.47"/>
    <n v="0.28999999999999998"/>
    <n v="3904.13"/>
    <x v="1"/>
    <n v="676"/>
    <n v="0.41"/>
    <n v="550.79"/>
    <n v="0.28999999999999998"/>
    <n v="394.33"/>
    <n v="0.21"/>
    <n v="6"/>
    <n v="1692.29"/>
    <n v="59"/>
    <n v="0"/>
    <n v="633.22"/>
    <n v="2517.59"/>
    <x v="2"/>
    <n v="1187.56"/>
    <x v="2"/>
    <x v="0"/>
    <n v="68.599999999999994"/>
    <s v="Low"/>
    <n v="0"/>
    <n v="0"/>
  </r>
  <r>
    <x v="17"/>
    <x v="15"/>
    <n v="1730"/>
    <n v="4003.62"/>
    <n v="4254.45"/>
    <n v="-250.83"/>
    <n v="1.06"/>
    <n v="0.17"/>
    <n v="2560.16"/>
    <x v="1"/>
    <n v="628"/>
    <n v="0.46"/>
    <n v="660.45"/>
    <n v="0.16"/>
    <n v="767.32"/>
    <n v="0.19"/>
    <n v="1"/>
    <n v="794.26"/>
    <n v="57"/>
    <n v="0"/>
    <n v="525.02"/>
    <n v="1000"/>
    <x v="1"/>
    <n v="1609.61"/>
    <x v="1"/>
    <x v="0"/>
    <n v="71.8"/>
    <s v="Low"/>
    <n v="0"/>
    <n v="0"/>
  </r>
  <r>
    <x v="17"/>
    <x v="15"/>
    <n v="1718"/>
    <n v="2598.8200000000002"/>
    <n v="2864.59"/>
    <n v="-265.77"/>
    <n v="1.1000000000000001"/>
    <n v="0.13"/>
    <n v="2660.26"/>
    <x v="0"/>
    <n v="671"/>
    <n v="0.11"/>
    <n v="758.38"/>
    <n v="0.28999999999999998"/>
    <n v="0"/>
    <n v="0"/>
    <n v="1"/>
    <n v="447.74"/>
    <n v="32"/>
    <n v="0"/>
    <n v="866.5"/>
    <n v="1636.85"/>
    <x v="0"/>
    <n v="1055.44"/>
    <x v="5"/>
    <x v="2"/>
    <n v="83.2"/>
    <s v="Low"/>
    <n v="0"/>
    <n v="0"/>
  </r>
  <r>
    <x v="17"/>
    <x v="15"/>
    <n v="1852"/>
    <n v="4195.32"/>
    <n v="4528.08"/>
    <n v="-332.76"/>
    <n v="1.08"/>
    <n v="0.06"/>
    <n v="3192.45"/>
    <x v="1"/>
    <n v="722"/>
    <n v="0.43"/>
    <n v="789.01"/>
    <n v="0.19"/>
    <n v="436.08"/>
    <n v="0.1"/>
    <n v="2"/>
    <n v="246.74"/>
    <n v="57"/>
    <n v="0"/>
    <n v="504.13"/>
    <n v="2207.11"/>
    <x v="1"/>
    <n v="770.82"/>
    <x v="5"/>
    <x v="2"/>
    <n v="92.6"/>
    <s v="Medium"/>
    <n v="0"/>
    <n v="0"/>
  </r>
  <r>
    <x v="17"/>
    <x v="15"/>
    <n v="1484"/>
    <n v="4088.09"/>
    <n v="3620.7"/>
    <n v="467.39"/>
    <n v="0.89"/>
    <n v="0.34"/>
    <n v="2010.8"/>
    <x v="0"/>
    <n v="710"/>
    <n v="0.34"/>
    <n v="611.34"/>
    <n v="0.15"/>
    <n v="735.94"/>
    <n v="0.18"/>
    <n v="1"/>
    <n v="1614.93"/>
    <n v="75"/>
    <n v="0"/>
    <n v="551.29"/>
    <n v="2624.18"/>
    <x v="1"/>
    <n v="1461.19"/>
    <x v="3"/>
    <x v="0"/>
    <n v="46.1"/>
    <s v="Low"/>
    <n v="467.39"/>
    <n v="0"/>
  </r>
  <r>
    <x v="17"/>
    <x v="15"/>
    <n v="1605"/>
    <n v="3942.37"/>
    <n v="4078.75"/>
    <n v="-136.38"/>
    <n v="1.03"/>
    <n v="0.32"/>
    <n v="3336.25"/>
    <x v="1"/>
    <n v="718"/>
    <n v="0.53"/>
    <n v="690.54"/>
    <n v="0.18"/>
    <n v="275.01"/>
    <n v="7.0000000000000007E-2"/>
    <n v="7"/>
    <n v="818.54"/>
    <n v="86"/>
    <n v="0"/>
    <n v="562.32000000000005"/>
    <n v="2412.9699999999998"/>
    <x v="1"/>
    <n v="1326.91"/>
    <x v="6"/>
    <x v="0"/>
    <n v="53.4"/>
    <s v="High"/>
    <n v="0"/>
    <n v="0"/>
  </r>
  <r>
    <x v="17"/>
    <x v="15"/>
    <n v="1286"/>
    <n v="5753.34"/>
    <n v="3238.35"/>
    <n v="2514.9899999999998"/>
    <n v="0.56000000000000005"/>
    <n v="0.38"/>
    <n v="2607.6"/>
    <x v="1"/>
    <n v="682"/>
    <n v="0.26"/>
    <n v="487.83"/>
    <n v="0.08"/>
    <n v="296.7"/>
    <n v="0.05"/>
    <n v="7"/>
    <n v="1258.3900000000001"/>
    <n v="77"/>
    <n v="0"/>
    <n v="804.12"/>
    <n v="2517.02"/>
    <x v="1"/>
    <n v="1359.53"/>
    <x v="5"/>
    <x v="0"/>
    <n v="95.8"/>
    <s v="Medium"/>
    <n v="2514.9899999999998"/>
    <n v="0"/>
  </r>
  <r>
    <x v="17"/>
    <x v="15"/>
    <n v="1529"/>
    <n v="4708.46"/>
    <n v="3533.97"/>
    <n v="1174.49"/>
    <n v="0.75"/>
    <n v="0.37"/>
    <n v="2535.7800000000002"/>
    <x v="1"/>
    <n v="697"/>
    <n v="0.36"/>
    <n v="783.58"/>
    <n v="0.17"/>
    <n v="0"/>
    <n v="0"/>
    <n v="3"/>
    <n v="709.75"/>
    <n v="61"/>
    <n v="0"/>
    <n v="690.13"/>
    <n v="2430.7399999999998"/>
    <x v="1"/>
    <n v="1152.6500000000001"/>
    <x v="8"/>
    <x v="0"/>
    <n v="20.8"/>
    <s v="Low"/>
    <n v="1174.49"/>
    <n v="0"/>
  </r>
  <r>
    <x v="17"/>
    <x v="15"/>
    <n v="1692"/>
    <n v="3353.89"/>
    <n v="2721.3"/>
    <n v="632.59"/>
    <n v="0.81"/>
    <n v="0.34"/>
    <n v="2831.99"/>
    <x v="1"/>
    <n v="678"/>
    <n v="0.54"/>
    <n v="753.89"/>
    <n v="0.22"/>
    <n v="316.05"/>
    <n v="0.09"/>
    <n v="5"/>
    <n v="934.71"/>
    <n v="35"/>
    <n v="0"/>
    <n v="513.63"/>
    <n v="1301.67"/>
    <x v="0"/>
    <n v="1414.77"/>
    <x v="6"/>
    <x v="0"/>
    <n v="70"/>
    <s v="High"/>
    <n v="632.59"/>
    <n v="0"/>
  </r>
  <r>
    <x v="17"/>
    <x v="15"/>
    <n v="1543"/>
    <n v="4448.12"/>
    <n v="2677.72"/>
    <n v="1770.4"/>
    <n v="0.6"/>
    <n v="0.27"/>
    <n v="2309.8000000000002"/>
    <x v="1"/>
    <n v="797"/>
    <n v="0.44"/>
    <n v="366.82"/>
    <n v="0.08"/>
    <n v="553.58000000000004"/>
    <n v="0.12"/>
    <n v="2"/>
    <n v="834.51"/>
    <n v="93"/>
    <n v="0"/>
    <n v="877.83"/>
    <n v="2917.2"/>
    <x v="0"/>
    <n v="1324.87"/>
    <x v="4"/>
    <x v="0"/>
    <n v="90.5"/>
    <s v="High"/>
    <n v="1770.4"/>
    <n v="0"/>
  </r>
  <r>
    <x v="17"/>
    <x v="15"/>
    <n v="1524"/>
    <n v="4703.43"/>
    <n v="4581.72"/>
    <n v="121.71"/>
    <n v="0.97"/>
    <n v="0.31"/>
    <n v="3193.16"/>
    <x v="1"/>
    <n v="680"/>
    <n v="0.35"/>
    <n v="630.80999999999995"/>
    <n v="0.13"/>
    <n v="1288.24"/>
    <n v="0.27"/>
    <n v="4"/>
    <n v="1066.51"/>
    <n v="59"/>
    <n v="0"/>
    <n v="473.21"/>
    <n v="2219.56"/>
    <x v="1"/>
    <n v="1673.28"/>
    <x v="4"/>
    <x v="1"/>
    <n v="45"/>
    <s v="Medium"/>
    <n v="121.71"/>
    <n v="0"/>
  </r>
  <r>
    <x v="17"/>
    <x v="15"/>
    <n v="1252"/>
    <n v="4358.1499999999996"/>
    <n v="1107.05"/>
    <n v="3251.1"/>
    <n v="0.25"/>
    <n v="0.08"/>
    <n v="1901.55"/>
    <x v="0"/>
    <n v="664"/>
    <n v="0.37"/>
    <n v="696.93"/>
    <n v="0.16"/>
    <n v="427.17"/>
    <n v="0.1"/>
    <n v="9"/>
    <n v="1076.1600000000001"/>
    <n v="93"/>
    <n v="0"/>
    <n v="566.45000000000005"/>
    <n v="2941.9"/>
    <x v="1"/>
    <n v="1520.21"/>
    <x v="8"/>
    <x v="0"/>
    <n v="42.1"/>
    <s v="Low"/>
    <n v="3251.1"/>
    <n v="1"/>
  </r>
  <r>
    <x v="17"/>
    <x v="15"/>
    <n v="1459"/>
    <n v="6190.28"/>
    <n v="3125.66"/>
    <n v="3064.62"/>
    <n v="0.5"/>
    <n v="0.22"/>
    <n v="2272.3000000000002"/>
    <x v="1"/>
    <n v="677"/>
    <n v="0.22"/>
    <n v="459.49"/>
    <n v="7.0000000000000007E-2"/>
    <n v="653.91999999999996"/>
    <n v="0.11"/>
    <n v="1"/>
    <n v="1830.59"/>
    <n v="98"/>
    <n v="0"/>
    <n v="490.83"/>
    <n v="2738.41"/>
    <x v="0"/>
    <n v="971.23"/>
    <x v="6"/>
    <x v="0"/>
    <n v="41.5"/>
    <s v="Low"/>
    <n v="3064.62"/>
    <n v="1"/>
  </r>
  <r>
    <x v="17"/>
    <x v="15"/>
    <n v="1127"/>
    <n v="5677.78"/>
    <n v="3404.97"/>
    <n v="2272.81"/>
    <n v="0.6"/>
    <n v="0.38"/>
    <n v="2677.7"/>
    <x v="0"/>
    <n v="663"/>
    <n v="0.3"/>
    <n v="300.58"/>
    <n v="0.05"/>
    <n v="168.99"/>
    <n v="0.03"/>
    <n v="9"/>
    <n v="977.87"/>
    <n v="68"/>
    <n v="0"/>
    <n v="843.47"/>
    <n v="2441.8200000000002"/>
    <x v="1"/>
    <n v="910.48"/>
    <x v="6"/>
    <x v="0"/>
    <n v="34.799999999999997"/>
    <s v="Low"/>
    <n v="2272.81"/>
    <n v="0"/>
  </r>
  <r>
    <x v="17"/>
    <x v="15"/>
    <n v="1100"/>
    <n v="3965.82"/>
    <n v="4953.4799999999996"/>
    <n v="-987.66"/>
    <n v="1.25"/>
    <n v="0.21"/>
    <n v="2769.08"/>
    <x v="1"/>
    <n v="583"/>
    <n v="0.39"/>
    <n v="397.29"/>
    <n v="0.1"/>
    <n v="633.23"/>
    <n v="0.16"/>
    <n v="9"/>
    <n v="562.98"/>
    <n v="85"/>
    <n v="0"/>
    <n v="381.06"/>
    <n v="3575.89"/>
    <x v="1"/>
    <n v="2116.54"/>
    <x v="2"/>
    <x v="1"/>
    <n v="31.2"/>
    <s v="Medium"/>
    <n v="0"/>
    <n v="0"/>
  </r>
  <r>
    <x v="17"/>
    <x v="15"/>
    <n v="1652"/>
    <n v="3881.49"/>
    <n v="3167.81"/>
    <n v="713.68"/>
    <n v="0.82"/>
    <n v="0.05"/>
    <n v="2643.11"/>
    <x v="2"/>
    <n v="705"/>
    <n v="0.22"/>
    <n v="239.12"/>
    <n v="0.06"/>
    <n v="251.37"/>
    <n v="0.06"/>
    <n v="5"/>
    <n v="295.57"/>
    <n v="36"/>
    <n v="0"/>
    <n v="593.63"/>
    <n v="1797.74"/>
    <x v="1"/>
    <n v="1822.98"/>
    <x v="2"/>
    <x v="1"/>
    <n v="98.8"/>
    <s v="Low"/>
    <n v="713.68"/>
    <n v="0"/>
  </r>
  <r>
    <x v="17"/>
    <x v="15"/>
    <n v="1599"/>
    <n v="4136.6099999999997"/>
    <n v="2958.28"/>
    <n v="1178.33"/>
    <n v="0.72"/>
    <n v="0.39"/>
    <n v="3100.36"/>
    <x v="0"/>
    <n v="725"/>
    <n v="0.45"/>
    <n v="761.91"/>
    <n v="0.18"/>
    <n v="399.58"/>
    <n v="0.1"/>
    <n v="1"/>
    <n v="445.02"/>
    <n v="84"/>
    <n v="0"/>
    <n v="458.94"/>
    <n v="1893.77"/>
    <x v="2"/>
    <n v="1470.46"/>
    <x v="6"/>
    <x v="0"/>
    <n v="28"/>
    <s v="Medium"/>
    <n v="1178.33"/>
    <n v="0"/>
  </r>
  <r>
    <x v="17"/>
    <x v="15"/>
    <n v="1784"/>
    <n v="4488.8500000000004"/>
    <n v="4399.84"/>
    <n v="89.01"/>
    <n v="0.98"/>
    <n v="0.39"/>
    <n v="2360.5"/>
    <x v="1"/>
    <n v="714"/>
    <n v="0.18"/>
    <n v="809.59"/>
    <n v="0.18"/>
    <n v="767.54"/>
    <n v="0.17"/>
    <n v="3"/>
    <n v="1099.68"/>
    <n v="71"/>
    <n v="0"/>
    <n v="380.14"/>
    <n v="1474.65"/>
    <x v="1"/>
    <n v="1126.51"/>
    <x v="8"/>
    <x v="0"/>
    <n v="87.3"/>
    <s v="High"/>
    <n v="89.01"/>
    <n v="0"/>
  </r>
  <r>
    <x v="17"/>
    <x v="15"/>
    <n v="1140"/>
    <n v="4695.57"/>
    <n v="2806.19"/>
    <n v="1889.38"/>
    <n v="0.6"/>
    <n v="0.1"/>
    <n v="2240.5"/>
    <x v="1"/>
    <n v="715"/>
    <n v="0.54"/>
    <n v="336.8"/>
    <n v="7.0000000000000007E-2"/>
    <n v="459"/>
    <n v="0.1"/>
    <n v="3"/>
    <n v="602.27"/>
    <n v="46"/>
    <n v="0"/>
    <n v="542.15"/>
    <n v="1000"/>
    <x v="1"/>
    <n v="1370.82"/>
    <x v="7"/>
    <x v="0"/>
    <n v="69.900000000000006"/>
    <s v="Low"/>
    <n v="1889.38"/>
    <n v="0"/>
  </r>
  <r>
    <x v="17"/>
    <x v="15"/>
    <n v="1052"/>
    <n v="4385.47"/>
    <n v="2898.22"/>
    <n v="1487.25"/>
    <n v="0.66"/>
    <n v="0.19"/>
    <n v="2321.21"/>
    <x v="1"/>
    <n v="638"/>
    <n v="0.15"/>
    <n v="127.53"/>
    <n v="0.03"/>
    <n v="170.15"/>
    <n v="0.04"/>
    <n v="1"/>
    <n v="299.77999999999997"/>
    <n v="86"/>
    <n v="0"/>
    <n v="118.95"/>
    <n v="2268.67"/>
    <x v="0"/>
    <n v="1713.51"/>
    <x v="7"/>
    <x v="0"/>
    <n v="46.9"/>
    <s v="Low"/>
    <n v="1487.25"/>
    <n v="0"/>
  </r>
  <r>
    <x v="17"/>
    <x v="15"/>
    <n v="1763"/>
    <n v="5136.21"/>
    <n v="4502.0600000000004"/>
    <n v="634.15"/>
    <n v="0.88"/>
    <n v="0.2"/>
    <n v="2634.13"/>
    <x v="0"/>
    <n v="635"/>
    <n v="0.53"/>
    <n v="443.15"/>
    <n v="0.09"/>
    <n v="320.49"/>
    <n v="0.06"/>
    <n v="7"/>
    <n v="52.89"/>
    <n v="43"/>
    <n v="0"/>
    <n v="473.34"/>
    <n v="2388.88"/>
    <x v="1"/>
    <n v="823.84"/>
    <x v="7"/>
    <x v="0"/>
    <n v="31.8"/>
    <s v="Low"/>
    <n v="634.15"/>
    <n v="0"/>
  </r>
  <r>
    <x v="17"/>
    <x v="15"/>
    <n v="1771"/>
    <n v="3333.31"/>
    <n v="2219.09"/>
    <n v="1114.22"/>
    <n v="0.67"/>
    <n v="0.28999999999999998"/>
    <n v="2310.84"/>
    <x v="2"/>
    <n v="733"/>
    <n v="0.39"/>
    <n v="424.62"/>
    <n v="0.13"/>
    <n v="434.77"/>
    <n v="0.13"/>
    <n v="8"/>
    <n v="1581.95"/>
    <n v="72"/>
    <n v="0"/>
    <n v="397.04"/>
    <n v="2706.59"/>
    <x v="0"/>
    <n v="789.24"/>
    <x v="4"/>
    <x v="1"/>
    <n v="51.6"/>
    <s v="Medium"/>
    <n v="1114.22"/>
    <n v="0"/>
  </r>
  <r>
    <x v="17"/>
    <x v="15"/>
    <n v="1493"/>
    <n v="4804.53"/>
    <n v="3627.08"/>
    <n v="1177.45"/>
    <n v="0.75"/>
    <n v="0.3"/>
    <n v="2574.2199999999998"/>
    <x v="1"/>
    <n v="694"/>
    <n v="0.56999999999999995"/>
    <n v="427.03"/>
    <n v="0.09"/>
    <n v="579.98"/>
    <n v="0.12"/>
    <n v="8"/>
    <n v="1146.3499999999999"/>
    <n v="85"/>
    <n v="0"/>
    <n v="633.84"/>
    <n v="2326.04"/>
    <x v="1"/>
    <n v="1385.96"/>
    <x v="4"/>
    <x v="1"/>
    <n v="4.9000000000000004"/>
    <s v="Low"/>
    <n v="1177.45"/>
    <n v="0"/>
  </r>
  <r>
    <x v="17"/>
    <x v="15"/>
    <n v="1095"/>
    <n v="3252.73"/>
    <n v="3149.63"/>
    <n v="103.1"/>
    <n v="0.97"/>
    <n v="0.16"/>
    <n v="2463.61"/>
    <x v="0"/>
    <n v="673"/>
    <n v="0.36"/>
    <n v="679"/>
    <n v="0.21"/>
    <n v="106.06"/>
    <n v="0.03"/>
    <n v="6"/>
    <n v="1882.74"/>
    <n v="81"/>
    <n v="0"/>
    <n v="586.62"/>
    <n v="1586.28"/>
    <x v="1"/>
    <n v="1493.27"/>
    <x v="1"/>
    <x v="2"/>
    <n v="87.7"/>
    <s v="High"/>
    <n v="103.1"/>
    <n v="0"/>
  </r>
  <r>
    <x v="17"/>
    <x v="15"/>
    <n v="1602"/>
    <n v="4255.3599999999997"/>
    <n v="2536.66"/>
    <n v="1718.7"/>
    <n v="0.6"/>
    <n v="0.08"/>
    <n v="4030.24"/>
    <x v="1"/>
    <n v="664"/>
    <n v="0.12"/>
    <n v="416.59"/>
    <n v="0.1"/>
    <n v="508.87"/>
    <n v="0.12"/>
    <n v="7"/>
    <n v="1523.37"/>
    <n v="27"/>
    <n v="0"/>
    <n v="391.51"/>
    <n v="1397.49"/>
    <x v="1"/>
    <n v="1356.43"/>
    <x v="8"/>
    <x v="0"/>
    <n v="2.5"/>
    <s v="High"/>
    <n v="1718.7"/>
    <n v="0"/>
  </r>
  <r>
    <x v="17"/>
    <x v="15"/>
    <n v="1685"/>
    <n v="4897.55"/>
    <n v="2850.16"/>
    <n v="2047.39"/>
    <n v="0.57999999999999996"/>
    <n v="0.2"/>
    <n v="2293.4"/>
    <x v="1"/>
    <n v="612"/>
    <n v="0.16"/>
    <n v="619.21"/>
    <n v="0.13"/>
    <n v="456.93"/>
    <n v="0.09"/>
    <n v="7"/>
    <n v="1121.58"/>
    <n v="75"/>
    <n v="0"/>
    <n v="573.15"/>
    <n v="1888.39"/>
    <x v="1"/>
    <n v="1303.51"/>
    <x v="8"/>
    <x v="2"/>
    <n v="75.900000000000006"/>
    <s v="Low"/>
    <n v="2047.39"/>
    <n v="0"/>
  </r>
  <r>
    <x v="17"/>
    <x v="15"/>
    <n v="1595"/>
    <n v="4161.28"/>
    <n v="2325.9499999999998"/>
    <n v="1835.33"/>
    <n v="0.56000000000000005"/>
    <n v="0.34"/>
    <n v="2739.99"/>
    <x v="0"/>
    <n v="534"/>
    <n v="0.28999999999999998"/>
    <n v="374.71"/>
    <n v="0.09"/>
    <n v="558.16999999999996"/>
    <n v="0.13"/>
    <n v="3"/>
    <n v="316.39"/>
    <n v="57"/>
    <n v="0"/>
    <n v="335.98"/>
    <n v="2826.47"/>
    <x v="1"/>
    <n v="858.22"/>
    <x v="6"/>
    <x v="0"/>
    <n v="60.2"/>
    <s v="Low"/>
    <n v="1835.33"/>
    <n v="0"/>
  </r>
  <r>
    <x v="17"/>
    <x v="15"/>
    <n v="1588"/>
    <n v="5608.86"/>
    <n v="2150.71"/>
    <n v="3458.15"/>
    <n v="0.38"/>
    <n v="0.16"/>
    <n v="3184.14"/>
    <x v="1"/>
    <n v="653"/>
    <n v="0.23"/>
    <n v="223.14"/>
    <n v="0.04"/>
    <n v="535.09"/>
    <n v="0.1"/>
    <n v="6"/>
    <n v="600.66"/>
    <n v="69"/>
    <n v="0"/>
    <n v="398.53"/>
    <n v="2137.2199999999998"/>
    <x v="1"/>
    <n v="678.82"/>
    <x v="7"/>
    <x v="2"/>
    <n v="73.099999999999994"/>
    <s v="Low"/>
    <n v="3458.15"/>
    <n v="1"/>
  </r>
  <r>
    <x v="17"/>
    <x v="15"/>
    <n v="1528"/>
    <n v="7407.94"/>
    <n v="3827.42"/>
    <n v="3580.52"/>
    <n v="0.52"/>
    <n v="0.33"/>
    <n v="2285.17"/>
    <x v="2"/>
    <n v="665"/>
    <n v="0.17"/>
    <n v="639.83000000000004"/>
    <n v="0.09"/>
    <n v="322.43"/>
    <n v="0.04"/>
    <n v="2"/>
    <n v="1430.18"/>
    <n v="27"/>
    <n v="0"/>
    <n v="948.02"/>
    <n v="2056.56"/>
    <x v="1"/>
    <n v="1663.48"/>
    <x v="8"/>
    <x v="0"/>
    <n v="51.7"/>
    <s v="Low"/>
    <n v="3580.52"/>
    <n v="1"/>
  </r>
  <r>
    <x v="17"/>
    <x v="15"/>
    <n v="1811"/>
    <n v="2473.08"/>
    <n v="2430.52"/>
    <n v="42.56"/>
    <n v="0.98"/>
    <n v="0.38"/>
    <n v="3160.06"/>
    <x v="1"/>
    <n v="615"/>
    <n v="0.56000000000000005"/>
    <n v="381.69"/>
    <n v="0.15"/>
    <n v="559.53"/>
    <n v="0.23"/>
    <n v="8"/>
    <n v="227.19"/>
    <n v="95"/>
    <n v="0"/>
    <n v="619.72"/>
    <n v="1550.85"/>
    <x v="1"/>
    <n v="1091.69"/>
    <x v="4"/>
    <x v="0"/>
    <n v="29.5"/>
    <s v="Medium"/>
    <n v="42.56"/>
    <n v="0"/>
  </r>
  <r>
    <x v="17"/>
    <x v="15"/>
    <n v="1316"/>
    <n v="4729.0200000000004"/>
    <n v="4744.34"/>
    <n v="-15.32"/>
    <n v="1"/>
    <n v="0.15"/>
    <n v="2857.35"/>
    <x v="1"/>
    <n v="716"/>
    <n v="0.13"/>
    <n v="175.21"/>
    <n v="0.04"/>
    <n v="93.45"/>
    <n v="0.02"/>
    <n v="4"/>
    <n v="621.91"/>
    <n v="83"/>
    <n v="0"/>
    <n v="420.68"/>
    <n v="2694.59"/>
    <x v="1"/>
    <n v="300"/>
    <x v="8"/>
    <x v="0"/>
    <n v="11.6"/>
    <s v="Medium"/>
    <n v="0"/>
    <n v="0"/>
  </r>
  <r>
    <x v="17"/>
    <x v="15"/>
    <n v="1164"/>
    <n v="4351.16"/>
    <n v="2656.02"/>
    <n v="1695.14"/>
    <n v="0.61"/>
    <n v="0.21"/>
    <n v="3659.21"/>
    <x v="1"/>
    <n v="728"/>
    <n v="0.6"/>
    <n v="400.75"/>
    <n v="0.09"/>
    <n v="559.34"/>
    <n v="0.13"/>
    <n v="8"/>
    <n v="22.54"/>
    <n v="59"/>
    <n v="1"/>
    <n v="420.08"/>
    <n v="2376.71"/>
    <x v="0"/>
    <n v="364.3"/>
    <x v="1"/>
    <x v="0"/>
    <n v="28.2"/>
    <s v="Medium"/>
    <n v="1695.14"/>
    <n v="0"/>
  </r>
  <r>
    <x v="17"/>
    <x v="15"/>
    <n v="1696"/>
    <n v="3630.66"/>
    <n v="4270.29"/>
    <n v="-639.63"/>
    <n v="1.18"/>
    <n v="0.18"/>
    <n v="2689.16"/>
    <x v="1"/>
    <n v="663"/>
    <n v="0.25"/>
    <n v="861.83"/>
    <n v="0.24"/>
    <n v="811.23"/>
    <n v="0.22"/>
    <n v="1"/>
    <n v="1224.27"/>
    <n v="30"/>
    <n v="0"/>
    <n v="686.64"/>
    <n v="2087.13"/>
    <x v="1"/>
    <n v="1932.18"/>
    <x v="2"/>
    <x v="0"/>
    <n v="48.7"/>
    <s v="Low"/>
    <n v="0"/>
    <n v="0"/>
  </r>
  <r>
    <x v="17"/>
    <x v="15"/>
    <n v="1637"/>
    <n v="2916.51"/>
    <n v="4177.55"/>
    <n v="-1261.04"/>
    <n v="1.43"/>
    <n v="0.34"/>
    <n v="2916.39"/>
    <x v="2"/>
    <n v="693"/>
    <n v="0.13"/>
    <n v="710.41"/>
    <n v="0.24"/>
    <n v="519.05999999999995"/>
    <n v="0.18"/>
    <n v="9"/>
    <n v="1927.13"/>
    <n v="47"/>
    <n v="1"/>
    <n v="367.37"/>
    <n v="2327.6799999999998"/>
    <x v="1"/>
    <n v="1142.5899999999999"/>
    <x v="2"/>
    <x v="2"/>
    <n v="12.5"/>
    <s v="Low"/>
    <n v="0"/>
    <n v="0"/>
  </r>
  <r>
    <x v="17"/>
    <x v="15"/>
    <n v="1263"/>
    <n v="3525.27"/>
    <n v="2470.67"/>
    <n v="1054.5999999999999"/>
    <n v="0.7"/>
    <n v="0.13"/>
    <n v="3189.28"/>
    <x v="1"/>
    <n v="651"/>
    <n v="0.45"/>
    <n v="396.28"/>
    <n v="0.11"/>
    <n v="691.77"/>
    <n v="0.2"/>
    <n v="2"/>
    <n v="1137.2"/>
    <n v="29"/>
    <n v="0"/>
    <n v="405.73"/>
    <n v="1797.51"/>
    <x v="1"/>
    <n v="1787.33"/>
    <x v="7"/>
    <x v="1"/>
    <n v="35.700000000000003"/>
    <s v="Low"/>
    <n v="1054.5999999999999"/>
    <n v="0"/>
  </r>
  <r>
    <x v="17"/>
    <x v="15"/>
    <n v="1901"/>
    <n v="4156.47"/>
    <n v="1722.33"/>
    <n v="2434.14"/>
    <n v="0.41"/>
    <n v="0.39"/>
    <n v="3209.03"/>
    <x v="1"/>
    <n v="778"/>
    <n v="0.12"/>
    <n v="457.74"/>
    <n v="0.11"/>
    <n v="669.61"/>
    <n v="0.16"/>
    <n v="5"/>
    <n v="424.24"/>
    <n v="46"/>
    <n v="0"/>
    <n v="124.61"/>
    <n v="2925.91"/>
    <x v="1"/>
    <n v="1003.64"/>
    <x v="7"/>
    <x v="2"/>
    <n v="99.8"/>
    <s v="High"/>
    <n v="2434.14"/>
    <n v="0"/>
  </r>
  <r>
    <x v="17"/>
    <x v="15"/>
    <n v="1607"/>
    <n v="5324.06"/>
    <n v="4003.59"/>
    <n v="1320.47"/>
    <n v="0.75"/>
    <n v="0.36"/>
    <n v="2537.7800000000002"/>
    <x v="2"/>
    <n v="721"/>
    <n v="0.59"/>
    <n v="716.59"/>
    <n v="0.13"/>
    <n v="0"/>
    <n v="0"/>
    <n v="2"/>
    <n v="1589.36"/>
    <n v="42"/>
    <n v="0"/>
    <n v="385.69"/>
    <n v="1301.48"/>
    <x v="1"/>
    <n v="1424.81"/>
    <x v="4"/>
    <x v="0"/>
    <n v="86.2"/>
    <s v="Medium"/>
    <n v="1320.47"/>
    <n v="0"/>
  </r>
  <r>
    <x v="17"/>
    <x v="15"/>
    <n v="1240"/>
    <n v="6748.16"/>
    <n v="2264.1"/>
    <n v="4484.0600000000004"/>
    <n v="0.34"/>
    <n v="0.13"/>
    <n v="2867.57"/>
    <x v="1"/>
    <n v="622"/>
    <n v="0.31"/>
    <n v="599.46"/>
    <n v="0.09"/>
    <n v="349.02"/>
    <n v="0.05"/>
    <n v="2"/>
    <n v="826.83"/>
    <n v="78"/>
    <n v="0"/>
    <n v="416.16"/>
    <n v="2437.41"/>
    <x v="1"/>
    <n v="1195.3"/>
    <x v="5"/>
    <x v="1"/>
    <n v="49.1"/>
    <s v="Low"/>
    <n v="4484.0600000000004"/>
    <n v="1"/>
  </r>
  <r>
    <x v="17"/>
    <x v="15"/>
    <n v="1858"/>
    <n v="3967.93"/>
    <n v="3930.95"/>
    <n v="36.979999999999997"/>
    <n v="0.99"/>
    <n v="0.33"/>
    <n v="3717.77"/>
    <x v="1"/>
    <n v="703"/>
    <n v="0.22"/>
    <n v="433.48"/>
    <n v="0.11"/>
    <n v="533.5"/>
    <n v="0.13"/>
    <n v="8"/>
    <n v="1197.1199999999999"/>
    <n v="38"/>
    <n v="0"/>
    <n v="933.12"/>
    <n v="2354.67"/>
    <x v="0"/>
    <n v="1624.31"/>
    <x v="4"/>
    <x v="2"/>
    <n v="19.8"/>
    <s v="Medium"/>
    <n v="36.979999999999997"/>
    <n v="0"/>
  </r>
  <r>
    <x v="17"/>
    <x v="15"/>
    <n v="1973"/>
    <n v="5243.49"/>
    <n v="3053.65"/>
    <n v="2189.84"/>
    <n v="0.57999999999999996"/>
    <n v="0.39"/>
    <n v="2875.91"/>
    <x v="1"/>
    <n v="687"/>
    <n v="0.45"/>
    <n v="682.81"/>
    <n v="0.13"/>
    <n v="435.91"/>
    <n v="0.08"/>
    <n v="4"/>
    <n v="288.89999999999998"/>
    <n v="96"/>
    <n v="0"/>
    <n v="483.98"/>
    <n v="1467.65"/>
    <x v="1"/>
    <n v="1602.31"/>
    <x v="5"/>
    <x v="1"/>
    <n v="84.1"/>
    <s v="Medium"/>
    <n v="2189.84"/>
    <n v="0"/>
  </r>
  <r>
    <x v="17"/>
    <x v="15"/>
    <n v="1416"/>
    <n v="4194.8"/>
    <n v="3032.93"/>
    <n v="1161.8699999999999"/>
    <n v="0.72"/>
    <n v="0.08"/>
    <n v="1981.65"/>
    <x v="0"/>
    <n v="670"/>
    <n v="0.36"/>
    <n v="332.28"/>
    <n v="0.08"/>
    <n v="358.07"/>
    <n v="0.09"/>
    <n v="4"/>
    <n v="1586.8"/>
    <n v="53"/>
    <n v="0"/>
    <n v="641.92999999999995"/>
    <n v="2897.79"/>
    <x v="1"/>
    <n v="1111.7"/>
    <x v="5"/>
    <x v="0"/>
    <n v="4.5"/>
    <s v="Low"/>
    <n v="1161.8699999999999"/>
    <n v="0"/>
  </r>
  <r>
    <x v="17"/>
    <x v="15"/>
    <n v="1477"/>
    <n v="1932.33"/>
    <n v="3059.31"/>
    <n v="-1126.98"/>
    <n v="1.58"/>
    <n v="0.3"/>
    <n v="2764.94"/>
    <x v="2"/>
    <n v="716"/>
    <n v="0.55000000000000004"/>
    <n v="638.65"/>
    <n v="0.33"/>
    <n v="632.51"/>
    <n v="0.33"/>
    <n v="6"/>
    <n v="826.66"/>
    <n v="89"/>
    <n v="0"/>
    <n v="598.04999999999995"/>
    <n v="2039.09"/>
    <x v="0"/>
    <n v="1190.0899999999999"/>
    <x v="1"/>
    <x v="2"/>
    <n v="69.5"/>
    <s v="Low"/>
    <n v="0"/>
    <n v="0"/>
  </r>
  <r>
    <x v="17"/>
    <x v="15"/>
    <n v="1423"/>
    <n v="1434.02"/>
    <n v="2808.08"/>
    <n v="-1374.06"/>
    <n v="1.96"/>
    <n v="0.16"/>
    <n v="2953.07"/>
    <x v="1"/>
    <n v="609"/>
    <n v="0.14000000000000001"/>
    <n v="475.21"/>
    <n v="0.33"/>
    <n v="259.06"/>
    <n v="0.18"/>
    <n v="4"/>
    <n v="1339.73"/>
    <n v="90"/>
    <n v="0"/>
    <n v="716.03"/>
    <n v="1857.39"/>
    <x v="1"/>
    <n v="1869.73"/>
    <x v="0"/>
    <x v="0"/>
    <n v="95.6"/>
    <s v="Low"/>
    <n v="0"/>
    <n v="0"/>
  </r>
  <r>
    <x v="17"/>
    <x v="15"/>
    <n v="1337"/>
    <n v="1940.34"/>
    <n v="4399.1099999999997"/>
    <n v="-2458.77"/>
    <n v="2.27"/>
    <n v="0.38"/>
    <n v="2491.4499999999998"/>
    <x v="1"/>
    <n v="633"/>
    <n v="0.59"/>
    <n v="831.11"/>
    <n v="0.43"/>
    <n v="371.32"/>
    <n v="0.19"/>
    <n v="7"/>
    <n v="1540.28"/>
    <n v="91"/>
    <n v="0"/>
    <n v="325.17"/>
    <n v="2237.63"/>
    <x v="1"/>
    <n v="1240.29"/>
    <x v="1"/>
    <x v="1"/>
    <n v="4.5999999999999996"/>
    <s v="Medium"/>
    <n v="0"/>
    <n v="0"/>
  </r>
  <r>
    <x v="17"/>
    <x v="15"/>
    <n v="1585"/>
    <n v="2416.54"/>
    <n v="3593.51"/>
    <n v="-1176.97"/>
    <n v="1.49"/>
    <n v="0.31"/>
    <n v="2950.47"/>
    <x v="2"/>
    <n v="813"/>
    <n v="0.14000000000000001"/>
    <n v="622.13"/>
    <n v="0.26"/>
    <n v="664.18"/>
    <n v="0.27"/>
    <n v="9"/>
    <n v="1144.8"/>
    <n v="62"/>
    <n v="0"/>
    <n v="688.91"/>
    <n v="1880.83"/>
    <x v="1"/>
    <n v="1496.4"/>
    <x v="7"/>
    <x v="0"/>
    <n v="67"/>
    <s v="High"/>
    <n v="0"/>
    <n v="0"/>
  </r>
  <r>
    <x v="17"/>
    <x v="15"/>
    <n v="1343"/>
    <n v="5347.98"/>
    <n v="3127.12"/>
    <n v="2220.86"/>
    <n v="0.57999999999999996"/>
    <n v="0.38"/>
    <n v="2091.29"/>
    <x v="1"/>
    <n v="686"/>
    <n v="0.48"/>
    <n v="830.49"/>
    <n v="0.16"/>
    <n v="121.27"/>
    <n v="0.02"/>
    <n v="2"/>
    <n v="994.79"/>
    <n v="68"/>
    <n v="0"/>
    <n v="545.33000000000004"/>
    <n v="3026.19"/>
    <x v="1"/>
    <n v="1135.3499999999999"/>
    <x v="9"/>
    <x v="0"/>
    <n v="81.8"/>
    <s v="Medium"/>
    <n v="2220.86"/>
    <n v="1"/>
  </r>
  <r>
    <x v="17"/>
    <x v="15"/>
    <n v="1261"/>
    <n v="4122.67"/>
    <n v="4323.12"/>
    <n v="-200.45"/>
    <n v="1.05"/>
    <n v="0.06"/>
    <n v="2857.97"/>
    <x v="0"/>
    <n v="685"/>
    <n v="0.52"/>
    <n v="720.77"/>
    <n v="0.17"/>
    <n v="480.23"/>
    <n v="0.12"/>
    <n v="4"/>
    <n v="541.69000000000005"/>
    <n v="58"/>
    <n v="0"/>
    <n v="688.68"/>
    <n v="2639.44"/>
    <x v="1"/>
    <n v="720.33"/>
    <x v="7"/>
    <x v="1"/>
    <n v="95.7"/>
    <s v="Low"/>
    <n v="0"/>
    <n v="0"/>
  </r>
  <r>
    <x v="17"/>
    <x v="15"/>
    <n v="1619"/>
    <n v="3910.25"/>
    <n v="2312.9499999999998"/>
    <n v="1597.3"/>
    <n v="0.59"/>
    <n v="0.31"/>
    <n v="2256.79"/>
    <x v="2"/>
    <n v="710"/>
    <n v="0.54"/>
    <n v="592.73"/>
    <n v="0.15"/>
    <n v="324.49"/>
    <n v="0.08"/>
    <n v="8"/>
    <n v="1198.1099999999999"/>
    <n v="91"/>
    <n v="0"/>
    <n v="417.42"/>
    <n v="3314.53"/>
    <x v="1"/>
    <n v="1528.43"/>
    <x v="2"/>
    <x v="0"/>
    <n v="76.400000000000006"/>
    <s v="Medium"/>
    <n v="1597.3"/>
    <n v="0"/>
  </r>
  <r>
    <x v="17"/>
    <x v="15"/>
    <n v="1352"/>
    <n v="4561.96"/>
    <n v="2382.5100000000002"/>
    <n v="2179.4499999999998"/>
    <n v="0.52"/>
    <n v="0.09"/>
    <n v="3748.59"/>
    <x v="0"/>
    <n v="650"/>
    <n v="0.19"/>
    <n v="258.36"/>
    <n v="0.06"/>
    <n v="333.67"/>
    <n v="7.0000000000000007E-2"/>
    <n v="4"/>
    <n v="1112.19"/>
    <n v="84"/>
    <n v="0"/>
    <n v="727.74"/>
    <n v="2052.5500000000002"/>
    <x v="0"/>
    <n v="1518.6"/>
    <x v="0"/>
    <x v="1"/>
    <n v="95.2"/>
    <s v="Low"/>
    <n v="2179.4499999999998"/>
    <n v="0"/>
  </r>
  <r>
    <x v="17"/>
    <x v="15"/>
    <n v="1532"/>
    <n v="3578.14"/>
    <n v="2769"/>
    <n v="809.14"/>
    <n v="0.77"/>
    <n v="0.09"/>
    <n v="2344.06"/>
    <x v="2"/>
    <n v="591"/>
    <n v="0.56000000000000005"/>
    <n v="406.31"/>
    <n v="0.11"/>
    <n v="0"/>
    <n v="0"/>
    <n v="4"/>
    <n v="622.39"/>
    <n v="74"/>
    <n v="0"/>
    <n v="552.29999999999995"/>
    <n v="2086.62"/>
    <x v="1"/>
    <n v="1445.13"/>
    <x v="2"/>
    <x v="0"/>
    <n v="76.099999999999994"/>
    <s v="Medium"/>
    <n v="809.14"/>
    <n v="0"/>
  </r>
  <r>
    <x v="18"/>
    <x v="16"/>
    <n v="1234"/>
    <n v="3697.31"/>
    <n v="3523.56"/>
    <n v="173.75"/>
    <n v="0.95"/>
    <n v="0.17"/>
    <n v="3122.47"/>
    <x v="1"/>
    <n v="743"/>
    <n v="0.52"/>
    <n v="351.55"/>
    <n v="0.1"/>
    <n v="247.39"/>
    <n v="7.0000000000000007E-2"/>
    <n v="6"/>
    <n v="493.09"/>
    <n v="62"/>
    <n v="0"/>
    <n v="516.89"/>
    <n v="2177"/>
    <x v="1"/>
    <n v="919"/>
    <x v="2"/>
    <x v="2"/>
    <n v="90.6"/>
    <s v="Medium"/>
    <n v="173.75"/>
    <n v="0"/>
  </r>
  <r>
    <x v="18"/>
    <x v="16"/>
    <n v="1355"/>
    <n v="4169.75"/>
    <n v="3064.38"/>
    <n v="1105.3699999999999"/>
    <n v="0.73"/>
    <n v="0.39"/>
    <n v="3289.28"/>
    <x v="1"/>
    <n v="658"/>
    <n v="0.24"/>
    <n v="633.69000000000005"/>
    <n v="0.15"/>
    <n v="759.34"/>
    <n v="0.18"/>
    <n v="8"/>
    <n v="1040.06"/>
    <n v="60"/>
    <n v="0"/>
    <n v="384.05"/>
    <n v="3045.44"/>
    <x v="1"/>
    <n v="1556.05"/>
    <x v="1"/>
    <x v="0"/>
    <n v="46.4"/>
    <s v="Medium"/>
    <n v="1105.3699999999999"/>
    <n v="0"/>
  </r>
  <r>
    <x v="18"/>
    <x v="16"/>
    <n v="1250"/>
    <n v="3511.52"/>
    <n v="3264.87"/>
    <n v="246.65"/>
    <n v="0.93"/>
    <n v="0.3"/>
    <n v="2937.08"/>
    <x v="2"/>
    <n v="665"/>
    <n v="0.27"/>
    <n v="37.479999999999997"/>
    <n v="0.01"/>
    <n v="696.03"/>
    <n v="0.2"/>
    <n v="2"/>
    <n v="1044.6199999999999"/>
    <n v="22"/>
    <n v="0"/>
    <n v="752.48"/>
    <n v="2461.02"/>
    <x v="0"/>
    <n v="658.9"/>
    <x v="6"/>
    <x v="0"/>
    <n v="31.2"/>
    <s v="Low"/>
    <n v="246.65"/>
    <n v="0"/>
  </r>
  <r>
    <x v="18"/>
    <x v="16"/>
    <n v="1353"/>
    <n v="3861.33"/>
    <n v="2315.84"/>
    <n v="1545.49"/>
    <n v="0.6"/>
    <n v="0.36"/>
    <n v="2977.54"/>
    <x v="2"/>
    <n v="677"/>
    <n v="0.28999999999999998"/>
    <n v="434.62"/>
    <n v="0.11"/>
    <n v="709.77"/>
    <n v="0.18"/>
    <n v="6"/>
    <n v="747.03"/>
    <n v="36"/>
    <n v="0"/>
    <n v="846.35"/>
    <n v="1453.05"/>
    <x v="1"/>
    <n v="803.2"/>
    <x v="0"/>
    <x v="1"/>
    <n v="12.7"/>
    <s v="Medium"/>
    <n v="1545.49"/>
    <n v="0"/>
  </r>
  <r>
    <x v="18"/>
    <x v="16"/>
    <n v="1415"/>
    <n v="6821.53"/>
    <n v="3505.87"/>
    <n v="3315.66"/>
    <n v="0.51"/>
    <n v="0.27"/>
    <n v="2737.23"/>
    <x v="1"/>
    <n v="653"/>
    <n v="0.56000000000000005"/>
    <n v="237.46"/>
    <n v="0.03"/>
    <n v="147.66999999999999"/>
    <n v="0.02"/>
    <n v="8"/>
    <n v="218.72"/>
    <n v="22"/>
    <n v="0"/>
    <n v="470.28"/>
    <n v="2322.59"/>
    <x v="1"/>
    <n v="1031.42"/>
    <x v="1"/>
    <x v="0"/>
    <n v="25.1"/>
    <s v="Low"/>
    <n v="3315.66"/>
    <n v="1"/>
  </r>
  <r>
    <x v="18"/>
    <x v="16"/>
    <n v="1528"/>
    <n v="3509.23"/>
    <n v="1976.53"/>
    <n v="1532.7"/>
    <n v="0.56000000000000005"/>
    <n v="0.18"/>
    <n v="2721.05"/>
    <x v="1"/>
    <n v="674"/>
    <n v="0.32"/>
    <n v="187.8"/>
    <n v="0.05"/>
    <n v="323.02999999999997"/>
    <n v="0.09"/>
    <n v="5"/>
    <n v="2370.0100000000002"/>
    <n v="82"/>
    <n v="0"/>
    <n v="456.32"/>
    <n v="2232.27"/>
    <x v="0"/>
    <n v="1676.3"/>
    <x v="9"/>
    <x v="0"/>
    <n v="43.4"/>
    <s v="Medium"/>
    <n v="1532.7"/>
    <n v="0"/>
  </r>
  <r>
    <x v="18"/>
    <x v="16"/>
    <n v="1080"/>
    <n v="1118.44"/>
    <n v="3639.95"/>
    <n v="-2521.5100000000002"/>
    <n v="3.25"/>
    <n v="0.06"/>
    <n v="2897.2"/>
    <x v="1"/>
    <n v="578"/>
    <n v="0.25"/>
    <n v="732.81"/>
    <n v="0.66"/>
    <n v="280.05"/>
    <n v="0.25"/>
    <n v="9"/>
    <n v="505.15"/>
    <n v="54"/>
    <n v="0"/>
    <n v="722.05"/>
    <n v="2066.33"/>
    <x v="1"/>
    <n v="1244.01"/>
    <x v="1"/>
    <x v="0"/>
    <n v="28"/>
    <s v="Low"/>
    <n v="0"/>
    <n v="0"/>
  </r>
  <r>
    <x v="18"/>
    <x v="16"/>
    <n v="1598"/>
    <n v="3568.59"/>
    <n v="3014.16"/>
    <n v="554.42999999999995"/>
    <n v="0.84"/>
    <n v="0.25"/>
    <n v="2283.25"/>
    <x v="2"/>
    <n v="675"/>
    <n v="0.35"/>
    <n v="767.24"/>
    <n v="0.21"/>
    <n v="62.52"/>
    <n v="0.02"/>
    <n v="7"/>
    <n v="585.73"/>
    <n v="51"/>
    <n v="0"/>
    <n v="479.39"/>
    <n v="3431.47"/>
    <x v="2"/>
    <n v="922.94"/>
    <x v="4"/>
    <x v="0"/>
    <n v="10.6"/>
    <s v="Low"/>
    <n v="554.42999999999995"/>
    <n v="0"/>
  </r>
  <r>
    <x v="18"/>
    <x v="16"/>
    <n v="1077"/>
    <n v="5203.6099999999997"/>
    <n v="2637.75"/>
    <n v="2565.86"/>
    <n v="0.51"/>
    <n v="0.08"/>
    <n v="3089.96"/>
    <x v="2"/>
    <n v="718"/>
    <n v="0.14000000000000001"/>
    <n v="781.06"/>
    <n v="0.15"/>
    <n v="0"/>
    <n v="0"/>
    <n v="5"/>
    <n v="573.41999999999996"/>
    <n v="53"/>
    <n v="0"/>
    <n v="157.75"/>
    <n v="1721.27"/>
    <x v="1"/>
    <n v="1368.46"/>
    <x v="8"/>
    <x v="0"/>
    <n v="73.099999999999994"/>
    <s v="High"/>
    <n v="2565.86"/>
    <n v="0"/>
  </r>
  <r>
    <x v="18"/>
    <x v="16"/>
    <n v="1338"/>
    <n v="5453.26"/>
    <n v="3040.3"/>
    <n v="2412.96"/>
    <n v="0.56000000000000005"/>
    <n v="0.1"/>
    <n v="3010.68"/>
    <x v="0"/>
    <n v="659"/>
    <n v="0.47"/>
    <n v="484.84"/>
    <n v="0.09"/>
    <n v="689.64"/>
    <n v="0.13"/>
    <n v="1"/>
    <n v="410.77"/>
    <n v="94"/>
    <n v="0"/>
    <n v="575.29"/>
    <n v="1760.94"/>
    <x v="1"/>
    <n v="1417.92"/>
    <x v="4"/>
    <x v="0"/>
    <n v="14.5"/>
    <s v="High"/>
    <n v="2412.96"/>
    <n v="0"/>
  </r>
  <r>
    <x v="18"/>
    <x v="16"/>
    <n v="1831"/>
    <n v="4109.68"/>
    <n v="3691.78"/>
    <n v="417.9"/>
    <n v="0.9"/>
    <n v="0.38"/>
    <n v="2111.3000000000002"/>
    <x v="0"/>
    <n v="597"/>
    <n v="0.51"/>
    <n v="512.01"/>
    <n v="0.12"/>
    <n v="644.16"/>
    <n v="0.16"/>
    <n v="7"/>
    <n v="1420.79"/>
    <n v="24"/>
    <n v="0"/>
    <n v="681.89"/>
    <n v="2373.5"/>
    <x v="1"/>
    <n v="1444.73"/>
    <x v="4"/>
    <x v="2"/>
    <n v="43.5"/>
    <s v="High"/>
    <n v="417.9"/>
    <n v="0"/>
  </r>
  <r>
    <x v="18"/>
    <x v="16"/>
    <n v="1218"/>
    <n v="2127.13"/>
    <n v="1598.77"/>
    <n v="528.36"/>
    <n v="0.75"/>
    <n v="0.36"/>
    <n v="2838.25"/>
    <x v="1"/>
    <n v="606"/>
    <n v="0.21"/>
    <n v="503.83"/>
    <n v="0.24"/>
    <n v="388.14"/>
    <n v="0.18"/>
    <n v="5"/>
    <n v="1357.34"/>
    <n v="66"/>
    <n v="0"/>
    <n v="734.39"/>
    <n v="1765.98"/>
    <x v="1"/>
    <n v="1334.1"/>
    <x v="3"/>
    <x v="0"/>
    <n v="5.2"/>
    <s v="Low"/>
    <n v="528.36"/>
    <n v="0"/>
  </r>
  <r>
    <x v="18"/>
    <x v="16"/>
    <n v="1449"/>
    <n v="2401.46"/>
    <n v="2888.16"/>
    <n v="-486.7"/>
    <n v="1.2"/>
    <n v="0.35"/>
    <n v="2382.64"/>
    <x v="1"/>
    <n v="745"/>
    <n v="0.23"/>
    <n v="684.14"/>
    <n v="0.28000000000000003"/>
    <n v="105.03"/>
    <n v="0.04"/>
    <n v="9"/>
    <n v="1731.16"/>
    <n v="52"/>
    <n v="1"/>
    <n v="513.74"/>
    <n v="1439.96"/>
    <x v="1"/>
    <n v="1580.41"/>
    <x v="5"/>
    <x v="0"/>
    <n v="76.099999999999994"/>
    <s v="Low"/>
    <n v="0"/>
    <n v="0"/>
  </r>
  <r>
    <x v="18"/>
    <x v="16"/>
    <n v="1677"/>
    <n v="3253.54"/>
    <n v="2543.71"/>
    <n v="709.83"/>
    <n v="0.78"/>
    <n v="0.21"/>
    <n v="3246.55"/>
    <x v="1"/>
    <n v="665"/>
    <n v="0.56000000000000005"/>
    <n v="103.94"/>
    <n v="0.03"/>
    <n v="279.75"/>
    <n v="0.09"/>
    <n v="2"/>
    <n v="1960.84"/>
    <n v="27"/>
    <n v="0"/>
    <n v="188.63"/>
    <n v="1978.84"/>
    <x v="2"/>
    <n v="1068.5"/>
    <x v="0"/>
    <x v="2"/>
    <n v="29"/>
    <s v="Low"/>
    <n v="709.83"/>
    <n v="0"/>
  </r>
  <r>
    <x v="18"/>
    <x v="16"/>
    <n v="1772"/>
    <n v="4398.16"/>
    <n v="2171.2399999999998"/>
    <n v="2226.92"/>
    <n v="0.49"/>
    <n v="0.09"/>
    <n v="2223.14"/>
    <x v="1"/>
    <n v="738"/>
    <n v="0.25"/>
    <n v="577.78"/>
    <n v="0.13"/>
    <n v="256.25"/>
    <n v="0.06"/>
    <n v="2"/>
    <n v="1943.22"/>
    <n v="68"/>
    <n v="0"/>
    <n v="217.05"/>
    <n v="2566.9299999999998"/>
    <x v="1"/>
    <n v="1338.46"/>
    <x v="8"/>
    <x v="2"/>
    <n v="21.9"/>
    <s v="Low"/>
    <n v="2226.92"/>
    <n v="1"/>
  </r>
  <r>
    <x v="18"/>
    <x v="16"/>
    <n v="1068"/>
    <n v="2030.17"/>
    <n v="3011.2"/>
    <n v="-981.03"/>
    <n v="1.48"/>
    <n v="0.33"/>
    <n v="2429.85"/>
    <x v="2"/>
    <n v="732"/>
    <n v="0.13"/>
    <n v="208.77"/>
    <n v="0.1"/>
    <n v="266.76"/>
    <n v="0.13"/>
    <n v="8"/>
    <n v="1413.98"/>
    <n v="20"/>
    <n v="0"/>
    <n v="574.5"/>
    <n v="1056.51"/>
    <x v="1"/>
    <n v="737.96"/>
    <x v="4"/>
    <x v="1"/>
    <n v="81.3"/>
    <s v="Low"/>
    <n v="0"/>
    <n v="0"/>
  </r>
  <r>
    <x v="18"/>
    <x v="16"/>
    <n v="1298"/>
    <n v="4226.3900000000003"/>
    <n v="2227.67"/>
    <n v="1998.72"/>
    <n v="0.53"/>
    <n v="0.23"/>
    <n v="3095.09"/>
    <x v="1"/>
    <n v="669"/>
    <n v="0.32"/>
    <n v="456.41"/>
    <n v="0.11"/>
    <n v="505.93"/>
    <n v="0.12"/>
    <n v="8"/>
    <n v="603.54999999999995"/>
    <n v="61"/>
    <n v="0"/>
    <n v="404.5"/>
    <n v="1961"/>
    <x v="1"/>
    <n v="1299.6099999999999"/>
    <x v="6"/>
    <x v="0"/>
    <n v="40.6"/>
    <s v="Low"/>
    <n v="1998.72"/>
    <n v="0"/>
  </r>
  <r>
    <x v="18"/>
    <x v="16"/>
    <n v="1502"/>
    <n v="4617.04"/>
    <n v="3659.12"/>
    <n v="957.92"/>
    <n v="0.79"/>
    <n v="0.26"/>
    <n v="2351.0500000000002"/>
    <x v="1"/>
    <n v="761"/>
    <n v="0.44"/>
    <n v="559.62"/>
    <n v="0.12"/>
    <n v="421.09"/>
    <n v="0.09"/>
    <n v="1"/>
    <n v="384.99"/>
    <n v="30"/>
    <n v="0"/>
    <n v="421.17"/>
    <n v="2818.8"/>
    <x v="1"/>
    <n v="1062.99"/>
    <x v="1"/>
    <x v="0"/>
    <n v="62.4"/>
    <s v="Medium"/>
    <n v="957.92"/>
    <n v="0"/>
  </r>
  <r>
    <x v="18"/>
    <x v="16"/>
    <n v="1079"/>
    <n v="3905.77"/>
    <n v="2526.37"/>
    <n v="1379.4"/>
    <n v="0.65"/>
    <n v="0.17"/>
    <n v="2404.92"/>
    <x v="1"/>
    <n v="689"/>
    <n v="0.56999999999999995"/>
    <n v="462.02"/>
    <n v="0.12"/>
    <n v="268.17"/>
    <n v="7.0000000000000007E-2"/>
    <n v="5"/>
    <n v="572.37"/>
    <n v="66"/>
    <n v="0"/>
    <n v="377.21"/>
    <n v="1881.05"/>
    <x v="0"/>
    <n v="644.21"/>
    <x v="0"/>
    <x v="0"/>
    <n v="33.9"/>
    <s v="Low"/>
    <n v="1379.4"/>
    <n v="0"/>
  </r>
  <r>
    <x v="18"/>
    <x v="16"/>
    <n v="1587"/>
    <n v="2655.04"/>
    <n v="1722.57"/>
    <n v="932.47"/>
    <n v="0.65"/>
    <n v="0.06"/>
    <n v="3639.39"/>
    <x v="1"/>
    <n v="701"/>
    <n v="0.33"/>
    <n v="371.84"/>
    <n v="0.14000000000000001"/>
    <n v="304.85000000000002"/>
    <n v="0.11"/>
    <n v="8"/>
    <n v="1493.02"/>
    <n v="22"/>
    <n v="0"/>
    <n v="839.63"/>
    <n v="1821.25"/>
    <x v="2"/>
    <n v="1412.31"/>
    <x v="2"/>
    <x v="0"/>
    <n v="4.9000000000000004"/>
    <s v="Low"/>
    <n v="932.47"/>
    <n v="0"/>
  </r>
  <r>
    <x v="18"/>
    <x v="16"/>
    <n v="1296"/>
    <n v="4976.74"/>
    <n v="3818.98"/>
    <n v="1157.76"/>
    <n v="0.77"/>
    <n v="0.11"/>
    <n v="2868.82"/>
    <x v="0"/>
    <n v="763"/>
    <n v="0.47"/>
    <n v="607.54999999999995"/>
    <n v="0.12"/>
    <n v="277.49"/>
    <n v="0.06"/>
    <n v="1"/>
    <n v="691.97"/>
    <n v="84"/>
    <n v="0"/>
    <n v="500.65"/>
    <n v="2435.0100000000002"/>
    <x v="1"/>
    <n v="1350.82"/>
    <x v="3"/>
    <x v="1"/>
    <n v="10.1"/>
    <s v="Medium"/>
    <n v="1157.76"/>
    <n v="0"/>
  </r>
  <r>
    <x v="18"/>
    <x v="16"/>
    <n v="1016"/>
    <n v="3799.28"/>
    <n v="2473.61"/>
    <n v="1325.67"/>
    <n v="0.65"/>
    <n v="0.09"/>
    <n v="2564.35"/>
    <x v="1"/>
    <n v="632"/>
    <n v="0.14000000000000001"/>
    <n v="520.33000000000004"/>
    <n v="0.14000000000000001"/>
    <n v="586.04"/>
    <n v="0.15"/>
    <n v="6"/>
    <n v="252.32"/>
    <n v="76"/>
    <n v="0"/>
    <n v="706.2"/>
    <n v="1578.38"/>
    <x v="1"/>
    <n v="1290.5899999999999"/>
    <x v="1"/>
    <x v="0"/>
    <n v="76.8"/>
    <s v="Low"/>
    <n v="1325.67"/>
    <n v="0"/>
  </r>
  <r>
    <x v="18"/>
    <x v="16"/>
    <n v="1266"/>
    <n v="5459.96"/>
    <n v="2733.1"/>
    <n v="2726.86"/>
    <n v="0.5"/>
    <n v="0.24"/>
    <n v="3179.38"/>
    <x v="0"/>
    <n v="660"/>
    <n v="0.2"/>
    <n v="215.13"/>
    <n v="0.04"/>
    <n v="4.5999999999999996"/>
    <n v="0"/>
    <n v="5"/>
    <n v="620.20000000000005"/>
    <n v="25"/>
    <n v="0"/>
    <n v="625.71"/>
    <n v="2475.2600000000002"/>
    <x v="1"/>
    <n v="1596.37"/>
    <x v="6"/>
    <x v="0"/>
    <n v="69.5"/>
    <s v="Low"/>
    <n v="2726.86"/>
    <n v="0"/>
  </r>
  <r>
    <x v="18"/>
    <x v="16"/>
    <n v="1248"/>
    <n v="2994.11"/>
    <n v="2734.32"/>
    <n v="259.79000000000002"/>
    <n v="0.91"/>
    <n v="0.12"/>
    <n v="2282.87"/>
    <x v="2"/>
    <n v="702"/>
    <n v="0.18"/>
    <n v="468.94"/>
    <n v="0.16"/>
    <n v="500.98"/>
    <n v="0.17"/>
    <n v="6"/>
    <n v="1010.67"/>
    <n v="35"/>
    <n v="0"/>
    <n v="611.57000000000005"/>
    <n v="2826.99"/>
    <x v="1"/>
    <n v="572.12"/>
    <x v="4"/>
    <x v="2"/>
    <n v="67.2"/>
    <s v="Low"/>
    <n v="259.79000000000002"/>
    <n v="0"/>
  </r>
  <r>
    <x v="18"/>
    <x v="16"/>
    <n v="1406"/>
    <n v="3591.17"/>
    <n v="3407.08"/>
    <n v="184.09"/>
    <n v="0.95"/>
    <n v="0.06"/>
    <n v="3746.12"/>
    <x v="0"/>
    <n v="791"/>
    <n v="0.19"/>
    <n v="604.19000000000005"/>
    <n v="0.17"/>
    <n v="520.39"/>
    <n v="0.14000000000000001"/>
    <n v="7"/>
    <n v="1598.53"/>
    <n v="57"/>
    <n v="0"/>
    <n v="568.83000000000004"/>
    <n v="3120.7"/>
    <x v="1"/>
    <n v="505.96"/>
    <x v="9"/>
    <x v="0"/>
    <n v="25"/>
    <s v="Low"/>
    <n v="184.09"/>
    <n v="0"/>
  </r>
  <r>
    <x v="18"/>
    <x v="16"/>
    <n v="1427"/>
    <n v="3768.81"/>
    <n v="2952.26"/>
    <n v="816.55"/>
    <n v="0.78"/>
    <n v="0.09"/>
    <n v="2956.19"/>
    <x v="1"/>
    <n v="623"/>
    <n v="0.55000000000000004"/>
    <n v="556.73"/>
    <n v="0.15"/>
    <n v="285.7"/>
    <n v="0.08"/>
    <n v="1"/>
    <n v="839.22"/>
    <n v="74"/>
    <n v="0"/>
    <n v="417.54"/>
    <n v="2164.27"/>
    <x v="0"/>
    <n v="1304.07"/>
    <x v="4"/>
    <x v="0"/>
    <n v="22.9"/>
    <s v="Medium"/>
    <n v="816.55"/>
    <n v="0"/>
  </r>
  <r>
    <x v="18"/>
    <x v="16"/>
    <n v="1951"/>
    <n v="4776.7700000000004"/>
    <n v="3320.25"/>
    <n v="1456.52"/>
    <n v="0.7"/>
    <n v="0.28000000000000003"/>
    <n v="2321.48"/>
    <x v="0"/>
    <n v="702"/>
    <n v="0.49"/>
    <n v="700.79"/>
    <n v="0.15"/>
    <n v="80.67"/>
    <n v="0.02"/>
    <n v="9"/>
    <n v="991.12"/>
    <n v="66"/>
    <n v="0"/>
    <n v="606.29999999999995"/>
    <n v="1000"/>
    <x v="0"/>
    <n v="1763.19"/>
    <x v="5"/>
    <x v="1"/>
    <n v="45.5"/>
    <s v="Medium"/>
    <n v="1456.52"/>
    <n v="0"/>
  </r>
  <r>
    <x v="18"/>
    <x v="16"/>
    <n v="1442"/>
    <n v="2903.88"/>
    <n v="3335.29"/>
    <n v="-431.41"/>
    <n v="1.1499999999999999"/>
    <n v="0.3"/>
    <n v="3000.81"/>
    <x v="2"/>
    <n v="674"/>
    <n v="0.56999999999999995"/>
    <n v="323.60000000000002"/>
    <n v="0.11"/>
    <n v="634.25"/>
    <n v="0.22"/>
    <n v="1"/>
    <n v="1500.45"/>
    <n v="64"/>
    <n v="0"/>
    <n v="275.58999999999997"/>
    <n v="2740.17"/>
    <x v="0"/>
    <n v="1165.54"/>
    <x v="6"/>
    <x v="0"/>
    <n v="84.6"/>
    <s v="Medium"/>
    <n v="0"/>
    <n v="0"/>
  </r>
  <r>
    <x v="18"/>
    <x v="16"/>
    <n v="1638"/>
    <n v="3997.97"/>
    <n v="3632.41"/>
    <n v="365.56"/>
    <n v="0.91"/>
    <n v="0.33"/>
    <n v="3299.65"/>
    <x v="1"/>
    <n v="639"/>
    <n v="0.16"/>
    <n v="518.24"/>
    <n v="0.13"/>
    <n v="566.79"/>
    <n v="0.14000000000000001"/>
    <n v="8"/>
    <n v="217.5"/>
    <n v="27"/>
    <n v="1"/>
    <n v="333.82"/>
    <n v="2421.35"/>
    <x v="0"/>
    <n v="1128.94"/>
    <x v="7"/>
    <x v="0"/>
    <n v="36.799999999999997"/>
    <s v="Low"/>
    <n v="365.56"/>
    <n v="0"/>
  </r>
  <r>
    <x v="18"/>
    <x v="16"/>
    <n v="1078"/>
    <n v="5640.42"/>
    <n v="3730.16"/>
    <n v="1910.26"/>
    <n v="0.66"/>
    <n v="0.28000000000000003"/>
    <n v="3145.3"/>
    <x v="1"/>
    <n v="692"/>
    <n v="0.28999999999999998"/>
    <n v="363.17"/>
    <n v="0.06"/>
    <n v="729.6"/>
    <n v="0.13"/>
    <n v="6"/>
    <n v="1088.8900000000001"/>
    <n v="36"/>
    <n v="0"/>
    <n v="582.11"/>
    <n v="2198.75"/>
    <x v="1"/>
    <n v="833.25"/>
    <x v="1"/>
    <x v="1"/>
    <n v="89.5"/>
    <s v="Low"/>
    <n v="1910.26"/>
    <n v="0"/>
  </r>
  <r>
    <x v="18"/>
    <x v="16"/>
    <n v="1928"/>
    <n v="3654.53"/>
    <n v="2193.02"/>
    <n v="1461.51"/>
    <n v="0.6"/>
    <n v="0.13"/>
    <n v="3017.54"/>
    <x v="1"/>
    <n v="560"/>
    <n v="0.3"/>
    <n v="235.67"/>
    <n v="0.06"/>
    <n v="468.23"/>
    <n v="0.13"/>
    <n v="3"/>
    <n v="1042.3900000000001"/>
    <n v="53"/>
    <n v="0"/>
    <n v="1107.33"/>
    <n v="3528.84"/>
    <x v="1"/>
    <n v="1652.22"/>
    <x v="8"/>
    <x v="2"/>
    <n v="23.5"/>
    <s v="Low"/>
    <n v="1461.51"/>
    <n v="0"/>
  </r>
  <r>
    <x v="18"/>
    <x v="16"/>
    <n v="1482"/>
    <n v="6901.39"/>
    <n v="2022.47"/>
    <n v="4878.92"/>
    <n v="0.28999999999999998"/>
    <n v="0.32"/>
    <n v="1515.55"/>
    <x v="2"/>
    <n v="655"/>
    <n v="0.44"/>
    <n v="314.52999999999997"/>
    <n v="0.05"/>
    <n v="241.2"/>
    <n v="0.03"/>
    <n v="6"/>
    <n v="1146.31"/>
    <n v="77"/>
    <n v="0"/>
    <n v="608.77"/>
    <n v="2104.4699999999998"/>
    <x v="1"/>
    <n v="1213.82"/>
    <x v="0"/>
    <x v="0"/>
    <n v="4.4000000000000004"/>
    <s v="Low"/>
    <n v="4878.92"/>
    <n v="1"/>
  </r>
  <r>
    <x v="18"/>
    <x v="16"/>
    <n v="1203"/>
    <n v="3319.73"/>
    <n v="3580.7"/>
    <n v="-260.97000000000003"/>
    <n v="1.08"/>
    <n v="7.0000000000000007E-2"/>
    <n v="3156.8"/>
    <x v="1"/>
    <n v="699"/>
    <n v="0.16"/>
    <n v="747.57"/>
    <n v="0.23"/>
    <n v="436.94"/>
    <n v="0.13"/>
    <n v="4"/>
    <n v="1090.46"/>
    <n v="40"/>
    <n v="0"/>
    <n v="840.65"/>
    <n v="2106.79"/>
    <x v="1"/>
    <n v="1258.3900000000001"/>
    <x v="0"/>
    <x v="2"/>
    <n v="38.9"/>
    <s v="High"/>
    <n v="0"/>
    <n v="0"/>
  </r>
  <r>
    <x v="18"/>
    <x v="16"/>
    <n v="1848"/>
    <n v="3333.37"/>
    <n v="2180.6"/>
    <n v="1152.77"/>
    <n v="0.65"/>
    <n v="0.39"/>
    <n v="2037.64"/>
    <x v="1"/>
    <n v="539"/>
    <n v="0.31"/>
    <n v="684.04"/>
    <n v="0.21"/>
    <n v="162.15"/>
    <n v="0.05"/>
    <n v="6"/>
    <n v="1181.1500000000001"/>
    <n v="64"/>
    <n v="0"/>
    <n v="217.87"/>
    <n v="2597.31"/>
    <x v="1"/>
    <n v="1014.64"/>
    <x v="3"/>
    <x v="0"/>
    <n v="79.400000000000006"/>
    <s v="Low"/>
    <n v="1152.77"/>
    <n v="0"/>
  </r>
  <r>
    <x v="18"/>
    <x v="16"/>
    <n v="1883"/>
    <n v="3317.43"/>
    <n v="3371.49"/>
    <n v="-54.06"/>
    <n v="1.02"/>
    <n v="0.26"/>
    <n v="3481.84"/>
    <x v="1"/>
    <n v="702"/>
    <n v="0.35"/>
    <n v="259.13"/>
    <n v="0.08"/>
    <n v="793.7"/>
    <n v="0.24"/>
    <n v="1"/>
    <n v="1083.26"/>
    <n v="38"/>
    <n v="0"/>
    <n v="327.57"/>
    <n v="2676.4"/>
    <x v="1"/>
    <n v="1134.3"/>
    <x v="6"/>
    <x v="1"/>
    <n v="9"/>
    <s v="High"/>
    <n v="0"/>
    <n v="0"/>
  </r>
  <r>
    <x v="18"/>
    <x v="16"/>
    <n v="1507"/>
    <n v="5573.58"/>
    <n v="2067.3200000000002"/>
    <n v="3506.26"/>
    <n v="0.37"/>
    <n v="0.11"/>
    <n v="2005.75"/>
    <x v="0"/>
    <n v="614"/>
    <n v="0.2"/>
    <n v="625.4"/>
    <n v="0.11"/>
    <n v="232.62"/>
    <n v="0.04"/>
    <n v="5"/>
    <n v="0"/>
    <n v="36"/>
    <n v="0"/>
    <n v="326.48"/>
    <n v="1630.53"/>
    <x v="0"/>
    <n v="968.16"/>
    <x v="8"/>
    <x v="1"/>
    <n v="96.8"/>
    <s v="Low"/>
    <n v="3506.26"/>
    <n v="1"/>
  </r>
  <r>
    <x v="18"/>
    <x v="16"/>
    <n v="1170"/>
    <n v="5477.33"/>
    <n v="3063.83"/>
    <n v="2413.5"/>
    <n v="0.56000000000000005"/>
    <n v="0.15"/>
    <n v="3248.17"/>
    <x v="1"/>
    <n v="712"/>
    <n v="0.48"/>
    <n v="375.21"/>
    <n v="7.0000000000000007E-2"/>
    <n v="582.84"/>
    <n v="0.11"/>
    <n v="8"/>
    <n v="620.45000000000005"/>
    <n v="72"/>
    <n v="0"/>
    <n v="897.68"/>
    <n v="2998.03"/>
    <x v="0"/>
    <n v="1018"/>
    <x v="0"/>
    <x v="1"/>
    <n v="13.5"/>
    <s v="Low"/>
    <n v="2413.5"/>
    <n v="0"/>
  </r>
  <r>
    <x v="18"/>
    <x v="16"/>
    <n v="1709"/>
    <n v="3590.36"/>
    <n v="3109.52"/>
    <n v="480.84"/>
    <n v="0.87"/>
    <n v="0.27"/>
    <n v="3234.53"/>
    <x v="2"/>
    <n v="785"/>
    <n v="0.3"/>
    <n v="496.52"/>
    <n v="0.14000000000000001"/>
    <n v="218.33"/>
    <n v="0.06"/>
    <n v="7"/>
    <n v="1331.47"/>
    <n v="97"/>
    <n v="0"/>
    <n v="0"/>
    <n v="2192.5100000000002"/>
    <x v="1"/>
    <n v="1275.5899999999999"/>
    <x v="5"/>
    <x v="0"/>
    <n v="1.9"/>
    <s v="Low"/>
    <n v="480.84"/>
    <n v="0"/>
  </r>
  <r>
    <x v="18"/>
    <x v="16"/>
    <n v="1154"/>
    <n v="4587.59"/>
    <n v="3315.82"/>
    <n v="1271.77"/>
    <n v="0.72"/>
    <n v="0.27"/>
    <n v="2841.99"/>
    <x v="1"/>
    <n v="615"/>
    <n v="0.19"/>
    <n v="786.35"/>
    <n v="0.17"/>
    <n v="703.23"/>
    <n v="0.15"/>
    <n v="1"/>
    <n v="630.76"/>
    <n v="70"/>
    <n v="0"/>
    <n v="11.55"/>
    <n v="2305.5"/>
    <x v="2"/>
    <n v="794.47"/>
    <x v="2"/>
    <x v="1"/>
    <n v="79.7"/>
    <s v="Medium"/>
    <n v="1271.77"/>
    <n v="0"/>
  </r>
  <r>
    <x v="18"/>
    <x v="16"/>
    <n v="1580"/>
    <n v="4659.76"/>
    <n v="3162.29"/>
    <n v="1497.47"/>
    <n v="0.68"/>
    <n v="0.12"/>
    <n v="1787"/>
    <x v="1"/>
    <n v="614"/>
    <n v="0.51"/>
    <n v="419.61"/>
    <n v="0.09"/>
    <n v="249.97"/>
    <n v="0.05"/>
    <n v="2"/>
    <n v="2585.36"/>
    <n v="20"/>
    <n v="0"/>
    <n v="350.43"/>
    <n v="2249.9899999999998"/>
    <x v="2"/>
    <n v="1093.07"/>
    <x v="5"/>
    <x v="0"/>
    <n v="89.1"/>
    <s v="High"/>
    <n v="1497.47"/>
    <n v="0"/>
  </r>
  <r>
    <x v="18"/>
    <x v="16"/>
    <n v="1389"/>
    <n v="3491.32"/>
    <n v="3861.52"/>
    <n v="-370.2"/>
    <n v="1.1100000000000001"/>
    <n v="0.31"/>
    <n v="2837.67"/>
    <x v="2"/>
    <n v="657"/>
    <n v="0.23"/>
    <n v="675.53"/>
    <n v="0.19"/>
    <n v="644.92999999999995"/>
    <n v="0.18"/>
    <n v="9"/>
    <n v="674.16"/>
    <n v="91"/>
    <n v="0"/>
    <n v="556.85"/>
    <n v="2129.27"/>
    <x v="1"/>
    <n v="300"/>
    <x v="9"/>
    <x v="0"/>
    <n v="43.2"/>
    <s v="Medium"/>
    <n v="0"/>
    <n v="0"/>
  </r>
  <r>
    <x v="18"/>
    <x v="16"/>
    <n v="1927"/>
    <n v="2406.12"/>
    <n v="4245.84"/>
    <n v="-1839.72"/>
    <n v="1.76"/>
    <n v="0.18"/>
    <n v="2080.12"/>
    <x v="0"/>
    <n v="661"/>
    <n v="0.14000000000000001"/>
    <n v="704.22"/>
    <n v="0.28999999999999998"/>
    <n v="592.87"/>
    <n v="0.25"/>
    <n v="8"/>
    <n v="770.35"/>
    <n v="59"/>
    <n v="0"/>
    <n v="620.58000000000004"/>
    <n v="2234.27"/>
    <x v="1"/>
    <n v="1018.76"/>
    <x v="3"/>
    <x v="0"/>
    <n v="65.2"/>
    <s v="Low"/>
    <n v="0"/>
    <n v="0"/>
  </r>
  <r>
    <x v="18"/>
    <x v="16"/>
    <n v="1497"/>
    <n v="4568.68"/>
    <n v="2370.7600000000002"/>
    <n v="2197.92"/>
    <n v="0.52"/>
    <n v="0.28000000000000003"/>
    <n v="2226.14"/>
    <x v="0"/>
    <n v="688"/>
    <n v="0.21"/>
    <n v="780.27"/>
    <n v="0.17"/>
    <n v="526.41"/>
    <n v="0.12"/>
    <n v="9"/>
    <n v="1037.98"/>
    <n v="68"/>
    <n v="0"/>
    <n v="494.93"/>
    <n v="3062.57"/>
    <x v="1"/>
    <n v="1690.15"/>
    <x v="1"/>
    <x v="2"/>
    <n v="67.2"/>
    <s v="High"/>
    <n v="2197.92"/>
    <n v="0"/>
  </r>
  <r>
    <x v="18"/>
    <x v="16"/>
    <n v="1801"/>
    <n v="5216.2"/>
    <n v="2160.1"/>
    <n v="3056.1"/>
    <n v="0.41"/>
    <n v="0.32"/>
    <n v="2570.1999999999998"/>
    <x v="1"/>
    <n v="651"/>
    <n v="0.14000000000000001"/>
    <n v="439.95"/>
    <n v="0.08"/>
    <n v="322.63"/>
    <n v="0.06"/>
    <n v="9"/>
    <n v="0"/>
    <n v="88"/>
    <n v="0"/>
    <n v="226.42"/>
    <n v="2596.4299999999998"/>
    <x v="1"/>
    <n v="1100.58"/>
    <x v="3"/>
    <x v="1"/>
    <n v="38.299999999999997"/>
    <s v="Low"/>
    <n v="3056.1"/>
    <n v="1"/>
  </r>
  <r>
    <x v="18"/>
    <x v="16"/>
    <n v="1137"/>
    <n v="4089.74"/>
    <n v="3465.71"/>
    <n v="624.03"/>
    <n v="0.85"/>
    <n v="0.36"/>
    <n v="3078.5"/>
    <x v="0"/>
    <n v="642"/>
    <n v="0.34"/>
    <n v="472.13"/>
    <n v="0.12"/>
    <n v="860.3"/>
    <n v="0.21"/>
    <n v="5"/>
    <n v="1605.97"/>
    <n v="52"/>
    <n v="0"/>
    <n v="605.67999999999995"/>
    <n v="2660.39"/>
    <x v="2"/>
    <n v="1054.1400000000001"/>
    <x v="7"/>
    <x v="2"/>
    <n v="63.2"/>
    <s v="Medium"/>
    <n v="624.03"/>
    <n v="0"/>
  </r>
  <r>
    <x v="18"/>
    <x v="16"/>
    <n v="1747"/>
    <n v="1876.64"/>
    <n v="4276.5"/>
    <n v="-2399.86"/>
    <n v="2.2799999999999998"/>
    <n v="0.23"/>
    <n v="1681.78"/>
    <x v="1"/>
    <n v="716"/>
    <n v="0.43"/>
    <n v="899.33"/>
    <n v="0.48"/>
    <n v="313.01"/>
    <n v="0.17"/>
    <n v="6"/>
    <n v="1077.5899999999999"/>
    <n v="35"/>
    <n v="0"/>
    <n v="670.36"/>
    <n v="1882.99"/>
    <x v="1"/>
    <n v="1160.24"/>
    <x v="8"/>
    <x v="0"/>
    <n v="55.9"/>
    <s v="Medium"/>
    <n v="0"/>
    <n v="0"/>
  </r>
  <r>
    <x v="18"/>
    <x v="16"/>
    <n v="1418"/>
    <n v="4108.74"/>
    <n v="2395.7600000000002"/>
    <n v="1712.98"/>
    <n v="0.57999999999999996"/>
    <n v="0.33"/>
    <n v="2648.34"/>
    <x v="2"/>
    <n v="684"/>
    <n v="0.1"/>
    <n v="576.5"/>
    <n v="0.14000000000000001"/>
    <n v="222.34"/>
    <n v="0.05"/>
    <n v="3"/>
    <n v="1440"/>
    <n v="33"/>
    <n v="0"/>
    <n v="577.59"/>
    <n v="1243.6099999999999"/>
    <x v="1"/>
    <n v="1333.61"/>
    <x v="7"/>
    <x v="0"/>
    <n v="26.6"/>
    <s v="Medium"/>
    <n v="1712.98"/>
    <n v="0"/>
  </r>
  <r>
    <x v="18"/>
    <x v="16"/>
    <n v="1827"/>
    <n v="2171.37"/>
    <n v="1861.96"/>
    <n v="309.41000000000003"/>
    <n v="0.86"/>
    <n v="0.15"/>
    <n v="3247.58"/>
    <x v="0"/>
    <n v="685"/>
    <n v="0.13"/>
    <n v="478.95"/>
    <n v="0.22"/>
    <n v="513.26"/>
    <n v="0.24"/>
    <n v="2"/>
    <n v="0"/>
    <n v="20"/>
    <n v="0"/>
    <n v="633.72"/>
    <n v="1665.56"/>
    <x v="1"/>
    <n v="1145.73"/>
    <x v="2"/>
    <x v="0"/>
    <n v="90.5"/>
    <s v="Medium"/>
    <n v="309.41000000000003"/>
    <n v="0"/>
  </r>
  <r>
    <x v="18"/>
    <x v="16"/>
    <n v="1395"/>
    <n v="4848.12"/>
    <n v="2614.36"/>
    <n v="2233.7600000000002"/>
    <n v="0.54"/>
    <n v="0.32"/>
    <n v="2353.06"/>
    <x v="2"/>
    <n v="683"/>
    <n v="0.46"/>
    <n v="794.75"/>
    <n v="0.16"/>
    <n v="168.95"/>
    <n v="0.03"/>
    <n v="3"/>
    <n v="417.83"/>
    <n v="99"/>
    <n v="0"/>
    <n v="526.53"/>
    <n v="3205.27"/>
    <x v="1"/>
    <n v="1657.44"/>
    <x v="1"/>
    <x v="0"/>
    <n v="77.3"/>
    <s v="Low"/>
    <n v="2233.7600000000002"/>
    <n v="0"/>
  </r>
  <r>
    <x v="18"/>
    <x v="16"/>
    <n v="1688"/>
    <n v="3398.49"/>
    <n v="3196.16"/>
    <n v="202.33"/>
    <n v="0.94"/>
    <n v="0.2"/>
    <n v="3833.5"/>
    <x v="0"/>
    <n v="698"/>
    <n v="0.37"/>
    <n v="828.35"/>
    <n v="0.24"/>
    <n v="126.98"/>
    <n v="0.04"/>
    <n v="8"/>
    <n v="1115.6600000000001"/>
    <n v="52"/>
    <n v="0"/>
    <n v="378.85"/>
    <n v="2450.75"/>
    <x v="1"/>
    <n v="1450.66"/>
    <x v="7"/>
    <x v="2"/>
    <n v="19.600000000000001"/>
    <s v="Low"/>
    <n v="202.33"/>
    <n v="0"/>
  </r>
  <r>
    <x v="19"/>
    <x v="17"/>
    <n v="1447"/>
    <n v="4726.33"/>
    <n v="3948.38"/>
    <n v="777.95"/>
    <n v="0.84"/>
    <n v="0.14000000000000001"/>
    <n v="2539.69"/>
    <x v="1"/>
    <n v="691"/>
    <n v="0.48"/>
    <n v="369.67"/>
    <n v="0.08"/>
    <n v="409.83"/>
    <n v="0.09"/>
    <n v="7"/>
    <n v="1320.35"/>
    <n v="96"/>
    <n v="0"/>
    <n v="478.5"/>
    <n v="1850.42"/>
    <x v="1"/>
    <n v="929.73"/>
    <x v="3"/>
    <x v="2"/>
    <n v="73.7"/>
    <s v="Low"/>
    <n v="777.95"/>
    <n v="0"/>
  </r>
  <r>
    <x v="19"/>
    <x v="17"/>
    <n v="1166"/>
    <n v="4154.59"/>
    <n v="3070.33"/>
    <n v="1084.26"/>
    <n v="0.74"/>
    <n v="0.37"/>
    <n v="3168.63"/>
    <x v="0"/>
    <n v="682"/>
    <n v="0.35"/>
    <n v="634.79"/>
    <n v="0.15"/>
    <n v="475.69"/>
    <n v="0.11"/>
    <n v="9"/>
    <n v="723.56"/>
    <n v="53"/>
    <n v="0"/>
    <n v="563.52"/>
    <n v="2297.94"/>
    <x v="2"/>
    <n v="2222.8000000000002"/>
    <x v="0"/>
    <x v="0"/>
    <n v="93.6"/>
    <s v="High"/>
    <n v="1084.26"/>
    <n v="0"/>
  </r>
  <r>
    <x v="19"/>
    <x v="17"/>
    <n v="1671"/>
    <n v="3735.72"/>
    <n v="3341.88"/>
    <n v="393.84"/>
    <n v="0.89"/>
    <n v="0.23"/>
    <n v="2812.9"/>
    <x v="2"/>
    <n v="674"/>
    <n v="0.4"/>
    <n v="572.46"/>
    <n v="0.15"/>
    <n v="298.72000000000003"/>
    <n v="0.08"/>
    <n v="6"/>
    <n v="951.49"/>
    <n v="82"/>
    <n v="0"/>
    <n v="310.85000000000002"/>
    <n v="1917.47"/>
    <x v="1"/>
    <n v="1430.52"/>
    <x v="1"/>
    <x v="0"/>
    <n v="90.5"/>
    <s v="Low"/>
    <n v="393.84"/>
    <n v="0"/>
  </r>
  <r>
    <x v="19"/>
    <x v="17"/>
    <n v="1370"/>
    <n v="4628.51"/>
    <n v="2707.27"/>
    <n v="1921.24"/>
    <n v="0.57999999999999996"/>
    <n v="0.17"/>
    <n v="3734.83"/>
    <x v="0"/>
    <n v="661"/>
    <n v="0.22"/>
    <n v="447.31"/>
    <n v="0.1"/>
    <n v="585"/>
    <n v="0.13"/>
    <n v="6"/>
    <n v="246.27"/>
    <n v="49"/>
    <n v="0"/>
    <n v="910.56"/>
    <n v="2398.46"/>
    <x v="2"/>
    <n v="818.51"/>
    <x v="6"/>
    <x v="0"/>
    <n v="61.5"/>
    <s v="Low"/>
    <n v="1921.24"/>
    <n v="0"/>
  </r>
  <r>
    <x v="19"/>
    <x v="17"/>
    <n v="1580"/>
    <n v="5869.52"/>
    <n v="3657.56"/>
    <n v="2211.96"/>
    <n v="0.62"/>
    <n v="0.33"/>
    <n v="2996.28"/>
    <x v="1"/>
    <n v="763"/>
    <n v="0.12"/>
    <n v="604.4"/>
    <n v="0.1"/>
    <n v="154.41999999999999"/>
    <n v="0.03"/>
    <n v="6"/>
    <n v="910.57"/>
    <n v="38"/>
    <n v="0"/>
    <n v="435.45"/>
    <n v="2560.0300000000002"/>
    <x v="0"/>
    <n v="865.11"/>
    <x v="0"/>
    <x v="2"/>
    <n v="45.2"/>
    <s v="Medium"/>
    <n v="2211.96"/>
    <n v="0"/>
  </r>
  <r>
    <x v="19"/>
    <x v="17"/>
    <n v="1252"/>
    <n v="5186.3999999999996"/>
    <n v="3313.47"/>
    <n v="1872.93"/>
    <n v="0.64"/>
    <n v="0.34"/>
    <n v="2842.88"/>
    <x v="2"/>
    <n v="633"/>
    <n v="0.3"/>
    <n v="858.02"/>
    <n v="0.17"/>
    <n v="844.41"/>
    <n v="0.16"/>
    <n v="5"/>
    <n v="1407.53"/>
    <n v="65"/>
    <n v="0"/>
    <n v="793.91"/>
    <n v="2515.5700000000002"/>
    <x v="1"/>
    <n v="1655.58"/>
    <x v="4"/>
    <x v="0"/>
    <n v="78.099999999999994"/>
    <s v="High"/>
    <n v="1872.93"/>
    <n v="0"/>
  </r>
  <r>
    <x v="19"/>
    <x v="17"/>
    <n v="1023"/>
    <n v="5855.6"/>
    <n v="4442.22"/>
    <n v="1413.38"/>
    <n v="0.76"/>
    <n v="0.27"/>
    <n v="2154.2199999999998"/>
    <x v="2"/>
    <n v="656"/>
    <n v="0.17"/>
    <n v="308.5"/>
    <n v="0.05"/>
    <n v="48.33"/>
    <n v="0.01"/>
    <n v="3"/>
    <n v="1645.94"/>
    <n v="39"/>
    <n v="0"/>
    <n v="475.13"/>
    <n v="2031.58"/>
    <x v="1"/>
    <n v="1580.39"/>
    <x v="2"/>
    <x v="1"/>
    <n v="73.599999999999994"/>
    <s v="Low"/>
    <n v="1413.38"/>
    <n v="0"/>
  </r>
  <r>
    <x v="19"/>
    <x v="17"/>
    <n v="1468"/>
    <n v="4151.57"/>
    <n v="4170.8"/>
    <n v="-19.23"/>
    <n v="1"/>
    <n v="0.3"/>
    <n v="2914.36"/>
    <x v="1"/>
    <n v="603"/>
    <n v="0.53"/>
    <n v="752.54"/>
    <n v="0.18"/>
    <n v="259.35000000000002"/>
    <n v="0.06"/>
    <n v="5"/>
    <n v="1336.16"/>
    <n v="38"/>
    <n v="0"/>
    <n v="77.3"/>
    <n v="3379.82"/>
    <x v="1"/>
    <n v="1871.18"/>
    <x v="4"/>
    <x v="0"/>
    <n v="34.4"/>
    <s v="Low"/>
    <n v="0"/>
    <n v="0"/>
  </r>
  <r>
    <x v="19"/>
    <x v="17"/>
    <n v="1195"/>
    <n v="3120.01"/>
    <n v="3692.79"/>
    <n v="-572.78"/>
    <n v="1.18"/>
    <n v="0.28999999999999998"/>
    <n v="2933.23"/>
    <x v="2"/>
    <n v="743"/>
    <n v="0.32"/>
    <n v="185.93"/>
    <n v="0.06"/>
    <n v="141.58000000000001"/>
    <n v="0.05"/>
    <n v="4"/>
    <n v="1245.7"/>
    <n v="61"/>
    <n v="0"/>
    <n v="248.08"/>
    <n v="3084.23"/>
    <x v="1"/>
    <n v="532"/>
    <x v="3"/>
    <x v="2"/>
    <n v="54.6"/>
    <s v="Low"/>
    <n v="0"/>
    <n v="0"/>
  </r>
  <r>
    <x v="19"/>
    <x v="17"/>
    <n v="1567"/>
    <n v="4887.93"/>
    <n v="1865.39"/>
    <n v="3022.54"/>
    <n v="0.38"/>
    <n v="0.23"/>
    <n v="3381.91"/>
    <x v="1"/>
    <n v="731"/>
    <n v="0.2"/>
    <n v="539.24"/>
    <n v="0.11"/>
    <n v="0"/>
    <n v="0"/>
    <n v="7"/>
    <n v="1019.58"/>
    <n v="22"/>
    <n v="0"/>
    <n v="794.47"/>
    <n v="2100.87"/>
    <x v="2"/>
    <n v="1052.6099999999999"/>
    <x v="8"/>
    <x v="0"/>
    <n v="88.6"/>
    <s v="Medium"/>
    <n v="3022.54"/>
    <n v="0"/>
  </r>
  <r>
    <x v="19"/>
    <x v="17"/>
    <n v="1498"/>
    <n v="3713.28"/>
    <n v="2164"/>
    <n v="1549.28"/>
    <n v="0.57999999999999996"/>
    <n v="0.4"/>
    <n v="2578.9699999999998"/>
    <x v="2"/>
    <n v="760"/>
    <n v="0.44"/>
    <n v="360.98"/>
    <n v="0.1"/>
    <n v="490.62"/>
    <n v="0.13"/>
    <n v="1"/>
    <n v="363.74"/>
    <n v="66"/>
    <n v="0"/>
    <n v="922.4"/>
    <n v="1814.41"/>
    <x v="1"/>
    <n v="1029.98"/>
    <x v="9"/>
    <x v="0"/>
    <n v="23.3"/>
    <s v="Low"/>
    <n v="1549.28"/>
    <n v="0"/>
  </r>
  <r>
    <x v="19"/>
    <x v="17"/>
    <n v="1081"/>
    <n v="4446.8100000000004"/>
    <n v="3056.6"/>
    <n v="1390.21"/>
    <n v="0.69"/>
    <n v="0.05"/>
    <n v="3764.88"/>
    <x v="0"/>
    <n v="660"/>
    <n v="0.22"/>
    <n v="321.73"/>
    <n v="7.0000000000000007E-2"/>
    <n v="308.04000000000002"/>
    <n v="7.0000000000000007E-2"/>
    <n v="6"/>
    <n v="1459.97"/>
    <n v="31"/>
    <n v="0"/>
    <n v="393.67"/>
    <n v="2393.44"/>
    <x v="1"/>
    <n v="1608.21"/>
    <x v="7"/>
    <x v="0"/>
    <n v="94.5"/>
    <s v="High"/>
    <n v="1390.21"/>
    <n v="0"/>
  </r>
  <r>
    <x v="19"/>
    <x v="17"/>
    <n v="1581"/>
    <n v="5302.86"/>
    <n v="3549.05"/>
    <n v="1753.81"/>
    <n v="0.67"/>
    <n v="0.32"/>
    <n v="3035.51"/>
    <x v="1"/>
    <n v="650"/>
    <n v="0.22"/>
    <n v="774.29"/>
    <n v="0.15"/>
    <n v="45.19"/>
    <n v="0.01"/>
    <n v="9"/>
    <n v="954.31"/>
    <n v="90"/>
    <n v="0"/>
    <n v="91.94"/>
    <n v="2842.66"/>
    <x v="1"/>
    <n v="2227.1999999999998"/>
    <x v="4"/>
    <x v="0"/>
    <n v="50.3"/>
    <s v="Low"/>
    <n v="1753.81"/>
    <n v="0"/>
  </r>
  <r>
    <x v="19"/>
    <x v="17"/>
    <n v="1111"/>
    <n v="2817.23"/>
    <n v="3131.74"/>
    <n v="-314.51"/>
    <n v="1.1100000000000001"/>
    <n v="0.34"/>
    <n v="2647.89"/>
    <x v="1"/>
    <n v="642"/>
    <n v="0.48"/>
    <n v="621.54999999999995"/>
    <n v="0.22"/>
    <n v="537.89"/>
    <n v="0.19"/>
    <n v="5"/>
    <n v="922.11"/>
    <n v="72"/>
    <n v="0"/>
    <n v="662.08"/>
    <n v="1537.95"/>
    <x v="1"/>
    <n v="796"/>
    <x v="9"/>
    <x v="0"/>
    <n v="37"/>
    <s v="Medium"/>
    <n v="0"/>
    <n v="0"/>
  </r>
  <r>
    <x v="19"/>
    <x v="17"/>
    <n v="1083"/>
    <n v="5397.7"/>
    <n v="3323.68"/>
    <n v="2074.02"/>
    <n v="0.62"/>
    <n v="0.28999999999999998"/>
    <n v="3070.43"/>
    <x v="1"/>
    <n v="767"/>
    <n v="0.26"/>
    <n v="383.68"/>
    <n v="7.0000000000000007E-2"/>
    <n v="651.95000000000005"/>
    <n v="0.12"/>
    <n v="5"/>
    <n v="608.80999999999995"/>
    <n v="83"/>
    <n v="0"/>
    <n v="90.37"/>
    <n v="3020.04"/>
    <x v="2"/>
    <n v="1131.24"/>
    <x v="7"/>
    <x v="0"/>
    <n v="74.900000000000006"/>
    <s v="Medium"/>
    <n v="2074.02"/>
    <n v="0"/>
  </r>
  <r>
    <x v="19"/>
    <x v="17"/>
    <n v="1500"/>
    <n v="5221.04"/>
    <n v="2290.23"/>
    <n v="2930.81"/>
    <n v="0.44"/>
    <n v="0.28999999999999998"/>
    <n v="2843.18"/>
    <x v="1"/>
    <n v="747"/>
    <n v="0.32"/>
    <n v="302.95"/>
    <n v="0.06"/>
    <n v="345.1"/>
    <n v="7.0000000000000007E-2"/>
    <n v="1"/>
    <n v="1237.23"/>
    <n v="71"/>
    <n v="0"/>
    <n v="530.03"/>
    <n v="2675.11"/>
    <x v="1"/>
    <n v="867.16"/>
    <x v="4"/>
    <x v="0"/>
    <n v="5.9"/>
    <s v="High"/>
    <n v="2930.81"/>
    <n v="1"/>
  </r>
  <r>
    <x v="19"/>
    <x v="17"/>
    <n v="1946"/>
    <n v="3297.15"/>
    <n v="2774.64"/>
    <n v="522.51"/>
    <n v="0.84"/>
    <n v="0.1"/>
    <n v="2770.25"/>
    <x v="1"/>
    <n v="763"/>
    <n v="0.54"/>
    <n v="336.07"/>
    <n v="0.1"/>
    <n v="681.8"/>
    <n v="0.21"/>
    <n v="8"/>
    <n v="282.13"/>
    <n v="25"/>
    <n v="0"/>
    <n v="676.79"/>
    <n v="1065.44"/>
    <x v="2"/>
    <n v="1186.18"/>
    <x v="5"/>
    <x v="2"/>
    <n v="2.5"/>
    <s v="Medium"/>
    <n v="522.51"/>
    <n v="0"/>
  </r>
  <r>
    <x v="19"/>
    <x v="17"/>
    <n v="1248"/>
    <n v="4010.68"/>
    <n v="2836.56"/>
    <n v="1174.1199999999999"/>
    <n v="0.71"/>
    <n v="0.37"/>
    <n v="2560.79"/>
    <x v="1"/>
    <n v="723"/>
    <n v="0.56999999999999995"/>
    <n v="196.92"/>
    <n v="0.05"/>
    <n v="0"/>
    <n v="0"/>
    <n v="2"/>
    <n v="309.70999999999998"/>
    <n v="54"/>
    <n v="0"/>
    <n v="521.11"/>
    <n v="2819.13"/>
    <x v="1"/>
    <n v="896.4"/>
    <x v="8"/>
    <x v="0"/>
    <n v="20.5"/>
    <s v="Low"/>
    <n v="1174.1199999999999"/>
    <n v="0"/>
  </r>
  <r>
    <x v="19"/>
    <x v="17"/>
    <n v="1108"/>
    <n v="5735.6"/>
    <n v="2579.09"/>
    <n v="3156.51"/>
    <n v="0.45"/>
    <n v="0.31"/>
    <n v="2028.29"/>
    <x v="1"/>
    <n v="639"/>
    <n v="0.16"/>
    <n v="495.69"/>
    <n v="0.09"/>
    <n v="394.19"/>
    <n v="7.0000000000000007E-2"/>
    <n v="3"/>
    <n v="354.63"/>
    <n v="24"/>
    <n v="0"/>
    <n v="589.82000000000005"/>
    <n v="1953.59"/>
    <x v="0"/>
    <n v="1698.23"/>
    <x v="0"/>
    <x v="0"/>
    <n v="93.9"/>
    <s v="High"/>
    <n v="3156.51"/>
    <n v="1"/>
  </r>
  <r>
    <x v="19"/>
    <x v="17"/>
    <n v="1775"/>
    <n v="4107"/>
    <n v="2575.75"/>
    <n v="1531.25"/>
    <n v="0.63"/>
    <n v="0.16"/>
    <n v="3011.21"/>
    <x v="1"/>
    <n v="563"/>
    <n v="0.5"/>
    <n v="705.39"/>
    <n v="0.17"/>
    <n v="482.41"/>
    <n v="0.12"/>
    <n v="1"/>
    <n v="0"/>
    <n v="97"/>
    <n v="0"/>
    <n v="475.52"/>
    <n v="3147.18"/>
    <x v="1"/>
    <n v="1019.72"/>
    <x v="5"/>
    <x v="1"/>
    <n v="27.9"/>
    <s v="Medium"/>
    <n v="1531.25"/>
    <n v="0"/>
  </r>
  <r>
    <x v="19"/>
    <x v="17"/>
    <n v="1603"/>
    <n v="2400.71"/>
    <n v="4244.68"/>
    <n v="-1843.97"/>
    <n v="1.77"/>
    <n v="0.28999999999999998"/>
    <n v="2498.9299999999998"/>
    <x v="2"/>
    <n v="667"/>
    <n v="0.19"/>
    <n v="499.06"/>
    <n v="0.21"/>
    <n v="492.07"/>
    <n v="0.2"/>
    <n v="2"/>
    <n v="1104.8599999999999"/>
    <n v="25"/>
    <n v="0"/>
    <n v="658.15"/>
    <n v="2678.93"/>
    <x v="1"/>
    <n v="735.25"/>
    <x v="2"/>
    <x v="0"/>
    <n v="65.099999999999994"/>
    <s v="High"/>
    <n v="0"/>
    <n v="0"/>
  </r>
  <r>
    <x v="19"/>
    <x v="17"/>
    <n v="1149"/>
    <n v="4349.92"/>
    <n v="3149.43"/>
    <n v="1200.49"/>
    <n v="0.72"/>
    <n v="0.09"/>
    <n v="2777.84"/>
    <x v="1"/>
    <n v="690"/>
    <n v="0.36"/>
    <n v="565.70000000000005"/>
    <n v="0.13"/>
    <n v="451.06"/>
    <n v="0.1"/>
    <n v="9"/>
    <n v="574.29999999999995"/>
    <n v="84"/>
    <n v="0"/>
    <n v="207.32"/>
    <n v="3214.16"/>
    <x v="1"/>
    <n v="1057.1400000000001"/>
    <x v="6"/>
    <x v="0"/>
    <n v="38.700000000000003"/>
    <s v="Medium"/>
    <n v="1200.49"/>
    <n v="0"/>
  </r>
  <r>
    <x v="19"/>
    <x v="17"/>
    <n v="1374"/>
    <n v="3516.53"/>
    <n v="3281.42"/>
    <n v="235.11"/>
    <n v="0.93"/>
    <n v="0.26"/>
    <n v="3032.61"/>
    <x v="0"/>
    <n v="767"/>
    <n v="0.22"/>
    <n v="356.14"/>
    <n v="0.1"/>
    <n v="86.15"/>
    <n v="0.02"/>
    <n v="8"/>
    <n v="916.55"/>
    <n v="85"/>
    <n v="0"/>
    <n v="901.44"/>
    <n v="2597.83"/>
    <x v="1"/>
    <n v="1357.67"/>
    <x v="7"/>
    <x v="0"/>
    <n v="27.9"/>
    <s v="Low"/>
    <n v="235.11"/>
    <n v="0"/>
  </r>
  <r>
    <x v="19"/>
    <x v="17"/>
    <n v="1483"/>
    <n v="3482.22"/>
    <n v="2832.86"/>
    <n v="649.36"/>
    <n v="0.81"/>
    <n v="0.25"/>
    <n v="2457.7600000000002"/>
    <x v="1"/>
    <n v="686"/>
    <n v="0.52"/>
    <n v="148.16"/>
    <n v="0.04"/>
    <n v="431.34"/>
    <n v="0.12"/>
    <n v="9"/>
    <n v="1400.76"/>
    <n v="49"/>
    <n v="0"/>
    <n v="655.05999999999995"/>
    <n v="2840.04"/>
    <x v="1"/>
    <n v="1126.44"/>
    <x v="9"/>
    <x v="0"/>
    <n v="70.2"/>
    <s v="High"/>
    <n v="649.36"/>
    <n v="0"/>
  </r>
  <r>
    <x v="19"/>
    <x v="17"/>
    <n v="1702"/>
    <n v="4292.3500000000004"/>
    <n v="3461.31"/>
    <n v="831.04"/>
    <n v="0.81"/>
    <n v="0.38"/>
    <n v="3077.51"/>
    <x v="1"/>
    <n v="601"/>
    <n v="0.12"/>
    <n v="422.51"/>
    <n v="0.1"/>
    <n v="104.94"/>
    <n v="0.02"/>
    <n v="5"/>
    <n v="1319.1"/>
    <n v="23"/>
    <n v="0"/>
    <n v="632.6"/>
    <n v="2885.59"/>
    <x v="2"/>
    <n v="1068.0999999999999"/>
    <x v="5"/>
    <x v="2"/>
    <n v="89.2"/>
    <s v="Low"/>
    <n v="831.04"/>
    <n v="0"/>
  </r>
  <r>
    <x v="19"/>
    <x v="17"/>
    <n v="1915"/>
    <n v="5199.63"/>
    <n v="4234.5600000000004"/>
    <n v="965.07"/>
    <n v="0.81"/>
    <n v="0.17"/>
    <n v="2862.02"/>
    <x v="0"/>
    <n v="622"/>
    <n v="0.3"/>
    <n v="545.97"/>
    <n v="0.11"/>
    <n v="0"/>
    <n v="0"/>
    <n v="2"/>
    <n v="1503.33"/>
    <n v="57"/>
    <n v="0"/>
    <n v="561.73"/>
    <n v="3291.13"/>
    <x v="1"/>
    <n v="367.82"/>
    <x v="3"/>
    <x v="1"/>
    <n v="8.5"/>
    <s v="Low"/>
    <n v="965.07"/>
    <n v="0"/>
  </r>
  <r>
    <x v="19"/>
    <x v="17"/>
    <n v="1448"/>
    <n v="2489.96"/>
    <n v="2501.3200000000002"/>
    <n v="-11.36"/>
    <n v="1"/>
    <n v="0.1"/>
    <n v="3124.68"/>
    <x v="1"/>
    <n v="684"/>
    <n v="0.23"/>
    <n v="275.86"/>
    <n v="0.11"/>
    <n v="337.93"/>
    <n v="0.14000000000000001"/>
    <n v="2"/>
    <n v="162.63999999999999"/>
    <n v="93"/>
    <n v="0"/>
    <n v="249.32"/>
    <n v="2671.5"/>
    <x v="1"/>
    <n v="1490.2"/>
    <x v="1"/>
    <x v="0"/>
    <n v="81"/>
    <s v="Medium"/>
    <n v="0"/>
    <n v="0"/>
  </r>
  <r>
    <x v="19"/>
    <x v="17"/>
    <n v="1150"/>
    <n v="4465.17"/>
    <n v="601.26"/>
    <n v="3863.91"/>
    <n v="0.13"/>
    <n v="0.25"/>
    <n v="2550.48"/>
    <x v="1"/>
    <n v="724"/>
    <n v="0.13"/>
    <n v="509.12"/>
    <n v="0.11"/>
    <n v="432.76"/>
    <n v="0.1"/>
    <n v="2"/>
    <n v="1381.88"/>
    <n v="58"/>
    <n v="0"/>
    <n v="447.67"/>
    <n v="2185.7600000000002"/>
    <x v="1"/>
    <n v="1637.94"/>
    <x v="6"/>
    <x v="0"/>
    <n v="51.1"/>
    <s v="Low"/>
    <n v="3863.91"/>
    <n v="1"/>
  </r>
  <r>
    <x v="19"/>
    <x v="17"/>
    <n v="1585"/>
    <n v="4290.08"/>
    <n v="2377.9299999999998"/>
    <n v="1912.15"/>
    <n v="0.55000000000000004"/>
    <n v="0.26"/>
    <n v="2392"/>
    <x v="1"/>
    <n v="629"/>
    <n v="0.49"/>
    <n v="544.02"/>
    <n v="0.13"/>
    <n v="384.6"/>
    <n v="0.09"/>
    <n v="7"/>
    <n v="1513.32"/>
    <n v="99"/>
    <n v="0"/>
    <n v="509.14"/>
    <n v="1336.85"/>
    <x v="1"/>
    <n v="335.26"/>
    <x v="5"/>
    <x v="0"/>
    <n v="39.200000000000003"/>
    <s v="Low"/>
    <n v="1912.15"/>
    <n v="0"/>
  </r>
  <r>
    <x v="19"/>
    <x v="17"/>
    <n v="1568"/>
    <n v="3900.79"/>
    <n v="2234.91"/>
    <n v="1665.88"/>
    <n v="0.56999999999999995"/>
    <n v="0.38"/>
    <n v="2803.2"/>
    <x v="1"/>
    <n v="716"/>
    <n v="0.13"/>
    <n v="532.41999999999996"/>
    <n v="0.14000000000000001"/>
    <n v="783.78"/>
    <n v="0.2"/>
    <n v="1"/>
    <n v="402.51"/>
    <n v="38"/>
    <n v="0"/>
    <n v="491.3"/>
    <n v="1270.7"/>
    <x v="1"/>
    <n v="1344.26"/>
    <x v="6"/>
    <x v="1"/>
    <n v="23.8"/>
    <s v="Medium"/>
    <n v="1665.88"/>
    <n v="0"/>
  </r>
  <r>
    <x v="19"/>
    <x v="17"/>
    <n v="1781"/>
    <n v="4176.0600000000004"/>
    <n v="3504.28"/>
    <n v="671.78"/>
    <n v="0.84"/>
    <n v="7.0000000000000007E-2"/>
    <n v="2409.61"/>
    <x v="2"/>
    <n v="701"/>
    <n v="0.5"/>
    <n v="283.92"/>
    <n v="7.0000000000000007E-2"/>
    <n v="585.04"/>
    <n v="0.14000000000000001"/>
    <n v="5"/>
    <n v="68.290000000000006"/>
    <n v="47"/>
    <n v="0"/>
    <n v="246.48"/>
    <n v="1775.58"/>
    <x v="0"/>
    <n v="2600.2600000000002"/>
    <x v="3"/>
    <x v="0"/>
    <n v="54.8"/>
    <s v="High"/>
    <n v="671.78"/>
    <n v="0"/>
  </r>
  <r>
    <x v="19"/>
    <x v="17"/>
    <n v="1351"/>
    <n v="2512.08"/>
    <n v="2048.98"/>
    <n v="463.1"/>
    <n v="0.82"/>
    <n v="0.34"/>
    <n v="2973.19"/>
    <x v="1"/>
    <n v="775"/>
    <n v="0.54"/>
    <n v="430.51"/>
    <n v="0.17"/>
    <n v="428.27"/>
    <n v="0.17"/>
    <n v="4"/>
    <n v="1438.22"/>
    <n v="85"/>
    <n v="0"/>
    <n v="206.03"/>
    <n v="2618.06"/>
    <x v="2"/>
    <n v="1973.01"/>
    <x v="0"/>
    <x v="1"/>
    <n v="69.2"/>
    <s v="Low"/>
    <n v="463.1"/>
    <n v="0"/>
  </r>
  <r>
    <x v="19"/>
    <x v="17"/>
    <n v="1803"/>
    <n v="3395.53"/>
    <n v="4296.04"/>
    <n v="-900.51"/>
    <n v="1.27"/>
    <n v="0.09"/>
    <n v="3317.84"/>
    <x v="1"/>
    <n v="734"/>
    <n v="0.36"/>
    <n v="731.32"/>
    <n v="0.22"/>
    <n v="663.91"/>
    <n v="0.2"/>
    <n v="3"/>
    <n v="1020.78"/>
    <n v="66"/>
    <n v="0"/>
    <n v="350.91"/>
    <n v="2171.5"/>
    <x v="1"/>
    <n v="622.98"/>
    <x v="3"/>
    <x v="0"/>
    <n v="63"/>
    <s v="Medium"/>
    <n v="0"/>
    <n v="0"/>
  </r>
  <r>
    <x v="19"/>
    <x v="17"/>
    <n v="1936"/>
    <n v="4296.91"/>
    <n v="3992.8"/>
    <n v="304.11"/>
    <n v="0.93"/>
    <n v="0.28000000000000003"/>
    <n v="1763.57"/>
    <x v="1"/>
    <n v="684"/>
    <n v="0.57999999999999996"/>
    <n v="534.15"/>
    <n v="0.12"/>
    <n v="30.56"/>
    <n v="0.01"/>
    <n v="8"/>
    <n v="1217.01"/>
    <n v="99"/>
    <n v="0"/>
    <n v="354.82"/>
    <n v="2506.34"/>
    <x v="1"/>
    <n v="1810.51"/>
    <x v="0"/>
    <x v="0"/>
    <n v="84.1"/>
    <s v="Medium"/>
    <n v="304.11"/>
    <n v="0"/>
  </r>
  <r>
    <x v="19"/>
    <x v="17"/>
    <n v="1959"/>
    <n v="5271.82"/>
    <n v="3449.8"/>
    <n v="1822.02"/>
    <n v="0.65"/>
    <n v="0.09"/>
    <n v="2450.9699999999998"/>
    <x v="1"/>
    <n v="612"/>
    <n v="0.51"/>
    <n v="454.57"/>
    <n v="0.09"/>
    <n v="336.75"/>
    <n v="0.06"/>
    <n v="9"/>
    <n v="101.13"/>
    <n v="23"/>
    <n v="0"/>
    <n v="353.62"/>
    <n v="3226.04"/>
    <x v="1"/>
    <n v="1106.8"/>
    <x v="6"/>
    <x v="0"/>
    <n v="87.7"/>
    <s v="Low"/>
    <n v="1822.02"/>
    <n v="0"/>
  </r>
  <r>
    <x v="19"/>
    <x v="17"/>
    <n v="1286"/>
    <n v="5032.97"/>
    <n v="764.47"/>
    <n v="4268.5"/>
    <n v="0.15"/>
    <n v="0.1"/>
    <n v="2845.81"/>
    <x v="2"/>
    <n v="747"/>
    <n v="0.52"/>
    <n v="610.65"/>
    <n v="0.12"/>
    <n v="286.54000000000002"/>
    <n v="0.06"/>
    <n v="3"/>
    <n v="1361.3"/>
    <n v="91"/>
    <n v="0"/>
    <n v="347.4"/>
    <n v="1560.92"/>
    <x v="1"/>
    <n v="1350.73"/>
    <x v="7"/>
    <x v="1"/>
    <n v="29.3"/>
    <s v="Medium"/>
    <n v="4268.5"/>
    <n v="1"/>
  </r>
  <r>
    <x v="19"/>
    <x v="17"/>
    <n v="1949"/>
    <n v="6014.58"/>
    <n v="2156.62"/>
    <n v="3857.96"/>
    <n v="0.36"/>
    <n v="0.19"/>
    <n v="1926.4"/>
    <x v="1"/>
    <n v="730"/>
    <n v="0.13"/>
    <n v="226.59"/>
    <n v="0.04"/>
    <n v="318.33"/>
    <n v="0.05"/>
    <n v="4"/>
    <n v="845.92"/>
    <n v="43"/>
    <n v="0"/>
    <n v="353.94"/>
    <n v="3317.12"/>
    <x v="1"/>
    <n v="1046.03"/>
    <x v="7"/>
    <x v="0"/>
    <n v="64"/>
    <s v="Low"/>
    <n v="3857.96"/>
    <n v="1"/>
  </r>
  <r>
    <x v="19"/>
    <x v="17"/>
    <n v="1685"/>
    <n v="4044.55"/>
    <n v="2092.14"/>
    <n v="1952.41"/>
    <n v="0.52"/>
    <n v="0.3"/>
    <n v="3915.19"/>
    <x v="1"/>
    <n v="733"/>
    <n v="0.28000000000000003"/>
    <n v="635.05999999999995"/>
    <n v="0.16"/>
    <n v="887.61"/>
    <n v="0.22"/>
    <n v="5"/>
    <n v="1001.45"/>
    <n v="80"/>
    <n v="0"/>
    <n v="851.84"/>
    <n v="2380.4299999999998"/>
    <x v="0"/>
    <n v="1406.48"/>
    <x v="6"/>
    <x v="0"/>
    <n v="48.3"/>
    <s v="Low"/>
    <n v="1952.41"/>
    <n v="0"/>
  </r>
  <r>
    <x v="19"/>
    <x v="17"/>
    <n v="1977"/>
    <n v="3416.77"/>
    <n v="1657.71"/>
    <n v="1759.06"/>
    <n v="0.49"/>
    <n v="0.39"/>
    <n v="2732.74"/>
    <x v="2"/>
    <n v="646"/>
    <n v="0.44"/>
    <n v="683.93"/>
    <n v="0.2"/>
    <n v="355.08"/>
    <n v="0.1"/>
    <n v="2"/>
    <n v="981.95"/>
    <n v="59"/>
    <n v="0"/>
    <n v="514.99"/>
    <n v="1696.89"/>
    <x v="1"/>
    <n v="776.69"/>
    <x v="0"/>
    <x v="0"/>
    <n v="55.2"/>
    <s v="Medium"/>
    <n v="1759.06"/>
    <n v="0"/>
  </r>
  <r>
    <x v="19"/>
    <x v="17"/>
    <n v="1894"/>
    <n v="4149.28"/>
    <n v="3650.56"/>
    <n v="498.72"/>
    <n v="0.88"/>
    <n v="0.22"/>
    <n v="2296.33"/>
    <x v="1"/>
    <n v="707"/>
    <n v="0.16"/>
    <n v="799.45"/>
    <n v="0.19"/>
    <n v="585.32000000000005"/>
    <n v="0.14000000000000001"/>
    <n v="9"/>
    <n v="1436.62"/>
    <n v="89"/>
    <n v="0"/>
    <n v="499.07"/>
    <n v="1960.73"/>
    <x v="1"/>
    <n v="1245.96"/>
    <x v="6"/>
    <x v="1"/>
    <n v="9.9"/>
    <s v="Low"/>
    <n v="498.72"/>
    <n v="0"/>
  </r>
  <r>
    <x v="19"/>
    <x v="17"/>
    <n v="1170"/>
    <n v="3521.84"/>
    <n v="3783.64"/>
    <n v="-261.8"/>
    <n v="1.07"/>
    <n v="0.3"/>
    <n v="2766.43"/>
    <x v="1"/>
    <n v="670"/>
    <n v="0.42"/>
    <n v="724.14"/>
    <n v="0.21"/>
    <n v="128.71"/>
    <n v="0.04"/>
    <n v="9"/>
    <n v="1660.34"/>
    <n v="34"/>
    <n v="0"/>
    <n v="494.68"/>
    <n v="2287.14"/>
    <x v="1"/>
    <n v="1297.1500000000001"/>
    <x v="0"/>
    <x v="2"/>
    <n v="63.3"/>
    <s v="Medium"/>
    <n v="0"/>
    <n v="0"/>
  </r>
  <r>
    <x v="19"/>
    <x v="17"/>
    <n v="1404"/>
    <n v="2532.15"/>
    <n v="3592.7"/>
    <n v="-1060.55"/>
    <n v="1.42"/>
    <n v="0.22"/>
    <n v="2413.89"/>
    <x v="1"/>
    <n v="696"/>
    <n v="0.49"/>
    <n v="849.92"/>
    <n v="0.34"/>
    <n v="521.17999999999995"/>
    <n v="0.21"/>
    <n v="5"/>
    <n v="2187.52"/>
    <n v="26"/>
    <n v="0"/>
    <n v="319.52"/>
    <n v="1519.82"/>
    <x v="2"/>
    <n v="995.72"/>
    <x v="3"/>
    <x v="2"/>
    <n v="84.2"/>
    <s v="Low"/>
    <n v="0"/>
    <n v="0"/>
  </r>
  <r>
    <x v="19"/>
    <x v="17"/>
    <n v="1146"/>
    <n v="4345.8900000000003"/>
    <n v="1641.88"/>
    <n v="2704.01"/>
    <n v="0.38"/>
    <n v="0.11"/>
    <n v="2895.24"/>
    <x v="1"/>
    <n v="700"/>
    <n v="0.31"/>
    <n v="377.95"/>
    <n v="0.09"/>
    <n v="452.38"/>
    <n v="0.1"/>
    <n v="9"/>
    <n v="1010.3"/>
    <n v="96"/>
    <n v="0"/>
    <n v="598.01"/>
    <n v="1171.1600000000001"/>
    <x v="1"/>
    <n v="2002.68"/>
    <x v="4"/>
    <x v="0"/>
    <n v="7.8"/>
    <s v="Medium"/>
    <n v="2704.01"/>
    <n v="0"/>
  </r>
  <r>
    <x v="19"/>
    <x v="17"/>
    <n v="1859"/>
    <n v="3910.61"/>
    <n v="3453.1"/>
    <n v="457.51"/>
    <n v="0.88"/>
    <n v="0.39"/>
    <n v="2853.33"/>
    <x v="1"/>
    <n v="704"/>
    <n v="0.21"/>
    <n v="441.82"/>
    <n v="0.11"/>
    <n v="66.77"/>
    <n v="0.02"/>
    <n v="2"/>
    <n v="1193.46"/>
    <n v="27"/>
    <n v="0"/>
    <n v="222.51"/>
    <n v="2211.4299999999998"/>
    <x v="1"/>
    <n v="463.73"/>
    <x v="6"/>
    <x v="0"/>
    <n v="48.8"/>
    <s v="Low"/>
    <n v="457.51"/>
    <n v="0"/>
  </r>
  <r>
    <x v="19"/>
    <x v="17"/>
    <n v="1655"/>
    <n v="4286.0200000000004"/>
    <n v="2758.84"/>
    <n v="1527.18"/>
    <n v="0.64"/>
    <n v="0.33"/>
    <n v="2035.48"/>
    <x v="1"/>
    <n v="620"/>
    <n v="0.47"/>
    <n v="598.79999999999995"/>
    <n v="0.14000000000000001"/>
    <n v="628.88"/>
    <n v="0.15"/>
    <n v="3"/>
    <n v="1215.8499999999999"/>
    <n v="57"/>
    <n v="0"/>
    <n v="414.96"/>
    <n v="1269.6400000000001"/>
    <x v="1"/>
    <n v="430.56"/>
    <x v="9"/>
    <x v="0"/>
    <n v="22.1"/>
    <s v="High"/>
    <n v="1527.18"/>
    <n v="0"/>
  </r>
  <r>
    <x v="19"/>
    <x v="17"/>
    <n v="1851"/>
    <n v="3742.1"/>
    <n v="3083.87"/>
    <n v="658.23"/>
    <n v="0.82"/>
    <n v="0.33"/>
    <n v="2886.5"/>
    <x v="1"/>
    <n v="720"/>
    <n v="0.59"/>
    <n v="427.68"/>
    <n v="0.11"/>
    <n v="872.32"/>
    <n v="0.23"/>
    <n v="5"/>
    <n v="1118.76"/>
    <n v="75"/>
    <n v="0"/>
    <n v="278.08999999999997"/>
    <n v="2981.98"/>
    <x v="1"/>
    <n v="655.71"/>
    <x v="1"/>
    <x v="1"/>
    <n v="97"/>
    <s v="Medium"/>
    <n v="658.23"/>
    <n v="0"/>
  </r>
  <r>
    <x v="19"/>
    <x v="17"/>
    <n v="1592"/>
    <n v="4239.4799999999996"/>
    <n v="2694.98"/>
    <n v="1544.5"/>
    <n v="0.64"/>
    <n v="0.25"/>
    <n v="3893.65"/>
    <x v="1"/>
    <n v="629"/>
    <n v="0.19"/>
    <n v="651.54"/>
    <n v="0.15"/>
    <n v="492.66"/>
    <n v="0.12"/>
    <n v="6"/>
    <n v="649.91999999999996"/>
    <n v="96"/>
    <n v="0"/>
    <n v="643.53"/>
    <n v="2241.09"/>
    <x v="1"/>
    <n v="1327.77"/>
    <x v="9"/>
    <x v="2"/>
    <n v="5.0999999999999996"/>
    <s v="High"/>
    <n v="1544.5"/>
    <n v="0"/>
  </r>
  <r>
    <x v="19"/>
    <x v="17"/>
    <n v="1001"/>
    <n v="3542.3"/>
    <n v="2119.4699999999998"/>
    <n v="1422.83"/>
    <n v="0.6"/>
    <n v="0.16"/>
    <n v="2765.1"/>
    <x v="1"/>
    <n v="755"/>
    <n v="0.19"/>
    <n v="722.67"/>
    <n v="0.2"/>
    <n v="156.72999999999999"/>
    <n v="0.04"/>
    <n v="9"/>
    <n v="1793.11"/>
    <n v="74"/>
    <n v="0"/>
    <n v="424.14"/>
    <n v="1312.69"/>
    <x v="0"/>
    <n v="1880.87"/>
    <x v="0"/>
    <x v="0"/>
    <n v="72.3"/>
    <s v="Low"/>
    <n v="1422.83"/>
    <n v="0"/>
  </r>
  <r>
    <x v="19"/>
    <x v="17"/>
    <n v="1409"/>
    <n v="4088.89"/>
    <n v="1871.65"/>
    <n v="2217.2399999999998"/>
    <n v="0.46"/>
    <n v="0.39"/>
    <n v="3200.46"/>
    <x v="1"/>
    <n v="711"/>
    <n v="0.34"/>
    <n v="284.75"/>
    <n v="7.0000000000000007E-2"/>
    <n v="402.34"/>
    <n v="0.1"/>
    <n v="7"/>
    <n v="172.62"/>
    <n v="42"/>
    <n v="0"/>
    <n v="375.04"/>
    <n v="2557.64"/>
    <x v="0"/>
    <n v="1096.9000000000001"/>
    <x v="5"/>
    <x v="0"/>
    <n v="2.7"/>
    <s v="Medium"/>
    <n v="2217.2399999999998"/>
    <n v="0"/>
  </r>
  <r>
    <x v="19"/>
    <x v="17"/>
    <n v="1446"/>
    <n v="4757.04"/>
    <n v="4022.08"/>
    <n v="734.96"/>
    <n v="0.85"/>
    <n v="0.24"/>
    <n v="2490.21"/>
    <x v="0"/>
    <n v="601"/>
    <n v="0.53"/>
    <n v="376.17"/>
    <n v="0.08"/>
    <n v="90.01"/>
    <n v="0.02"/>
    <n v="3"/>
    <n v="977.01"/>
    <n v="92"/>
    <n v="0"/>
    <n v="404.84"/>
    <n v="1431.37"/>
    <x v="1"/>
    <n v="1220.8599999999999"/>
    <x v="8"/>
    <x v="0"/>
    <n v="83.4"/>
    <s v="Medium"/>
    <n v="734.96"/>
    <n v="0"/>
  </r>
  <r>
    <x v="20"/>
    <x v="18"/>
    <n v="1347"/>
    <n v="2911.22"/>
    <n v="1886.67"/>
    <n v="1024.55"/>
    <n v="0.65"/>
    <n v="0.17"/>
    <n v="2330.65"/>
    <x v="1"/>
    <n v="631"/>
    <n v="0.52"/>
    <n v="448.13"/>
    <n v="0.15"/>
    <n v="112.31"/>
    <n v="0.04"/>
    <n v="7"/>
    <n v="1431.26"/>
    <n v="35"/>
    <n v="0"/>
    <n v="755.99"/>
    <n v="1737.44"/>
    <x v="1"/>
    <n v="1501.13"/>
    <x v="0"/>
    <x v="1"/>
    <n v="43.5"/>
    <s v="High"/>
    <n v="1024.55"/>
    <n v="0"/>
  </r>
  <r>
    <x v="20"/>
    <x v="18"/>
    <n v="1694"/>
    <n v="5530.99"/>
    <n v="996.21"/>
    <n v="4534.78"/>
    <n v="0.18"/>
    <n v="0.26"/>
    <n v="1673.99"/>
    <x v="0"/>
    <n v="668"/>
    <n v="0.1"/>
    <n v="563.79"/>
    <n v="0.1"/>
    <n v="597.11"/>
    <n v="0.11"/>
    <n v="6"/>
    <n v="1304.4100000000001"/>
    <n v="50"/>
    <n v="0"/>
    <n v="437.43"/>
    <n v="1887.29"/>
    <x v="1"/>
    <n v="1249.45"/>
    <x v="4"/>
    <x v="1"/>
    <n v="69.7"/>
    <s v="High"/>
    <n v="4534.78"/>
    <n v="1"/>
  </r>
  <r>
    <x v="20"/>
    <x v="18"/>
    <n v="1224"/>
    <n v="2829.98"/>
    <n v="2944.6"/>
    <n v="-114.62"/>
    <n v="1.04"/>
    <n v="0.28999999999999998"/>
    <n v="3228.37"/>
    <x v="0"/>
    <n v="695"/>
    <n v="0.41"/>
    <n v="558.19000000000005"/>
    <n v="0.2"/>
    <n v="254.35"/>
    <n v="0.09"/>
    <n v="7"/>
    <n v="808.29"/>
    <n v="52"/>
    <n v="0"/>
    <n v="534.4"/>
    <n v="1254.8800000000001"/>
    <x v="1"/>
    <n v="1527.49"/>
    <x v="8"/>
    <x v="0"/>
    <n v="56.4"/>
    <s v="Medium"/>
    <n v="0"/>
    <n v="0"/>
  </r>
  <r>
    <x v="20"/>
    <x v="18"/>
    <n v="1849"/>
    <n v="4985.68"/>
    <n v="3857.51"/>
    <n v="1128.17"/>
    <n v="0.77"/>
    <n v="0.35"/>
    <n v="2972.64"/>
    <x v="1"/>
    <n v="779"/>
    <n v="0.22"/>
    <n v="476.72"/>
    <n v="0.1"/>
    <n v="712.01"/>
    <n v="0.14000000000000001"/>
    <n v="3"/>
    <n v="866.14"/>
    <n v="60"/>
    <n v="0"/>
    <n v="550.23"/>
    <n v="2524.21"/>
    <x v="1"/>
    <n v="872.95"/>
    <x v="5"/>
    <x v="2"/>
    <n v="55.3"/>
    <s v="Medium"/>
    <n v="1128.17"/>
    <n v="0"/>
  </r>
  <r>
    <x v="20"/>
    <x v="18"/>
    <n v="1392"/>
    <n v="2646.33"/>
    <n v="2649.57"/>
    <n v="-3.24"/>
    <n v="1"/>
    <n v="7.0000000000000007E-2"/>
    <n v="3068.22"/>
    <x v="1"/>
    <n v="757"/>
    <n v="0.26"/>
    <n v="537.53"/>
    <n v="0.2"/>
    <n v="395.3"/>
    <n v="0.15"/>
    <n v="4"/>
    <n v="789.02"/>
    <n v="34"/>
    <n v="0"/>
    <n v="624.87"/>
    <n v="2621.33"/>
    <x v="1"/>
    <n v="1364.64"/>
    <x v="1"/>
    <x v="0"/>
    <n v="68.7"/>
    <s v="Medium"/>
    <n v="0"/>
    <n v="0"/>
  </r>
  <r>
    <x v="20"/>
    <x v="18"/>
    <n v="1306"/>
    <n v="2162.0500000000002"/>
    <n v="4840.09"/>
    <n v="-2678.04"/>
    <n v="2.2400000000000002"/>
    <n v="0.3"/>
    <n v="3477.9"/>
    <x v="2"/>
    <n v="626"/>
    <n v="0.4"/>
    <n v="501.73"/>
    <n v="0.23"/>
    <n v="641.28"/>
    <n v="0.3"/>
    <n v="2"/>
    <n v="171.64"/>
    <n v="67"/>
    <n v="0"/>
    <n v="700.72"/>
    <n v="2861.31"/>
    <x v="1"/>
    <n v="1345.29"/>
    <x v="2"/>
    <x v="0"/>
    <n v="63.2"/>
    <s v="High"/>
    <n v="0"/>
    <n v="0"/>
  </r>
  <r>
    <x v="20"/>
    <x v="18"/>
    <n v="1545"/>
    <n v="4132.7299999999996"/>
    <n v="3577.41"/>
    <n v="555.32000000000005"/>
    <n v="0.87"/>
    <n v="0.38"/>
    <n v="1934.72"/>
    <x v="0"/>
    <n v="727"/>
    <n v="0.14000000000000001"/>
    <n v="840.14"/>
    <n v="0.2"/>
    <n v="0"/>
    <n v="0"/>
    <n v="5"/>
    <n v="175.87"/>
    <n v="25"/>
    <n v="0"/>
    <n v="651.80999999999995"/>
    <n v="1960.84"/>
    <x v="2"/>
    <n v="1303.56"/>
    <x v="2"/>
    <x v="0"/>
    <n v="46.3"/>
    <s v="Low"/>
    <n v="555.32000000000005"/>
    <n v="0"/>
  </r>
  <r>
    <x v="20"/>
    <x v="18"/>
    <n v="1495"/>
    <n v="3221.83"/>
    <n v="3821.01"/>
    <n v="-599.17999999999995"/>
    <n v="1.19"/>
    <n v="0.21"/>
    <n v="2761.45"/>
    <x v="1"/>
    <n v="709"/>
    <n v="0.51"/>
    <n v="889.38"/>
    <n v="0.28000000000000003"/>
    <n v="724.75"/>
    <n v="0.22"/>
    <n v="4"/>
    <n v="460.71"/>
    <n v="96"/>
    <n v="0"/>
    <n v="505.17"/>
    <n v="2157.5100000000002"/>
    <x v="1"/>
    <n v="1416.99"/>
    <x v="9"/>
    <x v="0"/>
    <n v="94.6"/>
    <s v="Medium"/>
    <n v="0"/>
    <n v="0"/>
  </r>
  <r>
    <x v="20"/>
    <x v="18"/>
    <n v="1152"/>
    <n v="4785.53"/>
    <n v="3284.21"/>
    <n v="1501.32"/>
    <n v="0.69"/>
    <n v="0.3"/>
    <n v="2856.58"/>
    <x v="2"/>
    <n v="734"/>
    <n v="0.41"/>
    <n v="989.86"/>
    <n v="0.21"/>
    <n v="274.79000000000002"/>
    <n v="0.06"/>
    <n v="7"/>
    <n v="473.07"/>
    <n v="59"/>
    <n v="0"/>
    <n v="647.04999999999995"/>
    <n v="2306.0700000000002"/>
    <x v="1"/>
    <n v="933.53"/>
    <x v="1"/>
    <x v="0"/>
    <n v="31.1"/>
    <s v="Medium"/>
    <n v="1501.32"/>
    <n v="0"/>
  </r>
  <r>
    <x v="20"/>
    <x v="18"/>
    <n v="1750"/>
    <n v="5058.33"/>
    <n v="3795.83"/>
    <n v="1262.5"/>
    <n v="0.75"/>
    <n v="0.25"/>
    <n v="2227.7600000000002"/>
    <x v="1"/>
    <n v="614"/>
    <n v="0.23"/>
    <n v="510.6"/>
    <n v="0.1"/>
    <n v="320.79000000000002"/>
    <n v="0.06"/>
    <n v="9"/>
    <n v="985.35"/>
    <n v="64"/>
    <n v="0"/>
    <n v="501.6"/>
    <n v="2632.08"/>
    <x v="1"/>
    <n v="1203.52"/>
    <x v="5"/>
    <x v="1"/>
    <n v="95.2"/>
    <s v="Low"/>
    <n v="1262.5"/>
    <n v="0"/>
  </r>
  <r>
    <x v="20"/>
    <x v="18"/>
    <n v="1383"/>
    <n v="4367.91"/>
    <n v="3580.67"/>
    <n v="787.24"/>
    <n v="0.82"/>
    <n v="0.27"/>
    <n v="3009.42"/>
    <x v="2"/>
    <n v="700"/>
    <n v="0.17"/>
    <n v="757.07"/>
    <n v="0.17"/>
    <n v="936.11"/>
    <n v="0.21"/>
    <n v="3"/>
    <n v="795.62"/>
    <n v="49"/>
    <n v="0"/>
    <n v="260.14999999999998"/>
    <n v="3310.91"/>
    <x v="1"/>
    <n v="1540.8"/>
    <x v="7"/>
    <x v="1"/>
    <n v="60.6"/>
    <s v="Low"/>
    <n v="787.24"/>
    <n v="0"/>
  </r>
  <r>
    <x v="20"/>
    <x v="18"/>
    <n v="1511"/>
    <n v="4999.71"/>
    <n v="2924.79"/>
    <n v="2074.92"/>
    <n v="0.57999999999999996"/>
    <n v="0.14000000000000001"/>
    <n v="1617.47"/>
    <x v="1"/>
    <n v="735"/>
    <n v="0.34"/>
    <n v="664.56"/>
    <n v="0.13"/>
    <n v="217.69"/>
    <n v="0.04"/>
    <n v="3"/>
    <n v="2015.76"/>
    <n v="28"/>
    <n v="0"/>
    <n v="346.9"/>
    <n v="2016.75"/>
    <x v="1"/>
    <n v="1117.56"/>
    <x v="2"/>
    <x v="0"/>
    <n v="44.9"/>
    <s v="Medium"/>
    <n v="2074.92"/>
    <n v="1"/>
  </r>
  <r>
    <x v="20"/>
    <x v="18"/>
    <n v="1544"/>
    <n v="1850.88"/>
    <n v="1967.28"/>
    <n v="-116.4"/>
    <n v="1.06"/>
    <n v="0.37"/>
    <n v="2701.57"/>
    <x v="0"/>
    <n v="677"/>
    <n v="0.48"/>
    <n v="267.7"/>
    <n v="0.14000000000000001"/>
    <n v="424.46"/>
    <n v="0.23"/>
    <n v="8"/>
    <n v="1471.79"/>
    <n v="34"/>
    <n v="0"/>
    <n v="210.36"/>
    <n v="2398.98"/>
    <x v="0"/>
    <n v="978.4"/>
    <x v="4"/>
    <x v="0"/>
    <n v="7.6"/>
    <s v="Low"/>
    <n v="0"/>
    <n v="0"/>
  </r>
  <r>
    <x v="20"/>
    <x v="18"/>
    <n v="1329"/>
    <n v="3091.95"/>
    <n v="2254.94"/>
    <n v="837.01"/>
    <n v="0.73"/>
    <n v="0.35"/>
    <n v="3522.89"/>
    <x v="1"/>
    <n v="617"/>
    <n v="0.14000000000000001"/>
    <n v="498.08"/>
    <n v="0.16"/>
    <n v="416.48"/>
    <n v="0.13"/>
    <n v="5"/>
    <n v="1099.45"/>
    <n v="68"/>
    <n v="0"/>
    <n v="415.27"/>
    <n v="1866.79"/>
    <x v="2"/>
    <n v="641.13"/>
    <x v="9"/>
    <x v="0"/>
    <n v="85.6"/>
    <s v="Medium"/>
    <n v="837.01"/>
    <n v="0"/>
  </r>
  <r>
    <x v="20"/>
    <x v="18"/>
    <n v="1320"/>
    <n v="2819.15"/>
    <n v="2695.53"/>
    <n v="123.62"/>
    <n v="0.96"/>
    <n v="0.3"/>
    <n v="2501.11"/>
    <x v="1"/>
    <n v="598"/>
    <n v="0.19"/>
    <n v="366.2"/>
    <n v="0.13"/>
    <n v="0"/>
    <n v="0"/>
    <n v="7"/>
    <n v="950.99"/>
    <n v="93"/>
    <n v="0"/>
    <n v="488.25"/>
    <n v="2670.41"/>
    <x v="0"/>
    <n v="1246.98"/>
    <x v="3"/>
    <x v="0"/>
    <n v="14.3"/>
    <s v="Medium"/>
    <n v="123.62"/>
    <n v="0"/>
  </r>
  <r>
    <x v="20"/>
    <x v="18"/>
    <n v="1707"/>
    <n v="1333.75"/>
    <n v="2384.17"/>
    <n v="-1050.42"/>
    <n v="1.79"/>
    <n v="0.33"/>
    <n v="2679.81"/>
    <x v="1"/>
    <n v="650"/>
    <n v="0.43"/>
    <n v="613.30999999999995"/>
    <n v="0.46"/>
    <n v="827.64"/>
    <n v="0.62"/>
    <n v="4"/>
    <n v="510.91"/>
    <n v="56"/>
    <n v="0"/>
    <n v="553.55999999999995"/>
    <n v="2186.12"/>
    <x v="1"/>
    <n v="2016.96"/>
    <x v="1"/>
    <x v="2"/>
    <n v="2.8"/>
    <s v="Low"/>
    <n v="0"/>
    <n v="0"/>
  </r>
  <r>
    <x v="20"/>
    <x v="18"/>
    <n v="1171"/>
    <n v="2854.93"/>
    <n v="2346.8200000000002"/>
    <n v="508.11"/>
    <n v="0.82"/>
    <n v="0.08"/>
    <n v="3227.5"/>
    <x v="1"/>
    <n v="702"/>
    <n v="0.3"/>
    <n v="570.15"/>
    <n v="0.2"/>
    <n v="613.62"/>
    <n v="0.21"/>
    <n v="3"/>
    <n v="1621.22"/>
    <n v="32"/>
    <n v="0"/>
    <n v="692.42"/>
    <n v="1866.95"/>
    <x v="1"/>
    <n v="1072.27"/>
    <x v="2"/>
    <x v="2"/>
    <n v="80.5"/>
    <s v="Medium"/>
    <n v="508.11"/>
    <n v="0"/>
  </r>
  <r>
    <x v="20"/>
    <x v="18"/>
    <n v="1029"/>
    <n v="6619.89"/>
    <n v="3812.53"/>
    <n v="2807.36"/>
    <n v="0.57999999999999996"/>
    <n v="0.05"/>
    <n v="2364.64"/>
    <x v="1"/>
    <n v="722"/>
    <n v="0.32"/>
    <n v="514.94000000000005"/>
    <n v="0.08"/>
    <n v="111.35"/>
    <n v="0.02"/>
    <n v="9"/>
    <n v="1346.38"/>
    <n v="82"/>
    <n v="0"/>
    <n v="496"/>
    <n v="1881.06"/>
    <x v="1"/>
    <n v="1111.1400000000001"/>
    <x v="7"/>
    <x v="0"/>
    <n v="46.8"/>
    <s v="Low"/>
    <n v="2807.36"/>
    <n v="1"/>
  </r>
  <r>
    <x v="20"/>
    <x v="18"/>
    <n v="1934"/>
    <n v="4430.2"/>
    <n v="3398.7"/>
    <n v="1031.5"/>
    <n v="0.77"/>
    <n v="0.22"/>
    <n v="2466.19"/>
    <x v="2"/>
    <n v="657"/>
    <n v="0.1"/>
    <n v="483.05"/>
    <n v="0.11"/>
    <n v="326.83999999999997"/>
    <n v="7.0000000000000007E-2"/>
    <n v="1"/>
    <n v="1563.43"/>
    <n v="99"/>
    <n v="0"/>
    <n v="304.14"/>
    <n v="2316.9499999999998"/>
    <x v="1"/>
    <n v="1843.11"/>
    <x v="1"/>
    <x v="0"/>
    <n v="36.5"/>
    <s v="High"/>
    <n v="1031.5"/>
    <n v="0"/>
  </r>
  <r>
    <x v="20"/>
    <x v="18"/>
    <n v="1006"/>
    <n v="4101.8500000000004"/>
    <n v="2935.32"/>
    <n v="1166.53"/>
    <n v="0.72"/>
    <n v="0.38"/>
    <n v="3409.86"/>
    <x v="2"/>
    <n v="608"/>
    <n v="0.11"/>
    <n v="176.22"/>
    <n v="0.04"/>
    <n v="650.36"/>
    <n v="0.16"/>
    <n v="4"/>
    <n v="950"/>
    <n v="41"/>
    <n v="0"/>
    <n v="233.47"/>
    <n v="1900.1"/>
    <x v="2"/>
    <n v="1257.4100000000001"/>
    <x v="2"/>
    <x v="0"/>
    <n v="8.6999999999999993"/>
    <s v="Low"/>
    <n v="1166.53"/>
    <n v="0"/>
  </r>
  <r>
    <x v="20"/>
    <x v="18"/>
    <n v="1579"/>
    <n v="3906.18"/>
    <n v="3308.35"/>
    <n v="597.83000000000004"/>
    <n v="0.85"/>
    <n v="0.2"/>
    <n v="2544.63"/>
    <x v="0"/>
    <n v="766"/>
    <n v="0.3"/>
    <n v="711.36"/>
    <n v="0.18"/>
    <n v="257.62"/>
    <n v="7.0000000000000007E-2"/>
    <n v="1"/>
    <n v="334.25"/>
    <n v="48"/>
    <n v="0"/>
    <n v="575.33000000000004"/>
    <n v="2369.4499999999998"/>
    <x v="1"/>
    <n v="1175.32"/>
    <x v="0"/>
    <x v="0"/>
    <n v="98.3"/>
    <s v="Low"/>
    <n v="597.83000000000004"/>
    <n v="0"/>
  </r>
  <r>
    <x v="20"/>
    <x v="18"/>
    <n v="1581"/>
    <n v="4849.8500000000004"/>
    <n v="4137.07"/>
    <n v="712.78"/>
    <n v="0.85"/>
    <n v="0.1"/>
    <n v="2689.41"/>
    <x v="1"/>
    <n v="658"/>
    <n v="0.14000000000000001"/>
    <n v="657.53"/>
    <n v="0.14000000000000001"/>
    <n v="202.42"/>
    <n v="0.04"/>
    <n v="3"/>
    <n v="339.49"/>
    <n v="88"/>
    <n v="0"/>
    <n v="615.28"/>
    <n v="2157.9899999999998"/>
    <x v="1"/>
    <n v="868.58"/>
    <x v="9"/>
    <x v="0"/>
    <n v="34.200000000000003"/>
    <s v="Medium"/>
    <n v="712.78"/>
    <n v="0"/>
  </r>
  <r>
    <x v="20"/>
    <x v="18"/>
    <n v="1029"/>
    <n v="6190.05"/>
    <n v="2737.46"/>
    <n v="3452.59"/>
    <n v="0.44"/>
    <n v="0.14000000000000001"/>
    <n v="2822.84"/>
    <x v="1"/>
    <n v="659"/>
    <n v="0.26"/>
    <n v="655.51"/>
    <n v="0.11"/>
    <n v="500.58"/>
    <n v="0.08"/>
    <n v="1"/>
    <n v="1542.02"/>
    <n v="69"/>
    <n v="0"/>
    <n v="535.72"/>
    <n v="2663.23"/>
    <x v="1"/>
    <n v="1074.8900000000001"/>
    <x v="0"/>
    <x v="1"/>
    <n v="35.5"/>
    <s v="Low"/>
    <n v="3452.59"/>
    <n v="1"/>
  </r>
  <r>
    <x v="20"/>
    <x v="18"/>
    <n v="1588"/>
    <n v="3458.98"/>
    <n v="1763.83"/>
    <n v="1695.15"/>
    <n v="0.51"/>
    <n v="0.28999999999999998"/>
    <n v="2779.44"/>
    <x v="1"/>
    <n v="695"/>
    <n v="0.59"/>
    <n v="402.35"/>
    <n v="0.12"/>
    <n v="328.88"/>
    <n v="0.1"/>
    <n v="3"/>
    <n v="1116.19"/>
    <n v="46"/>
    <n v="0"/>
    <n v="525.11"/>
    <n v="1841.82"/>
    <x v="1"/>
    <n v="1271.23"/>
    <x v="1"/>
    <x v="0"/>
    <n v="95.5"/>
    <s v="Low"/>
    <n v="1695.15"/>
    <n v="0"/>
  </r>
  <r>
    <x v="20"/>
    <x v="18"/>
    <n v="1530"/>
    <n v="3287.25"/>
    <n v="2931.26"/>
    <n v="355.99"/>
    <n v="0.89"/>
    <n v="0.19"/>
    <n v="3031.49"/>
    <x v="0"/>
    <n v="646"/>
    <n v="0.27"/>
    <n v="359.77"/>
    <n v="0.11"/>
    <n v="473.27"/>
    <n v="0.14000000000000001"/>
    <n v="8"/>
    <n v="1771.83"/>
    <n v="80"/>
    <n v="0"/>
    <n v="553.74"/>
    <n v="2543.09"/>
    <x v="1"/>
    <n v="879.83"/>
    <x v="8"/>
    <x v="1"/>
    <n v="4.5999999999999996"/>
    <s v="Low"/>
    <n v="355.99"/>
    <n v="0"/>
  </r>
  <r>
    <x v="20"/>
    <x v="18"/>
    <n v="1210"/>
    <n v="2984.02"/>
    <n v="2365.1"/>
    <n v="618.91999999999996"/>
    <n v="0.79"/>
    <n v="0.35"/>
    <n v="3415.25"/>
    <x v="1"/>
    <n v="682"/>
    <n v="0.3"/>
    <n v="368.01"/>
    <n v="0.12"/>
    <n v="897.58"/>
    <n v="0.3"/>
    <n v="5"/>
    <n v="334.28"/>
    <n v="86"/>
    <n v="0"/>
    <n v="390.63"/>
    <n v="3153.16"/>
    <x v="0"/>
    <n v="2041.51"/>
    <x v="5"/>
    <x v="0"/>
    <n v="12.2"/>
    <s v="Low"/>
    <n v="618.91999999999996"/>
    <n v="0"/>
  </r>
  <r>
    <x v="20"/>
    <x v="18"/>
    <n v="1450"/>
    <n v="4847.53"/>
    <n v="2112.6799999999998"/>
    <n v="2734.85"/>
    <n v="0.44"/>
    <n v="0.27"/>
    <n v="3475.64"/>
    <x v="1"/>
    <n v="599"/>
    <n v="0.27"/>
    <n v="786.34"/>
    <n v="0.16"/>
    <n v="15.05"/>
    <n v="0"/>
    <n v="5"/>
    <n v="855.35"/>
    <n v="26"/>
    <n v="0"/>
    <n v="319.31"/>
    <n v="2766.37"/>
    <x v="1"/>
    <n v="956.5"/>
    <x v="8"/>
    <x v="0"/>
    <n v="29.8"/>
    <s v="Medium"/>
    <n v="2734.85"/>
    <n v="0"/>
  </r>
  <r>
    <x v="20"/>
    <x v="18"/>
    <n v="1389"/>
    <n v="4090.73"/>
    <n v="3021.5"/>
    <n v="1069.23"/>
    <n v="0.74"/>
    <n v="0.37"/>
    <n v="3065.44"/>
    <x v="1"/>
    <n v="721"/>
    <n v="0.2"/>
    <n v="483.43"/>
    <n v="0.12"/>
    <n v="319.32"/>
    <n v="0.08"/>
    <n v="2"/>
    <n v="812.75"/>
    <n v="20"/>
    <n v="0"/>
    <n v="217.34"/>
    <n v="1579.18"/>
    <x v="1"/>
    <n v="1275.52"/>
    <x v="2"/>
    <x v="1"/>
    <n v="28.4"/>
    <s v="Medium"/>
    <n v="1069.23"/>
    <n v="0"/>
  </r>
  <r>
    <x v="20"/>
    <x v="18"/>
    <n v="1713"/>
    <n v="4390.5200000000004"/>
    <n v="2432.35"/>
    <n v="1958.17"/>
    <n v="0.55000000000000004"/>
    <n v="0.35"/>
    <n v="3043.7"/>
    <x v="2"/>
    <n v="675"/>
    <n v="0.59"/>
    <n v="526.76"/>
    <n v="0.12"/>
    <n v="602.44000000000005"/>
    <n v="0.14000000000000001"/>
    <n v="4"/>
    <n v="921.14"/>
    <n v="77"/>
    <n v="0"/>
    <n v="651.46"/>
    <n v="2447.35"/>
    <x v="2"/>
    <n v="1921.79"/>
    <x v="1"/>
    <x v="0"/>
    <n v="2.7"/>
    <s v="High"/>
    <n v="1958.17"/>
    <n v="0"/>
  </r>
  <r>
    <x v="20"/>
    <x v="18"/>
    <n v="1772"/>
    <n v="4044.47"/>
    <n v="2076.4899999999998"/>
    <n v="1967.98"/>
    <n v="0.51"/>
    <n v="0.22"/>
    <n v="2375.21"/>
    <x v="1"/>
    <n v="740"/>
    <n v="0.12"/>
    <n v="413.36"/>
    <n v="0.1"/>
    <n v="20.9"/>
    <n v="0.01"/>
    <n v="8"/>
    <n v="1162.56"/>
    <n v="39"/>
    <n v="0"/>
    <n v="317.81"/>
    <n v="1753.23"/>
    <x v="1"/>
    <n v="1094.21"/>
    <x v="5"/>
    <x v="1"/>
    <n v="43.3"/>
    <s v="Low"/>
    <n v="1967.98"/>
    <n v="0"/>
  </r>
  <r>
    <x v="20"/>
    <x v="18"/>
    <n v="1758"/>
    <n v="3102.43"/>
    <n v="3282.15"/>
    <n v="-179.72"/>
    <n v="1.06"/>
    <n v="0.17"/>
    <n v="3321.94"/>
    <x v="0"/>
    <n v="694"/>
    <n v="0.19"/>
    <n v="499.21"/>
    <n v="0.16"/>
    <n v="464.43"/>
    <n v="0.15"/>
    <n v="5"/>
    <n v="210.15"/>
    <n v="48"/>
    <n v="0"/>
    <n v="373.02"/>
    <n v="2765.77"/>
    <x v="1"/>
    <n v="902.95"/>
    <x v="1"/>
    <x v="0"/>
    <n v="16.5"/>
    <s v="High"/>
    <n v="0"/>
    <n v="0"/>
  </r>
  <r>
    <x v="20"/>
    <x v="18"/>
    <n v="1628"/>
    <n v="3609"/>
    <n v="3712.21"/>
    <n v="-103.21"/>
    <n v="1.03"/>
    <n v="0.1"/>
    <n v="3060.24"/>
    <x v="0"/>
    <n v="689"/>
    <n v="0.44"/>
    <n v="407.94"/>
    <n v="0.11"/>
    <n v="660.45"/>
    <n v="0.18"/>
    <n v="5"/>
    <n v="1152.52"/>
    <n v="25"/>
    <n v="0"/>
    <n v="511.41"/>
    <n v="1787.56"/>
    <x v="1"/>
    <n v="1298.06"/>
    <x v="2"/>
    <x v="0"/>
    <n v="3.9"/>
    <s v="Low"/>
    <n v="0"/>
    <n v="0"/>
  </r>
  <r>
    <x v="20"/>
    <x v="18"/>
    <n v="1050"/>
    <n v="4968.79"/>
    <n v="2489.33"/>
    <n v="2479.46"/>
    <n v="0.5"/>
    <n v="0.31"/>
    <n v="2163.1799999999998"/>
    <x v="1"/>
    <n v="720"/>
    <n v="0.17"/>
    <n v="544.89"/>
    <n v="0.11"/>
    <n v="762.92"/>
    <n v="0.15"/>
    <n v="3"/>
    <n v="1604.43"/>
    <n v="69"/>
    <n v="0"/>
    <n v="496.38"/>
    <n v="1287.3900000000001"/>
    <x v="1"/>
    <n v="769.21"/>
    <x v="4"/>
    <x v="1"/>
    <n v="84.6"/>
    <s v="Medium"/>
    <n v="2479.46"/>
    <n v="1"/>
  </r>
  <r>
    <x v="20"/>
    <x v="18"/>
    <n v="1319"/>
    <n v="4463.12"/>
    <n v="3352.59"/>
    <n v="1110.53"/>
    <n v="0.75"/>
    <n v="0.27"/>
    <n v="2790.5"/>
    <x v="1"/>
    <n v="680"/>
    <n v="0.16"/>
    <n v="363.01"/>
    <n v="0.08"/>
    <n v="510.04"/>
    <n v="0.11"/>
    <n v="2"/>
    <n v="891.79"/>
    <n v="82"/>
    <n v="0"/>
    <n v="560.57000000000005"/>
    <n v="2589.9499999999998"/>
    <x v="0"/>
    <n v="1522.59"/>
    <x v="9"/>
    <x v="0"/>
    <n v="50.8"/>
    <s v="Medium"/>
    <n v="1110.53"/>
    <n v="0"/>
  </r>
  <r>
    <x v="20"/>
    <x v="18"/>
    <n v="1835"/>
    <n v="3770.87"/>
    <n v="3825.93"/>
    <n v="-55.06"/>
    <n v="1.01"/>
    <n v="0.18"/>
    <n v="2491.64"/>
    <x v="2"/>
    <n v="672"/>
    <n v="0.35"/>
    <n v="495.92"/>
    <n v="0.13"/>
    <n v="527.84"/>
    <n v="0.14000000000000001"/>
    <n v="6"/>
    <n v="989.76"/>
    <n v="69"/>
    <n v="0"/>
    <n v="243.91"/>
    <n v="2067.94"/>
    <x v="1"/>
    <n v="1580.48"/>
    <x v="7"/>
    <x v="0"/>
    <n v="45.5"/>
    <s v="Low"/>
    <n v="0"/>
    <n v="0"/>
  </r>
  <r>
    <x v="20"/>
    <x v="18"/>
    <n v="1710"/>
    <n v="5668.35"/>
    <n v="1713.75"/>
    <n v="3954.6"/>
    <n v="0.3"/>
    <n v="0.27"/>
    <n v="2643.96"/>
    <x v="1"/>
    <n v="659"/>
    <n v="0.28999999999999998"/>
    <n v="602.39"/>
    <n v="0.11"/>
    <n v="529.73"/>
    <n v="0.09"/>
    <n v="5"/>
    <n v="394.05"/>
    <n v="49"/>
    <n v="0"/>
    <n v="372.73"/>
    <n v="3735.23"/>
    <x v="0"/>
    <n v="1543.15"/>
    <x v="5"/>
    <x v="0"/>
    <n v="12"/>
    <s v="Low"/>
    <n v="3954.6"/>
    <n v="1"/>
  </r>
  <r>
    <x v="20"/>
    <x v="18"/>
    <n v="1976"/>
    <n v="5965.66"/>
    <n v="2403.9299999999998"/>
    <n v="3561.73"/>
    <n v="0.4"/>
    <n v="0.13"/>
    <n v="2411.5700000000002"/>
    <x v="1"/>
    <n v="687"/>
    <n v="0.5"/>
    <n v="510.88"/>
    <n v="0.09"/>
    <n v="448.86"/>
    <n v="0.08"/>
    <n v="9"/>
    <n v="1312.68"/>
    <n v="55"/>
    <n v="0"/>
    <n v="316.27999999999997"/>
    <n v="3327.72"/>
    <x v="1"/>
    <n v="1309"/>
    <x v="0"/>
    <x v="0"/>
    <n v="61.5"/>
    <s v="Low"/>
    <n v="3561.73"/>
    <n v="1"/>
  </r>
  <r>
    <x v="20"/>
    <x v="18"/>
    <n v="1399"/>
    <n v="3317.78"/>
    <n v="2602.6"/>
    <n v="715.18"/>
    <n v="0.78"/>
    <n v="0.2"/>
    <n v="3113.63"/>
    <x v="1"/>
    <n v="664"/>
    <n v="0.22"/>
    <n v="771.67"/>
    <n v="0.23"/>
    <n v="0"/>
    <n v="0"/>
    <n v="9"/>
    <n v="1376.96"/>
    <n v="59"/>
    <n v="1"/>
    <n v="397.4"/>
    <n v="2164.8200000000002"/>
    <x v="1"/>
    <n v="1824.75"/>
    <x v="4"/>
    <x v="0"/>
    <n v="66.099999999999994"/>
    <s v="Low"/>
    <n v="715.18"/>
    <n v="0"/>
  </r>
  <r>
    <x v="20"/>
    <x v="18"/>
    <n v="1334"/>
    <n v="1244.83"/>
    <n v="2212"/>
    <n v="-967.17"/>
    <n v="1.78"/>
    <n v="0.35"/>
    <n v="2508.27"/>
    <x v="0"/>
    <n v="682"/>
    <n v="0.36"/>
    <n v="426.04"/>
    <n v="0.34"/>
    <n v="399.7"/>
    <n v="0.32"/>
    <n v="5"/>
    <n v="876.12"/>
    <n v="61"/>
    <n v="0"/>
    <n v="648.84"/>
    <n v="2020.35"/>
    <x v="1"/>
    <n v="1114.76"/>
    <x v="5"/>
    <x v="2"/>
    <n v="69.900000000000006"/>
    <s v="High"/>
    <n v="0"/>
    <n v="0"/>
  </r>
  <r>
    <x v="20"/>
    <x v="18"/>
    <n v="1023"/>
    <n v="4894.2299999999996"/>
    <n v="2102.9299999999998"/>
    <n v="2791.3"/>
    <n v="0.43"/>
    <n v="0.19"/>
    <n v="4137.33"/>
    <x v="1"/>
    <n v="668"/>
    <n v="0.11"/>
    <n v="772.32"/>
    <n v="0.16"/>
    <n v="252.11"/>
    <n v="0.05"/>
    <n v="7"/>
    <n v="1814.43"/>
    <n v="60"/>
    <n v="0"/>
    <n v="652.41999999999996"/>
    <n v="1384.22"/>
    <x v="1"/>
    <n v="1204.4000000000001"/>
    <x v="8"/>
    <x v="0"/>
    <n v="47.4"/>
    <s v="Low"/>
    <n v="2791.3"/>
    <n v="0"/>
  </r>
  <r>
    <x v="20"/>
    <x v="18"/>
    <n v="1075"/>
    <n v="4761.6099999999997"/>
    <n v="3243.26"/>
    <n v="1518.35"/>
    <n v="0.68"/>
    <n v="0.13"/>
    <n v="3195.2"/>
    <x v="1"/>
    <n v="708"/>
    <n v="0.16"/>
    <n v="558.53"/>
    <n v="0.12"/>
    <n v="216.96"/>
    <n v="0.05"/>
    <n v="8"/>
    <n v="1419.61"/>
    <n v="68"/>
    <n v="0"/>
    <n v="298.76"/>
    <n v="3444.71"/>
    <x v="1"/>
    <n v="745.5"/>
    <x v="7"/>
    <x v="2"/>
    <n v="76.8"/>
    <s v="Low"/>
    <n v="1518.35"/>
    <n v="0"/>
  </r>
  <r>
    <x v="20"/>
    <x v="18"/>
    <n v="1660"/>
    <n v="5423.3"/>
    <n v="1573.17"/>
    <n v="3850.13"/>
    <n v="0.28999999999999998"/>
    <n v="0.25"/>
    <n v="2987.38"/>
    <x v="2"/>
    <n v="616"/>
    <n v="0.32"/>
    <n v="812.67"/>
    <n v="0.15"/>
    <n v="378.59"/>
    <n v="7.0000000000000007E-2"/>
    <n v="7"/>
    <n v="1348.09"/>
    <n v="77"/>
    <n v="1"/>
    <n v="466.81"/>
    <n v="2284.4899999999998"/>
    <x v="0"/>
    <n v="1245.95"/>
    <x v="8"/>
    <x v="2"/>
    <n v="9.6"/>
    <s v="Medium"/>
    <n v="3850.13"/>
    <n v="1"/>
  </r>
  <r>
    <x v="20"/>
    <x v="18"/>
    <n v="1773"/>
    <n v="4223.0600000000004"/>
    <n v="1983.91"/>
    <n v="2239.15"/>
    <n v="0.47"/>
    <n v="0.12"/>
    <n v="2605.9899999999998"/>
    <x v="2"/>
    <n v="701"/>
    <n v="0.2"/>
    <n v="255.99"/>
    <n v="0.06"/>
    <n v="441.63"/>
    <n v="0.1"/>
    <n v="6"/>
    <n v="1255.52"/>
    <n v="91"/>
    <n v="0"/>
    <n v="676.71"/>
    <n v="2196.88"/>
    <x v="2"/>
    <n v="2409.17"/>
    <x v="4"/>
    <x v="2"/>
    <n v="89.2"/>
    <s v="Low"/>
    <n v="2239.15"/>
    <n v="0"/>
  </r>
  <r>
    <x v="20"/>
    <x v="18"/>
    <n v="1695"/>
    <n v="3533.21"/>
    <n v="2639.74"/>
    <n v="893.47"/>
    <n v="0.75"/>
    <n v="0.26"/>
    <n v="3156.5"/>
    <x v="2"/>
    <n v="731"/>
    <n v="0.53"/>
    <n v="387.66"/>
    <n v="0.11"/>
    <n v="519.38"/>
    <n v="0.15"/>
    <n v="5"/>
    <n v="1731.88"/>
    <n v="62"/>
    <n v="0"/>
    <n v="486.83"/>
    <n v="2470.12"/>
    <x v="1"/>
    <n v="2129.3200000000002"/>
    <x v="5"/>
    <x v="0"/>
    <n v="86.3"/>
    <s v="Low"/>
    <n v="893.47"/>
    <n v="0"/>
  </r>
  <r>
    <x v="20"/>
    <x v="18"/>
    <n v="1897"/>
    <n v="2583.09"/>
    <n v="2897.54"/>
    <n v="-314.45"/>
    <n v="1.1200000000000001"/>
    <n v="0.38"/>
    <n v="3668.7"/>
    <x v="2"/>
    <n v="687"/>
    <n v="0.55000000000000004"/>
    <n v="300.89999999999998"/>
    <n v="0.12"/>
    <n v="368.93"/>
    <n v="0.14000000000000001"/>
    <n v="9"/>
    <n v="1476.93"/>
    <n v="62"/>
    <n v="0"/>
    <n v="268.33"/>
    <n v="1299.22"/>
    <x v="2"/>
    <n v="1594.95"/>
    <x v="5"/>
    <x v="2"/>
    <n v="31"/>
    <s v="Medium"/>
    <n v="0"/>
    <n v="0"/>
  </r>
  <r>
    <x v="20"/>
    <x v="18"/>
    <n v="1408"/>
    <n v="3402.84"/>
    <n v="3095.39"/>
    <n v="307.45"/>
    <n v="0.91"/>
    <n v="0.06"/>
    <n v="3036.05"/>
    <x v="1"/>
    <n v="689"/>
    <n v="0.46"/>
    <n v="461.02"/>
    <n v="0.14000000000000001"/>
    <n v="667.32"/>
    <n v="0.2"/>
    <n v="3"/>
    <n v="1516.96"/>
    <n v="39"/>
    <n v="0"/>
    <n v="420.19"/>
    <n v="1302.9100000000001"/>
    <x v="2"/>
    <n v="785.19"/>
    <x v="4"/>
    <x v="0"/>
    <n v="65.3"/>
    <s v="Low"/>
    <n v="307.45"/>
    <n v="0"/>
  </r>
  <r>
    <x v="20"/>
    <x v="18"/>
    <n v="1937"/>
    <n v="5658.78"/>
    <n v="1950.82"/>
    <n v="3707.96"/>
    <n v="0.34"/>
    <n v="0.21"/>
    <n v="2505.21"/>
    <x v="1"/>
    <n v="753"/>
    <n v="0.11"/>
    <n v="692.79"/>
    <n v="0.12"/>
    <n v="602.16"/>
    <n v="0.11"/>
    <n v="8"/>
    <n v="1480.39"/>
    <n v="46"/>
    <n v="0"/>
    <n v="94.59"/>
    <n v="1825.62"/>
    <x v="1"/>
    <n v="757.66"/>
    <x v="2"/>
    <x v="0"/>
    <n v="45.5"/>
    <s v="High"/>
    <n v="3707.96"/>
    <n v="1"/>
  </r>
  <r>
    <x v="20"/>
    <x v="18"/>
    <n v="1825"/>
    <n v="3677.49"/>
    <n v="2050.0500000000002"/>
    <n v="1627.44"/>
    <n v="0.56000000000000005"/>
    <n v="0.19"/>
    <n v="2571.56"/>
    <x v="2"/>
    <n v="745"/>
    <n v="0.45"/>
    <n v="494.19"/>
    <n v="0.13"/>
    <n v="476.24"/>
    <n v="0.13"/>
    <n v="6"/>
    <n v="871.03"/>
    <n v="70"/>
    <n v="0"/>
    <n v="357.31"/>
    <n v="3564.66"/>
    <x v="0"/>
    <n v="1174.83"/>
    <x v="6"/>
    <x v="1"/>
    <n v="85.9"/>
    <s v="Medium"/>
    <n v="1627.44"/>
    <n v="0"/>
  </r>
  <r>
    <x v="20"/>
    <x v="18"/>
    <n v="1177"/>
    <n v="2288.9299999999998"/>
    <n v="3113.9"/>
    <n v="-824.97"/>
    <n v="1.36"/>
    <n v="0.14000000000000001"/>
    <n v="3378.39"/>
    <x v="1"/>
    <n v="650"/>
    <n v="0.32"/>
    <n v="412.71"/>
    <n v="0.18"/>
    <n v="629.77"/>
    <n v="0.28000000000000003"/>
    <n v="5"/>
    <n v="961.66"/>
    <n v="54"/>
    <n v="0"/>
    <n v="518.1"/>
    <n v="1930.25"/>
    <x v="1"/>
    <n v="2041.58"/>
    <x v="4"/>
    <x v="0"/>
    <n v="94.3"/>
    <s v="Low"/>
    <n v="0"/>
    <n v="0"/>
  </r>
  <r>
    <x v="20"/>
    <x v="18"/>
    <n v="1532"/>
    <n v="3330.29"/>
    <n v="3129.31"/>
    <n v="200.98"/>
    <n v="0.94"/>
    <n v="0.4"/>
    <n v="3624.04"/>
    <x v="1"/>
    <n v="685"/>
    <n v="0.53"/>
    <n v="511.23"/>
    <n v="0.15"/>
    <n v="171.1"/>
    <n v="0.05"/>
    <n v="3"/>
    <n v="1175.0999999999999"/>
    <n v="44"/>
    <n v="0"/>
    <n v="568.51"/>
    <n v="2385.59"/>
    <x v="0"/>
    <n v="1692.47"/>
    <x v="2"/>
    <x v="0"/>
    <n v="28.8"/>
    <s v="Medium"/>
    <n v="200.98"/>
    <n v="0"/>
  </r>
  <r>
    <x v="21"/>
    <x v="19"/>
    <n v="1918"/>
    <n v="3972.53"/>
    <n v="2793.73"/>
    <n v="1178.8"/>
    <n v="0.7"/>
    <n v="0.22"/>
    <n v="2700.51"/>
    <x v="1"/>
    <n v="759"/>
    <n v="0.44"/>
    <n v="469.72"/>
    <n v="0.12"/>
    <n v="955.5"/>
    <n v="0.24"/>
    <n v="7"/>
    <n v="1359.6"/>
    <n v="82"/>
    <n v="0"/>
    <n v="563.79999999999995"/>
    <n v="2305.04"/>
    <x v="2"/>
    <n v="1187.25"/>
    <x v="1"/>
    <x v="1"/>
    <n v="79.7"/>
    <s v="Low"/>
    <n v="1178.8"/>
    <n v="0"/>
  </r>
  <r>
    <x v="21"/>
    <x v="19"/>
    <n v="1230"/>
    <n v="2249"/>
    <n v="4408.99"/>
    <n v="-2159.9899999999998"/>
    <n v="1.96"/>
    <n v="0.1"/>
    <n v="3479.97"/>
    <x v="0"/>
    <n v="681"/>
    <n v="0.35"/>
    <n v="832.77"/>
    <n v="0.37"/>
    <n v="312.27999999999997"/>
    <n v="0.14000000000000001"/>
    <n v="4"/>
    <n v="1475.67"/>
    <n v="73"/>
    <n v="0"/>
    <n v="226.64"/>
    <n v="1547.2"/>
    <x v="1"/>
    <n v="1380.6"/>
    <x v="0"/>
    <x v="0"/>
    <n v="9.6"/>
    <s v="Low"/>
    <n v="0"/>
    <n v="0"/>
  </r>
  <r>
    <x v="21"/>
    <x v="19"/>
    <n v="1947"/>
    <n v="2249.6999999999998"/>
    <n v="3320.08"/>
    <n v="-1070.3800000000001"/>
    <n v="1.48"/>
    <n v="0.36"/>
    <n v="2595.9"/>
    <x v="2"/>
    <n v="644"/>
    <n v="0.45"/>
    <n v="563.4"/>
    <n v="0.25"/>
    <n v="393.77"/>
    <n v="0.18"/>
    <n v="4"/>
    <n v="1159.9100000000001"/>
    <n v="79"/>
    <n v="0"/>
    <n v="740.21"/>
    <n v="2155.4"/>
    <x v="0"/>
    <n v="1587.66"/>
    <x v="4"/>
    <x v="1"/>
    <n v="28.4"/>
    <s v="Low"/>
    <n v="0"/>
    <n v="0"/>
  </r>
  <r>
    <x v="21"/>
    <x v="19"/>
    <n v="1770"/>
    <n v="4960.6000000000004"/>
    <n v="3365.61"/>
    <n v="1594.99"/>
    <n v="0.68"/>
    <n v="0.3"/>
    <n v="3305.15"/>
    <x v="1"/>
    <n v="702"/>
    <n v="0.1"/>
    <n v="648.79"/>
    <n v="0.13"/>
    <n v="1084.24"/>
    <n v="0.22"/>
    <n v="9"/>
    <n v="975.05"/>
    <n v="25"/>
    <n v="0"/>
    <n v="629.38"/>
    <n v="2203.4299999999998"/>
    <x v="1"/>
    <n v="1697.35"/>
    <x v="0"/>
    <x v="1"/>
    <n v="7.7"/>
    <s v="Low"/>
    <n v="1594.99"/>
    <n v="0"/>
  </r>
  <r>
    <x v="21"/>
    <x v="19"/>
    <n v="1031"/>
    <n v="2979.88"/>
    <n v="4356.16"/>
    <n v="-1376.28"/>
    <n v="1.46"/>
    <n v="7.0000000000000007E-2"/>
    <n v="3101.58"/>
    <x v="1"/>
    <n v="700"/>
    <n v="0.6"/>
    <n v="295.74"/>
    <n v="0.1"/>
    <n v="610.97"/>
    <n v="0.21"/>
    <n v="7"/>
    <n v="1241.42"/>
    <n v="78"/>
    <n v="0"/>
    <n v="509.17"/>
    <n v="1723.53"/>
    <x v="0"/>
    <n v="1132.24"/>
    <x v="3"/>
    <x v="2"/>
    <n v="73.5"/>
    <s v="High"/>
    <n v="0"/>
    <n v="0"/>
  </r>
  <r>
    <x v="21"/>
    <x v="19"/>
    <n v="1251"/>
    <n v="3451.67"/>
    <n v="2081.86"/>
    <n v="1369.81"/>
    <n v="0.6"/>
    <n v="0.34"/>
    <n v="2485.6"/>
    <x v="2"/>
    <n v="681"/>
    <n v="0.22"/>
    <n v="621.69000000000005"/>
    <n v="0.18"/>
    <n v="144.44"/>
    <n v="0.04"/>
    <n v="7"/>
    <n v="1385.46"/>
    <n v="24"/>
    <n v="0"/>
    <n v="128.07"/>
    <n v="2657.69"/>
    <x v="1"/>
    <n v="1715"/>
    <x v="9"/>
    <x v="1"/>
    <n v="12.6"/>
    <s v="High"/>
    <n v="1369.81"/>
    <n v="0"/>
  </r>
  <r>
    <x v="21"/>
    <x v="19"/>
    <n v="1211"/>
    <n v="4312.17"/>
    <n v="2800.36"/>
    <n v="1511.81"/>
    <n v="0.65"/>
    <n v="0.35"/>
    <n v="2351.69"/>
    <x v="2"/>
    <n v="702"/>
    <n v="0.28999999999999998"/>
    <n v="517.61"/>
    <n v="0.12"/>
    <n v="762.36"/>
    <n v="0.18"/>
    <n v="6"/>
    <n v="857.43"/>
    <n v="22"/>
    <n v="0"/>
    <n v="297.27999999999997"/>
    <n v="2388.46"/>
    <x v="1"/>
    <n v="1466.19"/>
    <x v="9"/>
    <x v="0"/>
    <n v="8.5"/>
    <s v="Low"/>
    <n v="1511.81"/>
    <n v="0"/>
  </r>
  <r>
    <x v="21"/>
    <x v="19"/>
    <n v="1938"/>
    <n v="4161.1000000000004"/>
    <n v="4723.76"/>
    <n v="-562.66"/>
    <n v="1.1399999999999999"/>
    <n v="0.24"/>
    <n v="2600.89"/>
    <x v="1"/>
    <n v="712"/>
    <n v="0.21"/>
    <n v="323.51"/>
    <n v="0.08"/>
    <n v="173.44"/>
    <n v="0.04"/>
    <n v="8"/>
    <n v="1406.45"/>
    <n v="39"/>
    <n v="0"/>
    <n v="604.79999999999995"/>
    <n v="2541.1"/>
    <x v="0"/>
    <n v="1146.5999999999999"/>
    <x v="5"/>
    <x v="0"/>
    <n v="4.5999999999999996"/>
    <s v="Medium"/>
    <n v="0"/>
    <n v="0"/>
  </r>
  <r>
    <x v="21"/>
    <x v="19"/>
    <n v="1097"/>
    <n v="4330.46"/>
    <n v="2068.7800000000002"/>
    <n v="2261.6799999999998"/>
    <n v="0.48"/>
    <n v="0.11"/>
    <n v="2362.0500000000002"/>
    <x v="1"/>
    <n v="711"/>
    <n v="0.26"/>
    <n v="828.14"/>
    <n v="0.19"/>
    <n v="563.4"/>
    <n v="0.13"/>
    <n v="7"/>
    <n v="70.64"/>
    <n v="72"/>
    <n v="0"/>
    <n v="240.21"/>
    <n v="1981.49"/>
    <x v="1"/>
    <n v="1622.41"/>
    <x v="1"/>
    <x v="0"/>
    <n v="95.5"/>
    <s v="Low"/>
    <n v="2261.6799999999998"/>
    <n v="0"/>
  </r>
  <r>
    <x v="21"/>
    <x v="19"/>
    <n v="1042"/>
    <n v="4711.43"/>
    <n v="3476.18"/>
    <n v="1235.25"/>
    <n v="0.74"/>
    <n v="0.28999999999999998"/>
    <n v="2797.13"/>
    <x v="1"/>
    <n v="685"/>
    <n v="0.12"/>
    <n v="399.6"/>
    <n v="0.08"/>
    <n v="350.11"/>
    <n v="7.0000000000000007E-2"/>
    <n v="1"/>
    <n v="1290.73"/>
    <n v="78"/>
    <n v="0"/>
    <n v="416.58"/>
    <n v="3129.02"/>
    <x v="1"/>
    <n v="965.42"/>
    <x v="0"/>
    <x v="0"/>
    <n v="88.8"/>
    <s v="Low"/>
    <n v="1235.25"/>
    <n v="0"/>
  </r>
  <r>
    <x v="21"/>
    <x v="19"/>
    <n v="1336"/>
    <n v="5846.22"/>
    <n v="3218.23"/>
    <n v="2627.99"/>
    <n v="0.55000000000000004"/>
    <n v="0.32"/>
    <n v="3044.42"/>
    <x v="1"/>
    <n v="704"/>
    <n v="0.43"/>
    <n v="683.44"/>
    <n v="0.12"/>
    <n v="231.23"/>
    <n v="0.04"/>
    <n v="8"/>
    <n v="674.59"/>
    <n v="84"/>
    <n v="0"/>
    <n v="601.16"/>
    <n v="2431.02"/>
    <x v="1"/>
    <n v="785.27"/>
    <x v="4"/>
    <x v="2"/>
    <n v="35.5"/>
    <s v="Low"/>
    <n v="2627.99"/>
    <n v="0"/>
  </r>
  <r>
    <x v="21"/>
    <x v="19"/>
    <n v="1280"/>
    <n v="2753.5"/>
    <n v="2620"/>
    <n v="133.5"/>
    <n v="0.95"/>
    <n v="0.28999999999999998"/>
    <n v="2848.18"/>
    <x v="1"/>
    <n v="628"/>
    <n v="0.36"/>
    <n v="599.85"/>
    <n v="0.22"/>
    <n v="513.21"/>
    <n v="0.19"/>
    <n v="9"/>
    <n v="1817.19"/>
    <n v="28"/>
    <n v="0"/>
    <n v="648.35"/>
    <n v="2190.87"/>
    <x v="0"/>
    <n v="1151.1600000000001"/>
    <x v="9"/>
    <x v="2"/>
    <n v="73.7"/>
    <s v="Low"/>
    <n v="133.5"/>
    <n v="0"/>
  </r>
  <r>
    <x v="21"/>
    <x v="19"/>
    <n v="1727"/>
    <n v="1358.55"/>
    <n v="2365.86"/>
    <n v="-1007.31"/>
    <n v="1.74"/>
    <n v="0.34"/>
    <n v="3088.37"/>
    <x v="2"/>
    <n v="746"/>
    <n v="0.2"/>
    <n v="637.49"/>
    <n v="0.47"/>
    <n v="305.35000000000002"/>
    <n v="0.22"/>
    <n v="7"/>
    <n v="156.09"/>
    <n v="28"/>
    <n v="0"/>
    <n v="469.6"/>
    <n v="1509.22"/>
    <x v="1"/>
    <n v="1164.47"/>
    <x v="4"/>
    <x v="1"/>
    <n v="58.6"/>
    <s v="Low"/>
    <n v="0"/>
    <n v="0"/>
  </r>
  <r>
    <x v="21"/>
    <x v="19"/>
    <n v="1800"/>
    <n v="5678.52"/>
    <n v="3312.82"/>
    <n v="2365.6999999999998"/>
    <n v="0.57999999999999996"/>
    <n v="7.0000000000000007E-2"/>
    <n v="2418.67"/>
    <x v="1"/>
    <n v="662"/>
    <n v="0.12"/>
    <n v="519.34"/>
    <n v="0.09"/>
    <n v="488.97"/>
    <n v="0.09"/>
    <n v="2"/>
    <n v="906.1"/>
    <n v="60"/>
    <n v="0"/>
    <n v="114.34"/>
    <n v="1495.18"/>
    <x v="0"/>
    <n v="1368.04"/>
    <x v="8"/>
    <x v="0"/>
    <n v="88.7"/>
    <s v="Low"/>
    <n v="2365.6999999999998"/>
    <n v="0"/>
  </r>
  <r>
    <x v="21"/>
    <x v="19"/>
    <n v="1306"/>
    <n v="5312.17"/>
    <n v="2389.62"/>
    <n v="2922.55"/>
    <n v="0.45"/>
    <n v="0.28000000000000003"/>
    <n v="2533.9899999999998"/>
    <x v="1"/>
    <n v="664"/>
    <n v="0.42"/>
    <n v="555.75"/>
    <n v="0.1"/>
    <n v="791.86"/>
    <n v="0.15"/>
    <n v="3"/>
    <n v="709.86"/>
    <n v="62"/>
    <n v="0"/>
    <n v="314.24"/>
    <n v="3056.14"/>
    <x v="1"/>
    <n v="1162.07"/>
    <x v="5"/>
    <x v="0"/>
    <n v="5.7"/>
    <s v="Medium"/>
    <n v="2922.55"/>
    <n v="1"/>
  </r>
  <r>
    <x v="21"/>
    <x v="19"/>
    <n v="1617"/>
    <n v="3496.23"/>
    <n v="2432.2199999999998"/>
    <n v="1064.01"/>
    <n v="0.7"/>
    <n v="0.3"/>
    <n v="2910.22"/>
    <x v="1"/>
    <n v="630"/>
    <n v="0.36"/>
    <n v="967.21"/>
    <n v="0.28000000000000003"/>
    <n v="490.58"/>
    <n v="0.14000000000000001"/>
    <n v="5"/>
    <n v="996.5"/>
    <n v="52"/>
    <n v="0"/>
    <n v="668.63"/>
    <n v="2302.19"/>
    <x v="1"/>
    <n v="946.7"/>
    <x v="8"/>
    <x v="0"/>
    <n v="1.1000000000000001"/>
    <s v="Medium"/>
    <n v="1064.01"/>
    <n v="0"/>
  </r>
  <r>
    <x v="21"/>
    <x v="19"/>
    <n v="1941"/>
    <n v="3091.21"/>
    <n v="3412.58"/>
    <n v="-321.37"/>
    <n v="1.1000000000000001"/>
    <n v="0.27"/>
    <n v="2999.49"/>
    <x v="0"/>
    <n v="706"/>
    <n v="0.51"/>
    <n v="550.27"/>
    <n v="0.18"/>
    <n v="370.47"/>
    <n v="0.12"/>
    <n v="5"/>
    <n v="1697.6"/>
    <n v="32"/>
    <n v="0"/>
    <n v="153.41"/>
    <n v="2259.64"/>
    <x v="1"/>
    <n v="1726.89"/>
    <x v="6"/>
    <x v="0"/>
    <n v="49.4"/>
    <s v="High"/>
    <n v="0"/>
    <n v="0"/>
  </r>
  <r>
    <x v="21"/>
    <x v="19"/>
    <n v="1355"/>
    <n v="4660.54"/>
    <n v="1098.96"/>
    <n v="3561.58"/>
    <n v="0.24"/>
    <n v="0.25"/>
    <n v="3032.44"/>
    <x v="1"/>
    <n v="622"/>
    <n v="0.57999999999999996"/>
    <n v="215.86"/>
    <n v="0.05"/>
    <n v="324.52999999999997"/>
    <n v="7.0000000000000007E-2"/>
    <n v="3"/>
    <n v="1754.83"/>
    <n v="35"/>
    <n v="0"/>
    <n v="826.63"/>
    <n v="1092.0899999999999"/>
    <x v="0"/>
    <n v="1437.51"/>
    <x v="5"/>
    <x v="1"/>
    <n v="97.4"/>
    <s v="Low"/>
    <n v="3561.58"/>
    <n v="1"/>
  </r>
  <r>
    <x v="21"/>
    <x v="19"/>
    <n v="1963"/>
    <n v="3313.54"/>
    <n v="4702.8100000000004"/>
    <n v="-1389.27"/>
    <n v="1.42"/>
    <n v="0.32"/>
    <n v="3501.48"/>
    <x v="2"/>
    <n v="607"/>
    <n v="0.3"/>
    <n v="548.36"/>
    <n v="0.17"/>
    <n v="0"/>
    <n v="0"/>
    <n v="2"/>
    <n v="811.46"/>
    <n v="82"/>
    <n v="0"/>
    <n v="798.3"/>
    <n v="2482.27"/>
    <x v="1"/>
    <n v="720.25"/>
    <x v="7"/>
    <x v="2"/>
    <n v="86.5"/>
    <s v="Low"/>
    <n v="0"/>
    <n v="0"/>
  </r>
  <r>
    <x v="21"/>
    <x v="19"/>
    <n v="1801"/>
    <n v="5810.44"/>
    <n v="2797.09"/>
    <n v="3013.35"/>
    <n v="0.48"/>
    <n v="0.15"/>
    <n v="2946.61"/>
    <x v="1"/>
    <n v="668"/>
    <n v="0.1"/>
    <n v="684.83"/>
    <n v="0.12"/>
    <n v="537.30999999999995"/>
    <n v="0.09"/>
    <n v="9"/>
    <n v="1716.19"/>
    <n v="36"/>
    <n v="0"/>
    <n v="299.10000000000002"/>
    <n v="1684.84"/>
    <x v="2"/>
    <n v="827.68"/>
    <x v="1"/>
    <x v="2"/>
    <n v="55.9"/>
    <s v="Low"/>
    <n v="3013.35"/>
    <n v="1"/>
  </r>
  <r>
    <x v="21"/>
    <x v="19"/>
    <n v="1879"/>
    <n v="3813.81"/>
    <n v="2097.91"/>
    <n v="1715.9"/>
    <n v="0.55000000000000004"/>
    <n v="0.27"/>
    <n v="2880.1"/>
    <x v="1"/>
    <n v="727"/>
    <n v="0.55000000000000004"/>
    <n v="583.15"/>
    <n v="0.15"/>
    <n v="650.96"/>
    <n v="0.17"/>
    <n v="1"/>
    <n v="596.17999999999995"/>
    <n v="99"/>
    <n v="0"/>
    <n v="123.5"/>
    <n v="2872.89"/>
    <x v="1"/>
    <n v="1912.27"/>
    <x v="1"/>
    <x v="0"/>
    <n v="86.8"/>
    <s v="Low"/>
    <n v="1715.9"/>
    <n v="0"/>
  </r>
  <r>
    <x v="21"/>
    <x v="19"/>
    <n v="1882"/>
    <n v="4641.1899999999996"/>
    <n v="3312.9"/>
    <n v="1328.29"/>
    <n v="0.71"/>
    <n v="0.06"/>
    <n v="3344.49"/>
    <x v="1"/>
    <n v="712"/>
    <n v="0.42"/>
    <n v="424.62"/>
    <n v="0.09"/>
    <n v="375.35"/>
    <n v="0.08"/>
    <n v="9"/>
    <n v="983.03"/>
    <n v="86"/>
    <n v="0"/>
    <n v="727.34"/>
    <n v="1779.59"/>
    <x v="1"/>
    <n v="1425.84"/>
    <x v="1"/>
    <x v="0"/>
    <n v="2.8"/>
    <s v="Medium"/>
    <n v="1328.29"/>
    <n v="0"/>
  </r>
  <r>
    <x v="21"/>
    <x v="19"/>
    <n v="1501"/>
    <n v="4421.8999999999996"/>
    <n v="2458.09"/>
    <n v="1963.81"/>
    <n v="0.56000000000000005"/>
    <n v="0.32"/>
    <n v="2921.68"/>
    <x v="1"/>
    <n v="641"/>
    <n v="0.59"/>
    <n v="374.17"/>
    <n v="0.08"/>
    <n v="194.76"/>
    <n v="0.04"/>
    <n v="4"/>
    <n v="652.95000000000005"/>
    <n v="77"/>
    <n v="0"/>
    <n v="451.61"/>
    <n v="2491.7399999999998"/>
    <x v="1"/>
    <n v="340.32"/>
    <x v="5"/>
    <x v="0"/>
    <n v="51.3"/>
    <s v="Medium"/>
    <n v="1963.81"/>
    <n v="0"/>
  </r>
  <r>
    <x v="21"/>
    <x v="19"/>
    <n v="1256"/>
    <n v="3234.86"/>
    <n v="2922.43"/>
    <n v="312.43"/>
    <n v="0.9"/>
    <n v="0.27"/>
    <n v="2844.51"/>
    <x v="1"/>
    <n v="677"/>
    <n v="0.38"/>
    <n v="591.91999999999996"/>
    <n v="0.18"/>
    <n v="92.52"/>
    <n v="0.03"/>
    <n v="6"/>
    <n v="527.64"/>
    <n v="82"/>
    <n v="0"/>
    <n v="552.49"/>
    <n v="2895.39"/>
    <x v="1"/>
    <n v="999.43"/>
    <x v="6"/>
    <x v="0"/>
    <n v="66.2"/>
    <s v="Medium"/>
    <n v="312.43"/>
    <n v="0"/>
  </r>
  <r>
    <x v="21"/>
    <x v="19"/>
    <n v="1836"/>
    <n v="4199.0200000000004"/>
    <n v="3335.6"/>
    <n v="863.42"/>
    <n v="0.79"/>
    <n v="0.21"/>
    <n v="2149.25"/>
    <x v="0"/>
    <n v="701"/>
    <n v="0.52"/>
    <n v="660.4"/>
    <n v="0.16"/>
    <n v="729.19"/>
    <n v="0.17"/>
    <n v="5"/>
    <n v="1306.0999999999999"/>
    <n v="28"/>
    <n v="0"/>
    <n v="292.33999999999997"/>
    <n v="2327.7800000000002"/>
    <x v="1"/>
    <n v="550.84"/>
    <x v="0"/>
    <x v="1"/>
    <n v="55.8"/>
    <s v="Medium"/>
    <n v="863.42"/>
    <n v="0"/>
  </r>
  <r>
    <x v="21"/>
    <x v="19"/>
    <n v="1555"/>
    <n v="3334.71"/>
    <n v="3269.79"/>
    <n v="64.92"/>
    <n v="0.98"/>
    <n v="0.14000000000000001"/>
    <n v="3136.32"/>
    <x v="1"/>
    <n v="704"/>
    <n v="0.4"/>
    <n v="509.32"/>
    <n v="0.15"/>
    <n v="259.76"/>
    <n v="0.08"/>
    <n v="2"/>
    <n v="1736.47"/>
    <n v="80"/>
    <n v="0"/>
    <n v="509.19"/>
    <n v="2213.4699999999998"/>
    <x v="0"/>
    <n v="321.29000000000002"/>
    <x v="2"/>
    <x v="2"/>
    <n v="69.8"/>
    <s v="Low"/>
    <n v="64.92"/>
    <n v="0"/>
  </r>
  <r>
    <x v="21"/>
    <x v="19"/>
    <n v="1468"/>
    <n v="5307.88"/>
    <n v="3579.79"/>
    <n v="1728.09"/>
    <n v="0.67"/>
    <n v="0.23"/>
    <n v="3232.05"/>
    <x v="1"/>
    <n v="785"/>
    <n v="0.45"/>
    <n v="171.89"/>
    <n v="0.03"/>
    <n v="408.3"/>
    <n v="0.08"/>
    <n v="6"/>
    <n v="1042.7"/>
    <n v="21"/>
    <n v="0"/>
    <n v="575.53"/>
    <n v="2934.35"/>
    <x v="0"/>
    <n v="1288.24"/>
    <x v="6"/>
    <x v="0"/>
    <n v="17.399999999999999"/>
    <s v="Medium"/>
    <n v="1728.09"/>
    <n v="0"/>
  </r>
  <r>
    <x v="21"/>
    <x v="19"/>
    <n v="1157"/>
    <n v="4009.2"/>
    <n v="2438.27"/>
    <n v="1570.93"/>
    <n v="0.61"/>
    <n v="0.1"/>
    <n v="2879.08"/>
    <x v="1"/>
    <n v="728"/>
    <n v="0.49"/>
    <n v="281.58"/>
    <n v="7.0000000000000007E-2"/>
    <n v="307.60000000000002"/>
    <n v="0.08"/>
    <n v="1"/>
    <n v="1713.7"/>
    <n v="43"/>
    <n v="0"/>
    <n v="297.52"/>
    <n v="2644.73"/>
    <x v="2"/>
    <n v="1016.34"/>
    <x v="7"/>
    <x v="0"/>
    <n v="76.7"/>
    <s v="Low"/>
    <n v="1570.93"/>
    <n v="0"/>
  </r>
  <r>
    <x v="21"/>
    <x v="19"/>
    <n v="1435"/>
    <n v="4698.3"/>
    <n v="2311.56"/>
    <n v="2386.7399999999998"/>
    <n v="0.49"/>
    <n v="0.3"/>
    <n v="3428"/>
    <x v="2"/>
    <n v="702"/>
    <n v="0.37"/>
    <n v="321.82"/>
    <n v="7.0000000000000007E-2"/>
    <n v="15.84"/>
    <n v="0"/>
    <n v="7"/>
    <n v="992.37"/>
    <n v="38"/>
    <n v="1"/>
    <n v="608.14"/>
    <n v="2206.0100000000002"/>
    <x v="1"/>
    <n v="1094.3699999999999"/>
    <x v="9"/>
    <x v="0"/>
    <n v="15.8"/>
    <s v="Medium"/>
    <n v="2386.7399999999998"/>
    <n v="0"/>
  </r>
  <r>
    <x v="21"/>
    <x v="19"/>
    <n v="1384"/>
    <n v="3441.08"/>
    <n v="2433.06"/>
    <n v="1008.02"/>
    <n v="0.71"/>
    <n v="0.12"/>
    <n v="2423.31"/>
    <x v="1"/>
    <n v="668"/>
    <n v="0.11"/>
    <n v="484.03"/>
    <n v="0.14000000000000001"/>
    <n v="220.58"/>
    <n v="0.06"/>
    <n v="5"/>
    <n v="1276.51"/>
    <n v="22"/>
    <n v="0"/>
    <n v="193.29"/>
    <n v="2597.37"/>
    <x v="1"/>
    <n v="1275.9000000000001"/>
    <x v="9"/>
    <x v="2"/>
    <n v="90.4"/>
    <s v="Low"/>
    <n v="1008.02"/>
    <n v="0"/>
  </r>
  <r>
    <x v="21"/>
    <x v="19"/>
    <n v="1284"/>
    <n v="4387.46"/>
    <n v="2614"/>
    <n v="1773.46"/>
    <n v="0.6"/>
    <n v="0.28999999999999998"/>
    <n v="2840.96"/>
    <x v="1"/>
    <n v="678"/>
    <n v="0.1"/>
    <n v="766.81"/>
    <n v="0.17"/>
    <n v="484.51"/>
    <n v="0.11"/>
    <n v="2"/>
    <n v="1459.14"/>
    <n v="79"/>
    <n v="0"/>
    <n v="418.04"/>
    <n v="2376.36"/>
    <x v="1"/>
    <n v="1227.05"/>
    <x v="6"/>
    <x v="0"/>
    <n v="44.4"/>
    <s v="Low"/>
    <n v="1773.46"/>
    <n v="0"/>
  </r>
  <r>
    <x v="21"/>
    <x v="19"/>
    <n v="1566"/>
    <n v="1576"/>
    <n v="3467.34"/>
    <n v="-1891.34"/>
    <n v="2.2000000000000002"/>
    <n v="7.0000000000000007E-2"/>
    <n v="2840.64"/>
    <x v="1"/>
    <n v="637"/>
    <n v="0.6"/>
    <n v="406.19"/>
    <n v="0.26"/>
    <n v="395.14"/>
    <n v="0.25"/>
    <n v="5"/>
    <n v="1847.37"/>
    <n v="94"/>
    <n v="1"/>
    <n v="516.39"/>
    <n v="2749.87"/>
    <x v="1"/>
    <n v="1870.47"/>
    <x v="3"/>
    <x v="0"/>
    <n v="78.400000000000006"/>
    <s v="Low"/>
    <n v="0"/>
    <n v="0"/>
  </r>
  <r>
    <x v="21"/>
    <x v="19"/>
    <n v="1285"/>
    <n v="3252.32"/>
    <n v="4162.83"/>
    <n v="-910.51"/>
    <n v="1.28"/>
    <n v="0.13"/>
    <n v="2439.14"/>
    <x v="2"/>
    <n v="804"/>
    <n v="0.42"/>
    <n v="293.13"/>
    <n v="0.09"/>
    <n v="423.06"/>
    <n v="0.13"/>
    <n v="7"/>
    <n v="1022.41"/>
    <n v="67"/>
    <n v="0"/>
    <n v="625.32000000000005"/>
    <n v="2060.34"/>
    <x v="1"/>
    <n v="854.35"/>
    <x v="7"/>
    <x v="1"/>
    <n v="12.8"/>
    <s v="Low"/>
    <n v="0"/>
    <n v="0"/>
  </r>
  <r>
    <x v="21"/>
    <x v="19"/>
    <n v="1661"/>
    <n v="4415.59"/>
    <n v="2429.11"/>
    <n v="1986.48"/>
    <n v="0.55000000000000004"/>
    <n v="0.33"/>
    <n v="2629.91"/>
    <x v="1"/>
    <n v="633"/>
    <n v="0.55000000000000004"/>
    <n v="712.41"/>
    <n v="0.16"/>
    <n v="149.11000000000001"/>
    <n v="0.03"/>
    <n v="2"/>
    <n v="503.84"/>
    <n v="29"/>
    <n v="0"/>
    <n v="463.52"/>
    <n v="2793.27"/>
    <x v="1"/>
    <n v="1314.2"/>
    <x v="7"/>
    <x v="0"/>
    <n v="55.3"/>
    <s v="Low"/>
    <n v="1986.48"/>
    <n v="0"/>
  </r>
  <r>
    <x v="21"/>
    <x v="19"/>
    <n v="1237"/>
    <n v="3183.88"/>
    <n v="3033.59"/>
    <n v="150.29"/>
    <n v="0.95"/>
    <n v="0.1"/>
    <n v="2320.71"/>
    <x v="2"/>
    <n v="685"/>
    <n v="0.37"/>
    <n v="578.86"/>
    <n v="0.18"/>
    <n v="304.83"/>
    <n v="0.1"/>
    <n v="3"/>
    <n v="1302.55"/>
    <n v="66"/>
    <n v="0"/>
    <n v="1028.6400000000001"/>
    <n v="2902.08"/>
    <x v="1"/>
    <n v="1138.1500000000001"/>
    <x v="2"/>
    <x v="1"/>
    <n v="66.400000000000006"/>
    <s v="Low"/>
    <n v="150.29"/>
    <n v="0"/>
  </r>
  <r>
    <x v="21"/>
    <x v="19"/>
    <n v="1693"/>
    <n v="3652.81"/>
    <n v="2241.96"/>
    <n v="1410.85"/>
    <n v="0.61"/>
    <n v="0.28000000000000003"/>
    <n v="2866.02"/>
    <x v="1"/>
    <n v="716"/>
    <n v="0.54"/>
    <n v="389.56"/>
    <n v="0.11"/>
    <n v="372.83"/>
    <n v="0.1"/>
    <n v="3"/>
    <n v="1754.21"/>
    <n v="40"/>
    <n v="0"/>
    <n v="673.19"/>
    <n v="2075.77"/>
    <x v="0"/>
    <n v="1011.85"/>
    <x v="2"/>
    <x v="2"/>
    <n v="15.6"/>
    <s v="Low"/>
    <n v="1410.85"/>
    <n v="0"/>
  </r>
  <r>
    <x v="21"/>
    <x v="19"/>
    <n v="1742"/>
    <n v="4344.08"/>
    <n v="2928.69"/>
    <n v="1415.39"/>
    <n v="0.67"/>
    <n v="0.33"/>
    <n v="3398.67"/>
    <x v="2"/>
    <n v="693"/>
    <n v="0.2"/>
    <n v="669.47"/>
    <n v="0.15"/>
    <n v="102.47"/>
    <n v="0.02"/>
    <n v="1"/>
    <n v="164.9"/>
    <n v="94"/>
    <n v="0"/>
    <n v="388.6"/>
    <n v="1522.24"/>
    <x v="1"/>
    <n v="1074.3399999999999"/>
    <x v="1"/>
    <x v="0"/>
    <n v="45.3"/>
    <s v="Medium"/>
    <n v="1415.39"/>
    <n v="0"/>
  </r>
  <r>
    <x v="21"/>
    <x v="19"/>
    <n v="1655"/>
    <n v="3829.03"/>
    <n v="3488.95"/>
    <n v="340.08"/>
    <n v="0.91"/>
    <n v="0.21"/>
    <n v="3042.72"/>
    <x v="0"/>
    <n v="747"/>
    <n v="0.53"/>
    <n v="258.94"/>
    <n v="7.0000000000000007E-2"/>
    <n v="335.92"/>
    <n v="0.09"/>
    <n v="5"/>
    <n v="128.65"/>
    <n v="51"/>
    <n v="0"/>
    <n v="83.77"/>
    <n v="1744.86"/>
    <x v="2"/>
    <n v="959.2"/>
    <x v="0"/>
    <x v="0"/>
    <n v="55.9"/>
    <s v="Low"/>
    <n v="340.08"/>
    <n v="0"/>
  </r>
  <r>
    <x v="21"/>
    <x v="19"/>
    <n v="1115"/>
    <n v="4251.6499999999996"/>
    <n v="2278.15"/>
    <n v="1973.5"/>
    <n v="0.54"/>
    <n v="0.34"/>
    <n v="2934.39"/>
    <x v="0"/>
    <n v="652"/>
    <n v="0.41"/>
    <n v="225.67"/>
    <n v="0.05"/>
    <n v="159.53"/>
    <n v="0.04"/>
    <n v="2"/>
    <n v="999.14"/>
    <n v="69"/>
    <n v="0"/>
    <n v="300.99"/>
    <n v="2528.86"/>
    <x v="1"/>
    <n v="1278.1300000000001"/>
    <x v="4"/>
    <x v="0"/>
    <n v="89.6"/>
    <s v="Low"/>
    <n v="1973.5"/>
    <n v="0"/>
  </r>
  <r>
    <x v="21"/>
    <x v="19"/>
    <n v="1563"/>
    <n v="4467.8500000000004"/>
    <n v="3495.78"/>
    <n v="972.07"/>
    <n v="0.78"/>
    <n v="0.24"/>
    <n v="2684.26"/>
    <x v="1"/>
    <n v="602"/>
    <n v="0.27"/>
    <n v="607.77"/>
    <n v="0.14000000000000001"/>
    <n v="707.03"/>
    <n v="0.16"/>
    <n v="1"/>
    <n v="846.05"/>
    <n v="99"/>
    <n v="0"/>
    <n v="490.12"/>
    <n v="1907.68"/>
    <x v="2"/>
    <n v="1571.64"/>
    <x v="9"/>
    <x v="0"/>
    <n v="7.9"/>
    <s v="Low"/>
    <n v="972.07"/>
    <n v="0"/>
  </r>
  <r>
    <x v="21"/>
    <x v="19"/>
    <n v="1021"/>
    <n v="2953.33"/>
    <n v="1946.2"/>
    <n v="1007.13"/>
    <n v="0.66"/>
    <n v="0.06"/>
    <n v="3272.99"/>
    <x v="0"/>
    <n v="650"/>
    <n v="0.36"/>
    <n v="209.71"/>
    <n v="7.0000000000000007E-2"/>
    <n v="386.85"/>
    <n v="0.13"/>
    <n v="7"/>
    <n v="945.26"/>
    <n v="59"/>
    <n v="0"/>
    <n v="206.05"/>
    <n v="2477.9299999999998"/>
    <x v="1"/>
    <n v="1430.46"/>
    <x v="3"/>
    <x v="0"/>
    <n v="37.9"/>
    <s v="Medium"/>
    <n v="1007.13"/>
    <n v="0"/>
  </r>
  <r>
    <x v="21"/>
    <x v="19"/>
    <n v="1181"/>
    <n v="3009.56"/>
    <n v="2847.89"/>
    <n v="161.66999999999999"/>
    <n v="0.95"/>
    <n v="0.28999999999999998"/>
    <n v="3127.71"/>
    <x v="1"/>
    <n v="633"/>
    <n v="0.45"/>
    <n v="275.56"/>
    <n v="0.09"/>
    <n v="613.74"/>
    <n v="0.2"/>
    <n v="8"/>
    <n v="523.55999999999995"/>
    <n v="39"/>
    <n v="0"/>
    <n v="585.08000000000004"/>
    <n v="1944.23"/>
    <x v="0"/>
    <n v="1400.37"/>
    <x v="6"/>
    <x v="1"/>
    <n v="4.9000000000000004"/>
    <s v="Medium"/>
    <n v="161.66999999999999"/>
    <n v="0"/>
  </r>
  <r>
    <x v="21"/>
    <x v="19"/>
    <n v="1494"/>
    <n v="4296.24"/>
    <n v="3242.82"/>
    <n v="1053.42"/>
    <n v="0.75"/>
    <n v="0.06"/>
    <n v="2822.19"/>
    <x v="0"/>
    <n v="624"/>
    <n v="0.33"/>
    <n v="806.83"/>
    <n v="0.19"/>
    <n v="265.82"/>
    <n v="0.06"/>
    <n v="2"/>
    <n v="1208.44"/>
    <n v="86"/>
    <n v="0"/>
    <n v="586.41999999999996"/>
    <n v="1587.63"/>
    <x v="0"/>
    <n v="421.82"/>
    <x v="8"/>
    <x v="0"/>
    <n v="39.6"/>
    <s v="Low"/>
    <n v="1053.42"/>
    <n v="0"/>
  </r>
  <r>
    <x v="21"/>
    <x v="19"/>
    <n v="1295"/>
    <n v="5057.29"/>
    <n v="3549.91"/>
    <n v="1507.38"/>
    <n v="0.7"/>
    <n v="0.37"/>
    <n v="2770.46"/>
    <x v="1"/>
    <n v="690"/>
    <n v="0.11"/>
    <n v="0"/>
    <n v="0"/>
    <n v="436.45"/>
    <n v="0.09"/>
    <n v="8"/>
    <n v="934.99"/>
    <n v="50"/>
    <n v="0"/>
    <n v="361.84"/>
    <n v="1533.41"/>
    <x v="1"/>
    <n v="1269.6199999999999"/>
    <x v="8"/>
    <x v="1"/>
    <n v="18.7"/>
    <s v="High"/>
    <n v="1507.38"/>
    <n v="0"/>
  </r>
  <r>
    <x v="21"/>
    <x v="19"/>
    <n v="1501"/>
    <n v="6066.1"/>
    <n v="4571.76"/>
    <n v="1494.34"/>
    <n v="0.75"/>
    <n v="0.36"/>
    <n v="3087.54"/>
    <x v="1"/>
    <n v="670"/>
    <n v="0.12"/>
    <n v="690.67"/>
    <n v="0.11"/>
    <n v="522.01"/>
    <n v="0.09"/>
    <n v="3"/>
    <n v="638.91999999999996"/>
    <n v="51"/>
    <n v="0"/>
    <n v="748.75"/>
    <n v="2416.9899999999998"/>
    <x v="1"/>
    <n v="1100.56"/>
    <x v="9"/>
    <x v="0"/>
    <n v="42.3"/>
    <s v="Medium"/>
    <n v="1494.34"/>
    <n v="0"/>
  </r>
  <r>
    <x v="21"/>
    <x v="19"/>
    <n v="1896"/>
    <n v="3623.36"/>
    <n v="3528.04"/>
    <n v="95.32"/>
    <n v="0.97"/>
    <n v="0.38"/>
    <n v="2213.4699999999998"/>
    <x v="1"/>
    <n v="668"/>
    <n v="0.24"/>
    <n v="393.33"/>
    <n v="0.11"/>
    <n v="579.28"/>
    <n v="0.16"/>
    <n v="3"/>
    <n v="1738.23"/>
    <n v="34"/>
    <n v="0"/>
    <n v="645.86"/>
    <n v="2373.8000000000002"/>
    <x v="0"/>
    <n v="977.71"/>
    <x v="5"/>
    <x v="0"/>
    <n v="32.799999999999997"/>
    <s v="Low"/>
    <n v="95.32"/>
    <n v="0"/>
  </r>
  <r>
    <x v="21"/>
    <x v="19"/>
    <n v="1237"/>
    <n v="4942.76"/>
    <n v="2125.2800000000002"/>
    <n v="2817.48"/>
    <n v="0.43"/>
    <n v="0.25"/>
    <n v="3072.48"/>
    <x v="1"/>
    <n v="718"/>
    <n v="0.55000000000000004"/>
    <n v="381.53"/>
    <n v="0.08"/>
    <n v="575.14"/>
    <n v="0.12"/>
    <n v="6"/>
    <n v="1280.06"/>
    <n v="78"/>
    <n v="0"/>
    <n v="568.26"/>
    <n v="2819.31"/>
    <x v="1"/>
    <n v="1942.2"/>
    <x v="9"/>
    <x v="0"/>
    <n v="80.3"/>
    <s v="High"/>
    <n v="2817.48"/>
    <n v="0"/>
  </r>
  <r>
    <x v="21"/>
    <x v="19"/>
    <n v="1726"/>
    <n v="5189.83"/>
    <n v="3776.52"/>
    <n v="1413.31"/>
    <n v="0.73"/>
    <n v="0.39"/>
    <n v="3373.01"/>
    <x v="2"/>
    <n v="717"/>
    <n v="0.17"/>
    <n v="382.35"/>
    <n v="7.0000000000000007E-2"/>
    <n v="356.08"/>
    <n v="7.0000000000000007E-2"/>
    <n v="4"/>
    <n v="525.89"/>
    <n v="68"/>
    <n v="0"/>
    <n v="453.29"/>
    <n v="2092.46"/>
    <x v="0"/>
    <n v="1293.29"/>
    <x v="0"/>
    <x v="0"/>
    <n v="23.9"/>
    <s v="Medium"/>
    <n v="1413.31"/>
    <n v="0"/>
  </r>
  <r>
    <x v="21"/>
    <x v="19"/>
    <n v="1971"/>
    <n v="4527.09"/>
    <n v="3459.57"/>
    <n v="1067.52"/>
    <n v="0.76"/>
    <n v="0.12"/>
    <n v="2571.35"/>
    <x v="2"/>
    <n v="658"/>
    <n v="0.45"/>
    <n v="633.83000000000004"/>
    <n v="0.14000000000000001"/>
    <n v="884.1"/>
    <n v="0.2"/>
    <n v="1"/>
    <n v="327.58"/>
    <n v="22"/>
    <n v="0"/>
    <n v="175.03"/>
    <n v="1838.21"/>
    <x v="1"/>
    <n v="1245.8399999999999"/>
    <x v="9"/>
    <x v="0"/>
    <n v="97.5"/>
    <s v="Low"/>
    <n v="1067.52"/>
    <n v="0"/>
  </r>
  <r>
    <x v="21"/>
    <x v="19"/>
    <n v="1384"/>
    <n v="5436.27"/>
    <n v="2985.14"/>
    <n v="2451.13"/>
    <n v="0.55000000000000004"/>
    <n v="0.36"/>
    <n v="1934.64"/>
    <x v="1"/>
    <n v="661"/>
    <n v="0.45"/>
    <n v="438.7"/>
    <n v="0.08"/>
    <n v="409.32"/>
    <n v="0.08"/>
    <n v="1"/>
    <n v="1264.3599999999999"/>
    <n v="93"/>
    <n v="0"/>
    <n v="601.30999999999995"/>
    <n v="2246.11"/>
    <x v="1"/>
    <n v="1588.28"/>
    <x v="6"/>
    <x v="1"/>
    <n v="83.1"/>
    <s v="Medium"/>
    <n v="2451.13"/>
    <n v="1"/>
  </r>
  <r>
    <x v="22"/>
    <x v="20"/>
    <n v="1879"/>
    <n v="5136.8500000000004"/>
    <n v="2474.84"/>
    <n v="2662.01"/>
    <n v="0.48"/>
    <n v="0.28000000000000003"/>
    <n v="2837.11"/>
    <x v="0"/>
    <n v="694"/>
    <n v="0.25"/>
    <n v="428.59"/>
    <n v="0.08"/>
    <n v="529.61"/>
    <n v="0.1"/>
    <n v="7"/>
    <n v="1045.6099999999999"/>
    <n v="64"/>
    <n v="0"/>
    <n v="435.07"/>
    <n v="2900.43"/>
    <x v="1"/>
    <n v="943.32"/>
    <x v="6"/>
    <x v="1"/>
    <n v="81.400000000000006"/>
    <s v="Low"/>
    <n v="2662.01"/>
    <n v="0"/>
  </r>
  <r>
    <x v="22"/>
    <x v="20"/>
    <n v="1306"/>
    <n v="4108.07"/>
    <n v="2591.19"/>
    <n v="1516.88"/>
    <n v="0.63"/>
    <n v="0.2"/>
    <n v="3900.31"/>
    <x v="2"/>
    <n v="668"/>
    <n v="0.1"/>
    <n v="298.17"/>
    <n v="7.0000000000000007E-2"/>
    <n v="41.32"/>
    <n v="0.01"/>
    <n v="2"/>
    <n v="669.87"/>
    <n v="76"/>
    <n v="0"/>
    <n v="400.19"/>
    <n v="2157.7600000000002"/>
    <x v="1"/>
    <n v="1484.8"/>
    <x v="3"/>
    <x v="0"/>
    <n v="28.8"/>
    <s v="Medium"/>
    <n v="1516.88"/>
    <n v="0"/>
  </r>
  <r>
    <x v="22"/>
    <x v="20"/>
    <n v="1538"/>
    <n v="5275.13"/>
    <n v="2932.46"/>
    <n v="2342.67"/>
    <n v="0.56000000000000005"/>
    <n v="0.31"/>
    <n v="3945.1"/>
    <x v="1"/>
    <n v="661"/>
    <n v="0.4"/>
    <n v="743.21"/>
    <n v="0.14000000000000001"/>
    <n v="264.14999999999998"/>
    <n v="0.05"/>
    <n v="9"/>
    <n v="766.96"/>
    <n v="87"/>
    <n v="0"/>
    <n v="284.43"/>
    <n v="1907.7"/>
    <x v="1"/>
    <n v="1290.68"/>
    <x v="4"/>
    <x v="0"/>
    <n v="9.8000000000000007"/>
    <s v="Low"/>
    <n v="2342.67"/>
    <n v="0"/>
  </r>
  <r>
    <x v="22"/>
    <x v="20"/>
    <n v="1971"/>
    <n v="3400.45"/>
    <n v="2751.58"/>
    <n v="648.87"/>
    <n v="0.81"/>
    <n v="0.28999999999999998"/>
    <n v="3033.65"/>
    <x v="1"/>
    <n v="767"/>
    <n v="0.51"/>
    <n v="374.47"/>
    <n v="0.11"/>
    <n v="0"/>
    <n v="0"/>
    <n v="2"/>
    <n v="941.59"/>
    <n v="39"/>
    <n v="0"/>
    <n v="798.83"/>
    <n v="2362.15"/>
    <x v="1"/>
    <n v="1239.8399999999999"/>
    <x v="3"/>
    <x v="1"/>
    <n v="1.7"/>
    <s v="Medium"/>
    <n v="648.87"/>
    <n v="0"/>
  </r>
  <r>
    <x v="22"/>
    <x v="20"/>
    <n v="1219"/>
    <n v="3914.16"/>
    <n v="2159.9699999999998"/>
    <n v="1754.19"/>
    <n v="0.55000000000000004"/>
    <n v="0.28000000000000003"/>
    <n v="2840.27"/>
    <x v="2"/>
    <n v="648"/>
    <n v="0.37"/>
    <n v="477.05"/>
    <n v="0.12"/>
    <n v="407.84"/>
    <n v="0.1"/>
    <n v="5"/>
    <n v="1458.76"/>
    <n v="75"/>
    <n v="0"/>
    <n v="486.96"/>
    <n v="2272.1799999999998"/>
    <x v="1"/>
    <n v="1344.01"/>
    <x v="0"/>
    <x v="0"/>
    <n v="80.3"/>
    <s v="Low"/>
    <n v="1754.19"/>
    <n v="0"/>
  </r>
  <r>
    <x v="22"/>
    <x v="20"/>
    <n v="1718"/>
    <n v="3212.02"/>
    <n v="3857.04"/>
    <n v="-645.02"/>
    <n v="1.2"/>
    <n v="0.35"/>
    <n v="2961.51"/>
    <x v="0"/>
    <n v="663"/>
    <n v="0.5"/>
    <n v="497.59"/>
    <n v="0.15"/>
    <n v="122.72"/>
    <n v="0.04"/>
    <n v="1"/>
    <n v="864.64"/>
    <n v="99"/>
    <n v="0"/>
    <n v="748.54"/>
    <n v="2301.04"/>
    <x v="1"/>
    <n v="1396.57"/>
    <x v="1"/>
    <x v="0"/>
    <n v="47.3"/>
    <s v="Low"/>
    <n v="0"/>
    <n v="0"/>
  </r>
  <r>
    <x v="22"/>
    <x v="20"/>
    <n v="1180"/>
    <n v="4083.51"/>
    <n v="1994.34"/>
    <n v="2089.17"/>
    <n v="0.49"/>
    <n v="7.0000000000000007E-2"/>
    <n v="3024.39"/>
    <x v="1"/>
    <n v="674"/>
    <n v="0.5"/>
    <n v="102.63"/>
    <n v="0.03"/>
    <n v="809.73"/>
    <n v="0.2"/>
    <n v="1"/>
    <n v="1321.43"/>
    <n v="45"/>
    <n v="0"/>
    <n v="690.09"/>
    <n v="2266.31"/>
    <x v="1"/>
    <n v="1685.53"/>
    <x v="7"/>
    <x v="0"/>
    <n v="55.2"/>
    <s v="Low"/>
    <n v="2089.17"/>
    <n v="0"/>
  </r>
  <r>
    <x v="22"/>
    <x v="20"/>
    <n v="1083"/>
    <n v="4504.3599999999997"/>
    <n v="3433.1"/>
    <n v="1071.26"/>
    <n v="0.76"/>
    <n v="0.28999999999999998"/>
    <n v="3309.33"/>
    <x v="1"/>
    <n v="643"/>
    <n v="0.31"/>
    <n v="673.7"/>
    <n v="0.15"/>
    <n v="291.43"/>
    <n v="0.06"/>
    <n v="5"/>
    <n v="1503"/>
    <n v="61"/>
    <n v="0"/>
    <n v="458.21"/>
    <n v="1580.99"/>
    <x v="0"/>
    <n v="1066.57"/>
    <x v="6"/>
    <x v="0"/>
    <n v="28.1"/>
    <s v="Medium"/>
    <n v="1071.26"/>
    <n v="0"/>
  </r>
  <r>
    <x v="22"/>
    <x v="20"/>
    <n v="1744"/>
    <n v="3222.12"/>
    <n v="2134.54"/>
    <n v="1087.58"/>
    <n v="0.66"/>
    <n v="0.06"/>
    <n v="3568.2"/>
    <x v="0"/>
    <n v="637"/>
    <n v="0.56999999999999995"/>
    <n v="819.75"/>
    <n v="0.25"/>
    <n v="173.91"/>
    <n v="0.05"/>
    <n v="3"/>
    <n v="792.02"/>
    <n v="46"/>
    <n v="0"/>
    <n v="451.63"/>
    <n v="1913.58"/>
    <x v="1"/>
    <n v="933.53"/>
    <x v="5"/>
    <x v="0"/>
    <n v="1.8"/>
    <s v="Low"/>
    <n v="1087.58"/>
    <n v="0"/>
  </r>
  <r>
    <x v="22"/>
    <x v="20"/>
    <n v="1216"/>
    <n v="3150.61"/>
    <n v="3013.26"/>
    <n v="137.35"/>
    <n v="0.96"/>
    <n v="0.09"/>
    <n v="2485.44"/>
    <x v="0"/>
    <n v="740"/>
    <n v="0.28999999999999998"/>
    <n v="545.09"/>
    <n v="0.17"/>
    <n v="819.49"/>
    <n v="0.26"/>
    <n v="5"/>
    <n v="1131.02"/>
    <n v="94"/>
    <n v="0"/>
    <n v="620.79999999999995"/>
    <n v="1891.48"/>
    <x v="1"/>
    <n v="343.21"/>
    <x v="8"/>
    <x v="0"/>
    <n v="80.7"/>
    <s v="Low"/>
    <n v="137.35"/>
    <n v="0"/>
  </r>
  <r>
    <x v="22"/>
    <x v="20"/>
    <n v="1161"/>
    <n v="4616.13"/>
    <n v="4008.41"/>
    <n v="607.72"/>
    <n v="0.87"/>
    <n v="0.12"/>
    <n v="2844.64"/>
    <x v="1"/>
    <n v="679"/>
    <n v="0.19"/>
    <n v="498.12"/>
    <n v="0.11"/>
    <n v="398.73"/>
    <n v="0.09"/>
    <n v="4"/>
    <n v="0"/>
    <n v="25"/>
    <n v="1"/>
    <n v="468.56"/>
    <n v="1866.65"/>
    <x v="1"/>
    <n v="1365.73"/>
    <x v="3"/>
    <x v="0"/>
    <n v="28.5"/>
    <s v="High"/>
    <n v="607.72"/>
    <n v="0"/>
  </r>
  <r>
    <x v="22"/>
    <x v="20"/>
    <n v="1828"/>
    <n v="3422.1"/>
    <n v="3495.46"/>
    <n v="-73.36"/>
    <n v="1.02"/>
    <n v="0.33"/>
    <n v="2732.69"/>
    <x v="1"/>
    <n v="650"/>
    <n v="0.44"/>
    <n v="326.95"/>
    <n v="0.1"/>
    <n v="335.2"/>
    <n v="0.1"/>
    <n v="4"/>
    <n v="1129.31"/>
    <n v="70"/>
    <n v="0"/>
    <n v="440.98"/>
    <n v="2810.62"/>
    <x v="1"/>
    <n v="1327.58"/>
    <x v="2"/>
    <x v="0"/>
    <n v="27.2"/>
    <s v="Low"/>
    <n v="0"/>
    <n v="0"/>
  </r>
  <r>
    <x v="22"/>
    <x v="20"/>
    <n v="1312"/>
    <n v="4395.93"/>
    <n v="3657.93"/>
    <n v="738"/>
    <n v="0.83"/>
    <n v="0.35"/>
    <n v="2922.25"/>
    <x v="0"/>
    <n v="722"/>
    <n v="0.52"/>
    <n v="812.37"/>
    <n v="0.18"/>
    <n v="256.77"/>
    <n v="0.06"/>
    <n v="7"/>
    <n v="436.64"/>
    <n v="46"/>
    <n v="0"/>
    <n v="485.31"/>
    <n v="2115.4499999999998"/>
    <x v="2"/>
    <n v="1046.93"/>
    <x v="1"/>
    <x v="1"/>
    <n v="78.2"/>
    <s v="Low"/>
    <n v="738"/>
    <n v="0"/>
  </r>
  <r>
    <x v="22"/>
    <x v="20"/>
    <n v="1997"/>
    <n v="4838.62"/>
    <n v="3257.9"/>
    <n v="1580.72"/>
    <n v="0.67"/>
    <n v="0.21"/>
    <n v="1898.3"/>
    <x v="0"/>
    <n v="692"/>
    <n v="0.6"/>
    <n v="300.2"/>
    <n v="0.06"/>
    <n v="397.25"/>
    <n v="0.08"/>
    <n v="4"/>
    <n v="630.59"/>
    <n v="35"/>
    <n v="0"/>
    <n v="365.11"/>
    <n v="2172.16"/>
    <x v="1"/>
    <n v="1234.96"/>
    <x v="7"/>
    <x v="0"/>
    <n v="52.7"/>
    <s v="Low"/>
    <n v="1580.72"/>
    <n v="0"/>
  </r>
  <r>
    <x v="22"/>
    <x v="20"/>
    <n v="1449"/>
    <n v="3999.61"/>
    <n v="2306.46"/>
    <n v="1693.15"/>
    <n v="0.57999999999999996"/>
    <n v="0.19"/>
    <n v="1948.06"/>
    <x v="2"/>
    <n v="621"/>
    <n v="0.33"/>
    <n v="631.91999999999996"/>
    <n v="0.16"/>
    <n v="302.89"/>
    <n v="0.08"/>
    <n v="3"/>
    <n v="310.95"/>
    <n v="84"/>
    <n v="0"/>
    <n v="712.33"/>
    <n v="1000"/>
    <x v="1"/>
    <n v="1439.49"/>
    <x v="4"/>
    <x v="0"/>
    <n v="13"/>
    <s v="Low"/>
    <n v="1693.15"/>
    <n v="0"/>
  </r>
  <r>
    <x v="22"/>
    <x v="20"/>
    <n v="1390"/>
    <n v="3334.65"/>
    <n v="3458.14"/>
    <n v="-123.49"/>
    <n v="1.04"/>
    <n v="0.24"/>
    <n v="2337.13"/>
    <x v="1"/>
    <n v="670"/>
    <n v="0.39"/>
    <n v="728.05"/>
    <n v="0.22"/>
    <n v="315.16000000000003"/>
    <n v="0.09"/>
    <n v="2"/>
    <n v="1069.07"/>
    <n v="35"/>
    <n v="0"/>
    <n v="614"/>
    <n v="2037.04"/>
    <x v="1"/>
    <n v="1191.96"/>
    <x v="2"/>
    <x v="0"/>
    <n v="76.5"/>
    <s v="Low"/>
    <n v="0"/>
    <n v="0"/>
  </r>
  <r>
    <x v="22"/>
    <x v="20"/>
    <n v="1031"/>
    <n v="3731.11"/>
    <n v="1565.67"/>
    <n v="2165.44"/>
    <n v="0.42"/>
    <n v="0.21"/>
    <n v="3027.27"/>
    <x v="2"/>
    <n v="757"/>
    <n v="0.43"/>
    <n v="554.80999999999995"/>
    <n v="0.15"/>
    <n v="292.89999999999998"/>
    <n v="0.08"/>
    <n v="9"/>
    <n v="1509.93"/>
    <n v="38"/>
    <n v="0"/>
    <n v="370.22"/>
    <n v="2945.5"/>
    <x v="1"/>
    <n v="839.87"/>
    <x v="3"/>
    <x v="2"/>
    <n v="66.099999999999994"/>
    <s v="Low"/>
    <n v="2165.44"/>
    <n v="0"/>
  </r>
  <r>
    <x v="22"/>
    <x v="20"/>
    <n v="1842"/>
    <n v="2384.25"/>
    <n v="3799.43"/>
    <n v="-1415.18"/>
    <n v="1.59"/>
    <n v="0.39"/>
    <n v="2713.04"/>
    <x v="2"/>
    <n v="787"/>
    <n v="0.14000000000000001"/>
    <n v="549.54"/>
    <n v="0.23"/>
    <n v="714.83"/>
    <n v="0.3"/>
    <n v="8"/>
    <n v="0"/>
    <n v="31"/>
    <n v="0"/>
    <n v="803.81"/>
    <n v="2437.9699999999998"/>
    <x v="1"/>
    <n v="1393.45"/>
    <x v="9"/>
    <x v="0"/>
    <n v="7.3"/>
    <s v="High"/>
    <n v="0"/>
    <n v="0"/>
  </r>
  <r>
    <x v="22"/>
    <x v="20"/>
    <n v="1097"/>
    <n v="4058.03"/>
    <n v="3926.13"/>
    <n v="131.9"/>
    <n v="0.97"/>
    <n v="0.15"/>
    <n v="3108.49"/>
    <x v="1"/>
    <n v="603"/>
    <n v="0.13"/>
    <n v="210.2"/>
    <n v="0.05"/>
    <n v="16.29"/>
    <n v="0"/>
    <n v="6"/>
    <n v="1172.3399999999999"/>
    <n v="33"/>
    <n v="0"/>
    <n v="273.95999999999998"/>
    <n v="2237.88"/>
    <x v="1"/>
    <n v="1484.82"/>
    <x v="4"/>
    <x v="0"/>
    <n v="33.799999999999997"/>
    <s v="High"/>
    <n v="131.9"/>
    <n v="0"/>
  </r>
  <r>
    <x v="22"/>
    <x v="20"/>
    <n v="1321"/>
    <n v="2883.01"/>
    <n v="3746.28"/>
    <n v="-863.27"/>
    <n v="1.3"/>
    <n v="0.31"/>
    <n v="2227.46"/>
    <x v="1"/>
    <n v="741"/>
    <n v="0.49"/>
    <n v="848.98"/>
    <n v="0.28999999999999998"/>
    <n v="0"/>
    <n v="0"/>
    <n v="1"/>
    <n v="797.17"/>
    <n v="71"/>
    <n v="0"/>
    <n v="501.18"/>
    <n v="1000"/>
    <x v="1"/>
    <n v="1478.58"/>
    <x v="5"/>
    <x v="0"/>
    <n v="48.2"/>
    <s v="Low"/>
    <n v="0"/>
    <n v="0"/>
  </r>
  <r>
    <x v="22"/>
    <x v="20"/>
    <n v="1079"/>
    <n v="3594.22"/>
    <n v="1148.93"/>
    <n v="2445.29"/>
    <n v="0.32"/>
    <n v="0.17"/>
    <n v="2800.76"/>
    <x v="1"/>
    <n v="796"/>
    <n v="0.49"/>
    <n v="884.56"/>
    <n v="0.25"/>
    <n v="499.9"/>
    <n v="0.14000000000000001"/>
    <n v="4"/>
    <n v="1692.74"/>
    <n v="74"/>
    <n v="0"/>
    <n v="457.41"/>
    <n v="2078.56"/>
    <x v="1"/>
    <n v="662.75"/>
    <x v="6"/>
    <x v="0"/>
    <n v="77.5"/>
    <s v="Medium"/>
    <n v="2445.29"/>
    <n v="0"/>
  </r>
  <r>
    <x v="22"/>
    <x v="20"/>
    <n v="1549"/>
    <n v="2584.44"/>
    <n v="2183.64"/>
    <n v="400.8"/>
    <n v="0.84"/>
    <n v="0.26"/>
    <n v="2172.37"/>
    <x v="1"/>
    <n v="685"/>
    <n v="0.14000000000000001"/>
    <n v="601.45000000000005"/>
    <n v="0.23"/>
    <n v="497.73"/>
    <n v="0.19"/>
    <n v="1"/>
    <n v="1396.67"/>
    <n v="32"/>
    <n v="0"/>
    <n v="787.42"/>
    <n v="2668.49"/>
    <x v="1"/>
    <n v="1367.94"/>
    <x v="5"/>
    <x v="0"/>
    <n v="23.8"/>
    <s v="Low"/>
    <n v="400.8"/>
    <n v="0"/>
  </r>
  <r>
    <x v="22"/>
    <x v="20"/>
    <n v="1053"/>
    <n v="4045.88"/>
    <n v="3721.16"/>
    <n v="324.72000000000003"/>
    <n v="0.92"/>
    <n v="0.3"/>
    <n v="2552.1799999999998"/>
    <x v="1"/>
    <n v="697"/>
    <n v="0.19"/>
    <n v="420.88"/>
    <n v="0.1"/>
    <n v="330.13"/>
    <n v="0.08"/>
    <n v="2"/>
    <n v="1138.82"/>
    <n v="89"/>
    <n v="0"/>
    <n v="668.2"/>
    <n v="1734.18"/>
    <x v="0"/>
    <n v="1662.29"/>
    <x v="4"/>
    <x v="1"/>
    <n v="51.2"/>
    <s v="Medium"/>
    <n v="324.72000000000003"/>
    <n v="0"/>
  </r>
  <r>
    <x v="22"/>
    <x v="20"/>
    <n v="1848"/>
    <n v="4728.2299999999996"/>
    <n v="4006.8"/>
    <n v="721.43"/>
    <n v="0.85"/>
    <n v="0.37"/>
    <n v="2383.3000000000002"/>
    <x v="1"/>
    <n v="690"/>
    <n v="0.3"/>
    <n v="365.51"/>
    <n v="0.08"/>
    <n v="533.39"/>
    <n v="0.11"/>
    <n v="7"/>
    <n v="1762.08"/>
    <n v="49"/>
    <n v="0"/>
    <n v="349.34"/>
    <n v="1436.02"/>
    <x v="1"/>
    <n v="1622.56"/>
    <x v="5"/>
    <x v="2"/>
    <n v="19.2"/>
    <s v="Low"/>
    <n v="721.43"/>
    <n v="0"/>
  </r>
  <r>
    <x v="22"/>
    <x v="20"/>
    <n v="1960"/>
    <n v="2643.07"/>
    <n v="3492.61"/>
    <n v="-849.54"/>
    <n v="1.32"/>
    <n v="0.4"/>
    <n v="2962.75"/>
    <x v="1"/>
    <n v="709"/>
    <n v="0.38"/>
    <n v="392.63"/>
    <n v="0.15"/>
    <n v="470.28"/>
    <n v="0.18"/>
    <n v="1"/>
    <n v="905.75"/>
    <n v="40"/>
    <n v="0"/>
    <n v="686.78"/>
    <n v="2038.14"/>
    <x v="2"/>
    <n v="550.07000000000005"/>
    <x v="7"/>
    <x v="0"/>
    <n v="23.7"/>
    <s v="Low"/>
    <n v="0"/>
    <n v="0"/>
  </r>
  <r>
    <x v="22"/>
    <x v="20"/>
    <n v="1231"/>
    <n v="4357.5200000000004"/>
    <n v="3543.86"/>
    <n v="813.66"/>
    <n v="0.81"/>
    <n v="0.28000000000000003"/>
    <n v="2541.87"/>
    <x v="0"/>
    <n v="626"/>
    <n v="0.23"/>
    <n v="547.29"/>
    <n v="0.13"/>
    <n v="492.06"/>
    <n v="0.11"/>
    <n v="7"/>
    <n v="1179.4000000000001"/>
    <n v="42"/>
    <n v="0"/>
    <n v="578.54999999999995"/>
    <n v="1296.92"/>
    <x v="1"/>
    <n v="1120.8399999999999"/>
    <x v="0"/>
    <x v="0"/>
    <n v="35.299999999999997"/>
    <s v="Low"/>
    <n v="813.66"/>
    <n v="0"/>
  </r>
  <r>
    <x v="22"/>
    <x v="20"/>
    <n v="1907"/>
    <n v="3318.71"/>
    <n v="2329.6799999999998"/>
    <n v="989.03"/>
    <n v="0.7"/>
    <n v="0.09"/>
    <n v="2790.08"/>
    <x v="2"/>
    <n v="707"/>
    <n v="0.6"/>
    <n v="407.81"/>
    <n v="0.12"/>
    <n v="413.09"/>
    <n v="0.12"/>
    <n v="2"/>
    <n v="850.54"/>
    <n v="27"/>
    <n v="0"/>
    <n v="565.29"/>
    <n v="1521.31"/>
    <x v="1"/>
    <n v="759.78"/>
    <x v="7"/>
    <x v="2"/>
    <n v="72.599999999999994"/>
    <s v="High"/>
    <n v="989.03"/>
    <n v="0"/>
  </r>
  <r>
    <x v="22"/>
    <x v="20"/>
    <n v="1649"/>
    <n v="1967.67"/>
    <n v="2324.86"/>
    <n v="-357.19"/>
    <n v="1.18"/>
    <n v="0.23"/>
    <n v="2986.8"/>
    <x v="1"/>
    <n v="802"/>
    <n v="0.11"/>
    <n v="204.03"/>
    <n v="0.1"/>
    <n v="600.39"/>
    <n v="0.31"/>
    <n v="6"/>
    <n v="805.97"/>
    <n v="87"/>
    <n v="0"/>
    <n v="816.44"/>
    <n v="2086"/>
    <x v="1"/>
    <n v="1943.28"/>
    <x v="7"/>
    <x v="1"/>
    <n v="20.6"/>
    <s v="Medium"/>
    <n v="0"/>
    <n v="0"/>
  </r>
  <r>
    <x v="22"/>
    <x v="20"/>
    <n v="1151"/>
    <n v="5968.09"/>
    <n v="3212.68"/>
    <n v="2755.41"/>
    <n v="0.54"/>
    <n v="0.36"/>
    <n v="1981.46"/>
    <x v="1"/>
    <n v="628"/>
    <n v="0.4"/>
    <n v="445.71"/>
    <n v="7.0000000000000007E-2"/>
    <n v="75.14"/>
    <n v="0.01"/>
    <n v="1"/>
    <n v="440.03"/>
    <n v="45"/>
    <n v="0"/>
    <n v="705.98"/>
    <n v="1524.53"/>
    <x v="1"/>
    <n v="1430.64"/>
    <x v="9"/>
    <x v="0"/>
    <n v="64.8"/>
    <s v="Medium"/>
    <n v="2755.41"/>
    <n v="1"/>
  </r>
  <r>
    <x v="22"/>
    <x v="20"/>
    <n v="1146"/>
    <n v="3310.43"/>
    <n v="2611.92"/>
    <n v="698.51"/>
    <n v="0.79"/>
    <n v="0.3"/>
    <n v="2468.87"/>
    <x v="0"/>
    <n v="670"/>
    <n v="0.32"/>
    <n v="702.11"/>
    <n v="0.21"/>
    <n v="551.23"/>
    <n v="0.17"/>
    <n v="9"/>
    <n v="342.59"/>
    <n v="62"/>
    <n v="0"/>
    <n v="287.87"/>
    <n v="1988.78"/>
    <x v="0"/>
    <n v="1616.7"/>
    <x v="4"/>
    <x v="1"/>
    <n v="4.7"/>
    <s v="Medium"/>
    <n v="698.51"/>
    <n v="0"/>
  </r>
  <r>
    <x v="22"/>
    <x v="20"/>
    <n v="1212"/>
    <n v="4754.9799999999996"/>
    <n v="2735.61"/>
    <n v="2019.37"/>
    <n v="0.57999999999999996"/>
    <n v="0.25"/>
    <n v="2969.1"/>
    <x v="1"/>
    <n v="633"/>
    <n v="0.21"/>
    <n v="666.56"/>
    <n v="0.14000000000000001"/>
    <n v="477.38"/>
    <n v="0.1"/>
    <n v="5"/>
    <n v="726"/>
    <n v="64"/>
    <n v="0"/>
    <n v="580.16999999999996"/>
    <n v="2177.9899999999998"/>
    <x v="2"/>
    <n v="1645.7"/>
    <x v="2"/>
    <x v="0"/>
    <n v="18.8"/>
    <s v="Low"/>
    <n v="2019.37"/>
    <n v="0"/>
  </r>
  <r>
    <x v="22"/>
    <x v="20"/>
    <n v="1443"/>
    <n v="4181.71"/>
    <n v="2914.44"/>
    <n v="1267.27"/>
    <n v="0.7"/>
    <n v="0.26"/>
    <n v="2863.62"/>
    <x v="2"/>
    <n v="779"/>
    <n v="0.42"/>
    <n v="542.41"/>
    <n v="0.13"/>
    <n v="573.87"/>
    <n v="0.14000000000000001"/>
    <n v="1"/>
    <n v="1362.8"/>
    <n v="20"/>
    <n v="0"/>
    <n v="482.59"/>
    <n v="2186.17"/>
    <x v="2"/>
    <n v="1190.2"/>
    <x v="7"/>
    <x v="0"/>
    <n v="31.5"/>
    <s v="Low"/>
    <n v="1267.27"/>
    <n v="0"/>
  </r>
  <r>
    <x v="22"/>
    <x v="20"/>
    <n v="1103"/>
    <n v="4627.55"/>
    <n v="3493.56"/>
    <n v="1133.99"/>
    <n v="0.75"/>
    <n v="0.28999999999999998"/>
    <n v="2585.87"/>
    <x v="0"/>
    <n v="667"/>
    <n v="0.57999999999999996"/>
    <n v="701.2"/>
    <n v="0.15"/>
    <n v="666.92"/>
    <n v="0.14000000000000001"/>
    <n v="6"/>
    <n v="587.97"/>
    <n v="45"/>
    <n v="0"/>
    <n v="511.37"/>
    <n v="2305.7600000000002"/>
    <x v="0"/>
    <n v="1276.51"/>
    <x v="9"/>
    <x v="0"/>
    <n v="84"/>
    <s v="Low"/>
    <n v="1133.99"/>
    <n v="0"/>
  </r>
  <r>
    <x v="22"/>
    <x v="20"/>
    <n v="1596"/>
    <n v="3861.81"/>
    <n v="2592.12"/>
    <n v="1269.69"/>
    <n v="0.67"/>
    <n v="0.28999999999999998"/>
    <n v="2372.09"/>
    <x v="1"/>
    <n v="668"/>
    <n v="0.6"/>
    <n v="233.29"/>
    <n v="0.06"/>
    <n v="480.43"/>
    <n v="0.12"/>
    <n v="4"/>
    <n v="1560.98"/>
    <n v="57"/>
    <n v="0"/>
    <n v="586.51"/>
    <n v="2156.66"/>
    <x v="1"/>
    <n v="842.44"/>
    <x v="6"/>
    <x v="1"/>
    <n v="21.1"/>
    <s v="Low"/>
    <n v="1269.69"/>
    <n v="0"/>
  </r>
  <r>
    <x v="22"/>
    <x v="20"/>
    <n v="1553"/>
    <n v="3956.86"/>
    <n v="5605.38"/>
    <n v="-1648.52"/>
    <n v="1.42"/>
    <n v="0.16"/>
    <n v="2853.64"/>
    <x v="1"/>
    <n v="689"/>
    <n v="0.28000000000000003"/>
    <n v="493.29"/>
    <n v="0.12"/>
    <n v="0"/>
    <n v="0"/>
    <n v="8"/>
    <n v="1291.51"/>
    <n v="92"/>
    <n v="0"/>
    <n v="251.67"/>
    <n v="1917.05"/>
    <x v="0"/>
    <n v="1434.2"/>
    <x v="0"/>
    <x v="0"/>
    <n v="87.9"/>
    <s v="Low"/>
    <n v="0"/>
    <n v="0"/>
  </r>
  <r>
    <x v="22"/>
    <x v="20"/>
    <n v="1402"/>
    <n v="2814.68"/>
    <n v="3476.73"/>
    <n v="-662.05"/>
    <n v="1.24"/>
    <n v="0.27"/>
    <n v="3102.03"/>
    <x v="2"/>
    <n v="712"/>
    <n v="0.3"/>
    <n v="619.59"/>
    <n v="0.22"/>
    <n v="812.31"/>
    <n v="0.28999999999999998"/>
    <n v="9"/>
    <n v="1060.82"/>
    <n v="50"/>
    <n v="0"/>
    <n v="521.62"/>
    <n v="1473.46"/>
    <x v="1"/>
    <n v="1138.18"/>
    <x v="4"/>
    <x v="0"/>
    <n v="85"/>
    <s v="Low"/>
    <n v="0"/>
    <n v="0"/>
  </r>
  <r>
    <x v="22"/>
    <x v="20"/>
    <n v="1293"/>
    <n v="4088.17"/>
    <n v="3308.43"/>
    <n v="779.74"/>
    <n v="0.81"/>
    <n v="0.15"/>
    <n v="3603.25"/>
    <x v="2"/>
    <n v="609"/>
    <n v="0.46"/>
    <n v="431.09"/>
    <n v="0.11"/>
    <n v="232.17"/>
    <n v="0.06"/>
    <n v="6"/>
    <n v="408.58"/>
    <n v="66"/>
    <n v="0"/>
    <n v="284.23"/>
    <n v="1503.7"/>
    <x v="1"/>
    <n v="1686.29"/>
    <x v="7"/>
    <x v="0"/>
    <n v="84.3"/>
    <s v="Medium"/>
    <n v="779.74"/>
    <n v="0"/>
  </r>
  <r>
    <x v="22"/>
    <x v="20"/>
    <n v="1503"/>
    <n v="4266.37"/>
    <n v="2658.72"/>
    <n v="1607.65"/>
    <n v="0.62"/>
    <n v="0.17"/>
    <n v="2807.27"/>
    <x v="1"/>
    <n v="656"/>
    <n v="0.36"/>
    <n v="550.61"/>
    <n v="0.13"/>
    <n v="514.27"/>
    <n v="0.12"/>
    <n v="6"/>
    <n v="818.65"/>
    <n v="80"/>
    <n v="0"/>
    <n v="485.97"/>
    <n v="2290.0100000000002"/>
    <x v="1"/>
    <n v="1194.5899999999999"/>
    <x v="7"/>
    <x v="0"/>
    <n v="77"/>
    <s v="Low"/>
    <n v="1607.65"/>
    <n v="0"/>
  </r>
  <r>
    <x v="22"/>
    <x v="20"/>
    <n v="1045"/>
    <n v="3951.81"/>
    <n v="3257.29"/>
    <n v="694.52"/>
    <n v="0.82"/>
    <n v="0.36"/>
    <n v="1788.06"/>
    <x v="1"/>
    <n v="708"/>
    <n v="0.41"/>
    <n v="393"/>
    <n v="0.1"/>
    <n v="67.540000000000006"/>
    <n v="0.02"/>
    <n v="7"/>
    <n v="1100.02"/>
    <n v="71"/>
    <n v="0"/>
    <n v="293.5"/>
    <n v="2767.74"/>
    <x v="1"/>
    <n v="867.53"/>
    <x v="3"/>
    <x v="0"/>
    <n v="13"/>
    <s v="High"/>
    <n v="694.52"/>
    <n v="0"/>
  </r>
  <r>
    <x v="22"/>
    <x v="20"/>
    <n v="1649"/>
    <n v="5628.2"/>
    <n v="3138.22"/>
    <n v="2489.98"/>
    <n v="0.56000000000000005"/>
    <n v="0.12"/>
    <n v="2629.63"/>
    <x v="1"/>
    <n v="652"/>
    <n v="0.37"/>
    <n v="494.45"/>
    <n v="0.09"/>
    <n v="104.85"/>
    <n v="0.02"/>
    <n v="3"/>
    <n v="961.68"/>
    <n v="30"/>
    <n v="0"/>
    <n v="195.16"/>
    <n v="2614.2600000000002"/>
    <x v="2"/>
    <n v="1279.94"/>
    <x v="1"/>
    <x v="1"/>
    <n v="80.5"/>
    <s v="Low"/>
    <n v="2489.98"/>
    <n v="0"/>
  </r>
  <r>
    <x v="22"/>
    <x v="20"/>
    <n v="1915"/>
    <n v="4538.1499999999996"/>
    <n v="3883.63"/>
    <n v="654.52"/>
    <n v="0.86"/>
    <n v="0.19"/>
    <n v="3095.08"/>
    <x v="2"/>
    <n v="633"/>
    <n v="0.46"/>
    <n v="144.16999999999999"/>
    <n v="0.03"/>
    <n v="197.87"/>
    <n v="0.04"/>
    <n v="1"/>
    <n v="759.11"/>
    <n v="61"/>
    <n v="0"/>
    <n v="549.9"/>
    <n v="2476.36"/>
    <x v="2"/>
    <n v="1442.51"/>
    <x v="9"/>
    <x v="0"/>
    <n v="87"/>
    <s v="Medium"/>
    <n v="654.52"/>
    <n v="0"/>
  </r>
  <r>
    <x v="22"/>
    <x v="20"/>
    <n v="1361"/>
    <n v="4021.8"/>
    <n v="3627.67"/>
    <n v="394.13"/>
    <n v="0.9"/>
    <n v="0.18"/>
    <n v="2354.42"/>
    <x v="0"/>
    <n v="680"/>
    <n v="0.27"/>
    <n v="626.54999999999995"/>
    <n v="0.16"/>
    <n v="477.73"/>
    <n v="0.12"/>
    <n v="6"/>
    <n v="2253.7199999999998"/>
    <n v="97"/>
    <n v="0"/>
    <n v="664.45"/>
    <n v="2471.39"/>
    <x v="0"/>
    <n v="1139.3"/>
    <x v="9"/>
    <x v="0"/>
    <n v="92.1"/>
    <s v="Low"/>
    <n v="394.13"/>
    <n v="0"/>
  </r>
  <r>
    <x v="22"/>
    <x v="20"/>
    <n v="1341"/>
    <n v="3490.11"/>
    <n v="3264.64"/>
    <n v="225.47"/>
    <n v="0.94"/>
    <n v="0.11"/>
    <n v="2749.1"/>
    <x v="1"/>
    <n v="756"/>
    <n v="0.28999999999999998"/>
    <n v="465.16"/>
    <n v="0.13"/>
    <n v="148.78"/>
    <n v="0.04"/>
    <n v="5"/>
    <n v="364.78"/>
    <n v="50"/>
    <n v="0"/>
    <n v="595.51"/>
    <n v="2263.58"/>
    <x v="0"/>
    <n v="1105.95"/>
    <x v="6"/>
    <x v="1"/>
    <n v="27"/>
    <s v="Low"/>
    <n v="225.47"/>
    <n v="0"/>
  </r>
  <r>
    <x v="22"/>
    <x v="20"/>
    <n v="1218"/>
    <n v="5178.3"/>
    <n v="3616.94"/>
    <n v="1561.36"/>
    <n v="0.7"/>
    <n v="0.25"/>
    <n v="2578.88"/>
    <x v="1"/>
    <n v="592"/>
    <n v="0.44"/>
    <n v="444.85"/>
    <n v="0.09"/>
    <n v="358.61"/>
    <n v="7.0000000000000007E-2"/>
    <n v="7"/>
    <n v="1614.76"/>
    <n v="38"/>
    <n v="0"/>
    <n v="50.53"/>
    <n v="2444.37"/>
    <x v="0"/>
    <n v="769.02"/>
    <x v="4"/>
    <x v="2"/>
    <n v="61.3"/>
    <s v="Medium"/>
    <n v="1561.36"/>
    <n v="0"/>
  </r>
  <r>
    <x v="22"/>
    <x v="20"/>
    <n v="1389"/>
    <n v="2684.49"/>
    <n v="2944.61"/>
    <n v="-260.12"/>
    <n v="1.1000000000000001"/>
    <n v="0.05"/>
    <n v="3266.41"/>
    <x v="1"/>
    <n v="674"/>
    <n v="0.41"/>
    <n v="551.49"/>
    <n v="0.21"/>
    <n v="174.38"/>
    <n v="0.06"/>
    <n v="4"/>
    <n v="563.36"/>
    <n v="38"/>
    <n v="0"/>
    <n v="384.87"/>
    <n v="3327.86"/>
    <x v="2"/>
    <n v="610.05999999999995"/>
    <x v="4"/>
    <x v="2"/>
    <n v="82.7"/>
    <s v="Medium"/>
    <n v="0"/>
    <n v="0"/>
  </r>
  <r>
    <x v="22"/>
    <x v="20"/>
    <n v="1215"/>
    <n v="4266.3"/>
    <n v="3036.63"/>
    <n v="1229.67"/>
    <n v="0.71"/>
    <n v="0.1"/>
    <n v="3616.63"/>
    <x v="0"/>
    <n v="634"/>
    <n v="0.41"/>
    <n v="140.33000000000001"/>
    <n v="0.03"/>
    <n v="94.32"/>
    <n v="0.02"/>
    <n v="7"/>
    <n v="1396.4"/>
    <n v="81"/>
    <n v="0"/>
    <n v="565.29999999999995"/>
    <n v="1501.63"/>
    <x v="1"/>
    <n v="1042.6199999999999"/>
    <x v="0"/>
    <x v="0"/>
    <n v="53.5"/>
    <s v="Medium"/>
    <n v="1229.67"/>
    <n v="0"/>
  </r>
  <r>
    <x v="22"/>
    <x v="20"/>
    <n v="1517"/>
    <n v="4701.1499999999996"/>
    <n v="1944.31"/>
    <n v="2756.84"/>
    <n v="0.41"/>
    <n v="0.31"/>
    <n v="2446.83"/>
    <x v="2"/>
    <n v="665"/>
    <n v="0.33"/>
    <n v="307.81"/>
    <n v="7.0000000000000007E-2"/>
    <n v="306.64"/>
    <n v="7.0000000000000007E-2"/>
    <n v="7"/>
    <n v="872.25"/>
    <n v="29"/>
    <n v="0"/>
    <n v="429.85"/>
    <n v="2213.0500000000002"/>
    <x v="1"/>
    <n v="1159.3499999999999"/>
    <x v="0"/>
    <x v="0"/>
    <n v="51"/>
    <s v="Low"/>
    <n v="2756.84"/>
    <n v="1"/>
  </r>
  <r>
    <x v="22"/>
    <x v="20"/>
    <n v="1061"/>
    <n v="5662.9"/>
    <n v="3656.95"/>
    <n v="2005.95"/>
    <n v="0.65"/>
    <n v="0.28999999999999998"/>
    <n v="3156.62"/>
    <x v="2"/>
    <n v="757"/>
    <n v="0.33"/>
    <n v="560.16999999999996"/>
    <n v="0.1"/>
    <n v="335.75"/>
    <n v="0.06"/>
    <n v="5"/>
    <n v="1349.06"/>
    <n v="56"/>
    <n v="0"/>
    <n v="734.8"/>
    <n v="2726.2"/>
    <x v="1"/>
    <n v="538.41999999999996"/>
    <x v="2"/>
    <x v="2"/>
    <n v="70.900000000000006"/>
    <s v="Low"/>
    <n v="2005.95"/>
    <n v="0"/>
  </r>
  <r>
    <x v="22"/>
    <x v="20"/>
    <n v="1200"/>
    <n v="4085.78"/>
    <n v="3541.49"/>
    <n v="544.29"/>
    <n v="0.87"/>
    <n v="0.32"/>
    <n v="2188.42"/>
    <x v="1"/>
    <n v="712"/>
    <n v="0.25"/>
    <n v="490.75"/>
    <n v="0.12"/>
    <n v="285.64999999999998"/>
    <n v="7.0000000000000007E-2"/>
    <n v="2"/>
    <n v="1061.3800000000001"/>
    <n v="79"/>
    <n v="0"/>
    <n v="763.2"/>
    <n v="2569.37"/>
    <x v="1"/>
    <n v="1250.68"/>
    <x v="9"/>
    <x v="2"/>
    <n v="41.3"/>
    <s v="Medium"/>
    <n v="544.29"/>
    <n v="0"/>
  </r>
  <r>
    <x v="22"/>
    <x v="20"/>
    <n v="1737"/>
    <n v="3664.43"/>
    <n v="3876.58"/>
    <n v="-212.15"/>
    <n v="1.06"/>
    <n v="0.23"/>
    <n v="3302.16"/>
    <x v="1"/>
    <n v="661"/>
    <n v="0.27"/>
    <n v="1176.8800000000001"/>
    <n v="0.32"/>
    <n v="0"/>
    <n v="0"/>
    <n v="4"/>
    <n v="9.65"/>
    <n v="77"/>
    <n v="0"/>
    <n v="428.05"/>
    <n v="2168.2800000000002"/>
    <x v="1"/>
    <n v="1381.6"/>
    <x v="1"/>
    <x v="2"/>
    <n v="64.099999999999994"/>
    <s v="High"/>
    <n v="0"/>
    <n v="0"/>
  </r>
  <r>
    <x v="23"/>
    <x v="21"/>
    <n v="1057"/>
    <n v="4124.22"/>
    <n v="2712.7"/>
    <n v="1411.52"/>
    <n v="0.66"/>
    <n v="0.26"/>
    <n v="3029.37"/>
    <x v="1"/>
    <n v="706"/>
    <n v="0.21"/>
    <n v="308.5"/>
    <n v="7.0000000000000007E-2"/>
    <n v="258.74"/>
    <n v="0.06"/>
    <n v="5"/>
    <n v="615.45000000000005"/>
    <n v="94"/>
    <n v="0"/>
    <n v="643.02"/>
    <n v="1682.26"/>
    <x v="1"/>
    <n v="839.09"/>
    <x v="4"/>
    <x v="1"/>
    <n v="78.3"/>
    <s v="Low"/>
    <n v="1411.52"/>
    <n v="0"/>
  </r>
  <r>
    <x v="23"/>
    <x v="21"/>
    <n v="1856"/>
    <n v="3281.77"/>
    <n v="2937.27"/>
    <n v="344.5"/>
    <n v="0.9"/>
    <n v="0.09"/>
    <n v="2975.45"/>
    <x v="1"/>
    <n v="621"/>
    <n v="0.22"/>
    <n v="91.88"/>
    <n v="0.03"/>
    <n v="625.54"/>
    <n v="0.19"/>
    <n v="6"/>
    <n v="1642.86"/>
    <n v="89"/>
    <n v="0"/>
    <n v="579.78"/>
    <n v="2982.26"/>
    <x v="1"/>
    <n v="1094.01"/>
    <x v="2"/>
    <x v="0"/>
    <n v="40.700000000000003"/>
    <s v="Low"/>
    <n v="344.5"/>
    <n v="0"/>
  </r>
  <r>
    <x v="23"/>
    <x v="21"/>
    <n v="1070"/>
    <n v="5822.68"/>
    <n v="3179.36"/>
    <n v="2643.32"/>
    <n v="0.55000000000000004"/>
    <n v="0.21"/>
    <n v="3325.13"/>
    <x v="2"/>
    <n v="628"/>
    <n v="0.2"/>
    <n v="507.93"/>
    <n v="0.09"/>
    <n v="29.11"/>
    <n v="0"/>
    <n v="1"/>
    <n v="761.82"/>
    <n v="54"/>
    <n v="0"/>
    <n v="339.71"/>
    <n v="1000"/>
    <x v="1"/>
    <n v="970.58"/>
    <x v="7"/>
    <x v="0"/>
    <n v="93.4"/>
    <s v="Low"/>
    <n v="2643.32"/>
    <n v="0"/>
  </r>
  <r>
    <x v="23"/>
    <x v="21"/>
    <n v="1439"/>
    <n v="4381.57"/>
    <n v="3102.35"/>
    <n v="1279.22"/>
    <n v="0.71"/>
    <n v="0.11"/>
    <n v="3022.66"/>
    <x v="1"/>
    <n v="628"/>
    <n v="0.52"/>
    <n v="354.83"/>
    <n v="0.08"/>
    <n v="456.38"/>
    <n v="0.1"/>
    <n v="5"/>
    <n v="914.8"/>
    <n v="39"/>
    <n v="0"/>
    <n v="953.03"/>
    <n v="1807.13"/>
    <x v="1"/>
    <n v="1779.79"/>
    <x v="1"/>
    <x v="0"/>
    <n v="76"/>
    <s v="Low"/>
    <n v="1279.22"/>
    <n v="0"/>
  </r>
  <r>
    <x v="23"/>
    <x v="21"/>
    <n v="1778"/>
    <n v="2476.92"/>
    <n v="1869.67"/>
    <n v="607.25"/>
    <n v="0.75"/>
    <n v="0.08"/>
    <n v="2292.1799999999998"/>
    <x v="0"/>
    <n v="598"/>
    <n v="0.21"/>
    <n v="587.83000000000004"/>
    <n v="0.24"/>
    <n v="495.08"/>
    <n v="0.2"/>
    <n v="8"/>
    <n v="199.86"/>
    <n v="86"/>
    <n v="0"/>
    <n v="158.12"/>
    <n v="1593.15"/>
    <x v="1"/>
    <n v="1338.36"/>
    <x v="5"/>
    <x v="0"/>
    <n v="88.4"/>
    <s v="Medium"/>
    <n v="607.25"/>
    <n v="0"/>
  </r>
  <r>
    <x v="23"/>
    <x v="21"/>
    <n v="1945"/>
    <n v="4015.48"/>
    <n v="2304.7199999999998"/>
    <n v="1710.76"/>
    <n v="0.56999999999999995"/>
    <n v="0.09"/>
    <n v="3023.05"/>
    <x v="1"/>
    <n v="580"/>
    <n v="0.48"/>
    <n v="725.06"/>
    <n v="0.18"/>
    <n v="146.85"/>
    <n v="0.04"/>
    <n v="2"/>
    <n v="130.62"/>
    <n v="86"/>
    <n v="0"/>
    <n v="0"/>
    <n v="3905.56"/>
    <x v="1"/>
    <n v="1761.48"/>
    <x v="4"/>
    <x v="0"/>
    <n v="55.6"/>
    <s v="Low"/>
    <n v="1710.76"/>
    <n v="0"/>
  </r>
  <r>
    <x v="23"/>
    <x v="21"/>
    <n v="1056"/>
    <n v="3301.09"/>
    <n v="1601.81"/>
    <n v="1699.28"/>
    <n v="0.49"/>
    <n v="0.26"/>
    <n v="3028.42"/>
    <x v="0"/>
    <n v="676"/>
    <n v="0.3"/>
    <n v="575.11"/>
    <n v="0.17"/>
    <n v="749.8"/>
    <n v="0.23"/>
    <n v="7"/>
    <n v="1642.1"/>
    <n v="29"/>
    <n v="0"/>
    <n v="794.03"/>
    <n v="1710.12"/>
    <x v="1"/>
    <n v="1337.76"/>
    <x v="5"/>
    <x v="0"/>
    <n v="13.2"/>
    <s v="High"/>
    <n v="1699.28"/>
    <n v="0"/>
  </r>
  <r>
    <x v="23"/>
    <x v="21"/>
    <n v="1903"/>
    <n v="3308.17"/>
    <n v="3768.77"/>
    <n v="-460.6"/>
    <n v="1.1399999999999999"/>
    <n v="0.11"/>
    <n v="3172"/>
    <x v="0"/>
    <n v="641"/>
    <n v="0.12"/>
    <n v="472.27"/>
    <n v="0.14000000000000001"/>
    <n v="330.6"/>
    <n v="0.1"/>
    <n v="5"/>
    <n v="0"/>
    <n v="75"/>
    <n v="0"/>
    <n v="324.89999999999998"/>
    <n v="1607.32"/>
    <x v="1"/>
    <n v="640.54999999999995"/>
    <x v="1"/>
    <x v="1"/>
    <n v="82.2"/>
    <s v="High"/>
    <n v="0"/>
    <n v="0"/>
  </r>
  <r>
    <x v="23"/>
    <x v="21"/>
    <n v="1385"/>
    <n v="4223.7299999999996"/>
    <n v="2656.71"/>
    <n v="1567.02"/>
    <n v="0.63"/>
    <n v="0.38"/>
    <n v="2656.97"/>
    <x v="1"/>
    <n v="679"/>
    <n v="0.28000000000000003"/>
    <n v="702.12"/>
    <n v="0.17"/>
    <n v="453.14"/>
    <n v="0.11"/>
    <n v="3"/>
    <n v="272.02"/>
    <n v="34"/>
    <n v="0"/>
    <n v="514.55999999999995"/>
    <n v="2872.9"/>
    <x v="1"/>
    <n v="593.70000000000005"/>
    <x v="0"/>
    <x v="2"/>
    <n v="71.900000000000006"/>
    <s v="Low"/>
    <n v="1567.02"/>
    <n v="0"/>
  </r>
  <r>
    <x v="23"/>
    <x v="21"/>
    <n v="1416"/>
    <n v="4902.58"/>
    <n v="3205.03"/>
    <n v="1697.55"/>
    <n v="0.65"/>
    <n v="0.25"/>
    <n v="2664.1"/>
    <x v="0"/>
    <n v="632"/>
    <n v="0.3"/>
    <n v="452.67"/>
    <n v="0.09"/>
    <n v="574.02"/>
    <n v="0.12"/>
    <n v="1"/>
    <n v="1178.21"/>
    <n v="87"/>
    <n v="0"/>
    <n v="419.11"/>
    <n v="2229.85"/>
    <x v="1"/>
    <n v="1540.44"/>
    <x v="1"/>
    <x v="2"/>
    <n v="4.2"/>
    <s v="Low"/>
    <n v="1697.55"/>
    <n v="0"/>
  </r>
  <r>
    <x v="23"/>
    <x v="21"/>
    <n v="1099"/>
    <n v="3147.63"/>
    <n v="2919.98"/>
    <n v="227.65"/>
    <n v="0.93"/>
    <n v="0.16"/>
    <n v="2467.59"/>
    <x v="0"/>
    <n v="655"/>
    <n v="0.3"/>
    <n v="577.77"/>
    <n v="0.18"/>
    <n v="660.31"/>
    <n v="0.21"/>
    <n v="3"/>
    <n v="704.45"/>
    <n v="46"/>
    <n v="0"/>
    <n v="727.47"/>
    <n v="2541.13"/>
    <x v="1"/>
    <n v="916.59"/>
    <x v="3"/>
    <x v="1"/>
    <n v="9.6999999999999993"/>
    <s v="Medium"/>
    <n v="227.65"/>
    <n v="0"/>
  </r>
  <r>
    <x v="23"/>
    <x v="21"/>
    <n v="1279"/>
    <n v="3275.27"/>
    <n v="2176.56"/>
    <n v="1098.71"/>
    <n v="0.66"/>
    <n v="0.19"/>
    <n v="2770.52"/>
    <x v="2"/>
    <n v="669"/>
    <n v="0.19"/>
    <n v="625.24"/>
    <n v="0.19"/>
    <n v="422.67"/>
    <n v="0.13"/>
    <n v="4"/>
    <n v="1227.6600000000001"/>
    <n v="78"/>
    <n v="0"/>
    <n v="326.45999999999998"/>
    <n v="1762.62"/>
    <x v="1"/>
    <n v="1008.79"/>
    <x v="1"/>
    <x v="2"/>
    <n v="55.5"/>
    <s v="Low"/>
    <n v="1098.71"/>
    <n v="0"/>
  </r>
  <r>
    <x v="23"/>
    <x v="21"/>
    <n v="1158"/>
    <n v="5389.36"/>
    <n v="4085.6"/>
    <n v="1303.76"/>
    <n v="0.76"/>
    <n v="0.33"/>
    <n v="3435.46"/>
    <x v="1"/>
    <n v="596"/>
    <n v="0.17"/>
    <n v="517.32000000000005"/>
    <n v="0.1"/>
    <n v="726.77"/>
    <n v="0.13"/>
    <n v="8"/>
    <n v="0"/>
    <n v="67"/>
    <n v="0"/>
    <n v="532.95000000000005"/>
    <n v="2162.79"/>
    <x v="0"/>
    <n v="1635.44"/>
    <x v="3"/>
    <x v="1"/>
    <n v="71.400000000000006"/>
    <s v="Low"/>
    <n v="1303.76"/>
    <n v="0"/>
  </r>
  <r>
    <x v="23"/>
    <x v="21"/>
    <n v="1842"/>
    <n v="4287.4399999999996"/>
    <n v="2376.6"/>
    <n v="1910.84"/>
    <n v="0.55000000000000004"/>
    <n v="0.17"/>
    <n v="3017.47"/>
    <x v="1"/>
    <n v="647"/>
    <n v="0.48"/>
    <n v="714.55"/>
    <n v="0.17"/>
    <n v="450.86"/>
    <n v="0.11"/>
    <n v="3"/>
    <n v="1228.69"/>
    <n v="74"/>
    <n v="0"/>
    <n v="535.82000000000005"/>
    <n v="2761.19"/>
    <x v="1"/>
    <n v="521.25"/>
    <x v="8"/>
    <x v="2"/>
    <n v="45.4"/>
    <s v="Medium"/>
    <n v="1910.84"/>
    <n v="0"/>
  </r>
  <r>
    <x v="23"/>
    <x v="21"/>
    <n v="1168"/>
    <n v="4091.69"/>
    <n v="1648.23"/>
    <n v="2443.46"/>
    <n v="0.4"/>
    <n v="0.35"/>
    <n v="2929.75"/>
    <x v="0"/>
    <n v="597"/>
    <n v="0.5"/>
    <n v="261.83"/>
    <n v="0.06"/>
    <n v="586.17999999999995"/>
    <n v="0.14000000000000001"/>
    <n v="6"/>
    <n v="966.08"/>
    <n v="62"/>
    <n v="0"/>
    <n v="481.45"/>
    <n v="1602.19"/>
    <x v="1"/>
    <n v="1222.95"/>
    <x v="7"/>
    <x v="2"/>
    <n v="44.4"/>
    <s v="Low"/>
    <n v="2443.46"/>
    <n v="0"/>
  </r>
  <r>
    <x v="23"/>
    <x v="21"/>
    <n v="1896"/>
    <n v="4605.3100000000004"/>
    <n v="2561.9299999999998"/>
    <n v="2043.38"/>
    <n v="0.56000000000000005"/>
    <n v="0.27"/>
    <n v="3241.61"/>
    <x v="0"/>
    <n v="624"/>
    <n v="0.15"/>
    <n v="459.19"/>
    <n v="0.1"/>
    <n v="253.28"/>
    <n v="0.05"/>
    <n v="5"/>
    <n v="1463.72"/>
    <n v="80"/>
    <n v="0"/>
    <n v="421.48"/>
    <n v="3632.88"/>
    <x v="1"/>
    <n v="1657.6"/>
    <x v="8"/>
    <x v="0"/>
    <n v="49.5"/>
    <s v="High"/>
    <n v="2043.38"/>
    <n v="0"/>
  </r>
  <r>
    <x v="23"/>
    <x v="21"/>
    <n v="1914"/>
    <n v="4043.8"/>
    <n v="3624"/>
    <n v="419.8"/>
    <n v="0.9"/>
    <n v="0.4"/>
    <n v="2058.71"/>
    <x v="1"/>
    <n v="669"/>
    <n v="0.12"/>
    <n v="454.12"/>
    <n v="0.11"/>
    <n v="176.46"/>
    <n v="0.04"/>
    <n v="6"/>
    <n v="1678.9"/>
    <n v="95"/>
    <n v="0"/>
    <n v="487.72"/>
    <n v="2803.18"/>
    <x v="1"/>
    <n v="1269.57"/>
    <x v="0"/>
    <x v="0"/>
    <n v="67.599999999999994"/>
    <s v="Low"/>
    <n v="419.8"/>
    <n v="0"/>
  </r>
  <r>
    <x v="23"/>
    <x v="21"/>
    <n v="1690"/>
    <n v="3286.94"/>
    <n v="3863.16"/>
    <n v="-576.22"/>
    <n v="1.18"/>
    <n v="0.4"/>
    <n v="3306.71"/>
    <x v="0"/>
    <n v="779"/>
    <n v="0.31"/>
    <n v="437.4"/>
    <n v="0.13"/>
    <n v="344.67"/>
    <n v="0.1"/>
    <n v="8"/>
    <n v="1518.98"/>
    <n v="51"/>
    <n v="0"/>
    <n v="421.16"/>
    <n v="1889.4"/>
    <x v="1"/>
    <n v="1239.94"/>
    <x v="1"/>
    <x v="1"/>
    <n v="78.900000000000006"/>
    <s v="Medium"/>
    <n v="0"/>
    <n v="0"/>
  </r>
  <r>
    <x v="23"/>
    <x v="21"/>
    <n v="1425"/>
    <n v="3643.13"/>
    <n v="3477.74"/>
    <n v="165.39"/>
    <n v="0.95"/>
    <n v="0.09"/>
    <n v="3045.19"/>
    <x v="1"/>
    <n v="617"/>
    <n v="0.46"/>
    <n v="0"/>
    <n v="0"/>
    <n v="192.82"/>
    <n v="0.05"/>
    <n v="2"/>
    <n v="1202.43"/>
    <n v="24"/>
    <n v="0"/>
    <n v="706.59"/>
    <n v="2620.5100000000002"/>
    <x v="1"/>
    <n v="936.37"/>
    <x v="1"/>
    <x v="0"/>
    <n v="83.9"/>
    <s v="Low"/>
    <n v="165.39"/>
    <n v="0"/>
  </r>
  <r>
    <x v="23"/>
    <x v="21"/>
    <n v="1390"/>
    <n v="3205.32"/>
    <n v="2136.44"/>
    <n v="1068.8800000000001"/>
    <n v="0.67"/>
    <n v="0.25"/>
    <n v="2567.61"/>
    <x v="0"/>
    <n v="635"/>
    <n v="0.16"/>
    <n v="550.25"/>
    <n v="0.17"/>
    <n v="745.75"/>
    <n v="0.23"/>
    <n v="7"/>
    <n v="1229.77"/>
    <n v="66"/>
    <n v="0"/>
    <n v="546.66"/>
    <n v="2788.24"/>
    <x v="0"/>
    <n v="1271.3900000000001"/>
    <x v="8"/>
    <x v="0"/>
    <n v="97.3"/>
    <s v="Medium"/>
    <n v="1068.8800000000001"/>
    <n v="0"/>
  </r>
  <r>
    <x v="23"/>
    <x v="21"/>
    <n v="1869"/>
    <n v="5428.81"/>
    <n v="4017.02"/>
    <n v="1411.79"/>
    <n v="0.74"/>
    <n v="0.16"/>
    <n v="1810.43"/>
    <x v="1"/>
    <n v="721"/>
    <n v="0.44"/>
    <n v="774.39"/>
    <n v="0.14000000000000001"/>
    <n v="556.29"/>
    <n v="0.1"/>
    <n v="4"/>
    <n v="1787.01"/>
    <n v="33"/>
    <n v="0"/>
    <n v="266.19"/>
    <n v="1057.8399999999999"/>
    <x v="1"/>
    <n v="697.72"/>
    <x v="8"/>
    <x v="2"/>
    <n v="21.6"/>
    <s v="Medium"/>
    <n v="1411.79"/>
    <n v="0"/>
  </r>
  <r>
    <x v="23"/>
    <x v="21"/>
    <n v="1914"/>
    <n v="2518.54"/>
    <n v="3306.49"/>
    <n v="-787.95"/>
    <n v="1.31"/>
    <n v="0.12"/>
    <n v="3136.47"/>
    <x v="1"/>
    <n v="734"/>
    <n v="0.19"/>
    <n v="214.76"/>
    <n v="0.09"/>
    <n v="535.9"/>
    <n v="0.21"/>
    <n v="8"/>
    <n v="711.98"/>
    <n v="67"/>
    <n v="0"/>
    <n v="376.9"/>
    <n v="3159.36"/>
    <x v="1"/>
    <n v="1001.96"/>
    <x v="0"/>
    <x v="2"/>
    <n v="7.2"/>
    <s v="Low"/>
    <n v="0"/>
    <n v="0"/>
  </r>
  <r>
    <x v="23"/>
    <x v="21"/>
    <n v="1611"/>
    <n v="4126.2"/>
    <n v="3379.54"/>
    <n v="746.66"/>
    <n v="0.82"/>
    <n v="0.25"/>
    <n v="2082.98"/>
    <x v="2"/>
    <n v="582"/>
    <n v="0.22"/>
    <n v="850.37"/>
    <n v="0.21"/>
    <n v="602.33000000000004"/>
    <n v="0.15"/>
    <n v="7"/>
    <n v="835.65"/>
    <n v="95"/>
    <n v="0"/>
    <n v="548.47"/>
    <n v="3195.34"/>
    <x v="2"/>
    <n v="1849.65"/>
    <x v="9"/>
    <x v="2"/>
    <n v="97.2"/>
    <s v="Low"/>
    <n v="746.66"/>
    <n v="0"/>
  </r>
  <r>
    <x v="23"/>
    <x v="21"/>
    <n v="1353"/>
    <n v="4424.62"/>
    <n v="4551.2"/>
    <n v="-126.58"/>
    <n v="1.03"/>
    <n v="0.37"/>
    <n v="1759.53"/>
    <x v="0"/>
    <n v="623"/>
    <n v="0.42"/>
    <n v="555.66"/>
    <n v="0.13"/>
    <n v="506.31"/>
    <n v="0.11"/>
    <n v="2"/>
    <n v="1598.1"/>
    <n v="76"/>
    <n v="0"/>
    <n v="366.58"/>
    <n v="2807.89"/>
    <x v="1"/>
    <n v="984.47"/>
    <x v="4"/>
    <x v="0"/>
    <n v="74.5"/>
    <s v="High"/>
    <n v="0"/>
    <n v="0"/>
  </r>
  <r>
    <x v="23"/>
    <x v="21"/>
    <n v="1880"/>
    <n v="4735.2299999999996"/>
    <n v="3088.08"/>
    <n v="1647.15"/>
    <n v="0.65"/>
    <n v="0.05"/>
    <n v="3610.3"/>
    <x v="2"/>
    <n v="708"/>
    <n v="0.51"/>
    <n v="479.23"/>
    <n v="0.1"/>
    <n v="277.20999999999998"/>
    <n v="0.06"/>
    <n v="8"/>
    <n v="768"/>
    <n v="67"/>
    <n v="0"/>
    <n v="276.89999999999998"/>
    <n v="2539.61"/>
    <x v="1"/>
    <n v="1809.46"/>
    <x v="7"/>
    <x v="1"/>
    <n v="52.5"/>
    <s v="Low"/>
    <n v="1647.15"/>
    <n v="0"/>
  </r>
  <r>
    <x v="23"/>
    <x v="21"/>
    <n v="1619"/>
    <n v="5002.18"/>
    <n v="3609.28"/>
    <n v="1392.9"/>
    <n v="0.72"/>
    <n v="0.22"/>
    <n v="3391.53"/>
    <x v="1"/>
    <n v="707"/>
    <n v="0.28999999999999998"/>
    <n v="756.58"/>
    <n v="0.15"/>
    <n v="410.2"/>
    <n v="0.08"/>
    <n v="3"/>
    <n v="794.59"/>
    <n v="94"/>
    <n v="0"/>
    <n v="490.68"/>
    <n v="1868.48"/>
    <x v="1"/>
    <n v="1507.74"/>
    <x v="3"/>
    <x v="1"/>
    <n v="98.7"/>
    <s v="Low"/>
    <n v="1392.9"/>
    <n v="0"/>
  </r>
  <r>
    <x v="23"/>
    <x v="21"/>
    <n v="1504"/>
    <n v="3884.53"/>
    <n v="1533.49"/>
    <n v="2351.04"/>
    <n v="0.39"/>
    <n v="0.36"/>
    <n v="2926.77"/>
    <x v="2"/>
    <n v="617"/>
    <n v="0.3"/>
    <n v="441.12"/>
    <n v="0.11"/>
    <n v="307.95"/>
    <n v="0.08"/>
    <n v="5"/>
    <n v="1867.36"/>
    <n v="62"/>
    <n v="0"/>
    <n v="411.34"/>
    <n v="2152.77"/>
    <x v="0"/>
    <n v="1789.67"/>
    <x v="2"/>
    <x v="0"/>
    <n v="98"/>
    <s v="High"/>
    <n v="2351.04"/>
    <n v="0"/>
  </r>
  <r>
    <x v="23"/>
    <x v="21"/>
    <n v="1353"/>
    <n v="4915.3100000000004"/>
    <n v="3145.92"/>
    <n v="1769.39"/>
    <n v="0.64"/>
    <n v="0.35"/>
    <n v="2964.17"/>
    <x v="1"/>
    <n v="693"/>
    <n v="0.34"/>
    <n v="527.76"/>
    <n v="0.11"/>
    <n v="352.61"/>
    <n v="7.0000000000000007E-2"/>
    <n v="2"/>
    <n v="1212.05"/>
    <n v="41"/>
    <n v="0"/>
    <n v="489.32"/>
    <n v="2699.6"/>
    <x v="1"/>
    <n v="1930.17"/>
    <x v="8"/>
    <x v="0"/>
    <n v="3.5"/>
    <s v="Medium"/>
    <n v="1769.39"/>
    <n v="0"/>
  </r>
  <r>
    <x v="23"/>
    <x v="21"/>
    <n v="1572"/>
    <n v="3055.95"/>
    <n v="2485.39"/>
    <n v="570.55999999999995"/>
    <n v="0.81"/>
    <n v="0.37"/>
    <n v="3263.54"/>
    <x v="1"/>
    <n v="683"/>
    <n v="0.19"/>
    <n v="403.02"/>
    <n v="0.13"/>
    <n v="565.46"/>
    <n v="0.19"/>
    <n v="4"/>
    <n v="0"/>
    <n v="88"/>
    <n v="0"/>
    <n v="244.48"/>
    <n v="1173.67"/>
    <x v="1"/>
    <n v="1707.92"/>
    <x v="4"/>
    <x v="0"/>
    <n v="27.8"/>
    <s v="Medium"/>
    <n v="570.55999999999995"/>
    <n v="0"/>
  </r>
  <r>
    <x v="23"/>
    <x v="21"/>
    <n v="1790"/>
    <n v="4449.0600000000004"/>
    <n v="3172.93"/>
    <n v="1276.1300000000001"/>
    <n v="0.71"/>
    <n v="0.31"/>
    <n v="3056.07"/>
    <x v="1"/>
    <n v="649"/>
    <n v="0.22"/>
    <n v="640.22"/>
    <n v="0.14000000000000001"/>
    <n v="488.72"/>
    <n v="0.11"/>
    <n v="5"/>
    <n v="220.03"/>
    <n v="37"/>
    <n v="0"/>
    <n v="330.64"/>
    <n v="1430.24"/>
    <x v="2"/>
    <n v="1451.3"/>
    <x v="3"/>
    <x v="0"/>
    <n v="78.900000000000006"/>
    <s v="Low"/>
    <n v="1276.1300000000001"/>
    <n v="0"/>
  </r>
  <r>
    <x v="23"/>
    <x v="21"/>
    <n v="1862"/>
    <n v="5579.55"/>
    <n v="1998.59"/>
    <n v="3580.96"/>
    <n v="0.36"/>
    <n v="0.28999999999999998"/>
    <n v="2276.64"/>
    <x v="1"/>
    <n v="622"/>
    <n v="0.51"/>
    <n v="632.87"/>
    <n v="0.11"/>
    <n v="151.22999999999999"/>
    <n v="0.03"/>
    <n v="7"/>
    <n v="1033.69"/>
    <n v="81"/>
    <n v="0"/>
    <n v="349.68"/>
    <n v="1714.04"/>
    <x v="1"/>
    <n v="302.27999999999997"/>
    <x v="1"/>
    <x v="1"/>
    <n v="56.8"/>
    <s v="High"/>
    <n v="3580.96"/>
    <n v="1"/>
  </r>
  <r>
    <x v="23"/>
    <x v="21"/>
    <n v="1007"/>
    <n v="4370.16"/>
    <n v="1178.52"/>
    <n v="3191.64"/>
    <n v="0.27"/>
    <n v="0.14000000000000001"/>
    <n v="3106.36"/>
    <x v="1"/>
    <n v="694"/>
    <n v="0.32"/>
    <n v="657.92"/>
    <n v="0.15"/>
    <n v="304.25"/>
    <n v="7.0000000000000007E-2"/>
    <n v="3"/>
    <n v="1689.88"/>
    <n v="67"/>
    <n v="0"/>
    <n v="497.03"/>
    <n v="2145.91"/>
    <x v="1"/>
    <n v="810.05"/>
    <x v="7"/>
    <x v="2"/>
    <n v="26.3"/>
    <s v="Low"/>
    <n v="3191.64"/>
    <n v="1"/>
  </r>
  <r>
    <x v="23"/>
    <x v="21"/>
    <n v="1748"/>
    <n v="4189.9399999999996"/>
    <n v="3390.29"/>
    <n v="799.65"/>
    <n v="0.81"/>
    <n v="0.14000000000000001"/>
    <n v="2765.45"/>
    <x v="1"/>
    <n v="694"/>
    <n v="0.46"/>
    <n v="349.39"/>
    <n v="0.08"/>
    <n v="538.44000000000005"/>
    <n v="0.13"/>
    <n v="4"/>
    <n v="131.29"/>
    <n v="25"/>
    <n v="0"/>
    <n v="457.51"/>
    <n v="2280"/>
    <x v="1"/>
    <n v="1688.33"/>
    <x v="6"/>
    <x v="0"/>
    <n v="50.9"/>
    <s v="High"/>
    <n v="799.65"/>
    <n v="0"/>
  </r>
  <r>
    <x v="23"/>
    <x v="21"/>
    <n v="1400"/>
    <n v="5003.28"/>
    <n v="2699.12"/>
    <n v="2304.16"/>
    <n v="0.54"/>
    <n v="0.22"/>
    <n v="4141.66"/>
    <x v="1"/>
    <n v="648"/>
    <n v="0.38"/>
    <n v="564.08000000000004"/>
    <n v="0.11"/>
    <n v="177.31"/>
    <n v="0.04"/>
    <n v="3"/>
    <n v="2113.5100000000002"/>
    <n v="28"/>
    <n v="0"/>
    <n v="440.51"/>
    <n v="1000"/>
    <x v="1"/>
    <n v="636"/>
    <x v="4"/>
    <x v="2"/>
    <n v="49.9"/>
    <s v="Low"/>
    <n v="2304.16"/>
    <n v="0"/>
  </r>
  <r>
    <x v="23"/>
    <x v="21"/>
    <n v="1895"/>
    <n v="3912.13"/>
    <n v="893.36"/>
    <n v="3018.77"/>
    <n v="0.23"/>
    <n v="0.13"/>
    <n v="3503.15"/>
    <x v="2"/>
    <n v="733"/>
    <n v="0.17"/>
    <n v="759.22"/>
    <n v="0.19"/>
    <n v="415.89"/>
    <n v="0.11"/>
    <n v="2"/>
    <n v="301.95"/>
    <n v="73"/>
    <n v="0"/>
    <n v="374.5"/>
    <n v="1599.21"/>
    <x v="1"/>
    <n v="843.97"/>
    <x v="5"/>
    <x v="0"/>
    <n v="48.5"/>
    <s v="Medium"/>
    <n v="3018.77"/>
    <n v="0"/>
  </r>
  <r>
    <x v="23"/>
    <x v="21"/>
    <n v="1047"/>
    <n v="4718.93"/>
    <n v="2709.36"/>
    <n v="2009.57"/>
    <n v="0.56999999999999995"/>
    <n v="0.08"/>
    <n v="2714.7"/>
    <x v="1"/>
    <n v="678"/>
    <n v="0.28000000000000003"/>
    <n v="493.59"/>
    <n v="0.1"/>
    <n v="229.17"/>
    <n v="0.05"/>
    <n v="8"/>
    <n v="947.1"/>
    <n v="20"/>
    <n v="0"/>
    <n v="259.8"/>
    <n v="2049.9"/>
    <x v="1"/>
    <n v="958.68"/>
    <x v="1"/>
    <x v="2"/>
    <n v="46.7"/>
    <s v="Medium"/>
    <n v="2009.57"/>
    <n v="0"/>
  </r>
  <r>
    <x v="23"/>
    <x v="21"/>
    <n v="1929"/>
    <n v="4565.25"/>
    <n v="3785.45"/>
    <n v="779.8"/>
    <n v="0.83"/>
    <n v="0.32"/>
    <n v="2447.14"/>
    <x v="1"/>
    <n v="715"/>
    <n v="0.57999999999999996"/>
    <n v="389.41"/>
    <n v="0.09"/>
    <n v="0"/>
    <n v="0"/>
    <n v="3"/>
    <n v="843.78"/>
    <n v="98"/>
    <n v="0"/>
    <n v="629.89"/>
    <n v="2152.34"/>
    <x v="0"/>
    <n v="768.22"/>
    <x v="6"/>
    <x v="1"/>
    <n v="72.400000000000006"/>
    <s v="High"/>
    <n v="779.8"/>
    <n v="0"/>
  </r>
  <r>
    <x v="23"/>
    <x v="21"/>
    <n v="1111"/>
    <n v="5725.3"/>
    <n v="3630.85"/>
    <n v="2094.4499999999998"/>
    <n v="0.63"/>
    <n v="0.32"/>
    <n v="1808.28"/>
    <x v="1"/>
    <n v="702"/>
    <n v="0.2"/>
    <n v="466.54"/>
    <n v="0.08"/>
    <n v="225.96"/>
    <n v="0.04"/>
    <n v="7"/>
    <n v="737.75"/>
    <n v="93"/>
    <n v="0"/>
    <n v="0"/>
    <n v="2267.5700000000002"/>
    <x v="1"/>
    <n v="762.23"/>
    <x v="5"/>
    <x v="2"/>
    <n v="81.099999999999994"/>
    <s v="Low"/>
    <n v="2094.4499999999998"/>
    <n v="1"/>
  </r>
  <r>
    <x v="23"/>
    <x v="21"/>
    <n v="1085"/>
    <n v="2735.13"/>
    <n v="3130.58"/>
    <n v="-395.45"/>
    <n v="1.1399999999999999"/>
    <n v="0.13"/>
    <n v="3899.79"/>
    <x v="2"/>
    <n v="740"/>
    <n v="0.15"/>
    <n v="364.5"/>
    <n v="0.13"/>
    <n v="407.41"/>
    <n v="0.15"/>
    <n v="5"/>
    <n v="621.55999999999995"/>
    <n v="54"/>
    <n v="0"/>
    <n v="528.33000000000004"/>
    <n v="1035.48"/>
    <x v="1"/>
    <n v="1278.1099999999999"/>
    <x v="1"/>
    <x v="0"/>
    <n v="88"/>
    <s v="Medium"/>
    <n v="0"/>
    <n v="0"/>
  </r>
  <r>
    <x v="23"/>
    <x v="21"/>
    <n v="1827"/>
    <n v="4809.7299999999996"/>
    <n v="2759.85"/>
    <n v="2049.88"/>
    <n v="0.56999999999999995"/>
    <n v="0.2"/>
    <n v="1845.43"/>
    <x v="2"/>
    <n v="729"/>
    <n v="0.28000000000000003"/>
    <n v="80.540000000000006"/>
    <n v="0.02"/>
    <n v="478.65"/>
    <n v="0.1"/>
    <n v="6"/>
    <n v="1156.02"/>
    <n v="56"/>
    <n v="0"/>
    <n v="630.28"/>
    <n v="3421.58"/>
    <x v="1"/>
    <n v="1235.9100000000001"/>
    <x v="2"/>
    <x v="0"/>
    <n v="74.3"/>
    <s v="Medium"/>
    <n v="2049.88"/>
    <n v="1"/>
  </r>
  <r>
    <x v="23"/>
    <x v="21"/>
    <n v="1371"/>
    <n v="3996.1"/>
    <n v="3169.23"/>
    <n v="826.87"/>
    <n v="0.79"/>
    <n v="0.06"/>
    <n v="2855.71"/>
    <x v="1"/>
    <n v="661"/>
    <n v="0.17"/>
    <n v="387.51"/>
    <n v="0.1"/>
    <n v="331.47"/>
    <n v="0.08"/>
    <n v="5"/>
    <n v="783.5"/>
    <n v="28"/>
    <n v="0"/>
    <n v="505.84"/>
    <n v="2576.1799999999998"/>
    <x v="1"/>
    <n v="1086.03"/>
    <x v="1"/>
    <x v="0"/>
    <n v="0.8"/>
    <s v="Low"/>
    <n v="826.87"/>
    <n v="0"/>
  </r>
  <r>
    <x v="23"/>
    <x v="21"/>
    <n v="1113"/>
    <n v="4117.26"/>
    <n v="2728.61"/>
    <n v="1388.65"/>
    <n v="0.66"/>
    <n v="0.33"/>
    <n v="2853.85"/>
    <x v="1"/>
    <n v="639"/>
    <n v="0.15"/>
    <n v="533.04999999999995"/>
    <n v="0.13"/>
    <n v="629.07000000000005"/>
    <n v="0.15"/>
    <n v="3"/>
    <n v="1240.49"/>
    <n v="94"/>
    <n v="0"/>
    <n v="746.39"/>
    <n v="1949.89"/>
    <x v="1"/>
    <n v="931.95"/>
    <x v="9"/>
    <x v="0"/>
    <n v="2.2000000000000002"/>
    <s v="Low"/>
    <n v="1388.65"/>
    <n v="0"/>
  </r>
  <r>
    <x v="23"/>
    <x v="21"/>
    <n v="1491"/>
    <n v="1798.64"/>
    <n v="3894.69"/>
    <n v="-2096.0500000000002"/>
    <n v="2.17"/>
    <n v="0.17"/>
    <n v="3000.14"/>
    <x v="0"/>
    <n v="755"/>
    <n v="0.23"/>
    <n v="368.18"/>
    <n v="0.2"/>
    <n v="1292.3"/>
    <n v="0.72"/>
    <n v="5"/>
    <n v="1613.78"/>
    <n v="78"/>
    <n v="0"/>
    <n v="808.24"/>
    <n v="1903.94"/>
    <x v="1"/>
    <n v="1839.67"/>
    <x v="1"/>
    <x v="0"/>
    <n v="77.400000000000006"/>
    <s v="High"/>
    <n v="0"/>
    <n v="0"/>
  </r>
  <r>
    <x v="23"/>
    <x v="21"/>
    <n v="1610"/>
    <n v="3575.88"/>
    <n v="2938.49"/>
    <n v="637.39"/>
    <n v="0.82"/>
    <n v="0.11"/>
    <n v="2632.21"/>
    <x v="0"/>
    <n v="718"/>
    <n v="0.57999999999999996"/>
    <n v="636.39"/>
    <n v="0.18"/>
    <n v="217.53"/>
    <n v="0.06"/>
    <n v="2"/>
    <n v="1220.4000000000001"/>
    <n v="76"/>
    <n v="0"/>
    <n v="644.42999999999995"/>
    <n v="2526.5300000000002"/>
    <x v="2"/>
    <n v="1168.3900000000001"/>
    <x v="7"/>
    <x v="0"/>
    <n v="5"/>
    <s v="Low"/>
    <n v="637.39"/>
    <n v="0"/>
  </r>
  <r>
    <x v="23"/>
    <x v="21"/>
    <n v="1325"/>
    <n v="3618.4"/>
    <n v="4133.7299999999996"/>
    <n v="-515.33000000000004"/>
    <n v="1.1399999999999999"/>
    <n v="0.19"/>
    <n v="2797.97"/>
    <x v="0"/>
    <n v="722"/>
    <n v="0.23"/>
    <n v="289.77"/>
    <n v="0.08"/>
    <n v="736.52"/>
    <n v="0.2"/>
    <n v="4"/>
    <n v="1050.57"/>
    <n v="20"/>
    <n v="0"/>
    <n v="514.12"/>
    <n v="2178.65"/>
    <x v="1"/>
    <n v="1390.47"/>
    <x v="6"/>
    <x v="1"/>
    <n v="55.2"/>
    <s v="Medium"/>
    <n v="0"/>
    <n v="0"/>
  </r>
  <r>
    <x v="23"/>
    <x v="21"/>
    <n v="1127"/>
    <n v="3837.87"/>
    <n v="3038.68"/>
    <n v="799.19"/>
    <n v="0.79"/>
    <n v="0.15"/>
    <n v="3960.25"/>
    <x v="1"/>
    <n v="672"/>
    <n v="0.21"/>
    <n v="545.39"/>
    <n v="0.14000000000000001"/>
    <n v="472.29"/>
    <n v="0.12"/>
    <n v="4"/>
    <n v="1085.05"/>
    <n v="98"/>
    <n v="0"/>
    <n v="349.88"/>
    <n v="2865.26"/>
    <x v="1"/>
    <n v="1173.1199999999999"/>
    <x v="3"/>
    <x v="0"/>
    <n v="70.5"/>
    <s v="Medium"/>
    <n v="799.19"/>
    <n v="0"/>
  </r>
  <r>
    <x v="23"/>
    <x v="21"/>
    <n v="1645"/>
    <n v="4189.92"/>
    <n v="3941.02"/>
    <n v="248.9"/>
    <n v="0.94"/>
    <n v="0.28999999999999998"/>
    <n v="3687.77"/>
    <x v="2"/>
    <n v="608"/>
    <n v="0.46"/>
    <n v="523.79"/>
    <n v="0.13"/>
    <n v="55.24"/>
    <n v="0.01"/>
    <n v="7"/>
    <n v="1319.76"/>
    <n v="30"/>
    <n v="0"/>
    <n v="437.55"/>
    <n v="1566.78"/>
    <x v="0"/>
    <n v="1575.62"/>
    <x v="9"/>
    <x v="1"/>
    <n v="2.5"/>
    <s v="Medium"/>
    <n v="248.9"/>
    <n v="0"/>
  </r>
  <r>
    <x v="23"/>
    <x v="21"/>
    <n v="1899"/>
    <n v="3567.25"/>
    <n v="1068.1400000000001"/>
    <n v="2499.11"/>
    <n v="0.3"/>
    <n v="0.08"/>
    <n v="2229.9499999999998"/>
    <x v="1"/>
    <n v="720"/>
    <n v="0.37"/>
    <n v="154.93"/>
    <n v="0.04"/>
    <n v="162.19999999999999"/>
    <n v="0.05"/>
    <n v="4"/>
    <n v="1479.92"/>
    <n v="57"/>
    <n v="0"/>
    <n v="682.87"/>
    <n v="2019.73"/>
    <x v="1"/>
    <n v="522.63"/>
    <x v="1"/>
    <x v="0"/>
    <n v="19.100000000000001"/>
    <s v="Medium"/>
    <n v="2499.11"/>
    <n v="1"/>
  </r>
  <r>
    <x v="23"/>
    <x v="21"/>
    <n v="1793"/>
    <n v="3333.01"/>
    <n v="3081.26"/>
    <n v="251.75"/>
    <n v="0.92"/>
    <n v="0.3"/>
    <n v="2355.67"/>
    <x v="1"/>
    <n v="640"/>
    <n v="0.44"/>
    <n v="507.6"/>
    <n v="0.15"/>
    <n v="447.63"/>
    <n v="0.13"/>
    <n v="9"/>
    <n v="608.74"/>
    <n v="80"/>
    <n v="0"/>
    <n v="459.76"/>
    <n v="1508.47"/>
    <x v="1"/>
    <n v="515.61"/>
    <x v="5"/>
    <x v="2"/>
    <n v="54.2"/>
    <s v="Low"/>
    <n v="251.75"/>
    <n v="0"/>
  </r>
  <r>
    <x v="23"/>
    <x v="21"/>
    <n v="1118"/>
    <n v="3863.43"/>
    <n v="3626.77"/>
    <n v="236.66"/>
    <n v="0.94"/>
    <n v="0.3"/>
    <n v="2313.2800000000002"/>
    <x v="1"/>
    <n v="589"/>
    <n v="0.22"/>
    <n v="277.83"/>
    <n v="7.0000000000000007E-2"/>
    <n v="249.34"/>
    <n v="0.06"/>
    <n v="8"/>
    <n v="1011.75"/>
    <n v="39"/>
    <n v="0"/>
    <n v="381.46"/>
    <n v="2232.63"/>
    <x v="1"/>
    <n v="652.34"/>
    <x v="5"/>
    <x v="0"/>
    <n v="46.2"/>
    <s v="Low"/>
    <n v="236.66"/>
    <n v="0"/>
  </r>
  <r>
    <x v="24"/>
    <x v="22"/>
    <n v="1129"/>
    <n v="4622.4799999999996"/>
    <n v="2219.5100000000002"/>
    <n v="2402.9699999999998"/>
    <n v="0.48"/>
    <n v="0.18"/>
    <n v="2541.0500000000002"/>
    <x v="1"/>
    <n v="661"/>
    <n v="0.46"/>
    <n v="318.48"/>
    <n v="7.0000000000000007E-2"/>
    <n v="591.38"/>
    <n v="0.13"/>
    <n v="3"/>
    <n v="2306.84"/>
    <n v="27"/>
    <n v="0"/>
    <n v="260.55"/>
    <n v="1651.01"/>
    <x v="1"/>
    <n v="903.63"/>
    <x v="7"/>
    <x v="2"/>
    <n v="64.099999999999994"/>
    <s v="Low"/>
    <n v="2402.9699999999998"/>
    <n v="0"/>
  </r>
  <r>
    <x v="24"/>
    <x v="22"/>
    <n v="1310"/>
    <n v="3642.2"/>
    <n v="1872.49"/>
    <n v="1769.71"/>
    <n v="0.51"/>
    <n v="0.25"/>
    <n v="1972.05"/>
    <x v="1"/>
    <n v="721"/>
    <n v="0.16"/>
    <n v="782.47"/>
    <n v="0.21"/>
    <n v="423.27"/>
    <n v="0.12"/>
    <n v="2"/>
    <n v="1139.8399999999999"/>
    <n v="50"/>
    <n v="0"/>
    <n v="408.48"/>
    <n v="2303.3200000000002"/>
    <x v="1"/>
    <n v="1540.2"/>
    <x v="1"/>
    <x v="1"/>
    <n v="4.5"/>
    <s v="Low"/>
    <n v="1769.71"/>
    <n v="0"/>
  </r>
  <r>
    <x v="24"/>
    <x v="22"/>
    <n v="1568"/>
    <n v="2841.36"/>
    <n v="2155.87"/>
    <n v="685.49"/>
    <n v="0.76"/>
    <n v="0.26"/>
    <n v="2378.9899999999998"/>
    <x v="1"/>
    <n v="786"/>
    <n v="0.36"/>
    <n v="441.54"/>
    <n v="0.16"/>
    <n v="0"/>
    <n v="0"/>
    <n v="1"/>
    <n v="745.31"/>
    <n v="43"/>
    <n v="0"/>
    <n v="839.27"/>
    <n v="1766.43"/>
    <x v="0"/>
    <n v="1259.7"/>
    <x v="6"/>
    <x v="1"/>
    <n v="52.7"/>
    <s v="Low"/>
    <n v="685.49"/>
    <n v="0"/>
  </r>
  <r>
    <x v="24"/>
    <x v="22"/>
    <n v="1045"/>
    <n v="3925.11"/>
    <n v="3033.29"/>
    <n v="891.82"/>
    <n v="0.77"/>
    <n v="0.37"/>
    <n v="2635.8"/>
    <x v="1"/>
    <n v="612"/>
    <n v="0.1"/>
    <n v="331.05"/>
    <n v="0.08"/>
    <n v="243.98"/>
    <n v="0.06"/>
    <n v="1"/>
    <n v="1115.71"/>
    <n v="94"/>
    <n v="0"/>
    <n v="529.16999999999996"/>
    <n v="1566.64"/>
    <x v="1"/>
    <n v="1266.81"/>
    <x v="4"/>
    <x v="2"/>
    <n v="99"/>
    <s v="High"/>
    <n v="891.82"/>
    <n v="0"/>
  </r>
  <r>
    <x v="24"/>
    <x v="22"/>
    <n v="1697"/>
    <n v="4036.28"/>
    <n v="3829.82"/>
    <n v="206.46"/>
    <n v="0.95"/>
    <n v="0.35"/>
    <n v="2663.89"/>
    <x v="0"/>
    <n v="781"/>
    <n v="0.11"/>
    <n v="819.33"/>
    <n v="0.2"/>
    <n v="161.19"/>
    <n v="0.04"/>
    <n v="9"/>
    <n v="1349.24"/>
    <n v="55"/>
    <n v="0"/>
    <n v="636.08000000000004"/>
    <n v="1301.27"/>
    <x v="1"/>
    <n v="1048.71"/>
    <x v="3"/>
    <x v="2"/>
    <n v="43.9"/>
    <s v="High"/>
    <n v="206.46"/>
    <n v="0"/>
  </r>
  <r>
    <x v="24"/>
    <x v="22"/>
    <n v="1278"/>
    <n v="3666.66"/>
    <n v="3711.48"/>
    <n v="-44.82"/>
    <n v="1.01"/>
    <n v="0.19"/>
    <n v="2365.41"/>
    <x v="2"/>
    <n v="669"/>
    <n v="0.56999999999999995"/>
    <n v="181.24"/>
    <n v="0.05"/>
    <n v="0"/>
    <n v="0"/>
    <n v="5"/>
    <n v="1330.03"/>
    <n v="58"/>
    <n v="0"/>
    <n v="874.35"/>
    <n v="1910.88"/>
    <x v="1"/>
    <n v="1513.23"/>
    <x v="7"/>
    <x v="1"/>
    <n v="62.6"/>
    <s v="Low"/>
    <n v="0"/>
    <n v="0"/>
  </r>
  <r>
    <x v="24"/>
    <x v="22"/>
    <n v="1060"/>
    <n v="3416.59"/>
    <n v="4025.71"/>
    <n v="-609.12"/>
    <n v="1.18"/>
    <n v="0.06"/>
    <n v="2672.23"/>
    <x v="2"/>
    <n v="742"/>
    <n v="0.38"/>
    <n v="302.39"/>
    <n v="0.09"/>
    <n v="576.91999999999996"/>
    <n v="0.17"/>
    <n v="8"/>
    <n v="941.38"/>
    <n v="57"/>
    <n v="0"/>
    <n v="902.32"/>
    <n v="2728.07"/>
    <x v="0"/>
    <n v="1674.74"/>
    <x v="0"/>
    <x v="2"/>
    <n v="8"/>
    <s v="Medium"/>
    <n v="0"/>
    <n v="0"/>
  </r>
  <r>
    <x v="24"/>
    <x v="22"/>
    <n v="1040"/>
    <n v="4172.1899999999996"/>
    <n v="2723.57"/>
    <n v="1448.62"/>
    <n v="0.65"/>
    <n v="0.18"/>
    <n v="2552.8000000000002"/>
    <x v="0"/>
    <n v="725"/>
    <n v="0.1"/>
    <n v="395.28"/>
    <n v="0.09"/>
    <n v="280.54000000000002"/>
    <n v="7.0000000000000007E-2"/>
    <n v="3"/>
    <n v="834.01"/>
    <n v="89"/>
    <n v="0"/>
    <n v="570.84"/>
    <n v="2978.74"/>
    <x v="1"/>
    <n v="849.97"/>
    <x v="9"/>
    <x v="1"/>
    <n v="91.7"/>
    <s v="High"/>
    <n v="1448.62"/>
    <n v="0"/>
  </r>
  <r>
    <x v="24"/>
    <x v="22"/>
    <n v="1796"/>
    <n v="4648.68"/>
    <n v="2530.9"/>
    <n v="2117.7800000000002"/>
    <n v="0.54"/>
    <n v="0.2"/>
    <n v="3285.67"/>
    <x v="0"/>
    <n v="684"/>
    <n v="0.35"/>
    <n v="859.09"/>
    <n v="0.18"/>
    <n v="777.85"/>
    <n v="0.17"/>
    <n v="8"/>
    <n v="2127.42"/>
    <n v="92"/>
    <n v="0"/>
    <n v="417.72"/>
    <n v="2343.6"/>
    <x v="0"/>
    <n v="444.59"/>
    <x v="3"/>
    <x v="0"/>
    <n v="96.6"/>
    <s v="Low"/>
    <n v="2117.7800000000002"/>
    <n v="0"/>
  </r>
  <r>
    <x v="24"/>
    <x v="22"/>
    <n v="1172"/>
    <n v="2969.58"/>
    <n v="3243.98"/>
    <n v="-274.39999999999998"/>
    <n v="1.0900000000000001"/>
    <n v="0.32"/>
    <n v="2754.26"/>
    <x v="1"/>
    <n v="693"/>
    <n v="0.47"/>
    <n v="614.73"/>
    <n v="0.21"/>
    <n v="581.38"/>
    <n v="0.2"/>
    <n v="5"/>
    <n v="1027.31"/>
    <n v="77"/>
    <n v="0"/>
    <n v="420.25"/>
    <n v="2739.24"/>
    <x v="1"/>
    <n v="1844.39"/>
    <x v="7"/>
    <x v="0"/>
    <n v="45.8"/>
    <s v="High"/>
    <n v="0"/>
    <n v="0"/>
  </r>
  <r>
    <x v="24"/>
    <x v="22"/>
    <n v="1020"/>
    <n v="3925.14"/>
    <n v="2896.9"/>
    <n v="1028.24"/>
    <n v="0.74"/>
    <n v="0.38"/>
    <n v="2980.01"/>
    <x v="1"/>
    <n v="807"/>
    <n v="0.39"/>
    <n v="706.45"/>
    <n v="0.18"/>
    <n v="775.73"/>
    <n v="0.2"/>
    <n v="1"/>
    <n v="1389.52"/>
    <n v="37"/>
    <n v="0"/>
    <n v="315.38"/>
    <n v="2335.37"/>
    <x v="1"/>
    <n v="1774.67"/>
    <x v="8"/>
    <x v="2"/>
    <n v="73"/>
    <s v="Medium"/>
    <n v="1028.24"/>
    <n v="0"/>
  </r>
  <r>
    <x v="24"/>
    <x v="22"/>
    <n v="1288"/>
    <n v="4834.54"/>
    <n v="2349.7800000000002"/>
    <n v="2484.7600000000002"/>
    <n v="0.49"/>
    <n v="0.17"/>
    <n v="3351.42"/>
    <x v="1"/>
    <n v="633"/>
    <n v="0.4"/>
    <n v="240.92"/>
    <n v="0.05"/>
    <n v="303.20999999999998"/>
    <n v="0.06"/>
    <n v="8"/>
    <n v="892.29"/>
    <n v="44"/>
    <n v="0"/>
    <n v="446.5"/>
    <n v="1440.51"/>
    <x v="1"/>
    <n v="804.26"/>
    <x v="3"/>
    <x v="2"/>
    <n v="24.4"/>
    <s v="Low"/>
    <n v="2484.7600000000002"/>
    <n v="0"/>
  </r>
  <r>
    <x v="24"/>
    <x v="22"/>
    <n v="1452"/>
    <n v="2678.07"/>
    <n v="3800.43"/>
    <n v="-1122.3599999999999"/>
    <n v="1.42"/>
    <n v="0.2"/>
    <n v="2237.88"/>
    <x v="1"/>
    <n v="676"/>
    <n v="0.27"/>
    <n v="577.38"/>
    <n v="0.22"/>
    <n v="286.67"/>
    <n v="0.11"/>
    <n v="3"/>
    <n v="1306.6199999999999"/>
    <n v="64"/>
    <n v="0"/>
    <n v="820.85"/>
    <n v="3015.31"/>
    <x v="1"/>
    <n v="1304.1099999999999"/>
    <x v="1"/>
    <x v="0"/>
    <n v="81"/>
    <s v="Medium"/>
    <n v="0"/>
    <n v="0"/>
  </r>
  <r>
    <x v="24"/>
    <x v="22"/>
    <n v="1236"/>
    <n v="3933.04"/>
    <n v="3130.33"/>
    <n v="802.71"/>
    <n v="0.8"/>
    <n v="0.11"/>
    <n v="3209.52"/>
    <x v="1"/>
    <n v="651"/>
    <n v="0.56999999999999995"/>
    <n v="481.6"/>
    <n v="0.12"/>
    <n v="170.11"/>
    <n v="0.04"/>
    <n v="4"/>
    <n v="0"/>
    <n v="87"/>
    <n v="0"/>
    <n v="801.87"/>
    <n v="1000"/>
    <x v="2"/>
    <n v="1082"/>
    <x v="4"/>
    <x v="2"/>
    <n v="66"/>
    <s v="Low"/>
    <n v="802.71"/>
    <n v="0"/>
  </r>
  <r>
    <x v="24"/>
    <x v="22"/>
    <n v="1404"/>
    <n v="2663.41"/>
    <n v="1965.23"/>
    <n v="698.18"/>
    <n v="0.74"/>
    <n v="0.31"/>
    <n v="2540.11"/>
    <x v="0"/>
    <n v="620"/>
    <n v="0.36"/>
    <n v="594.45000000000005"/>
    <n v="0.22"/>
    <n v="476.33"/>
    <n v="0.18"/>
    <n v="9"/>
    <n v="1178.1199999999999"/>
    <n v="22"/>
    <n v="0"/>
    <n v="331.06"/>
    <n v="2906.19"/>
    <x v="1"/>
    <n v="1265.56"/>
    <x v="7"/>
    <x v="1"/>
    <n v="90.1"/>
    <s v="Low"/>
    <n v="698.18"/>
    <n v="0"/>
  </r>
  <r>
    <x v="24"/>
    <x v="22"/>
    <n v="1930"/>
    <n v="4316.82"/>
    <n v="3802.62"/>
    <n v="514.20000000000005"/>
    <n v="0.88"/>
    <n v="7.0000000000000007E-2"/>
    <n v="2675.76"/>
    <x v="1"/>
    <n v="787"/>
    <n v="0.35"/>
    <n v="257.02"/>
    <n v="0.06"/>
    <n v="0"/>
    <n v="0"/>
    <n v="2"/>
    <n v="710.78"/>
    <n v="78"/>
    <n v="0"/>
    <n v="645.39"/>
    <n v="1423.93"/>
    <x v="1"/>
    <n v="1771.14"/>
    <x v="4"/>
    <x v="0"/>
    <n v="62.8"/>
    <s v="Medium"/>
    <n v="514.20000000000005"/>
    <n v="0"/>
  </r>
  <r>
    <x v="24"/>
    <x v="22"/>
    <n v="1914"/>
    <n v="6506.77"/>
    <n v="3037.56"/>
    <n v="3469.21"/>
    <n v="0.47"/>
    <n v="0.16"/>
    <n v="3732.76"/>
    <x v="1"/>
    <n v="671"/>
    <n v="0.23"/>
    <n v="681.78"/>
    <n v="0.1"/>
    <n v="143.61000000000001"/>
    <n v="0.02"/>
    <n v="4"/>
    <n v="1119"/>
    <n v="59"/>
    <n v="0"/>
    <n v="660.88"/>
    <n v="3135.65"/>
    <x v="1"/>
    <n v="1449.05"/>
    <x v="0"/>
    <x v="0"/>
    <n v="62.3"/>
    <s v="Medium"/>
    <n v="3469.21"/>
    <n v="0"/>
  </r>
  <r>
    <x v="24"/>
    <x v="22"/>
    <n v="1387"/>
    <n v="4244.8599999999997"/>
    <n v="3184.46"/>
    <n v="1060.4000000000001"/>
    <n v="0.75"/>
    <n v="0.28999999999999998"/>
    <n v="2181"/>
    <x v="1"/>
    <n v="587"/>
    <n v="0.32"/>
    <n v="735.04"/>
    <n v="0.17"/>
    <n v="929.57"/>
    <n v="0.22"/>
    <n v="7"/>
    <n v="727.61"/>
    <n v="81"/>
    <n v="0"/>
    <n v="158.55000000000001"/>
    <n v="1109.3599999999999"/>
    <x v="1"/>
    <n v="1236.4100000000001"/>
    <x v="5"/>
    <x v="2"/>
    <n v="72.7"/>
    <s v="High"/>
    <n v="1060.4000000000001"/>
    <n v="0"/>
  </r>
  <r>
    <x v="24"/>
    <x v="22"/>
    <n v="1035"/>
    <n v="2099.6"/>
    <n v="4208.1000000000004"/>
    <n v="-2108.5"/>
    <n v="2"/>
    <n v="0.28999999999999998"/>
    <n v="4038.47"/>
    <x v="2"/>
    <n v="696"/>
    <n v="0.42"/>
    <n v="151.13999999999999"/>
    <n v="7.0000000000000007E-2"/>
    <n v="496.29"/>
    <n v="0.24"/>
    <n v="8"/>
    <n v="887.49"/>
    <n v="54"/>
    <n v="0"/>
    <n v="621.52"/>
    <n v="2255.84"/>
    <x v="1"/>
    <n v="917.56"/>
    <x v="4"/>
    <x v="0"/>
    <n v="38.4"/>
    <s v="Low"/>
    <n v="0"/>
    <n v="0"/>
  </r>
  <r>
    <x v="24"/>
    <x v="22"/>
    <n v="1617"/>
    <n v="4818.75"/>
    <n v="3073.84"/>
    <n v="1744.91"/>
    <n v="0.64"/>
    <n v="0.09"/>
    <n v="2721.71"/>
    <x v="1"/>
    <n v="647"/>
    <n v="0.45"/>
    <n v="667.79"/>
    <n v="0.14000000000000001"/>
    <n v="555.74"/>
    <n v="0.12"/>
    <n v="2"/>
    <n v="240.58"/>
    <n v="87"/>
    <n v="0"/>
    <n v="520.94000000000005"/>
    <n v="1892.53"/>
    <x v="1"/>
    <n v="1632.32"/>
    <x v="9"/>
    <x v="1"/>
    <n v="76.8"/>
    <s v="Low"/>
    <n v="1744.91"/>
    <n v="0"/>
  </r>
  <r>
    <x v="24"/>
    <x v="22"/>
    <n v="1473"/>
    <n v="2814.78"/>
    <n v="3013.79"/>
    <n v="-199.01"/>
    <n v="1.07"/>
    <n v="0.39"/>
    <n v="2956.95"/>
    <x v="1"/>
    <n v="625"/>
    <n v="0.19"/>
    <n v="386.71"/>
    <n v="0.14000000000000001"/>
    <n v="690.39"/>
    <n v="0.25"/>
    <n v="8"/>
    <n v="1457.67"/>
    <n v="73"/>
    <n v="0"/>
    <n v="544.84"/>
    <n v="2198.85"/>
    <x v="0"/>
    <n v="1362.95"/>
    <x v="5"/>
    <x v="2"/>
    <n v="65.3"/>
    <s v="Low"/>
    <n v="0"/>
    <n v="0"/>
  </r>
  <r>
    <x v="24"/>
    <x v="22"/>
    <n v="1783"/>
    <n v="4179.58"/>
    <n v="2029.73"/>
    <n v="2149.85"/>
    <n v="0.49"/>
    <n v="0.2"/>
    <n v="1756.94"/>
    <x v="1"/>
    <n v="577"/>
    <n v="0.4"/>
    <n v="172.31"/>
    <n v="0.04"/>
    <n v="111.84"/>
    <n v="0.03"/>
    <n v="8"/>
    <n v="180.21"/>
    <n v="49"/>
    <n v="0"/>
    <n v="549.34"/>
    <n v="1713.25"/>
    <x v="1"/>
    <n v="751.03"/>
    <x v="3"/>
    <x v="0"/>
    <n v="48.3"/>
    <s v="Low"/>
    <n v="2149.85"/>
    <n v="1"/>
  </r>
  <r>
    <x v="24"/>
    <x v="22"/>
    <n v="1499"/>
    <n v="4281.58"/>
    <n v="3929.67"/>
    <n v="351.91"/>
    <n v="0.92"/>
    <n v="0.09"/>
    <n v="2878.47"/>
    <x v="1"/>
    <n v="757"/>
    <n v="0.56000000000000005"/>
    <n v="593.51"/>
    <n v="0.14000000000000001"/>
    <n v="171.21"/>
    <n v="0.04"/>
    <n v="9"/>
    <n v="1202.44"/>
    <n v="57"/>
    <n v="0"/>
    <n v="320.58"/>
    <n v="1080.79"/>
    <x v="2"/>
    <n v="1314.58"/>
    <x v="0"/>
    <x v="2"/>
    <n v="92.4"/>
    <s v="Medium"/>
    <n v="351.91"/>
    <n v="0"/>
  </r>
  <r>
    <x v="24"/>
    <x v="22"/>
    <n v="1254"/>
    <n v="3816.33"/>
    <n v="1692.88"/>
    <n v="2123.4499999999998"/>
    <n v="0.44"/>
    <n v="0.12"/>
    <n v="2657.21"/>
    <x v="1"/>
    <n v="764"/>
    <n v="0.25"/>
    <n v="398.55"/>
    <n v="0.1"/>
    <n v="304.45"/>
    <n v="0.08"/>
    <n v="6"/>
    <n v="1352.36"/>
    <n v="80"/>
    <n v="0"/>
    <n v="666.92"/>
    <n v="1896.12"/>
    <x v="1"/>
    <n v="1327.35"/>
    <x v="6"/>
    <x v="1"/>
    <n v="31"/>
    <s v="Low"/>
    <n v="2123.4499999999998"/>
    <n v="0"/>
  </r>
  <r>
    <x v="24"/>
    <x v="22"/>
    <n v="1683"/>
    <n v="2918.33"/>
    <n v="2854.79"/>
    <n v="63.54"/>
    <n v="0.98"/>
    <n v="0.37"/>
    <n v="3742.07"/>
    <x v="1"/>
    <n v="706"/>
    <n v="0.6"/>
    <n v="472.51"/>
    <n v="0.16"/>
    <n v="712.55"/>
    <n v="0.24"/>
    <n v="5"/>
    <n v="805.27"/>
    <n v="55"/>
    <n v="0"/>
    <n v="427.28"/>
    <n v="2772.46"/>
    <x v="0"/>
    <n v="951.27"/>
    <x v="6"/>
    <x v="0"/>
    <n v="10.3"/>
    <s v="Low"/>
    <n v="63.54"/>
    <n v="0"/>
  </r>
  <r>
    <x v="24"/>
    <x v="22"/>
    <n v="1086"/>
    <n v="4365.03"/>
    <n v="2724.51"/>
    <n v="1640.52"/>
    <n v="0.62"/>
    <n v="0.28999999999999998"/>
    <n v="2470.25"/>
    <x v="1"/>
    <n v="666"/>
    <n v="0.16"/>
    <n v="463.51"/>
    <n v="0.11"/>
    <n v="310.58999999999997"/>
    <n v="7.0000000000000007E-2"/>
    <n v="5"/>
    <n v="670.92"/>
    <n v="35"/>
    <n v="0"/>
    <n v="516.07000000000005"/>
    <n v="1996.8"/>
    <x v="2"/>
    <n v="906.64"/>
    <x v="8"/>
    <x v="0"/>
    <n v="15"/>
    <s v="Low"/>
    <n v="1640.52"/>
    <n v="0"/>
  </r>
  <r>
    <x v="24"/>
    <x v="22"/>
    <n v="1545"/>
    <n v="5962.96"/>
    <n v="2471.79"/>
    <n v="3491.17"/>
    <n v="0.41"/>
    <n v="0.26"/>
    <n v="2885.02"/>
    <x v="0"/>
    <n v="734"/>
    <n v="0.24"/>
    <n v="774.16"/>
    <n v="0.13"/>
    <n v="0"/>
    <n v="0"/>
    <n v="5"/>
    <n v="630.67999999999995"/>
    <n v="83"/>
    <n v="0"/>
    <n v="846.79"/>
    <n v="1731.64"/>
    <x v="1"/>
    <n v="894.15"/>
    <x v="5"/>
    <x v="0"/>
    <n v="71.8"/>
    <s v="High"/>
    <n v="3491.17"/>
    <n v="1"/>
  </r>
  <r>
    <x v="24"/>
    <x v="22"/>
    <n v="1171"/>
    <n v="4392.22"/>
    <n v="3310.38"/>
    <n v="1081.8399999999999"/>
    <n v="0.75"/>
    <n v="0.08"/>
    <n v="3118.05"/>
    <x v="0"/>
    <n v="688"/>
    <n v="0.32"/>
    <n v="317.04000000000002"/>
    <n v="7.0000000000000007E-2"/>
    <n v="694.36"/>
    <n v="0.16"/>
    <n v="9"/>
    <n v="951.68"/>
    <n v="40"/>
    <n v="0"/>
    <n v="509.32"/>
    <n v="1472.63"/>
    <x v="1"/>
    <n v="480.72"/>
    <x v="8"/>
    <x v="0"/>
    <n v="72.099999999999994"/>
    <s v="Low"/>
    <n v="1081.8399999999999"/>
    <n v="0"/>
  </r>
  <r>
    <x v="24"/>
    <x v="22"/>
    <n v="1018"/>
    <n v="2813.99"/>
    <n v="4880.4799999999996"/>
    <n v="-2066.4899999999998"/>
    <n v="1.73"/>
    <n v="0.38"/>
    <n v="2674.59"/>
    <x v="0"/>
    <n v="719"/>
    <n v="0.56000000000000005"/>
    <n v="708.79"/>
    <n v="0.25"/>
    <n v="0"/>
    <n v="0"/>
    <n v="4"/>
    <n v="1634.62"/>
    <n v="49"/>
    <n v="0"/>
    <n v="378.78"/>
    <n v="1724.99"/>
    <x v="1"/>
    <n v="927.52"/>
    <x v="3"/>
    <x v="0"/>
    <n v="15.1"/>
    <s v="High"/>
    <n v="0"/>
    <n v="0"/>
  </r>
  <r>
    <x v="24"/>
    <x v="22"/>
    <n v="1922"/>
    <n v="4979.17"/>
    <n v="1483.44"/>
    <n v="3495.73"/>
    <n v="0.3"/>
    <n v="0.26"/>
    <n v="2324.15"/>
    <x v="2"/>
    <n v="707"/>
    <n v="0.19"/>
    <n v="689.15"/>
    <n v="0.14000000000000001"/>
    <n v="392.05"/>
    <n v="0.08"/>
    <n v="5"/>
    <n v="462.23"/>
    <n v="24"/>
    <n v="0"/>
    <n v="601.34"/>
    <n v="1123.95"/>
    <x v="0"/>
    <n v="1063.24"/>
    <x v="5"/>
    <x v="2"/>
    <n v="8"/>
    <s v="Medium"/>
    <n v="3495.73"/>
    <n v="1"/>
  </r>
  <r>
    <x v="24"/>
    <x v="22"/>
    <n v="1668"/>
    <n v="4648.2299999999996"/>
    <n v="2990.2"/>
    <n v="1658.03"/>
    <n v="0.64"/>
    <n v="0.12"/>
    <n v="3037.35"/>
    <x v="2"/>
    <n v="634"/>
    <n v="0.27"/>
    <n v="600.86"/>
    <n v="0.13"/>
    <n v="332.06"/>
    <n v="7.0000000000000007E-2"/>
    <n v="5"/>
    <n v="855.97"/>
    <n v="80"/>
    <n v="0"/>
    <n v="627.91"/>
    <n v="1308.18"/>
    <x v="1"/>
    <n v="1771.82"/>
    <x v="3"/>
    <x v="1"/>
    <n v="63.9"/>
    <s v="Low"/>
    <n v="1658.03"/>
    <n v="0"/>
  </r>
  <r>
    <x v="24"/>
    <x v="22"/>
    <n v="1829"/>
    <n v="1452.07"/>
    <n v="3122.66"/>
    <n v="-1670.59"/>
    <n v="2.15"/>
    <n v="0.27"/>
    <n v="2931.08"/>
    <x v="1"/>
    <n v="731"/>
    <n v="0.31"/>
    <n v="529.84"/>
    <n v="0.36"/>
    <n v="914.68"/>
    <n v="0.63"/>
    <n v="5"/>
    <n v="1128"/>
    <n v="24"/>
    <n v="0"/>
    <n v="338.17"/>
    <n v="2291.4899999999998"/>
    <x v="1"/>
    <n v="1110.77"/>
    <x v="3"/>
    <x v="1"/>
    <n v="93.9"/>
    <s v="Medium"/>
    <n v="0"/>
    <n v="0"/>
  </r>
  <r>
    <x v="24"/>
    <x v="22"/>
    <n v="1701"/>
    <n v="4649.62"/>
    <n v="3809.51"/>
    <n v="840.11"/>
    <n v="0.82"/>
    <n v="0.27"/>
    <n v="2791.13"/>
    <x v="1"/>
    <n v="655"/>
    <n v="0.25"/>
    <n v="418.19"/>
    <n v="0.09"/>
    <n v="283.92"/>
    <n v="0.06"/>
    <n v="3"/>
    <n v="1569.4"/>
    <n v="37"/>
    <n v="0"/>
    <n v="222.83"/>
    <n v="2384.92"/>
    <x v="1"/>
    <n v="1426.2"/>
    <x v="0"/>
    <x v="1"/>
    <n v="93.8"/>
    <s v="Low"/>
    <n v="840.11"/>
    <n v="0"/>
  </r>
  <r>
    <x v="24"/>
    <x v="22"/>
    <n v="1027"/>
    <n v="2492.2800000000002"/>
    <n v="1923.78"/>
    <n v="568.5"/>
    <n v="0.77"/>
    <n v="0.06"/>
    <n v="2018.49"/>
    <x v="1"/>
    <n v="721"/>
    <n v="0.54"/>
    <n v="605.59"/>
    <n v="0.24"/>
    <n v="499.82"/>
    <n v="0.2"/>
    <n v="4"/>
    <n v="1046.8599999999999"/>
    <n v="73"/>
    <n v="0"/>
    <n v="334.72"/>
    <n v="2508.13"/>
    <x v="2"/>
    <n v="1288.7"/>
    <x v="1"/>
    <x v="2"/>
    <n v="12.1"/>
    <s v="Low"/>
    <n v="568.5"/>
    <n v="0"/>
  </r>
  <r>
    <x v="24"/>
    <x v="22"/>
    <n v="1270"/>
    <n v="2979.88"/>
    <n v="3909.91"/>
    <n v="-930.03"/>
    <n v="1.31"/>
    <n v="0.28000000000000003"/>
    <n v="2656.08"/>
    <x v="0"/>
    <n v="672"/>
    <n v="0.14000000000000001"/>
    <n v="235.1"/>
    <n v="0.08"/>
    <n v="361.66"/>
    <n v="0.12"/>
    <n v="9"/>
    <n v="964.01"/>
    <n v="61"/>
    <n v="0"/>
    <n v="413.18"/>
    <n v="2763.88"/>
    <x v="1"/>
    <n v="1962.12"/>
    <x v="0"/>
    <x v="1"/>
    <n v="97.7"/>
    <s v="Low"/>
    <n v="0"/>
    <n v="0"/>
  </r>
  <r>
    <x v="24"/>
    <x v="22"/>
    <n v="1408"/>
    <n v="3950.15"/>
    <n v="1997.49"/>
    <n v="1952.66"/>
    <n v="0.51"/>
    <n v="0.24"/>
    <n v="2281.96"/>
    <x v="0"/>
    <n v="744"/>
    <n v="0.42"/>
    <n v="651.98"/>
    <n v="0.17"/>
    <n v="166.56"/>
    <n v="0.04"/>
    <n v="4"/>
    <n v="1080.81"/>
    <n v="77"/>
    <n v="0"/>
    <n v="597.76"/>
    <n v="1393.77"/>
    <x v="1"/>
    <n v="721.81"/>
    <x v="1"/>
    <x v="0"/>
    <n v="72.8"/>
    <s v="High"/>
    <n v="1952.66"/>
    <n v="0"/>
  </r>
  <r>
    <x v="24"/>
    <x v="22"/>
    <n v="1370"/>
    <n v="5054.55"/>
    <n v="2205.4299999999998"/>
    <n v="2849.12"/>
    <n v="0.44"/>
    <n v="0.08"/>
    <n v="3332.75"/>
    <x v="2"/>
    <n v="634"/>
    <n v="0.12"/>
    <n v="341.63"/>
    <n v="7.0000000000000007E-2"/>
    <n v="164.23"/>
    <n v="0.03"/>
    <n v="4"/>
    <n v="1155.6500000000001"/>
    <n v="68"/>
    <n v="0"/>
    <n v="473.92"/>
    <n v="2618.71"/>
    <x v="2"/>
    <n v="1801.56"/>
    <x v="5"/>
    <x v="1"/>
    <n v="72.400000000000006"/>
    <s v="Low"/>
    <n v="2849.12"/>
    <n v="0"/>
  </r>
  <r>
    <x v="24"/>
    <x v="22"/>
    <n v="1556"/>
    <n v="4065.92"/>
    <n v="3003.18"/>
    <n v="1062.74"/>
    <n v="0.74"/>
    <n v="0.35"/>
    <n v="3100.27"/>
    <x v="1"/>
    <n v="683"/>
    <n v="0.44"/>
    <n v="338.35"/>
    <n v="0.08"/>
    <n v="372.94"/>
    <n v="0.09"/>
    <n v="5"/>
    <n v="256.55"/>
    <n v="59"/>
    <n v="0"/>
    <n v="512.45000000000005"/>
    <n v="2665.7"/>
    <x v="1"/>
    <n v="300"/>
    <x v="1"/>
    <x v="0"/>
    <n v="80"/>
    <s v="High"/>
    <n v="1062.74"/>
    <n v="0"/>
  </r>
  <r>
    <x v="24"/>
    <x v="22"/>
    <n v="1802"/>
    <n v="5106.2700000000004"/>
    <n v="1807.26"/>
    <n v="3299.01"/>
    <n v="0.35"/>
    <n v="0.17"/>
    <n v="3833.62"/>
    <x v="1"/>
    <n v="679"/>
    <n v="0.14000000000000001"/>
    <n v="831.4"/>
    <n v="0.16"/>
    <n v="726.62"/>
    <n v="0.14000000000000001"/>
    <n v="7"/>
    <n v="1277.3699999999999"/>
    <n v="88"/>
    <n v="0"/>
    <n v="284.45"/>
    <n v="2085.65"/>
    <x v="1"/>
    <n v="951.69"/>
    <x v="8"/>
    <x v="2"/>
    <n v="90.7"/>
    <s v="High"/>
    <n v="3299.01"/>
    <n v="0"/>
  </r>
  <r>
    <x v="24"/>
    <x v="22"/>
    <n v="1635"/>
    <n v="2330.6999999999998"/>
    <n v="3520.19"/>
    <n v="-1189.49"/>
    <n v="1.51"/>
    <n v="0.31"/>
    <n v="2233.94"/>
    <x v="2"/>
    <n v="679"/>
    <n v="0.3"/>
    <n v="462.89"/>
    <n v="0.2"/>
    <n v="107.15"/>
    <n v="0.05"/>
    <n v="8"/>
    <n v="1328.5"/>
    <n v="79"/>
    <n v="0"/>
    <n v="418.68"/>
    <n v="3027.58"/>
    <x v="0"/>
    <n v="1330"/>
    <x v="4"/>
    <x v="0"/>
    <n v="26.3"/>
    <s v="High"/>
    <n v="0"/>
    <n v="0"/>
  </r>
  <r>
    <x v="24"/>
    <x v="22"/>
    <n v="1438"/>
    <n v="4411.62"/>
    <n v="3391.53"/>
    <n v="1020.09"/>
    <n v="0.77"/>
    <n v="0.27"/>
    <n v="2610.46"/>
    <x v="1"/>
    <n v="750"/>
    <n v="0.22"/>
    <n v="735.89"/>
    <n v="0.17"/>
    <n v="240.63"/>
    <n v="0.05"/>
    <n v="6"/>
    <n v="814.07"/>
    <n v="64"/>
    <n v="0"/>
    <n v="366.84"/>
    <n v="2363.35"/>
    <x v="1"/>
    <n v="1093.08"/>
    <x v="1"/>
    <x v="0"/>
    <n v="75.5"/>
    <s v="Low"/>
    <n v="1020.09"/>
    <n v="0"/>
  </r>
  <r>
    <x v="24"/>
    <x v="22"/>
    <n v="1461"/>
    <n v="2220.0500000000002"/>
    <n v="2819.01"/>
    <n v="-598.96"/>
    <n v="1.27"/>
    <n v="0.37"/>
    <n v="3538.14"/>
    <x v="0"/>
    <n v="620"/>
    <n v="0.18"/>
    <n v="226.85"/>
    <n v="0.1"/>
    <n v="229.59"/>
    <n v="0.1"/>
    <n v="3"/>
    <n v="1642.28"/>
    <n v="62"/>
    <n v="0"/>
    <n v="149.71"/>
    <n v="1624.4"/>
    <x v="1"/>
    <n v="1559.45"/>
    <x v="8"/>
    <x v="0"/>
    <n v="78.099999999999994"/>
    <s v="Low"/>
    <n v="0"/>
    <n v="0"/>
  </r>
  <r>
    <x v="24"/>
    <x v="22"/>
    <n v="1294"/>
    <n v="3248.23"/>
    <n v="2204.0100000000002"/>
    <n v="1044.22"/>
    <n v="0.68"/>
    <n v="0.16"/>
    <n v="2452.6"/>
    <x v="1"/>
    <n v="773"/>
    <n v="0.38"/>
    <n v="350.46"/>
    <n v="0.11"/>
    <n v="257.38"/>
    <n v="0.08"/>
    <n v="9"/>
    <n v="971.13"/>
    <n v="41"/>
    <n v="0"/>
    <n v="198.69"/>
    <n v="1887.39"/>
    <x v="1"/>
    <n v="1240.8800000000001"/>
    <x v="3"/>
    <x v="0"/>
    <n v="95.4"/>
    <s v="Medium"/>
    <n v="1044.22"/>
    <n v="0"/>
  </r>
  <r>
    <x v="24"/>
    <x v="22"/>
    <n v="1943"/>
    <n v="2406.7199999999998"/>
    <n v="2468.81"/>
    <n v="-62.09"/>
    <n v="1.03"/>
    <n v="0.32"/>
    <n v="2786.92"/>
    <x v="0"/>
    <n v="591"/>
    <n v="0.37"/>
    <n v="588.35"/>
    <n v="0.24"/>
    <n v="464.21"/>
    <n v="0.19"/>
    <n v="6"/>
    <n v="985.78"/>
    <n v="31"/>
    <n v="0"/>
    <n v="405.85"/>
    <n v="1989.75"/>
    <x v="1"/>
    <n v="1227.94"/>
    <x v="8"/>
    <x v="1"/>
    <n v="0.2"/>
    <s v="Low"/>
    <n v="0"/>
    <n v="0"/>
  </r>
  <r>
    <x v="24"/>
    <x v="22"/>
    <n v="1994"/>
    <n v="3279.4"/>
    <n v="3719.96"/>
    <n v="-440.56"/>
    <n v="1.1299999999999999"/>
    <n v="0.15"/>
    <n v="2515.25"/>
    <x v="0"/>
    <n v="604"/>
    <n v="0.56999999999999995"/>
    <n v="764.85"/>
    <n v="0.23"/>
    <n v="217.82"/>
    <n v="7.0000000000000007E-2"/>
    <n v="5"/>
    <n v="501.35"/>
    <n v="25"/>
    <n v="0"/>
    <n v="514.99"/>
    <n v="2447.7399999999998"/>
    <x v="0"/>
    <n v="1047.1099999999999"/>
    <x v="1"/>
    <x v="0"/>
    <n v="7.7"/>
    <s v="High"/>
    <n v="0"/>
    <n v="0"/>
  </r>
  <r>
    <x v="24"/>
    <x v="22"/>
    <n v="1489"/>
    <n v="3219.47"/>
    <n v="2409.59"/>
    <n v="809.88"/>
    <n v="0.75"/>
    <n v="0.28000000000000003"/>
    <n v="3235.17"/>
    <x v="1"/>
    <n v="674"/>
    <n v="0.47"/>
    <n v="568.4"/>
    <n v="0.18"/>
    <n v="643.96"/>
    <n v="0.2"/>
    <n v="7"/>
    <n v="1165.8800000000001"/>
    <n v="89"/>
    <n v="0"/>
    <n v="610.53"/>
    <n v="1898.94"/>
    <x v="1"/>
    <n v="1126.08"/>
    <x v="0"/>
    <x v="1"/>
    <n v="94.7"/>
    <s v="Low"/>
    <n v="809.88"/>
    <n v="0"/>
  </r>
  <r>
    <x v="24"/>
    <x v="22"/>
    <n v="1849"/>
    <n v="3557.29"/>
    <n v="3302.7"/>
    <n v="254.59"/>
    <n v="0.93"/>
    <n v="0.25"/>
    <n v="3064.54"/>
    <x v="0"/>
    <n v="687"/>
    <n v="0.43"/>
    <n v="344.88"/>
    <n v="0.1"/>
    <n v="119.36"/>
    <n v="0.03"/>
    <n v="1"/>
    <n v="1286.4100000000001"/>
    <n v="33"/>
    <n v="0"/>
    <n v="615.96"/>
    <n v="2166.96"/>
    <x v="1"/>
    <n v="1813.17"/>
    <x v="1"/>
    <x v="0"/>
    <n v="16.399999999999999"/>
    <s v="High"/>
    <n v="254.59"/>
    <n v="0"/>
  </r>
  <r>
    <x v="24"/>
    <x v="22"/>
    <n v="1606"/>
    <n v="2765.03"/>
    <n v="2939.4"/>
    <n v="-174.37"/>
    <n v="1.06"/>
    <n v="0.06"/>
    <n v="2516.77"/>
    <x v="1"/>
    <n v="765"/>
    <n v="0.56000000000000005"/>
    <n v="405.48"/>
    <n v="0.15"/>
    <n v="326.93"/>
    <n v="0.12"/>
    <n v="2"/>
    <n v="0"/>
    <n v="66"/>
    <n v="0"/>
    <n v="609.73"/>
    <n v="2477.11"/>
    <x v="1"/>
    <n v="1758.01"/>
    <x v="9"/>
    <x v="0"/>
    <n v="23.7"/>
    <s v="Low"/>
    <n v="0"/>
    <n v="0"/>
  </r>
  <r>
    <x v="24"/>
    <x v="22"/>
    <n v="1112"/>
    <n v="4616.28"/>
    <n v="2470.75"/>
    <n v="2145.5300000000002"/>
    <n v="0.54"/>
    <n v="0.31"/>
    <n v="2572.41"/>
    <x v="2"/>
    <n v="682"/>
    <n v="0.5"/>
    <n v="738.24"/>
    <n v="0.16"/>
    <n v="687.53"/>
    <n v="0.15"/>
    <n v="9"/>
    <n v="528.83000000000004"/>
    <n v="62"/>
    <n v="0"/>
    <n v="591.36"/>
    <n v="2694.35"/>
    <x v="2"/>
    <n v="921.51"/>
    <x v="7"/>
    <x v="0"/>
    <n v="90.9"/>
    <s v="Low"/>
    <n v="2145.5300000000002"/>
    <n v="0"/>
  </r>
  <r>
    <x v="24"/>
    <x v="22"/>
    <n v="1946"/>
    <n v="2254.13"/>
    <n v="1827.98"/>
    <n v="426.15"/>
    <n v="0.81"/>
    <n v="0.13"/>
    <n v="2391.37"/>
    <x v="2"/>
    <n v="735"/>
    <n v="0.25"/>
    <n v="642.42999999999995"/>
    <n v="0.28999999999999998"/>
    <n v="308.36"/>
    <n v="0.14000000000000001"/>
    <n v="2"/>
    <n v="598.24"/>
    <n v="63"/>
    <n v="0"/>
    <n v="428.13"/>
    <n v="3063.51"/>
    <x v="1"/>
    <n v="1955.03"/>
    <x v="8"/>
    <x v="0"/>
    <n v="75.3"/>
    <s v="High"/>
    <n v="426.15"/>
    <n v="0"/>
  </r>
  <r>
    <x v="25"/>
    <x v="23"/>
    <n v="1680"/>
    <n v="4859.63"/>
    <n v="2830.71"/>
    <n v="2028.92"/>
    <n v="0.57999999999999996"/>
    <n v="0.4"/>
    <n v="2665.05"/>
    <x v="1"/>
    <n v="609"/>
    <n v="0.32"/>
    <n v="787.17"/>
    <n v="0.16"/>
    <n v="459.74"/>
    <n v="0.09"/>
    <n v="2"/>
    <n v="768.35"/>
    <n v="31"/>
    <n v="0"/>
    <n v="186.89"/>
    <n v="1921.24"/>
    <x v="1"/>
    <n v="1611.29"/>
    <x v="6"/>
    <x v="0"/>
    <n v="39.799999999999997"/>
    <s v="Low"/>
    <n v="2028.92"/>
    <n v="0"/>
  </r>
  <r>
    <x v="25"/>
    <x v="23"/>
    <n v="1332"/>
    <n v="3463.41"/>
    <n v="3271.94"/>
    <n v="191.47"/>
    <n v="0.94"/>
    <n v="0.08"/>
    <n v="2743.33"/>
    <x v="1"/>
    <n v="604"/>
    <n v="0.16"/>
    <n v="415.25"/>
    <n v="0.12"/>
    <n v="396.61"/>
    <n v="0.11"/>
    <n v="5"/>
    <n v="1464.46"/>
    <n v="45"/>
    <n v="0"/>
    <n v="221.86"/>
    <n v="1895.09"/>
    <x v="1"/>
    <n v="1585.15"/>
    <x v="6"/>
    <x v="1"/>
    <n v="91.8"/>
    <s v="High"/>
    <n v="191.47"/>
    <n v="0"/>
  </r>
  <r>
    <x v="25"/>
    <x v="23"/>
    <n v="1561"/>
    <n v="5173.3599999999997"/>
    <n v="1901.57"/>
    <n v="3271.79"/>
    <n v="0.37"/>
    <n v="0.26"/>
    <n v="2810.5"/>
    <x v="0"/>
    <n v="720"/>
    <n v="0.46"/>
    <n v="253.85"/>
    <n v="0.05"/>
    <n v="347.42"/>
    <n v="7.0000000000000007E-2"/>
    <n v="5"/>
    <n v="912"/>
    <n v="77"/>
    <n v="0"/>
    <n v="799.8"/>
    <n v="1000"/>
    <x v="1"/>
    <n v="958.44"/>
    <x v="9"/>
    <x v="0"/>
    <n v="56.6"/>
    <s v="High"/>
    <n v="3271.79"/>
    <n v="1"/>
  </r>
  <r>
    <x v="25"/>
    <x v="23"/>
    <n v="1196"/>
    <n v="2046.45"/>
    <n v="4009.84"/>
    <n v="-1963.39"/>
    <n v="1.96"/>
    <n v="0.4"/>
    <n v="3060.09"/>
    <x v="1"/>
    <n v="663"/>
    <n v="0.28000000000000003"/>
    <n v="362.11"/>
    <n v="0.18"/>
    <n v="730.73"/>
    <n v="0.36"/>
    <n v="8"/>
    <n v="315.68"/>
    <n v="87"/>
    <n v="0"/>
    <n v="452.14"/>
    <n v="2178.34"/>
    <x v="1"/>
    <n v="1651.71"/>
    <x v="3"/>
    <x v="0"/>
    <n v="46.6"/>
    <s v="High"/>
    <n v="0"/>
    <n v="0"/>
  </r>
  <r>
    <x v="25"/>
    <x v="23"/>
    <n v="1271"/>
    <n v="4712.1499999999996"/>
    <n v="3397.54"/>
    <n v="1314.61"/>
    <n v="0.72"/>
    <n v="0.14000000000000001"/>
    <n v="2981.73"/>
    <x v="1"/>
    <n v="679"/>
    <n v="0.14000000000000001"/>
    <n v="192.61"/>
    <n v="0.04"/>
    <n v="767.44"/>
    <n v="0.16"/>
    <n v="7"/>
    <n v="1899.8"/>
    <n v="27"/>
    <n v="0"/>
    <n v="665.8"/>
    <n v="2817.97"/>
    <x v="1"/>
    <n v="1193.97"/>
    <x v="1"/>
    <x v="1"/>
    <n v="42.4"/>
    <s v="Medium"/>
    <n v="1314.61"/>
    <n v="0"/>
  </r>
  <r>
    <x v="25"/>
    <x v="23"/>
    <n v="1482"/>
    <n v="3989.76"/>
    <n v="903.28"/>
    <n v="3086.48"/>
    <n v="0.23"/>
    <n v="0.21"/>
    <n v="3067.23"/>
    <x v="0"/>
    <n v="698"/>
    <n v="0.35"/>
    <n v="454.33"/>
    <n v="0.11"/>
    <n v="445.73"/>
    <n v="0.11"/>
    <n v="4"/>
    <n v="1391.66"/>
    <n v="46"/>
    <n v="0"/>
    <n v="525.44000000000005"/>
    <n v="2510.8200000000002"/>
    <x v="1"/>
    <n v="1198.94"/>
    <x v="8"/>
    <x v="0"/>
    <n v="6.7"/>
    <s v="Medium"/>
    <n v="3086.48"/>
    <n v="1"/>
  </r>
  <r>
    <x v="25"/>
    <x v="23"/>
    <n v="1941"/>
    <n v="3732.11"/>
    <n v="3631.83"/>
    <n v="100.28"/>
    <n v="0.97"/>
    <n v="0.22"/>
    <n v="2719.66"/>
    <x v="1"/>
    <n v="667"/>
    <n v="0.56999999999999995"/>
    <n v="886.41"/>
    <n v="0.24"/>
    <n v="250.78"/>
    <n v="7.0000000000000007E-2"/>
    <n v="6"/>
    <n v="1432.82"/>
    <n v="44"/>
    <n v="0"/>
    <n v="656.08"/>
    <n v="2176.0100000000002"/>
    <x v="1"/>
    <n v="622.54999999999995"/>
    <x v="3"/>
    <x v="0"/>
    <n v="67.900000000000006"/>
    <s v="Medium"/>
    <n v="100.28"/>
    <n v="0"/>
  </r>
  <r>
    <x v="25"/>
    <x v="23"/>
    <n v="1248"/>
    <n v="4007.61"/>
    <n v="3328.15"/>
    <n v="679.46"/>
    <n v="0.83"/>
    <n v="0.18"/>
    <n v="2459.79"/>
    <x v="2"/>
    <n v="674"/>
    <n v="0.45"/>
    <n v="484.39"/>
    <n v="0.12"/>
    <n v="340.96"/>
    <n v="0.09"/>
    <n v="9"/>
    <n v="1170.79"/>
    <n v="49"/>
    <n v="0"/>
    <n v="372.65"/>
    <n v="1807.47"/>
    <x v="1"/>
    <n v="1014.97"/>
    <x v="3"/>
    <x v="0"/>
    <n v="65.8"/>
    <s v="Low"/>
    <n v="679.46"/>
    <n v="0"/>
  </r>
  <r>
    <x v="25"/>
    <x v="23"/>
    <n v="1419"/>
    <n v="4455.45"/>
    <n v="2912.47"/>
    <n v="1542.98"/>
    <n v="0.65"/>
    <n v="0.25"/>
    <n v="2322.2800000000002"/>
    <x v="0"/>
    <n v="699"/>
    <n v="0.34"/>
    <n v="420.46"/>
    <n v="0.09"/>
    <n v="485.64"/>
    <n v="0.11"/>
    <n v="2"/>
    <n v="1109.67"/>
    <n v="47"/>
    <n v="0"/>
    <n v="813.31"/>
    <n v="2698.94"/>
    <x v="1"/>
    <n v="808.18"/>
    <x v="1"/>
    <x v="0"/>
    <n v="4.2"/>
    <s v="Medium"/>
    <n v="1542.98"/>
    <n v="0"/>
  </r>
  <r>
    <x v="25"/>
    <x v="23"/>
    <n v="1163"/>
    <n v="2742.74"/>
    <n v="4821.0200000000004"/>
    <n v="-2078.2800000000002"/>
    <n v="1.76"/>
    <n v="0.25"/>
    <n v="2859.9"/>
    <x v="0"/>
    <n v="656"/>
    <n v="0.45"/>
    <n v="524.49"/>
    <n v="0.19"/>
    <n v="440.24"/>
    <n v="0.16"/>
    <n v="2"/>
    <n v="236.41"/>
    <n v="49"/>
    <n v="0"/>
    <n v="631.79"/>
    <n v="1848.95"/>
    <x v="1"/>
    <n v="1398.78"/>
    <x v="9"/>
    <x v="0"/>
    <n v="23.7"/>
    <s v="Low"/>
    <n v="0"/>
    <n v="0"/>
  </r>
  <r>
    <x v="25"/>
    <x v="23"/>
    <n v="1816"/>
    <n v="5516.76"/>
    <n v="2529.83"/>
    <n v="2986.93"/>
    <n v="0.46"/>
    <n v="0.21"/>
    <n v="2215.5"/>
    <x v="2"/>
    <n v="730"/>
    <n v="0.56000000000000005"/>
    <n v="991.52"/>
    <n v="0.18"/>
    <n v="538.51"/>
    <n v="0.1"/>
    <n v="2"/>
    <n v="727.36"/>
    <n v="64"/>
    <n v="0"/>
    <n v="509.61"/>
    <n v="2339.71"/>
    <x v="1"/>
    <n v="1263.32"/>
    <x v="3"/>
    <x v="0"/>
    <n v="12.9"/>
    <s v="Low"/>
    <n v="2986.93"/>
    <n v="1"/>
  </r>
  <r>
    <x v="25"/>
    <x v="23"/>
    <n v="1919"/>
    <n v="1172.52"/>
    <n v="2783.72"/>
    <n v="-1611.2"/>
    <n v="2.37"/>
    <n v="0.33"/>
    <n v="2399.12"/>
    <x v="1"/>
    <n v="683"/>
    <n v="0.56999999999999995"/>
    <n v="440.02"/>
    <n v="0.38"/>
    <n v="243.7"/>
    <n v="0.21"/>
    <n v="2"/>
    <n v="1840.21"/>
    <n v="77"/>
    <n v="0"/>
    <n v="342.06"/>
    <n v="1342.27"/>
    <x v="0"/>
    <n v="2262.64"/>
    <x v="7"/>
    <x v="1"/>
    <n v="49.2"/>
    <s v="Medium"/>
    <n v="0"/>
    <n v="0"/>
  </r>
  <r>
    <x v="25"/>
    <x v="23"/>
    <n v="1736"/>
    <n v="5284.93"/>
    <n v="4356.18"/>
    <n v="928.75"/>
    <n v="0.82"/>
    <n v="0.12"/>
    <n v="2687.59"/>
    <x v="1"/>
    <n v="637"/>
    <n v="0.27"/>
    <n v="571.41"/>
    <n v="0.11"/>
    <n v="146.91999999999999"/>
    <n v="0.03"/>
    <n v="6"/>
    <n v="1608.74"/>
    <n v="96"/>
    <n v="0"/>
    <n v="399.8"/>
    <n v="2329.5500000000002"/>
    <x v="0"/>
    <n v="1068.3499999999999"/>
    <x v="0"/>
    <x v="0"/>
    <n v="8.1999999999999993"/>
    <s v="High"/>
    <n v="928.75"/>
    <n v="0"/>
  </r>
  <r>
    <x v="25"/>
    <x v="23"/>
    <n v="1632"/>
    <n v="3835.88"/>
    <n v="3787.06"/>
    <n v="48.82"/>
    <n v="0.99"/>
    <n v="0.21"/>
    <n v="2630.93"/>
    <x v="1"/>
    <n v="744"/>
    <n v="0.35"/>
    <n v="887.31"/>
    <n v="0.23"/>
    <n v="1.1599999999999999"/>
    <n v="0"/>
    <n v="4"/>
    <n v="188.05"/>
    <n v="58"/>
    <n v="0"/>
    <n v="509.11"/>
    <n v="3162.9"/>
    <x v="1"/>
    <n v="403.7"/>
    <x v="7"/>
    <x v="0"/>
    <n v="15.2"/>
    <s v="Low"/>
    <n v="48.82"/>
    <n v="0"/>
  </r>
  <r>
    <x v="25"/>
    <x v="23"/>
    <n v="1336"/>
    <n v="3353.89"/>
    <n v="1413.99"/>
    <n v="1939.9"/>
    <n v="0.42"/>
    <n v="0.08"/>
    <n v="3024.85"/>
    <x v="1"/>
    <n v="650"/>
    <n v="0.13"/>
    <n v="753.58"/>
    <n v="0.22"/>
    <n v="745.22"/>
    <n v="0.22"/>
    <n v="4"/>
    <n v="410.35"/>
    <n v="22"/>
    <n v="0"/>
    <n v="771.26"/>
    <n v="3507.66"/>
    <x v="1"/>
    <n v="1282.28"/>
    <x v="7"/>
    <x v="1"/>
    <n v="92.8"/>
    <s v="Medium"/>
    <n v="1939.9"/>
    <n v="0"/>
  </r>
  <r>
    <x v="25"/>
    <x v="23"/>
    <n v="1226"/>
    <n v="4437.88"/>
    <n v="3401.22"/>
    <n v="1036.6600000000001"/>
    <n v="0.77"/>
    <n v="0.14000000000000001"/>
    <n v="2362.42"/>
    <x v="1"/>
    <n v="713"/>
    <n v="0.54"/>
    <n v="580.17999999999995"/>
    <n v="0.13"/>
    <n v="26.42"/>
    <n v="0.01"/>
    <n v="7"/>
    <n v="1269.92"/>
    <n v="30"/>
    <n v="0"/>
    <n v="465"/>
    <n v="1430.54"/>
    <x v="1"/>
    <n v="1719.24"/>
    <x v="0"/>
    <x v="2"/>
    <n v="96.9"/>
    <s v="Low"/>
    <n v="1036.6600000000001"/>
    <n v="0"/>
  </r>
  <r>
    <x v="25"/>
    <x v="23"/>
    <n v="1245"/>
    <n v="1957.14"/>
    <n v="3683.59"/>
    <n v="-1726.45"/>
    <n v="1.88"/>
    <n v="0.32"/>
    <n v="2610.94"/>
    <x v="2"/>
    <n v="647"/>
    <n v="0.33"/>
    <n v="118.24"/>
    <n v="0.06"/>
    <n v="132.06"/>
    <n v="7.0000000000000007E-2"/>
    <n v="7"/>
    <n v="1227.94"/>
    <n v="35"/>
    <n v="0"/>
    <n v="570.24"/>
    <n v="3045.26"/>
    <x v="1"/>
    <n v="1608.24"/>
    <x v="2"/>
    <x v="0"/>
    <n v="15.8"/>
    <s v="Medium"/>
    <n v="0"/>
    <n v="0"/>
  </r>
  <r>
    <x v="25"/>
    <x v="23"/>
    <n v="1663"/>
    <n v="3007.28"/>
    <n v="1754.01"/>
    <n v="1253.27"/>
    <n v="0.57999999999999996"/>
    <n v="0.19"/>
    <n v="2070.83"/>
    <x v="1"/>
    <n v="644"/>
    <n v="0.36"/>
    <n v="396.32"/>
    <n v="0.13"/>
    <n v="1056.53"/>
    <n v="0.35"/>
    <n v="9"/>
    <n v="999.69"/>
    <n v="92"/>
    <n v="0"/>
    <n v="610.91999999999996"/>
    <n v="1000"/>
    <x v="1"/>
    <n v="1489.76"/>
    <x v="2"/>
    <x v="1"/>
    <n v="37.9"/>
    <s v="Medium"/>
    <n v="1253.27"/>
    <n v="0"/>
  </r>
  <r>
    <x v="25"/>
    <x v="23"/>
    <n v="1729"/>
    <n v="3494.72"/>
    <n v="3054.29"/>
    <n v="440.43"/>
    <n v="0.87"/>
    <n v="0.13"/>
    <n v="2364"/>
    <x v="1"/>
    <n v="663"/>
    <n v="0.31"/>
    <n v="314.63"/>
    <n v="0.09"/>
    <n v="500.49"/>
    <n v="0.14000000000000001"/>
    <n v="6"/>
    <n v="1363.45"/>
    <n v="25"/>
    <n v="0"/>
    <n v="451.45"/>
    <n v="2851.1"/>
    <x v="1"/>
    <n v="907.7"/>
    <x v="6"/>
    <x v="0"/>
    <n v="88.2"/>
    <s v="Medium"/>
    <n v="440.43"/>
    <n v="0"/>
  </r>
  <r>
    <x v="25"/>
    <x v="23"/>
    <n v="1802"/>
    <n v="2755.45"/>
    <n v="2302.9899999999998"/>
    <n v="452.46"/>
    <n v="0.84"/>
    <n v="0.35"/>
    <n v="1882.96"/>
    <x v="1"/>
    <n v="651"/>
    <n v="0.48"/>
    <n v="552.79999999999995"/>
    <n v="0.2"/>
    <n v="822.54"/>
    <n v="0.3"/>
    <n v="3"/>
    <n v="828.85"/>
    <n v="46"/>
    <n v="0"/>
    <n v="576.19000000000005"/>
    <n v="2331.48"/>
    <x v="0"/>
    <n v="1712.95"/>
    <x v="0"/>
    <x v="0"/>
    <n v="14.2"/>
    <s v="Medium"/>
    <n v="452.46"/>
    <n v="0"/>
  </r>
  <r>
    <x v="25"/>
    <x v="23"/>
    <n v="1631"/>
    <n v="2199.15"/>
    <n v="3727.1"/>
    <n v="-1527.95"/>
    <n v="1.69"/>
    <n v="0.27"/>
    <n v="2929.58"/>
    <x v="1"/>
    <n v="761"/>
    <n v="0.18"/>
    <n v="548.25"/>
    <n v="0.25"/>
    <n v="475.58"/>
    <n v="0.22"/>
    <n v="2"/>
    <n v="1090.17"/>
    <n v="70"/>
    <n v="0"/>
    <n v="428.34"/>
    <n v="1268.99"/>
    <x v="1"/>
    <n v="1975.6"/>
    <x v="5"/>
    <x v="0"/>
    <n v="87.6"/>
    <s v="High"/>
    <n v="0"/>
    <n v="0"/>
  </r>
  <r>
    <x v="25"/>
    <x v="23"/>
    <n v="1790"/>
    <n v="1710.02"/>
    <n v="2960.71"/>
    <n v="-1250.69"/>
    <n v="1.73"/>
    <n v="0.38"/>
    <n v="2864.37"/>
    <x v="1"/>
    <n v="753"/>
    <n v="0.2"/>
    <n v="384.02"/>
    <n v="0.22"/>
    <n v="55.55"/>
    <n v="0.03"/>
    <n v="5"/>
    <n v="345.16"/>
    <n v="20"/>
    <n v="0"/>
    <n v="492.95"/>
    <n v="1058.1400000000001"/>
    <x v="1"/>
    <n v="1365.88"/>
    <x v="7"/>
    <x v="1"/>
    <n v="34.6"/>
    <s v="Low"/>
    <n v="0"/>
    <n v="0"/>
  </r>
  <r>
    <x v="25"/>
    <x v="23"/>
    <n v="1607"/>
    <n v="4992.93"/>
    <n v="2954.29"/>
    <n v="2038.64"/>
    <n v="0.59"/>
    <n v="0.25"/>
    <n v="2976.17"/>
    <x v="0"/>
    <n v="656"/>
    <n v="0.47"/>
    <n v="563.05999999999995"/>
    <n v="0.11"/>
    <n v="507.27"/>
    <n v="0.1"/>
    <n v="1"/>
    <n v="1297.57"/>
    <n v="21"/>
    <n v="0"/>
    <n v="540.80999999999995"/>
    <n v="2016.59"/>
    <x v="0"/>
    <n v="539.52"/>
    <x v="3"/>
    <x v="2"/>
    <n v="4.7"/>
    <s v="Low"/>
    <n v="2038.64"/>
    <n v="0"/>
  </r>
  <r>
    <x v="25"/>
    <x v="23"/>
    <n v="1759"/>
    <n v="2821.14"/>
    <n v="3482.94"/>
    <n v="-661.8"/>
    <n v="1.23"/>
    <n v="0.25"/>
    <n v="3702.63"/>
    <x v="0"/>
    <n v="670"/>
    <n v="0.32"/>
    <n v="165.3"/>
    <n v="0.06"/>
    <n v="175.26"/>
    <n v="0.06"/>
    <n v="1"/>
    <n v="1044.31"/>
    <n v="76"/>
    <n v="0"/>
    <n v="535.98"/>
    <n v="1518"/>
    <x v="1"/>
    <n v="1462.06"/>
    <x v="2"/>
    <x v="2"/>
    <n v="67.400000000000006"/>
    <s v="Medium"/>
    <n v="0"/>
    <n v="0"/>
  </r>
  <r>
    <x v="25"/>
    <x v="23"/>
    <n v="1810"/>
    <n v="4027.77"/>
    <n v="2853.22"/>
    <n v="1174.55"/>
    <n v="0.71"/>
    <n v="0.09"/>
    <n v="2733.82"/>
    <x v="0"/>
    <n v="626"/>
    <n v="0.57999999999999996"/>
    <n v="473.35"/>
    <n v="0.12"/>
    <n v="405.16"/>
    <n v="0.1"/>
    <n v="3"/>
    <n v="556.47"/>
    <n v="88"/>
    <n v="0"/>
    <n v="79.75"/>
    <n v="2465.0700000000002"/>
    <x v="1"/>
    <n v="989.12"/>
    <x v="8"/>
    <x v="0"/>
    <n v="89.5"/>
    <s v="High"/>
    <n v="1174.55"/>
    <n v="0"/>
  </r>
  <r>
    <x v="25"/>
    <x v="23"/>
    <n v="1589"/>
    <n v="4640.5"/>
    <n v="2528.4499999999998"/>
    <n v="2112.0500000000002"/>
    <n v="0.54"/>
    <n v="0.27"/>
    <n v="3859.5"/>
    <x v="1"/>
    <n v="691"/>
    <n v="0.45"/>
    <n v="441.17"/>
    <n v="0.1"/>
    <n v="267.39"/>
    <n v="0.06"/>
    <n v="6"/>
    <n v="0"/>
    <n v="72"/>
    <n v="0"/>
    <n v="367.52"/>
    <n v="1815.42"/>
    <x v="1"/>
    <n v="1662.16"/>
    <x v="7"/>
    <x v="2"/>
    <n v="76.3"/>
    <s v="High"/>
    <n v="2112.0500000000002"/>
    <n v="0"/>
  </r>
  <r>
    <x v="25"/>
    <x v="23"/>
    <n v="1953"/>
    <n v="4042.72"/>
    <n v="3485.08"/>
    <n v="557.64"/>
    <n v="0.86"/>
    <n v="0.32"/>
    <n v="2916.12"/>
    <x v="2"/>
    <n v="708"/>
    <n v="0.15"/>
    <n v="579.36"/>
    <n v="0.14000000000000001"/>
    <n v="440.4"/>
    <n v="0.11"/>
    <n v="4"/>
    <n v="710.16"/>
    <n v="84"/>
    <n v="0"/>
    <n v="511.6"/>
    <n v="2203.96"/>
    <x v="1"/>
    <n v="1315"/>
    <x v="1"/>
    <x v="1"/>
    <n v="74.599999999999994"/>
    <s v="Medium"/>
    <n v="557.64"/>
    <n v="0"/>
  </r>
  <r>
    <x v="25"/>
    <x v="23"/>
    <n v="1607"/>
    <n v="4312.67"/>
    <n v="2589.56"/>
    <n v="1723.11"/>
    <n v="0.6"/>
    <n v="0.05"/>
    <n v="2770.19"/>
    <x v="1"/>
    <n v="640"/>
    <n v="0.19"/>
    <n v="435.89"/>
    <n v="0.1"/>
    <n v="438.83"/>
    <n v="0.1"/>
    <n v="6"/>
    <n v="1130.21"/>
    <n v="61"/>
    <n v="0"/>
    <n v="637.71"/>
    <n v="3187.98"/>
    <x v="1"/>
    <n v="1072.8399999999999"/>
    <x v="9"/>
    <x v="0"/>
    <n v="21.5"/>
    <s v="Low"/>
    <n v="1723.11"/>
    <n v="0"/>
  </r>
  <r>
    <x v="25"/>
    <x v="23"/>
    <n v="1656"/>
    <n v="4241.75"/>
    <n v="2629.51"/>
    <n v="1612.24"/>
    <n v="0.62"/>
    <n v="0.2"/>
    <n v="2342.29"/>
    <x v="1"/>
    <n v="585"/>
    <n v="0.3"/>
    <n v="784.3"/>
    <n v="0.18"/>
    <n v="456.01"/>
    <n v="0.11"/>
    <n v="2"/>
    <n v="512.51"/>
    <n v="77"/>
    <n v="0"/>
    <n v="133.01"/>
    <n v="1629.29"/>
    <x v="1"/>
    <n v="612.74"/>
    <x v="9"/>
    <x v="2"/>
    <n v="42.7"/>
    <s v="Medium"/>
    <n v="1612.24"/>
    <n v="0"/>
  </r>
  <r>
    <x v="25"/>
    <x v="23"/>
    <n v="1729"/>
    <n v="2223.77"/>
    <n v="1831.22"/>
    <n v="392.55"/>
    <n v="0.82"/>
    <n v="0.4"/>
    <n v="2779.55"/>
    <x v="1"/>
    <n v="602"/>
    <n v="0.45"/>
    <n v="519"/>
    <n v="0.23"/>
    <n v="238.4"/>
    <n v="0.11"/>
    <n v="8"/>
    <n v="755.98"/>
    <n v="98"/>
    <n v="0"/>
    <n v="662.48"/>
    <n v="2465.4299999999998"/>
    <x v="2"/>
    <n v="1048.17"/>
    <x v="8"/>
    <x v="2"/>
    <n v="33.6"/>
    <s v="Medium"/>
    <n v="392.55"/>
    <n v="0"/>
  </r>
  <r>
    <x v="25"/>
    <x v="23"/>
    <n v="1137"/>
    <n v="2880.75"/>
    <n v="2088.7800000000002"/>
    <n v="791.97"/>
    <n v="0.73"/>
    <n v="0.09"/>
    <n v="2671.61"/>
    <x v="1"/>
    <n v="700"/>
    <n v="0.56000000000000005"/>
    <n v="592.21"/>
    <n v="0.21"/>
    <n v="615.67999999999995"/>
    <n v="0.21"/>
    <n v="9"/>
    <n v="745.66"/>
    <n v="85"/>
    <n v="0"/>
    <n v="630.94000000000005"/>
    <n v="1910.13"/>
    <x v="1"/>
    <n v="1620.44"/>
    <x v="4"/>
    <x v="0"/>
    <n v="34.9"/>
    <s v="Medium"/>
    <n v="791.97"/>
    <n v="0"/>
  </r>
  <r>
    <x v="25"/>
    <x v="23"/>
    <n v="1053"/>
    <n v="4763.5600000000004"/>
    <n v="3377.53"/>
    <n v="1386.03"/>
    <n v="0.71"/>
    <n v="0.14000000000000001"/>
    <n v="3845.96"/>
    <x v="1"/>
    <n v="695"/>
    <n v="0.45"/>
    <n v="299.33999999999997"/>
    <n v="0.06"/>
    <n v="419.97"/>
    <n v="0.09"/>
    <n v="4"/>
    <n v="804.45"/>
    <n v="21"/>
    <n v="0"/>
    <n v="126.05"/>
    <n v="2030.42"/>
    <x v="1"/>
    <n v="969.88"/>
    <x v="6"/>
    <x v="2"/>
    <n v="33.1"/>
    <s v="Medium"/>
    <n v="1386.03"/>
    <n v="0"/>
  </r>
  <r>
    <x v="25"/>
    <x v="23"/>
    <n v="1994"/>
    <n v="4597.41"/>
    <n v="3524.85"/>
    <n v="1072.56"/>
    <n v="0.77"/>
    <n v="0.38"/>
    <n v="2786.29"/>
    <x v="2"/>
    <n v="720"/>
    <n v="0.41"/>
    <n v="137.21"/>
    <n v="0.03"/>
    <n v="480.19"/>
    <n v="0.1"/>
    <n v="1"/>
    <n v="373.12"/>
    <n v="38"/>
    <n v="0"/>
    <n v="661.53"/>
    <n v="1490.51"/>
    <x v="0"/>
    <n v="1428.58"/>
    <x v="1"/>
    <x v="2"/>
    <n v="10.1"/>
    <s v="Low"/>
    <n v="1072.56"/>
    <n v="0"/>
  </r>
  <r>
    <x v="25"/>
    <x v="23"/>
    <n v="1074"/>
    <n v="5245.26"/>
    <n v="3743.35"/>
    <n v="1501.91"/>
    <n v="0.71"/>
    <n v="7.0000000000000007E-2"/>
    <n v="3510.16"/>
    <x v="1"/>
    <n v="735"/>
    <n v="0.41"/>
    <n v="688.89"/>
    <n v="0.13"/>
    <n v="0"/>
    <n v="0"/>
    <n v="2"/>
    <n v="741.2"/>
    <n v="44"/>
    <n v="0"/>
    <n v="452.21"/>
    <n v="2313.39"/>
    <x v="1"/>
    <n v="559.78"/>
    <x v="8"/>
    <x v="1"/>
    <n v="3.8"/>
    <s v="Low"/>
    <n v="1501.91"/>
    <n v="0"/>
  </r>
  <r>
    <x v="25"/>
    <x v="23"/>
    <n v="1842"/>
    <n v="4295.84"/>
    <n v="3338.27"/>
    <n v="957.57"/>
    <n v="0.78"/>
    <n v="0.28999999999999998"/>
    <n v="2839.65"/>
    <x v="1"/>
    <n v="623"/>
    <n v="0.39"/>
    <n v="191.73"/>
    <n v="0.04"/>
    <n v="112.82"/>
    <n v="0.03"/>
    <n v="6"/>
    <n v="474.31"/>
    <n v="31"/>
    <n v="0"/>
    <n v="386.69"/>
    <n v="3298.43"/>
    <x v="1"/>
    <n v="960.41"/>
    <x v="2"/>
    <x v="0"/>
    <n v="5.2"/>
    <s v="High"/>
    <n v="957.57"/>
    <n v="0"/>
  </r>
  <r>
    <x v="25"/>
    <x v="23"/>
    <n v="1414"/>
    <n v="4461.22"/>
    <n v="3997.32"/>
    <n v="463.9"/>
    <n v="0.9"/>
    <n v="0.33"/>
    <n v="3025.72"/>
    <x v="2"/>
    <n v="684"/>
    <n v="0.51"/>
    <n v="638.83000000000004"/>
    <n v="0.14000000000000001"/>
    <n v="570.15"/>
    <n v="0.13"/>
    <n v="7"/>
    <n v="1147.99"/>
    <n v="57"/>
    <n v="0"/>
    <n v="531.05999999999995"/>
    <n v="2396.5500000000002"/>
    <x v="1"/>
    <n v="1222.68"/>
    <x v="0"/>
    <x v="2"/>
    <n v="89.6"/>
    <s v="Medium"/>
    <n v="463.9"/>
    <n v="0"/>
  </r>
  <r>
    <x v="25"/>
    <x v="23"/>
    <n v="1587"/>
    <n v="2960.12"/>
    <n v="3608.82"/>
    <n v="-648.70000000000005"/>
    <n v="1.22"/>
    <n v="0.26"/>
    <n v="2104.1"/>
    <x v="1"/>
    <n v="716"/>
    <n v="0.19"/>
    <n v="691.54"/>
    <n v="0.23"/>
    <n v="81.7"/>
    <n v="0.03"/>
    <n v="1"/>
    <n v="840.9"/>
    <n v="90"/>
    <n v="0"/>
    <n v="738.79"/>
    <n v="2768.86"/>
    <x v="1"/>
    <n v="1099.73"/>
    <x v="0"/>
    <x v="1"/>
    <n v="83.1"/>
    <s v="High"/>
    <n v="0"/>
    <n v="0"/>
  </r>
  <r>
    <x v="25"/>
    <x v="23"/>
    <n v="1280"/>
    <n v="4168.25"/>
    <n v="2175.41"/>
    <n v="1992.84"/>
    <n v="0.52"/>
    <n v="0.2"/>
    <n v="2758.64"/>
    <x v="2"/>
    <n v="654"/>
    <n v="0.54"/>
    <n v="396.52"/>
    <n v="0.1"/>
    <n v="606.66"/>
    <n v="0.15"/>
    <n v="9"/>
    <n v="353.3"/>
    <n v="74"/>
    <n v="0"/>
    <n v="416.75"/>
    <n v="2300.5100000000002"/>
    <x v="1"/>
    <n v="1417.37"/>
    <x v="5"/>
    <x v="0"/>
    <n v="99.7"/>
    <s v="Low"/>
    <n v="1992.84"/>
    <n v="0"/>
  </r>
  <r>
    <x v="25"/>
    <x v="23"/>
    <n v="1215"/>
    <n v="2131.0100000000002"/>
    <n v="2020.26"/>
    <n v="110.75"/>
    <n v="0.95"/>
    <n v="0.38"/>
    <n v="2514.5300000000002"/>
    <x v="1"/>
    <n v="647"/>
    <n v="0.53"/>
    <n v="256.45999999999998"/>
    <n v="0.12"/>
    <n v="41.67"/>
    <n v="0.02"/>
    <n v="2"/>
    <n v="1685.92"/>
    <n v="39"/>
    <n v="0"/>
    <n v="718.85"/>
    <n v="2449.94"/>
    <x v="1"/>
    <n v="1547.39"/>
    <x v="2"/>
    <x v="0"/>
    <n v="90.4"/>
    <s v="Medium"/>
    <n v="110.75"/>
    <n v="0"/>
  </r>
  <r>
    <x v="25"/>
    <x v="23"/>
    <n v="1578"/>
    <n v="3615.39"/>
    <n v="2572.65"/>
    <n v="1042.74"/>
    <n v="0.71"/>
    <n v="0.09"/>
    <n v="2324.56"/>
    <x v="2"/>
    <n v="689"/>
    <n v="0.17"/>
    <n v="522.41"/>
    <n v="0.14000000000000001"/>
    <n v="737.38"/>
    <n v="0.2"/>
    <n v="5"/>
    <n v="1089.8800000000001"/>
    <n v="54"/>
    <n v="0"/>
    <n v="146.75"/>
    <n v="1704.72"/>
    <x v="1"/>
    <n v="2340.69"/>
    <x v="6"/>
    <x v="0"/>
    <n v="57.8"/>
    <s v="Low"/>
    <n v="1042.74"/>
    <n v="0"/>
  </r>
  <r>
    <x v="25"/>
    <x v="23"/>
    <n v="1970"/>
    <n v="2377.35"/>
    <n v="3709.72"/>
    <n v="-1332.37"/>
    <n v="1.56"/>
    <n v="0.38"/>
    <n v="3182.65"/>
    <x v="2"/>
    <n v="720"/>
    <n v="0.38"/>
    <n v="677.47"/>
    <n v="0.28000000000000003"/>
    <n v="25.62"/>
    <n v="0.01"/>
    <n v="7"/>
    <n v="1614.01"/>
    <n v="80"/>
    <n v="0"/>
    <n v="982.18"/>
    <n v="2967.04"/>
    <x v="0"/>
    <n v="571.49"/>
    <x v="9"/>
    <x v="2"/>
    <n v="91.9"/>
    <s v="Low"/>
    <n v="0"/>
    <n v="0"/>
  </r>
  <r>
    <x v="25"/>
    <x v="23"/>
    <n v="1462"/>
    <n v="3844.67"/>
    <n v="2516.9"/>
    <n v="1327.77"/>
    <n v="0.65"/>
    <n v="0.39"/>
    <n v="3275.03"/>
    <x v="0"/>
    <n v="673"/>
    <n v="0.28999999999999998"/>
    <n v="509.86"/>
    <n v="0.13"/>
    <n v="380.98"/>
    <n v="0.1"/>
    <n v="8"/>
    <n v="670.32"/>
    <n v="25"/>
    <n v="0"/>
    <n v="622.92999999999995"/>
    <n v="2642.72"/>
    <x v="1"/>
    <n v="916.63"/>
    <x v="3"/>
    <x v="2"/>
    <n v="10.4"/>
    <s v="Medium"/>
    <n v="1327.77"/>
    <n v="0"/>
  </r>
  <r>
    <x v="25"/>
    <x v="23"/>
    <n v="1667"/>
    <n v="3897.86"/>
    <n v="4084.01"/>
    <n v="-186.15"/>
    <n v="1.05"/>
    <n v="0.28000000000000003"/>
    <n v="3073.01"/>
    <x v="1"/>
    <n v="811"/>
    <n v="0.11"/>
    <n v="658.08"/>
    <n v="0.17"/>
    <n v="252.46"/>
    <n v="0.06"/>
    <n v="3"/>
    <n v="1270.27"/>
    <n v="83"/>
    <n v="0"/>
    <n v="251.43"/>
    <n v="1776.82"/>
    <x v="1"/>
    <n v="2033.67"/>
    <x v="4"/>
    <x v="1"/>
    <n v="74.400000000000006"/>
    <s v="Medium"/>
    <n v="0"/>
    <n v="0"/>
  </r>
  <r>
    <x v="25"/>
    <x v="23"/>
    <n v="1764"/>
    <n v="4401.1400000000003"/>
    <n v="4136.3900000000003"/>
    <n v="264.75"/>
    <n v="0.94"/>
    <n v="0.08"/>
    <n v="2268.12"/>
    <x v="2"/>
    <n v="696"/>
    <n v="0.55000000000000004"/>
    <n v="562.20000000000005"/>
    <n v="0.13"/>
    <n v="581.28"/>
    <n v="0.13"/>
    <n v="9"/>
    <n v="747.9"/>
    <n v="84"/>
    <n v="0"/>
    <n v="458.8"/>
    <n v="2676.1"/>
    <x v="1"/>
    <n v="1040.44"/>
    <x v="7"/>
    <x v="0"/>
    <n v="65.8"/>
    <s v="Low"/>
    <n v="264.75"/>
    <n v="0"/>
  </r>
  <r>
    <x v="25"/>
    <x v="23"/>
    <n v="1688"/>
    <n v="5099.01"/>
    <n v="1419.91"/>
    <n v="3679.1"/>
    <n v="0.28000000000000003"/>
    <n v="0.2"/>
    <n v="3217.43"/>
    <x v="1"/>
    <n v="650"/>
    <n v="0.28999999999999998"/>
    <n v="378.61"/>
    <n v="7.0000000000000007E-2"/>
    <n v="462.98"/>
    <n v="0.09"/>
    <n v="4"/>
    <n v="797.52"/>
    <n v="98"/>
    <n v="0"/>
    <n v="513.27"/>
    <n v="2994.56"/>
    <x v="1"/>
    <n v="1592.53"/>
    <x v="4"/>
    <x v="1"/>
    <n v="23.4"/>
    <s v="Medium"/>
    <n v="3679.1"/>
    <n v="1"/>
  </r>
  <r>
    <x v="25"/>
    <x v="23"/>
    <n v="1637"/>
    <n v="3748.07"/>
    <n v="3559.08"/>
    <n v="188.99"/>
    <n v="0.95"/>
    <n v="0.24"/>
    <n v="2634.2"/>
    <x v="1"/>
    <n v="684"/>
    <n v="0.43"/>
    <n v="678.38"/>
    <n v="0.18"/>
    <n v="502.43"/>
    <n v="0.13"/>
    <n v="9"/>
    <n v="939.24"/>
    <n v="36"/>
    <n v="0"/>
    <n v="751.18"/>
    <n v="1903.07"/>
    <x v="1"/>
    <n v="1791.84"/>
    <x v="4"/>
    <x v="0"/>
    <n v="69"/>
    <s v="High"/>
    <n v="188.99"/>
    <n v="0"/>
  </r>
  <r>
    <x v="25"/>
    <x v="23"/>
    <n v="1091"/>
    <n v="2927.02"/>
    <n v="2492.13"/>
    <n v="434.89"/>
    <n v="0.85"/>
    <n v="0.09"/>
    <n v="2553.59"/>
    <x v="0"/>
    <n v="744"/>
    <n v="0.53"/>
    <n v="497.76"/>
    <n v="0.17"/>
    <n v="613.9"/>
    <n v="0.21"/>
    <n v="3"/>
    <n v="1972.13"/>
    <n v="86"/>
    <n v="0"/>
    <n v="678.52"/>
    <n v="2991.42"/>
    <x v="0"/>
    <n v="771.64"/>
    <x v="6"/>
    <x v="0"/>
    <n v="79.099999999999994"/>
    <s v="Low"/>
    <n v="434.89"/>
    <n v="0"/>
  </r>
  <r>
    <x v="25"/>
    <x v="23"/>
    <n v="1442"/>
    <n v="2139.48"/>
    <n v="1782.53"/>
    <n v="356.95"/>
    <n v="0.83"/>
    <n v="0.25"/>
    <n v="2591.0500000000002"/>
    <x v="1"/>
    <n v="688"/>
    <n v="0.28999999999999998"/>
    <n v="601.04"/>
    <n v="0.28000000000000003"/>
    <n v="495.66"/>
    <n v="0.23"/>
    <n v="9"/>
    <n v="1860.88"/>
    <n v="98"/>
    <n v="0"/>
    <n v="340.98"/>
    <n v="1580.57"/>
    <x v="1"/>
    <n v="1434.48"/>
    <x v="7"/>
    <x v="2"/>
    <n v="77.5"/>
    <s v="Low"/>
    <n v="356.95"/>
    <n v="0"/>
  </r>
  <r>
    <x v="25"/>
    <x v="23"/>
    <n v="1972"/>
    <n v="3254.1"/>
    <n v="3542.05"/>
    <n v="-287.95"/>
    <n v="1.0900000000000001"/>
    <n v="0.09"/>
    <n v="2932.3"/>
    <x v="0"/>
    <n v="614"/>
    <n v="0.14000000000000001"/>
    <n v="341.82"/>
    <n v="0.11"/>
    <n v="152.04"/>
    <n v="0.05"/>
    <n v="3"/>
    <n v="939.15"/>
    <n v="49"/>
    <n v="1"/>
    <n v="654.41999999999996"/>
    <n v="2334.65"/>
    <x v="1"/>
    <n v="1040.1300000000001"/>
    <x v="7"/>
    <x v="2"/>
    <n v="24.2"/>
    <s v="Medium"/>
    <n v="0"/>
    <n v="0"/>
  </r>
  <r>
    <x v="25"/>
    <x v="23"/>
    <n v="1689"/>
    <n v="4273.24"/>
    <n v="2288.66"/>
    <n v="1984.58"/>
    <n v="0.54"/>
    <n v="0.34"/>
    <n v="1659.19"/>
    <x v="0"/>
    <n v="700"/>
    <n v="0.3"/>
    <n v="163"/>
    <n v="0.04"/>
    <n v="521.28"/>
    <n v="0.12"/>
    <n v="8"/>
    <n v="480.48"/>
    <n v="83"/>
    <n v="0"/>
    <n v="618.15"/>
    <n v="1555.72"/>
    <x v="1"/>
    <n v="1520.62"/>
    <x v="0"/>
    <x v="1"/>
    <n v="94.9"/>
    <s v="Low"/>
    <n v="1984.58"/>
    <n v="1"/>
  </r>
  <r>
    <x v="26"/>
    <x v="24"/>
    <n v="1621"/>
    <n v="5414.37"/>
    <n v="3328.5"/>
    <n v="2085.87"/>
    <n v="0.61"/>
    <n v="0.1"/>
    <n v="2707.47"/>
    <x v="0"/>
    <n v="665"/>
    <n v="0.56000000000000005"/>
    <n v="540.72"/>
    <n v="0.1"/>
    <n v="512.29"/>
    <n v="0.09"/>
    <n v="5"/>
    <n v="1233.8800000000001"/>
    <n v="41"/>
    <n v="0"/>
    <n v="468.01"/>
    <n v="2460.65"/>
    <x v="1"/>
    <n v="964.77"/>
    <x v="3"/>
    <x v="0"/>
    <n v="47.7"/>
    <s v="Medium"/>
    <n v="2085.87"/>
    <n v="0"/>
  </r>
  <r>
    <x v="26"/>
    <x v="24"/>
    <n v="1071"/>
    <n v="4599.21"/>
    <n v="3564.07"/>
    <n v="1035.1400000000001"/>
    <n v="0.77"/>
    <n v="0.3"/>
    <n v="3528.02"/>
    <x v="0"/>
    <n v="657"/>
    <n v="0.37"/>
    <n v="385.63"/>
    <n v="0.08"/>
    <n v="736.26"/>
    <n v="0.16"/>
    <n v="6"/>
    <n v="503.96"/>
    <n v="21"/>
    <n v="0"/>
    <n v="606.22"/>
    <n v="2307.27"/>
    <x v="1"/>
    <n v="1451.61"/>
    <x v="4"/>
    <x v="0"/>
    <n v="61.4"/>
    <s v="Low"/>
    <n v="1035.1400000000001"/>
    <n v="0"/>
  </r>
  <r>
    <x v="26"/>
    <x v="24"/>
    <n v="1726"/>
    <n v="3916.1"/>
    <n v="3321.43"/>
    <n v="594.66999999999996"/>
    <n v="0.85"/>
    <n v="0.12"/>
    <n v="3274.45"/>
    <x v="1"/>
    <n v="598"/>
    <n v="0.28000000000000003"/>
    <n v="369.36"/>
    <n v="0.09"/>
    <n v="275.25"/>
    <n v="7.0000000000000007E-2"/>
    <n v="1"/>
    <n v="2192.0300000000002"/>
    <n v="75"/>
    <n v="0"/>
    <n v="657.48"/>
    <n v="3000.99"/>
    <x v="1"/>
    <n v="911.81"/>
    <x v="2"/>
    <x v="0"/>
    <n v="64.8"/>
    <s v="High"/>
    <n v="594.66999999999996"/>
    <n v="0"/>
  </r>
  <r>
    <x v="26"/>
    <x v="24"/>
    <n v="1317"/>
    <n v="4301.87"/>
    <n v="2687.81"/>
    <n v="1614.06"/>
    <n v="0.62"/>
    <n v="0.28000000000000003"/>
    <n v="3167.77"/>
    <x v="1"/>
    <n v="715"/>
    <n v="0.59"/>
    <n v="960.2"/>
    <n v="0.22"/>
    <n v="527.67999999999995"/>
    <n v="0.12"/>
    <n v="3"/>
    <n v="884.83"/>
    <n v="98"/>
    <n v="0"/>
    <n v="476.81"/>
    <n v="1884.19"/>
    <x v="1"/>
    <n v="1060.97"/>
    <x v="8"/>
    <x v="0"/>
    <n v="25"/>
    <s v="Low"/>
    <n v="1614.06"/>
    <n v="0"/>
  </r>
  <r>
    <x v="26"/>
    <x v="24"/>
    <n v="1207"/>
    <n v="3789.06"/>
    <n v="2571.2399999999998"/>
    <n v="1217.82"/>
    <n v="0.68"/>
    <n v="0.34"/>
    <n v="3195.33"/>
    <x v="1"/>
    <n v="661"/>
    <n v="0.52"/>
    <n v="833.95"/>
    <n v="0.22"/>
    <n v="600.14"/>
    <n v="0.16"/>
    <n v="4"/>
    <n v="1455.27"/>
    <n v="57"/>
    <n v="0"/>
    <n v="577.04999999999995"/>
    <n v="2842.82"/>
    <x v="1"/>
    <n v="1880.98"/>
    <x v="5"/>
    <x v="1"/>
    <n v="50.2"/>
    <s v="Medium"/>
    <n v="1217.82"/>
    <n v="0"/>
  </r>
  <r>
    <x v="26"/>
    <x v="24"/>
    <n v="1874"/>
    <n v="1533.84"/>
    <n v="3622.3"/>
    <n v="-2088.46"/>
    <n v="2.36"/>
    <n v="0.23"/>
    <n v="3438.26"/>
    <x v="1"/>
    <n v="667"/>
    <n v="0.23"/>
    <n v="565.34"/>
    <n v="0.37"/>
    <n v="503.81"/>
    <n v="0.33"/>
    <n v="2"/>
    <n v="924.7"/>
    <n v="68"/>
    <n v="0"/>
    <n v="763.53"/>
    <n v="2636.74"/>
    <x v="0"/>
    <n v="1810.69"/>
    <x v="1"/>
    <x v="0"/>
    <n v="47.6"/>
    <s v="Low"/>
    <n v="0"/>
    <n v="0"/>
  </r>
  <r>
    <x v="26"/>
    <x v="24"/>
    <n v="1375"/>
    <n v="3787.19"/>
    <n v="2779.63"/>
    <n v="1007.56"/>
    <n v="0.73"/>
    <n v="0.06"/>
    <n v="2876.58"/>
    <x v="2"/>
    <n v="687"/>
    <n v="0.31"/>
    <n v="611.42999999999995"/>
    <n v="0.16"/>
    <n v="0"/>
    <n v="0"/>
    <n v="7"/>
    <n v="1689.04"/>
    <n v="56"/>
    <n v="0"/>
    <n v="675.69"/>
    <n v="3815.58"/>
    <x v="1"/>
    <n v="1516.92"/>
    <x v="4"/>
    <x v="2"/>
    <n v="64.099999999999994"/>
    <s v="High"/>
    <n v="1007.56"/>
    <n v="0"/>
  </r>
  <r>
    <x v="26"/>
    <x v="24"/>
    <n v="1897"/>
    <n v="4140.3999999999996"/>
    <n v="2319.06"/>
    <n v="1821.34"/>
    <n v="0.56000000000000005"/>
    <n v="0.28000000000000003"/>
    <n v="2127.61"/>
    <x v="1"/>
    <n v="687"/>
    <n v="0.22"/>
    <n v="413.83"/>
    <n v="0.1"/>
    <n v="433.13"/>
    <n v="0.1"/>
    <n v="4"/>
    <n v="817.56"/>
    <n v="93"/>
    <n v="0"/>
    <n v="769.98"/>
    <n v="3507.24"/>
    <x v="2"/>
    <n v="1574.03"/>
    <x v="3"/>
    <x v="0"/>
    <n v="75.900000000000006"/>
    <s v="Low"/>
    <n v="1821.34"/>
    <n v="0"/>
  </r>
  <r>
    <x v="26"/>
    <x v="24"/>
    <n v="1255"/>
    <n v="2948.52"/>
    <n v="2941.63"/>
    <n v="6.89"/>
    <n v="1"/>
    <n v="0.37"/>
    <n v="2507.79"/>
    <x v="0"/>
    <n v="775"/>
    <n v="0.54"/>
    <n v="766.42"/>
    <n v="0.26"/>
    <n v="712.77"/>
    <n v="0.24"/>
    <n v="3"/>
    <n v="892.63"/>
    <n v="85"/>
    <n v="0"/>
    <n v="482.72"/>
    <n v="3114.94"/>
    <x v="1"/>
    <n v="1034.32"/>
    <x v="1"/>
    <x v="1"/>
    <n v="8.9"/>
    <s v="High"/>
    <n v="6.89"/>
    <n v="0"/>
  </r>
  <r>
    <x v="26"/>
    <x v="24"/>
    <n v="1463"/>
    <n v="3575.04"/>
    <n v="4145.2299999999996"/>
    <n v="-570.19000000000005"/>
    <n v="1.1599999999999999"/>
    <n v="0.38"/>
    <n v="1757.66"/>
    <x v="1"/>
    <n v="687"/>
    <n v="0.14000000000000001"/>
    <n v="526.01"/>
    <n v="0.15"/>
    <n v="850.63"/>
    <n v="0.24"/>
    <n v="3"/>
    <n v="958.96"/>
    <n v="25"/>
    <n v="0"/>
    <n v="464.22"/>
    <n v="2896.27"/>
    <x v="1"/>
    <n v="998.74"/>
    <x v="4"/>
    <x v="0"/>
    <n v="76.099999999999994"/>
    <s v="High"/>
    <n v="0"/>
    <n v="0"/>
  </r>
  <r>
    <x v="26"/>
    <x v="24"/>
    <n v="1323"/>
    <n v="4442.21"/>
    <n v="4621.18"/>
    <n v="-178.97"/>
    <n v="1.04"/>
    <n v="0.24"/>
    <n v="2742.87"/>
    <x v="0"/>
    <n v="684"/>
    <n v="0.42"/>
    <n v="139.32"/>
    <n v="0.03"/>
    <n v="372.94"/>
    <n v="0.08"/>
    <n v="5"/>
    <n v="768.35"/>
    <n v="92"/>
    <n v="0"/>
    <n v="539.98"/>
    <n v="2285.56"/>
    <x v="1"/>
    <n v="300"/>
    <x v="8"/>
    <x v="0"/>
    <n v="17.399999999999999"/>
    <s v="Low"/>
    <n v="0"/>
    <n v="0"/>
  </r>
  <r>
    <x v="26"/>
    <x v="24"/>
    <n v="1332"/>
    <n v="4195.37"/>
    <n v="1174.4100000000001"/>
    <n v="3020.96"/>
    <n v="0.28000000000000003"/>
    <n v="0.16"/>
    <n v="2979.51"/>
    <x v="1"/>
    <n v="639"/>
    <n v="0.51"/>
    <n v="642.16"/>
    <n v="0.15"/>
    <n v="523.33000000000004"/>
    <n v="0.12"/>
    <n v="3"/>
    <n v="1549.86"/>
    <n v="69"/>
    <n v="0"/>
    <n v="468.61"/>
    <n v="1545.4"/>
    <x v="0"/>
    <n v="1704.67"/>
    <x v="8"/>
    <x v="0"/>
    <n v="1.5"/>
    <s v="Medium"/>
    <n v="3020.96"/>
    <n v="1"/>
  </r>
  <r>
    <x v="26"/>
    <x v="24"/>
    <n v="1674"/>
    <n v="3998.83"/>
    <n v="3546.31"/>
    <n v="452.52"/>
    <n v="0.89"/>
    <n v="0.14000000000000001"/>
    <n v="1175.57"/>
    <x v="2"/>
    <n v="647"/>
    <n v="0.21"/>
    <n v="600"/>
    <n v="0.15"/>
    <n v="570.29"/>
    <n v="0.14000000000000001"/>
    <n v="8"/>
    <n v="1024.21"/>
    <n v="27"/>
    <n v="0"/>
    <n v="642.78"/>
    <n v="1633.35"/>
    <x v="2"/>
    <n v="989.1"/>
    <x v="7"/>
    <x v="0"/>
    <n v="32.200000000000003"/>
    <s v="Medium"/>
    <n v="452.52"/>
    <n v="0"/>
  </r>
  <r>
    <x v="26"/>
    <x v="24"/>
    <n v="1324"/>
    <n v="4703.7"/>
    <n v="3265.06"/>
    <n v="1438.64"/>
    <n v="0.69"/>
    <n v="0.28000000000000003"/>
    <n v="2445.61"/>
    <x v="1"/>
    <n v="597"/>
    <n v="0.48"/>
    <n v="347.59"/>
    <n v="7.0000000000000007E-2"/>
    <n v="551.11"/>
    <n v="0.12"/>
    <n v="9"/>
    <n v="990.29"/>
    <n v="26"/>
    <n v="0"/>
    <n v="330.48"/>
    <n v="2204.13"/>
    <x v="1"/>
    <n v="1103.08"/>
    <x v="8"/>
    <x v="0"/>
    <n v="42.4"/>
    <s v="Low"/>
    <n v="1438.64"/>
    <n v="0"/>
  </r>
  <r>
    <x v="26"/>
    <x v="24"/>
    <n v="1337"/>
    <n v="3123.1"/>
    <n v="2050.4699999999998"/>
    <n v="1072.6300000000001"/>
    <n v="0.66"/>
    <n v="0.14000000000000001"/>
    <n v="2416.09"/>
    <x v="1"/>
    <n v="645"/>
    <n v="0.23"/>
    <n v="742.91"/>
    <n v="0.24"/>
    <n v="620.34"/>
    <n v="0.2"/>
    <n v="3"/>
    <n v="1447.93"/>
    <n v="73"/>
    <n v="0"/>
    <n v="482.55"/>
    <n v="1614.11"/>
    <x v="1"/>
    <n v="1091.42"/>
    <x v="0"/>
    <x v="1"/>
    <n v="74.7"/>
    <s v="High"/>
    <n v="1072.6300000000001"/>
    <n v="0"/>
  </r>
  <r>
    <x v="26"/>
    <x v="24"/>
    <n v="1974"/>
    <n v="6901.16"/>
    <n v="4122.09"/>
    <n v="2779.07"/>
    <n v="0.6"/>
    <n v="0.08"/>
    <n v="1873.23"/>
    <x v="1"/>
    <n v="758"/>
    <n v="0.32"/>
    <n v="531.53"/>
    <n v="0.08"/>
    <n v="488.44"/>
    <n v="7.0000000000000007E-2"/>
    <n v="7"/>
    <n v="1436.17"/>
    <n v="30"/>
    <n v="0"/>
    <n v="537.04"/>
    <n v="2578.1999999999998"/>
    <x v="1"/>
    <n v="954.74"/>
    <x v="3"/>
    <x v="2"/>
    <n v="32.299999999999997"/>
    <s v="High"/>
    <n v="2779.07"/>
    <n v="1"/>
  </r>
  <r>
    <x v="26"/>
    <x v="24"/>
    <n v="1869"/>
    <n v="3890.29"/>
    <n v="3315.21"/>
    <n v="575.08000000000004"/>
    <n v="0.85"/>
    <n v="0.33"/>
    <n v="2583.23"/>
    <x v="0"/>
    <n v="718"/>
    <n v="0.42"/>
    <n v="309.56"/>
    <n v="0.08"/>
    <n v="195.56"/>
    <n v="0.05"/>
    <n v="2"/>
    <n v="665.41"/>
    <n v="62"/>
    <n v="0"/>
    <n v="455.2"/>
    <n v="2062.29"/>
    <x v="1"/>
    <n v="930.38"/>
    <x v="3"/>
    <x v="0"/>
    <n v="19.399999999999999"/>
    <s v="High"/>
    <n v="575.08000000000004"/>
    <n v="0"/>
  </r>
  <r>
    <x v="26"/>
    <x v="24"/>
    <n v="1403"/>
    <n v="3022.18"/>
    <n v="3194.35"/>
    <n v="-172.17"/>
    <n v="1.06"/>
    <n v="0.26"/>
    <n v="3488.37"/>
    <x v="0"/>
    <n v="670"/>
    <n v="0.43"/>
    <n v="490.28"/>
    <n v="0.16"/>
    <n v="226.6"/>
    <n v="7.0000000000000007E-2"/>
    <n v="7"/>
    <n v="2064.77"/>
    <n v="46"/>
    <n v="0"/>
    <n v="218.12"/>
    <n v="1886.59"/>
    <x v="2"/>
    <n v="1526.66"/>
    <x v="2"/>
    <x v="0"/>
    <n v="69.599999999999994"/>
    <s v="Low"/>
    <n v="0"/>
    <n v="0"/>
  </r>
  <r>
    <x v="26"/>
    <x v="24"/>
    <n v="1694"/>
    <n v="3887.49"/>
    <n v="1896.1"/>
    <n v="1991.39"/>
    <n v="0.49"/>
    <n v="0.39"/>
    <n v="2912.79"/>
    <x v="0"/>
    <n v="727"/>
    <n v="0.53"/>
    <n v="520.55999999999995"/>
    <n v="0.13"/>
    <n v="310.66000000000003"/>
    <n v="0.08"/>
    <n v="7"/>
    <n v="982.2"/>
    <n v="69"/>
    <n v="0"/>
    <n v="285.37"/>
    <n v="2002.62"/>
    <x v="0"/>
    <n v="843.75"/>
    <x v="8"/>
    <x v="0"/>
    <n v="15.4"/>
    <s v="High"/>
    <n v="1991.39"/>
    <n v="0"/>
  </r>
  <r>
    <x v="26"/>
    <x v="24"/>
    <n v="1433"/>
    <n v="4459.03"/>
    <n v="2532.9299999999998"/>
    <n v="1926.1"/>
    <n v="0.56999999999999995"/>
    <n v="0.24"/>
    <n v="3752.94"/>
    <x v="2"/>
    <n v="741"/>
    <n v="0.2"/>
    <n v="395.85"/>
    <n v="0.09"/>
    <n v="586.49"/>
    <n v="0.13"/>
    <n v="9"/>
    <n v="1543.76"/>
    <n v="82"/>
    <n v="0"/>
    <n v="498.84"/>
    <n v="1997.35"/>
    <x v="1"/>
    <n v="1383.85"/>
    <x v="1"/>
    <x v="0"/>
    <n v="50.5"/>
    <s v="Low"/>
    <n v="1926.1"/>
    <n v="0"/>
  </r>
  <r>
    <x v="26"/>
    <x v="24"/>
    <n v="1722"/>
    <n v="3920.93"/>
    <n v="4279.01"/>
    <n v="-358.08"/>
    <n v="1.0900000000000001"/>
    <n v="0.13"/>
    <n v="2866.05"/>
    <x v="1"/>
    <n v="648"/>
    <n v="0.44"/>
    <n v="107.55"/>
    <n v="0.03"/>
    <n v="657.79"/>
    <n v="0.17"/>
    <n v="5"/>
    <n v="996.14"/>
    <n v="65"/>
    <n v="0"/>
    <n v="536.71"/>
    <n v="1835.41"/>
    <x v="1"/>
    <n v="1145.48"/>
    <x v="7"/>
    <x v="2"/>
    <n v="81.2"/>
    <s v="Low"/>
    <n v="0"/>
    <n v="0"/>
  </r>
  <r>
    <x v="26"/>
    <x v="24"/>
    <n v="1981"/>
    <n v="5960.17"/>
    <n v="3324.02"/>
    <n v="2636.15"/>
    <n v="0.56000000000000005"/>
    <n v="0.08"/>
    <n v="2764.32"/>
    <x v="1"/>
    <n v="753"/>
    <n v="0.38"/>
    <n v="533.17999999999995"/>
    <n v="0.09"/>
    <n v="196.53"/>
    <n v="0.03"/>
    <n v="2"/>
    <n v="1180.3900000000001"/>
    <n v="61"/>
    <n v="0"/>
    <n v="728.53"/>
    <n v="1000"/>
    <x v="0"/>
    <n v="1168.9000000000001"/>
    <x v="2"/>
    <x v="0"/>
    <n v="50.7"/>
    <s v="Medium"/>
    <n v="2636.15"/>
    <n v="0"/>
  </r>
  <r>
    <x v="26"/>
    <x v="24"/>
    <n v="1953"/>
    <n v="4001.32"/>
    <n v="4475.84"/>
    <n v="-474.52"/>
    <n v="1.1200000000000001"/>
    <n v="0.1"/>
    <n v="3499.12"/>
    <x v="0"/>
    <n v="722"/>
    <n v="0.32"/>
    <n v="520.58000000000004"/>
    <n v="0.13"/>
    <n v="355.72"/>
    <n v="0.09"/>
    <n v="2"/>
    <n v="2.95"/>
    <n v="62"/>
    <n v="0"/>
    <n v="434.63"/>
    <n v="3054.47"/>
    <x v="1"/>
    <n v="882.83"/>
    <x v="1"/>
    <x v="0"/>
    <n v="51.1"/>
    <s v="Low"/>
    <n v="0"/>
    <n v="0"/>
  </r>
  <r>
    <x v="26"/>
    <x v="24"/>
    <n v="1276"/>
    <n v="3479.82"/>
    <n v="3423.79"/>
    <n v="56.03"/>
    <n v="0.98"/>
    <n v="0.09"/>
    <n v="2853.91"/>
    <x v="2"/>
    <n v="620"/>
    <n v="0.4"/>
    <n v="423.43"/>
    <n v="0.12"/>
    <n v="695.64"/>
    <n v="0.2"/>
    <n v="9"/>
    <n v="1258.23"/>
    <n v="61"/>
    <n v="1"/>
    <n v="491.74"/>
    <n v="2143.04"/>
    <x v="1"/>
    <n v="920.76"/>
    <x v="5"/>
    <x v="0"/>
    <n v="26.1"/>
    <s v="Low"/>
    <n v="56.03"/>
    <n v="0"/>
  </r>
  <r>
    <x v="26"/>
    <x v="24"/>
    <n v="1181"/>
    <n v="2199.91"/>
    <n v="3749.68"/>
    <n v="-1549.77"/>
    <n v="1.7"/>
    <n v="0.23"/>
    <n v="2522.4899999999998"/>
    <x v="1"/>
    <n v="654"/>
    <n v="0.38"/>
    <n v="565.13"/>
    <n v="0.26"/>
    <n v="698.2"/>
    <n v="0.32"/>
    <n v="3"/>
    <n v="159.4"/>
    <n v="55"/>
    <n v="0"/>
    <n v="561.79"/>
    <n v="2309.29"/>
    <x v="1"/>
    <n v="1316.41"/>
    <x v="5"/>
    <x v="0"/>
    <n v="74.7"/>
    <s v="High"/>
    <n v="0"/>
    <n v="0"/>
  </r>
  <r>
    <x v="26"/>
    <x v="24"/>
    <n v="1391"/>
    <n v="4663.1000000000004"/>
    <n v="797.11"/>
    <n v="3865.99"/>
    <n v="0.17"/>
    <n v="0.14000000000000001"/>
    <n v="3458.59"/>
    <x v="1"/>
    <n v="686"/>
    <n v="0.42"/>
    <n v="452.01"/>
    <n v="0.1"/>
    <n v="844.07"/>
    <n v="0.18"/>
    <n v="9"/>
    <n v="1073.05"/>
    <n v="50"/>
    <n v="0"/>
    <n v="319.64"/>
    <n v="1883.1"/>
    <x v="2"/>
    <n v="1347.12"/>
    <x v="2"/>
    <x v="2"/>
    <n v="52.3"/>
    <s v="Low"/>
    <n v="3865.99"/>
    <n v="1"/>
  </r>
  <r>
    <x v="26"/>
    <x v="24"/>
    <n v="1707"/>
    <n v="4475.7299999999996"/>
    <n v="3712.6"/>
    <n v="763.13"/>
    <n v="0.83"/>
    <n v="0.25"/>
    <n v="3709.59"/>
    <x v="1"/>
    <n v="712"/>
    <n v="0.33"/>
    <n v="754.26"/>
    <n v="0.17"/>
    <n v="477.1"/>
    <n v="0.11"/>
    <n v="1"/>
    <n v="1177.57"/>
    <n v="99"/>
    <n v="0"/>
    <n v="677.15"/>
    <n v="2384.39"/>
    <x v="1"/>
    <n v="1489.97"/>
    <x v="2"/>
    <x v="2"/>
    <n v="16.899999999999999"/>
    <s v="High"/>
    <n v="763.13"/>
    <n v="0"/>
  </r>
  <r>
    <x v="26"/>
    <x v="24"/>
    <n v="1957"/>
    <n v="5235.6000000000004"/>
    <n v="2171.0100000000002"/>
    <n v="3064.59"/>
    <n v="0.41"/>
    <n v="0.37"/>
    <n v="2678.95"/>
    <x v="0"/>
    <n v="638"/>
    <n v="0.15"/>
    <n v="644.16"/>
    <n v="0.12"/>
    <n v="518.6"/>
    <n v="0.1"/>
    <n v="7"/>
    <n v="988.03"/>
    <n v="24"/>
    <n v="0"/>
    <n v="470.98"/>
    <n v="2977.5"/>
    <x v="1"/>
    <n v="672.5"/>
    <x v="7"/>
    <x v="0"/>
    <n v="6.4"/>
    <s v="High"/>
    <n v="3064.59"/>
    <n v="1"/>
  </r>
  <r>
    <x v="26"/>
    <x v="24"/>
    <n v="1745"/>
    <n v="4120.29"/>
    <n v="3378.35"/>
    <n v="741.94"/>
    <n v="0.82"/>
    <n v="0.26"/>
    <n v="3322.68"/>
    <x v="1"/>
    <n v="728"/>
    <n v="0.56000000000000005"/>
    <n v="579.47"/>
    <n v="0.14000000000000001"/>
    <n v="45.68"/>
    <n v="0.01"/>
    <n v="4"/>
    <n v="1864.7"/>
    <n v="22"/>
    <n v="0"/>
    <n v="294.74"/>
    <n v="1463.02"/>
    <x v="1"/>
    <n v="1284.47"/>
    <x v="1"/>
    <x v="0"/>
    <n v="71.900000000000006"/>
    <s v="Low"/>
    <n v="741.94"/>
    <n v="0"/>
  </r>
  <r>
    <x v="26"/>
    <x v="24"/>
    <n v="1748"/>
    <n v="3784.07"/>
    <n v="2548.0700000000002"/>
    <n v="1236"/>
    <n v="0.67"/>
    <n v="0.39"/>
    <n v="2452.14"/>
    <x v="2"/>
    <n v="703"/>
    <n v="0.55000000000000004"/>
    <n v="944.88"/>
    <n v="0.25"/>
    <n v="108.83"/>
    <n v="0.03"/>
    <n v="1"/>
    <n v="866.83"/>
    <n v="55"/>
    <n v="0"/>
    <n v="529.71"/>
    <n v="3712.09"/>
    <x v="2"/>
    <n v="1633.96"/>
    <x v="0"/>
    <x v="0"/>
    <n v="19.100000000000001"/>
    <s v="Low"/>
    <n v="1236"/>
    <n v="0"/>
  </r>
  <r>
    <x v="26"/>
    <x v="24"/>
    <n v="1776"/>
    <n v="2052.62"/>
    <n v="3915.82"/>
    <n v="-1863.2"/>
    <n v="1.91"/>
    <n v="0.18"/>
    <n v="2518.7800000000002"/>
    <x v="1"/>
    <n v="673"/>
    <n v="0.39"/>
    <n v="502.51"/>
    <n v="0.24"/>
    <n v="0"/>
    <n v="0"/>
    <n v="8"/>
    <n v="360.21"/>
    <n v="29"/>
    <n v="0"/>
    <n v="349.66"/>
    <n v="3016.01"/>
    <x v="1"/>
    <n v="1934.23"/>
    <x v="2"/>
    <x v="0"/>
    <n v="33.200000000000003"/>
    <s v="Medium"/>
    <n v="0"/>
    <n v="0"/>
  </r>
  <r>
    <x v="26"/>
    <x v="24"/>
    <n v="1777"/>
    <n v="3194.54"/>
    <n v="3007.88"/>
    <n v="186.66"/>
    <n v="0.94"/>
    <n v="0.18"/>
    <n v="1507.83"/>
    <x v="0"/>
    <n v="687"/>
    <n v="0.49"/>
    <n v="325.07"/>
    <n v="0.1"/>
    <n v="215.27"/>
    <n v="7.0000000000000007E-2"/>
    <n v="7"/>
    <n v="1304.0999999999999"/>
    <n v="64"/>
    <n v="0"/>
    <n v="646.88"/>
    <n v="1600.71"/>
    <x v="1"/>
    <n v="451.76"/>
    <x v="3"/>
    <x v="1"/>
    <n v="42.4"/>
    <s v="Medium"/>
    <n v="186.66"/>
    <n v="0"/>
  </r>
  <r>
    <x v="26"/>
    <x v="24"/>
    <n v="1171"/>
    <n v="5030.8100000000004"/>
    <n v="2784.06"/>
    <n v="2246.75"/>
    <n v="0.55000000000000004"/>
    <n v="0.33"/>
    <n v="2355.92"/>
    <x v="0"/>
    <n v="664"/>
    <n v="0.37"/>
    <n v="655.7"/>
    <n v="0.13"/>
    <n v="599.52"/>
    <n v="0.12"/>
    <n v="8"/>
    <n v="383.2"/>
    <n v="47"/>
    <n v="1"/>
    <n v="550.36"/>
    <n v="2244.91"/>
    <x v="1"/>
    <n v="1236.95"/>
    <x v="8"/>
    <x v="2"/>
    <n v="70.8"/>
    <s v="Low"/>
    <n v="2246.75"/>
    <n v="0"/>
  </r>
  <r>
    <x v="26"/>
    <x v="24"/>
    <n v="1828"/>
    <n v="5299.85"/>
    <n v="4050.42"/>
    <n v="1249.43"/>
    <n v="0.76"/>
    <n v="0.15"/>
    <n v="3354.62"/>
    <x v="2"/>
    <n v="691"/>
    <n v="0.23"/>
    <n v="760.43"/>
    <n v="0.14000000000000001"/>
    <n v="318.75"/>
    <n v="0.06"/>
    <n v="4"/>
    <n v="149.72"/>
    <n v="26"/>
    <n v="1"/>
    <n v="497.13"/>
    <n v="2812.93"/>
    <x v="1"/>
    <n v="2128.15"/>
    <x v="3"/>
    <x v="1"/>
    <n v="97.1"/>
    <s v="Low"/>
    <n v="1249.43"/>
    <n v="0"/>
  </r>
  <r>
    <x v="26"/>
    <x v="24"/>
    <n v="1546"/>
    <n v="4478.2299999999996"/>
    <n v="2547.81"/>
    <n v="1930.42"/>
    <n v="0.56999999999999995"/>
    <n v="7.0000000000000007E-2"/>
    <n v="2717.57"/>
    <x v="0"/>
    <n v="679"/>
    <n v="0.49"/>
    <n v="25.26"/>
    <n v="0.01"/>
    <n v="505.76"/>
    <n v="0.11"/>
    <n v="4"/>
    <n v="1156.58"/>
    <n v="91"/>
    <n v="0"/>
    <n v="312.8"/>
    <n v="2121.86"/>
    <x v="1"/>
    <n v="803.2"/>
    <x v="6"/>
    <x v="1"/>
    <n v="71.7"/>
    <s v="Low"/>
    <n v="1930.42"/>
    <n v="0"/>
  </r>
  <r>
    <x v="26"/>
    <x v="24"/>
    <n v="1308"/>
    <n v="4131.5200000000004"/>
    <n v="2820.09"/>
    <n v="1311.43"/>
    <n v="0.68"/>
    <n v="0.17"/>
    <n v="2691.94"/>
    <x v="2"/>
    <n v="743"/>
    <n v="0.56999999999999995"/>
    <n v="589.25"/>
    <n v="0.14000000000000001"/>
    <n v="674.28"/>
    <n v="0.16"/>
    <n v="1"/>
    <n v="1052.45"/>
    <n v="28"/>
    <n v="0"/>
    <n v="364.41"/>
    <n v="1593.82"/>
    <x v="1"/>
    <n v="1819.51"/>
    <x v="9"/>
    <x v="0"/>
    <n v="19.899999999999999"/>
    <s v="Low"/>
    <n v="1311.43"/>
    <n v="0"/>
  </r>
  <r>
    <x v="26"/>
    <x v="24"/>
    <n v="1305"/>
    <n v="5119.62"/>
    <n v="2825.89"/>
    <n v="2293.73"/>
    <n v="0.55000000000000004"/>
    <n v="0.21"/>
    <n v="2178.5700000000002"/>
    <x v="2"/>
    <n v="701"/>
    <n v="0.21"/>
    <n v="609.70000000000005"/>
    <n v="0.12"/>
    <n v="711.62"/>
    <n v="0.14000000000000001"/>
    <n v="2"/>
    <n v="1477.3"/>
    <n v="97"/>
    <n v="0"/>
    <n v="788.11"/>
    <n v="2791.94"/>
    <x v="2"/>
    <n v="1838.38"/>
    <x v="7"/>
    <x v="1"/>
    <n v="27.5"/>
    <s v="High"/>
    <n v="2293.73"/>
    <n v="1"/>
  </r>
  <r>
    <x v="26"/>
    <x v="24"/>
    <n v="1171"/>
    <n v="3353.2"/>
    <n v="2892.26"/>
    <n v="460.94"/>
    <n v="0.86"/>
    <n v="0.33"/>
    <n v="2418.31"/>
    <x v="1"/>
    <n v="730"/>
    <n v="0.43"/>
    <n v="900.04"/>
    <n v="0.27"/>
    <n v="518.33000000000004"/>
    <n v="0.15"/>
    <n v="5"/>
    <n v="105.41"/>
    <n v="81"/>
    <n v="0"/>
    <n v="305.76"/>
    <n v="1759.46"/>
    <x v="1"/>
    <n v="1470.17"/>
    <x v="4"/>
    <x v="0"/>
    <n v="16.600000000000001"/>
    <s v="Low"/>
    <n v="460.94"/>
    <n v="0"/>
  </r>
  <r>
    <x v="26"/>
    <x v="24"/>
    <n v="1173"/>
    <n v="4643.6000000000004"/>
    <n v="2515.23"/>
    <n v="2128.37"/>
    <n v="0.54"/>
    <n v="0.34"/>
    <n v="3965.35"/>
    <x v="2"/>
    <n v="649"/>
    <n v="0.28999999999999998"/>
    <n v="549.16"/>
    <n v="0.12"/>
    <n v="44.41"/>
    <n v="0.01"/>
    <n v="8"/>
    <n v="1070.01"/>
    <n v="22"/>
    <n v="0"/>
    <n v="505.47"/>
    <n v="1705.18"/>
    <x v="1"/>
    <n v="1359.35"/>
    <x v="9"/>
    <x v="0"/>
    <n v="9.5"/>
    <s v="High"/>
    <n v="2128.37"/>
    <n v="0"/>
  </r>
  <r>
    <x v="26"/>
    <x v="24"/>
    <n v="1216"/>
    <n v="3270.71"/>
    <n v="1664.66"/>
    <n v="1606.05"/>
    <n v="0.51"/>
    <n v="0.21"/>
    <n v="2844.21"/>
    <x v="2"/>
    <n v="636"/>
    <n v="0.28999999999999998"/>
    <n v="538.49"/>
    <n v="0.16"/>
    <n v="445.29"/>
    <n v="0.14000000000000001"/>
    <n v="8"/>
    <n v="793.09"/>
    <n v="50"/>
    <n v="0"/>
    <n v="570.46"/>
    <n v="2114.13"/>
    <x v="1"/>
    <n v="1961.73"/>
    <x v="4"/>
    <x v="1"/>
    <n v="54.5"/>
    <s v="Low"/>
    <n v="1606.05"/>
    <n v="0"/>
  </r>
  <r>
    <x v="26"/>
    <x v="24"/>
    <n v="1205"/>
    <n v="4841.3999999999996"/>
    <n v="3051.78"/>
    <n v="1789.62"/>
    <n v="0.63"/>
    <n v="0.11"/>
    <n v="2390"/>
    <x v="1"/>
    <n v="623"/>
    <n v="0.54"/>
    <n v="765.42"/>
    <n v="0.16"/>
    <n v="175.4"/>
    <n v="0.04"/>
    <n v="9"/>
    <n v="1346.77"/>
    <n v="54"/>
    <n v="0"/>
    <n v="749.29"/>
    <n v="2426.4899999999998"/>
    <x v="1"/>
    <n v="1410.63"/>
    <x v="7"/>
    <x v="0"/>
    <n v="47.6"/>
    <s v="Low"/>
    <n v="1789.62"/>
    <n v="0"/>
  </r>
  <r>
    <x v="26"/>
    <x v="24"/>
    <n v="1701"/>
    <n v="2769.28"/>
    <n v="4288.41"/>
    <n v="-1519.13"/>
    <n v="1.55"/>
    <n v="0.22"/>
    <n v="3359.43"/>
    <x v="1"/>
    <n v="763"/>
    <n v="0.47"/>
    <n v="487.91"/>
    <n v="0.18"/>
    <n v="402.89"/>
    <n v="0.15"/>
    <n v="8"/>
    <n v="1014.57"/>
    <n v="23"/>
    <n v="0"/>
    <n v="835.9"/>
    <n v="2541.33"/>
    <x v="1"/>
    <n v="1811.58"/>
    <x v="8"/>
    <x v="1"/>
    <n v="4.5999999999999996"/>
    <s v="Low"/>
    <n v="0"/>
    <n v="0"/>
  </r>
  <r>
    <x v="26"/>
    <x v="24"/>
    <n v="1043"/>
    <n v="3755.29"/>
    <n v="2668.89"/>
    <n v="1086.4000000000001"/>
    <n v="0.71"/>
    <n v="0.08"/>
    <n v="2390.84"/>
    <x v="1"/>
    <n v="628"/>
    <n v="0.27"/>
    <n v="608.92999999999995"/>
    <n v="0.16"/>
    <n v="391.27"/>
    <n v="0.1"/>
    <n v="3"/>
    <n v="808.28"/>
    <n v="80"/>
    <n v="0"/>
    <n v="1028.47"/>
    <n v="1034.02"/>
    <x v="1"/>
    <n v="951.03"/>
    <x v="0"/>
    <x v="1"/>
    <n v="4.4000000000000004"/>
    <s v="High"/>
    <n v="1086.4000000000001"/>
    <n v="0"/>
  </r>
  <r>
    <x v="26"/>
    <x v="24"/>
    <n v="1789"/>
    <n v="4017.66"/>
    <n v="2519.23"/>
    <n v="1498.43"/>
    <n v="0.63"/>
    <n v="0.25"/>
    <n v="2651.87"/>
    <x v="1"/>
    <n v="653"/>
    <n v="0.47"/>
    <n v="587.24"/>
    <n v="0.15"/>
    <n v="697.94"/>
    <n v="0.17"/>
    <n v="5"/>
    <n v="0"/>
    <n v="46"/>
    <n v="0"/>
    <n v="490.3"/>
    <n v="1582.47"/>
    <x v="0"/>
    <n v="1321.33"/>
    <x v="9"/>
    <x v="1"/>
    <n v="22.7"/>
    <s v="High"/>
    <n v="1498.43"/>
    <n v="0"/>
  </r>
  <r>
    <x v="26"/>
    <x v="24"/>
    <n v="1198"/>
    <n v="5254.63"/>
    <n v="3690.36"/>
    <n v="1564.27"/>
    <n v="0.7"/>
    <n v="0.09"/>
    <n v="2301.19"/>
    <x v="1"/>
    <n v="624"/>
    <n v="0.24"/>
    <n v="525.88"/>
    <n v="0.1"/>
    <n v="0"/>
    <n v="0"/>
    <n v="8"/>
    <n v="1115.73"/>
    <n v="77"/>
    <n v="0"/>
    <n v="402"/>
    <n v="2631.39"/>
    <x v="1"/>
    <n v="681.8"/>
    <x v="1"/>
    <x v="2"/>
    <n v="87.5"/>
    <s v="Medium"/>
    <n v="1564.27"/>
    <n v="0"/>
  </r>
  <r>
    <x v="26"/>
    <x v="24"/>
    <n v="1940"/>
    <n v="4358.13"/>
    <n v="3525.91"/>
    <n v="832.22"/>
    <n v="0.81"/>
    <n v="0.24"/>
    <n v="3825.04"/>
    <x v="1"/>
    <n v="755"/>
    <n v="0.31"/>
    <n v="726.38"/>
    <n v="0.17"/>
    <n v="95.86"/>
    <n v="0.02"/>
    <n v="5"/>
    <n v="925.21"/>
    <n v="29"/>
    <n v="0"/>
    <n v="412.07"/>
    <n v="1931.73"/>
    <x v="1"/>
    <n v="1046.8599999999999"/>
    <x v="7"/>
    <x v="0"/>
    <n v="0.8"/>
    <s v="Low"/>
    <n v="832.22"/>
    <n v="0"/>
  </r>
  <r>
    <x v="26"/>
    <x v="24"/>
    <n v="1346"/>
    <n v="2903.77"/>
    <n v="1357.21"/>
    <n v="1546.56"/>
    <n v="0.47"/>
    <n v="0.37"/>
    <n v="3195.68"/>
    <x v="1"/>
    <n v="628"/>
    <n v="0.21"/>
    <n v="742.36"/>
    <n v="0.26"/>
    <n v="618.21"/>
    <n v="0.21"/>
    <n v="4"/>
    <n v="763.28"/>
    <n v="45"/>
    <n v="0"/>
    <n v="418.47"/>
    <n v="2379.46"/>
    <x v="0"/>
    <n v="1538.14"/>
    <x v="2"/>
    <x v="0"/>
    <n v="22.3"/>
    <s v="Medium"/>
    <n v="1546.56"/>
    <n v="0"/>
  </r>
  <r>
    <x v="26"/>
    <x v="24"/>
    <n v="1114"/>
    <n v="4703.74"/>
    <n v="2549.44"/>
    <n v="2154.3000000000002"/>
    <n v="0.54"/>
    <n v="0.36"/>
    <n v="3028.03"/>
    <x v="0"/>
    <n v="734"/>
    <n v="0.46"/>
    <n v="469.28"/>
    <n v="0.1"/>
    <n v="257.73"/>
    <n v="0.05"/>
    <n v="5"/>
    <n v="626"/>
    <n v="51"/>
    <n v="0"/>
    <n v="337.08"/>
    <n v="2798.89"/>
    <x v="1"/>
    <n v="1368.36"/>
    <x v="3"/>
    <x v="1"/>
    <n v="94.4"/>
    <s v="High"/>
    <n v="2154.3000000000002"/>
    <n v="0"/>
  </r>
  <r>
    <x v="26"/>
    <x v="24"/>
    <n v="1845"/>
    <n v="2521.06"/>
    <n v="4569.6400000000003"/>
    <n v="-2048.58"/>
    <n v="1.81"/>
    <n v="0.38"/>
    <n v="2527.71"/>
    <x v="1"/>
    <n v="723"/>
    <n v="0.56999999999999995"/>
    <n v="520.34"/>
    <n v="0.21"/>
    <n v="414"/>
    <n v="0.16"/>
    <n v="3"/>
    <n v="1269.8"/>
    <n v="38"/>
    <n v="0"/>
    <n v="664.34"/>
    <n v="1979.96"/>
    <x v="2"/>
    <n v="1242.1300000000001"/>
    <x v="1"/>
    <x v="1"/>
    <n v="32.5"/>
    <s v="Medium"/>
    <n v="0"/>
    <n v="0"/>
  </r>
  <r>
    <x v="26"/>
    <x v="24"/>
    <n v="1363"/>
    <n v="4823.7299999999996"/>
    <n v="2477.5"/>
    <n v="2346.23"/>
    <n v="0.51"/>
    <n v="0.11"/>
    <n v="2673.76"/>
    <x v="1"/>
    <n v="698"/>
    <n v="0.25"/>
    <n v="326.83999999999997"/>
    <n v="7.0000000000000007E-2"/>
    <n v="378.41"/>
    <n v="0.08"/>
    <n v="1"/>
    <n v="1665.82"/>
    <n v="51"/>
    <n v="0"/>
    <n v="418.02"/>
    <n v="3054.5"/>
    <x v="1"/>
    <n v="1778.03"/>
    <x v="2"/>
    <x v="1"/>
    <n v="86.4"/>
    <s v="Low"/>
    <n v="2346.23"/>
    <n v="0"/>
  </r>
  <r>
    <x v="27"/>
    <x v="25"/>
    <n v="1998"/>
    <n v="6042.51"/>
    <n v="2246.36"/>
    <n v="3796.15"/>
    <n v="0.37"/>
    <n v="0.05"/>
    <n v="2185.71"/>
    <x v="0"/>
    <n v="620"/>
    <n v="0.5"/>
    <n v="419.3"/>
    <n v="7.0000000000000007E-2"/>
    <n v="579.51"/>
    <n v="0.1"/>
    <n v="5"/>
    <n v="1513.09"/>
    <n v="22"/>
    <n v="0"/>
    <n v="383.93"/>
    <n v="1975.73"/>
    <x v="1"/>
    <n v="423.02"/>
    <x v="2"/>
    <x v="0"/>
    <n v="27.9"/>
    <s v="Medium"/>
    <n v="3796.15"/>
    <n v="1"/>
  </r>
  <r>
    <x v="27"/>
    <x v="25"/>
    <n v="1371"/>
    <n v="3375.82"/>
    <n v="2627.31"/>
    <n v="748.51"/>
    <n v="0.78"/>
    <n v="7.0000000000000007E-2"/>
    <n v="3402.61"/>
    <x v="1"/>
    <n v="661"/>
    <n v="0.23"/>
    <n v="885.3"/>
    <n v="0.26"/>
    <n v="580.03"/>
    <n v="0.17"/>
    <n v="2"/>
    <n v="532.30999999999995"/>
    <n v="87"/>
    <n v="1"/>
    <n v="459.21"/>
    <n v="2665.28"/>
    <x v="1"/>
    <n v="1306.3900000000001"/>
    <x v="1"/>
    <x v="2"/>
    <n v="23.5"/>
    <s v="Medium"/>
    <n v="748.51"/>
    <n v="0"/>
  </r>
  <r>
    <x v="27"/>
    <x v="25"/>
    <n v="1109"/>
    <n v="4870.59"/>
    <n v="3461.87"/>
    <n v="1408.72"/>
    <n v="0.71"/>
    <n v="0.22"/>
    <n v="2200.37"/>
    <x v="0"/>
    <n v="643"/>
    <n v="0.25"/>
    <n v="371.28"/>
    <n v="0.08"/>
    <n v="380.98"/>
    <n v="0.08"/>
    <n v="3"/>
    <n v="448.36"/>
    <n v="81"/>
    <n v="0"/>
    <n v="254.78"/>
    <n v="1622.42"/>
    <x v="1"/>
    <n v="1256.79"/>
    <x v="9"/>
    <x v="0"/>
    <n v="15.9"/>
    <s v="Low"/>
    <n v="1408.72"/>
    <n v="0"/>
  </r>
  <r>
    <x v="27"/>
    <x v="25"/>
    <n v="1239"/>
    <n v="4030.27"/>
    <n v="4110"/>
    <n v="-79.73"/>
    <n v="1.02"/>
    <n v="0.08"/>
    <n v="3068.57"/>
    <x v="1"/>
    <n v="682"/>
    <n v="0.51"/>
    <n v="519.55999999999995"/>
    <n v="0.13"/>
    <n v="369.45"/>
    <n v="0.09"/>
    <n v="6"/>
    <n v="1814.19"/>
    <n v="82"/>
    <n v="0"/>
    <n v="647.95000000000005"/>
    <n v="1579.39"/>
    <x v="1"/>
    <n v="1138.58"/>
    <x v="4"/>
    <x v="0"/>
    <n v="95"/>
    <s v="Low"/>
    <n v="0"/>
    <n v="0"/>
  </r>
  <r>
    <x v="27"/>
    <x v="25"/>
    <n v="1624"/>
    <n v="3647.49"/>
    <n v="3318.78"/>
    <n v="328.71"/>
    <n v="0.91"/>
    <n v="0.27"/>
    <n v="1786.74"/>
    <x v="1"/>
    <n v="660"/>
    <n v="0.18"/>
    <n v="316.56"/>
    <n v="0.09"/>
    <n v="1069.32"/>
    <n v="0.28999999999999998"/>
    <n v="6"/>
    <n v="1287.53"/>
    <n v="54"/>
    <n v="0"/>
    <n v="648.47"/>
    <n v="1165.72"/>
    <x v="1"/>
    <n v="1431.22"/>
    <x v="9"/>
    <x v="2"/>
    <n v="30.1"/>
    <s v="Medium"/>
    <n v="328.71"/>
    <n v="0"/>
  </r>
  <r>
    <x v="27"/>
    <x v="25"/>
    <n v="1115"/>
    <n v="5395.68"/>
    <n v="3656.6"/>
    <n v="1739.08"/>
    <n v="0.68"/>
    <n v="0.1"/>
    <n v="2801.69"/>
    <x v="1"/>
    <n v="673"/>
    <n v="0.18"/>
    <n v="584.69000000000005"/>
    <n v="0.11"/>
    <n v="668.13"/>
    <n v="0.12"/>
    <n v="5"/>
    <n v="1187.26"/>
    <n v="51"/>
    <n v="0"/>
    <n v="519.79999999999995"/>
    <n v="1835.08"/>
    <x v="0"/>
    <n v="300"/>
    <x v="3"/>
    <x v="0"/>
    <n v="56.8"/>
    <s v="Medium"/>
    <n v="1739.08"/>
    <n v="0"/>
  </r>
  <r>
    <x v="27"/>
    <x v="25"/>
    <n v="1715"/>
    <n v="826.36"/>
    <n v="3322.15"/>
    <n v="-2495.79"/>
    <n v="4.0199999999999996"/>
    <n v="0.36"/>
    <n v="2206.9699999999998"/>
    <x v="2"/>
    <n v="610"/>
    <n v="0.19"/>
    <n v="855.85"/>
    <n v="1.04"/>
    <n v="446.79"/>
    <n v="0.54"/>
    <n v="9"/>
    <n v="601.04999999999995"/>
    <n v="99"/>
    <n v="0"/>
    <n v="681.99"/>
    <n v="2937.06"/>
    <x v="1"/>
    <n v="976.62"/>
    <x v="5"/>
    <x v="0"/>
    <n v="36.9"/>
    <s v="Low"/>
    <n v="0"/>
    <n v="0"/>
  </r>
  <r>
    <x v="27"/>
    <x v="25"/>
    <n v="1059"/>
    <n v="3388.47"/>
    <n v="3685.62"/>
    <n v="-297.14999999999998"/>
    <n v="1.0900000000000001"/>
    <n v="0.2"/>
    <n v="2599.0500000000002"/>
    <x v="2"/>
    <n v="598"/>
    <n v="0.17"/>
    <n v="593.87"/>
    <n v="0.18"/>
    <n v="24.05"/>
    <n v="0.01"/>
    <n v="9"/>
    <n v="732.43"/>
    <n v="67"/>
    <n v="0"/>
    <n v="856.96"/>
    <n v="2185.7399999999998"/>
    <x v="1"/>
    <n v="1914.44"/>
    <x v="7"/>
    <x v="1"/>
    <n v="21.6"/>
    <s v="Low"/>
    <n v="0"/>
    <n v="0"/>
  </r>
  <r>
    <x v="27"/>
    <x v="25"/>
    <n v="1133"/>
    <n v="4157.1499999999996"/>
    <n v="3895.79"/>
    <n v="261.36"/>
    <n v="0.94"/>
    <n v="0.08"/>
    <n v="3192.36"/>
    <x v="2"/>
    <n v="762"/>
    <n v="0.43"/>
    <n v="617.78"/>
    <n v="0.15"/>
    <n v="437.33"/>
    <n v="0.11"/>
    <n v="5"/>
    <n v="1570.21"/>
    <n v="89"/>
    <n v="0"/>
    <n v="490.03"/>
    <n v="2280.87"/>
    <x v="2"/>
    <n v="2094.96"/>
    <x v="5"/>
    <x v="0"/>
    <n v="79.599999999999994"/>
    <s v="Medium"/>
    <n v="261.36"/>
    <n v="0"/>
  </r>
  <r>
    <x v="27"/>
    <x v="25"/>
    <n v="1974"/>
    <n v="4774.8100000000004"/>
    <n v="3451.68"/>
    <n v="1323.13"/>
    <n v="0.72"/>
    <n v="0.24"/>
    <n v="2483.09"/>
    <x v="1"/>
    <n v="663"/>
    <n v="0.53"/>
    <n v="633.49"/>
    <n v="0.13"/>
    <n v="694.53"/>
    <n v="0.15"/>
    <n v="7"/>
    <n v="1266.24"/>
    <n v="88"/>
    <n v="0"/>
    <n v="690.97"/>
    <n v="1026.24"/>
    <x v="1"/>
    <n v="1193.2"/>
    <x v="6"/>
    <x v="0"/>
    <n v="18.399999999999999"/>
    <s v="Medium"/>
    <n v="1323.13"/>
    <n v="0"/>
  </r>
  <r>
    <x v="27"/>
    <x v="25"/>
    <n v="1355"/>
    <n v="3579.27"/>
    <n v="3737.79"/>
    <n v="-158.52000000000001"/>
    <n v="1.04"/>
    <n v="0.17"/>
    <n v="2366.75"/>
    <x v="1"/>
    <n v="731"/>
    <n v="0.28000000000000003"/>
    <n v="658.83"/>
    <n v="0.18"/>
    <n v="524.88"/>
    <n v="0.15"/>
    <n v="3"/>
    <n v="861.9"/>
    <n v="30"/>
    <n v="0"/>
    <n v="588.54"/>
    <n v="3133.75"/>
    <x v="1"/>
    <n v="1278.99"/>
    <x v="0"/>
    <x v="0"/>
    <n v="43.9"/>
    <s v="Medium"/>
    <n v="0"/>
    <n v="0"/>
  </r>
  <r>
    <x v="27"/>
    <x v="25"/>
    <n v="1510"/>
    <n v="6429.44"/>
    <n v="4014.06"/>
    <n v="2415.38"/>
    <n v="0.62"/>
    <n v="0.28999999999999998"/>
    <n v="2286.0100000000002"/>
    <x v="1"/>
    <n v="743"/>
    <n v="0.46"/>
    <n v="441.69"/>
    <n v="7.0000000000000007E-2"/>
    <n v="71.33"/>
    <n v="0.01"/>
    <n v="1"/>
    <n v="7.62"/>
    <n v="51"/>
    <n v="0"/>
    <n v="136.72"/>
    <n v="1790.42"/>
    <x v="1"/>
    <n v="811.36"/>
    <x v="3"/>
    <x v="0"/>
    <n v="41.4"/>
    <s v="Low"/>
    <n v="2415.38"/>
    <n v="1"/>
  </r>
  <r>
    <x v="27"/>
    <x v="25"/>
    <n v="1245"/>
    <n v="4066"/>
    <n v="3376.66"/>
    <n v="689.34"/>
    <n v="0.83"/>
    <n v="0.14000000000000001"/>
    <n v="2711.57"/>
    <x v="1"/>
    <n v="665"/>
    <n v="0.4"/>
    <n v="394.57"/>
    <n v="0.1"/>
    <n v="104.21"/>
    <n v="0.03"/>
    <n v="8"/>
    <n v="1177.74"/>
    <n v="51"/>
    <n v="0"/>
    <n v="338.2"/>
    <n v="2584.37"/>
    <x v="1"/>
    <n v="627.25"/>
    <x v="2"/>
    <x v="1"/>
    <n v="33.1"/>
    <s v="High"/>
    <n v="689.34"/>
    <n v="0"/>
  </r>
  <r>
    <x v="27"/>
    <x v="25"/>
    <n v="1464"/>
    <n v="4958.8100000000004"/>
    <n v="2126"/>
    <n v="2832.81"/>
    <n v="0.43"/>
    <n v="0.22"/>
    <n v="3190.56"/>
    <x v="0"/>
    <n v="700"/>
    <n v="0.59"/>
    <n v="654.82000000000005"/>
    <n v="0.13"/>
    <n v="465.46"/>
    <n v="0.09"/>
    <n v="2"/>
    <n v="470.96"/>
    <n v="61"/>
    <n v="0"/>
    <n v="528.04"/>
    <n v="2718.4"/>
    <x v="2"/>
    <n v="2217.06"/>
    <x v="9"/>
    <x v="0"/>
    <n v="95.2"/>
    <s v="Medium"/>
    <n v="2832.81"/>
    <n v="0"/>
  </r>
  <r>
    <x v="27"/>
    <x v="25"/>
    <n v="1753"/>
    <n v="2989.32"/>
    <n v="2904.95"/>
    <n v="84.37"/>
    <n v="0.97"/>
    <n v="0.05"/>
    <n v="3147.07"/>
    <x v="2"/>
    <n v="710"/>
    <n v="0.12"/>
    <n v="227.87"/>
    <n v="0.08"/>
    <n v="372.47"/>
    <n v="0.12"/>
    <n v="9"/>
    <n v="782.78"/>
    <n v="31"/>
    <n v="0"/>
    <n v="251.2"/>
    <n v="3179.94"/>
    <x v="1"/>
    <n v="1924.06"/>
    <x v="8"/>
    <x v="2"/>
    <n v="74.2"/>
    <s v="Medium"/>
    <n v="84.37"/>
    <n v="0"/>
  </r>
  <r>
    <x v="27"/>
    <x v="25"/>
    <n v="1714"/>
    <n v="3561.39"/>
    <n v="2895.72"/>
    <n v="665.67"/>
    <n v="0.81"/>
    <n v="0.24"/>
    <n v="3061.8"/>
    <x v="1"/>
    <n v="653"/>
    <n v="0.23"/>
    <n v="729.18"/>
    <n v="0.2"/>
    <n v="108.59"/>
    <n v="0.03"/>
    <n v="9"/>
    <n v="1095.68"/>
    <n v="42"/>
    <n v="0"/>
    <n v="756.39"/>
    <n v="1962.73"/>
    <x v="0"/>
    <n v="854.55"/>
    <x v="8"/>
    <x v="0"/>
    <n v="85.8"/>
    <s v="High"/>
    <n v="665.67"/>
    <n v="0"/>
  </r>
  <r>
    <x v="27"/>
    <x v="25"/>
    <n v="1041"/>
    <n v="3804.77"/>
    <n v="3021.33"/>
    <n v="783.44"/>
    <n v="0.79"/>
    <n v="0.24"/>
    <n v="2637.47"/>
    <x v="1"/>
    <n v="547"/>
    <n v="0.56000000000000005"/>
    <n v="274.52999999999997"/>
    <n v="7.0000000000000007E-2"/>
    <n v="487.84"/>
    <n v="0.13"/>
    <n v="7"/>
    <n v="471.83"/>
    <n v="79"/>
    <n v="1"/>
    <n v="762.59"/>
    <n v="2012.13"/>
    <x v="1"/>
    <n v="1639.38"/>
    <x v="9"/>
    <x v="0"/>
    <n v="99.3"/>
    <s v="Low"/>
    <n v="783.44"/>
    <n v="0"/>
  </r>
  <r>
    <x v="27"/>
    <x v="25"/>
    <n v="1272"/>
    <n v="3917.15"/>
    <n v="3508.59"/>
    <n v="408.56"/>
    <n v="0.9"/>
    <n v="0.27"/>
    <n v="2791.3"/>
    <x v="2"/>
    <n v="607"/>
    <n v="0.19"/>
    <n v="401.86"/>
    <n v="0.1"/>
    <n v="294.24"/>
    <n v="0.08"/>
    <n v="6"/>
    <n v="1613.93"/>
    <n v="52"/>
    <n v="0"/>
    <n v="557.54"/>
    <n v="2129.8200000000002"/>
    <x v="2"/>
    <n v="1298.92"/>
    <x v="1"/>
    <x v="2"/>
    <n v="70.5"/>
    <s v="Medium"/>
    <n v="408.56"/>
    <n v="0"/>
  </r>
  <r>
    <x v="27"/>
    <x v="25"/>
    <n v="1009"/>
    <n v="3751.52"/>
    <n v="2984.54"/>
    <n v="766.98"/>
    <n v="0.8"/>
    <n v="0.19"/>
    <n v="2719.39"/>
    <x v="0"/>
    <n v="629"/>
    <n v="0.57999999999999996"/>
    <n v="421.5"/>
    <n v="0.11"/>
    <n v="672.01"/>
    <n v="0.18"/>
    <n v="4"/>
    <n v="883.99"/>
    <n v="87"/>
    <n v="0"/>
    <n v="496.63"/>
    <n v="2406.7600000000002"/>
    <x v="1"/>
    <n v="1327.49"/>
    <x v="4"/>
    <x v="1"/>
    <n v="35.200000000000003"/>
    <s v="Medium"/>
    <n v="766.98"/>
    <n v="0"/>
  </r>
  <r>
    <x v="27"/>
    <x v="25"/>
    <n v="1475"/>
    <n v="5162.0200000000004"/>
    <n v="4104.71"/>
    <n v="1057.31"/>
    <n v="0.8"/>
    <n v="0.28000000000000003"/>
    <n v="3498.9"/>
    <x v="0"/>
    <n v="670"/>
    <n v="0.12"/>
    <n v="614.22"/>
    <n v="0.12"/>
    <n v="614.16999999999996"/>
    <n v="0.12"/>
    <n v="9"/>
    <n v="880.01"/>
    <n v="63"/>
    <n v="0"/>
    <n v="496.3"/>
    <n v="2294.13"/>
    <x v="1"/>
    <n v="1573.88"/>
    <x v="4"/>
    <x v="2"/>
    <n v="4.7"/>
    <s v="High"/>
    <n v="1057.31"/>
    <n v="0"/>
  </r>
  <r>
    <x v="27"/>
    <x v="25"/>
    <n v="1598"/>
    <n v="5838.11"/>
    <n v="2553.87"/>
    <n v="3284.24"/>
    <n v="0.44"/>
    <n v="0.3"/>
    <n v="2958.07"/>
    <x v="0"/>
    <n v="699"/>
    <n v="0.23"/>
    <n v="548.65"/>
    <n v="0.09"/>
    <n v="614.75"/>
    <n v="0.11"/>
    <n v="9"/>
    <n v="1596.93"/>
    <n v="98"/>
    <n v="0"/>
    <n v="626.11"/>
    <n v="1211.8800000000001"/>
    <x v="1"/>
    <n v="1597.48"/>
    <x v="9"/>
    <x v="0"/>
    <n v="6.6"/>
    <s v="Medium"/>
    <n v="3284.24"/>
    <n v="1"/>
  </r>
  <r>
    <x v="27"/>
    <x v="25"/>
    <n v="1456"/>
    <n v="4528.21"/>
    <n v="4359.2"/>
    <n v="169.01"/>
    <n v="0.96"/>
    <n v="0.14000000000000001"/>
    <n v="2205.42"/>
    <x v="1"/>
    <n v="693"/>
    <n v="0.15"/>
    <n v="590.69000000000005"/>
    <n v="0.13"/>
    <n v="68.72"/>
    <n v="0.02"/>
    <n v="6"/>
    <n v="1690.43"/>
    <n v="21"/>
    <n v="1"/>
    <n v="543.1"/>
    <n v="2327.4499999999998"/>
    <x v="1"/>
    <n v="1080.54"/>
    <x v="4"/>
    <x v="2"/>
    <n v="26.2"/>
    <s v="Medium"/>
    <n v="169.01"/>
    <n v="0"/>
  </r>
  <r>
    <x v="27"/>
    <x v="25"/>
    <n v="1663"/>
    <n v="4437.1400000000003"/>
    <n v="3601.36"/>
    <n v="835.78"/>
    <n v="0.81"/>
    <n v="0.28000000000000003"/>
    <n v="2283.7800000000002"/>
    <x v="0"/>
    <n v="662"/>
    <n v="0.28000000000000003"/>
    <n v="1056.1600000000001"/>
    <n v="0.24"/>
    <n v="457.57"/>
    <n v="0.1"/>
    <n v="2"/>
    <n v="1936.39"/>
    <n v="79"/>
    <n v="0"/>
    <n v="294.92"/>
    <n v="2149.62"/>
    <x v="1"/>
    <n v="1559.28"/>
    <x v="3"/>
    <x v="0"/>
    <n v="60"/>
    <s v="Medium"/>
    <n v="835.78"/>
    <n v="0"/>
  </r>
  <r>
    <x v="27"/>
    <x v="25"/>
    <n v="1261"/>
    <n v="4705.54"/>
    <n v="3817.16"/>
    <n v="888.38"/>
    <n v="0.81"/>
    <n v="0.39"/>
    <n v="3401.18"/>
    <x v="2"/>
    <n v="579"/>
    <n v="0.32"/>
    <n v="613.85"/>
    <n v="0.13"/>
    <n v="382.81"/>
    <n v="0.08"/>
    <n v="5"/>
    <n v="909.1"/>
    <n v="94"/>
    <n v="0"/>
    <n v="516.5"/>
    <n v="2286.7199999999998"/>
    <x v="1"/>
    <n v="1470.24"/>
    <x v="1"/>
    <x v="0"/>
    <n v="50.9"/>
    <s v="High"/>
    <n v="888.38"/>
    <n v="0"/>
  </r>
  <r>
    <x v="27"/>
    <x v="25"/>
    <n v="1526"/>
    <n v="2591.91"/>
    <n v="4083.06"/>
    <n v="-1491.15"/>
    <n v="1.58"/>
    <n v="0.32"/>
    <n v="3023.08"/>
    <x v="1"/>
    <n v="693"/>
    <n v="0.17"/>
    <n v="548.17999999999995"/>
    <n v="0.21"/>
    <n v="113.71"/>
    <n v="0.04"/>
    <n v="5"/>
    <n v="1199.04"/>
    <n v="72"/>
    <n v="0"/>
    <n v="250.61"/>
    <n v="2355.85"/>
    <x v="1"/>
    <n v="1545.45"/>
    <x v="1"/>
    <x v="0"/>
    <n v="69.099999999999994"/>
    <s v="High"/>
    <n v="0"/>
    <n v="0"/>
  </r>
  <r>
    <x v="27"/>
    <x v="25"/>
    <n v="1782"/>
    <n v="3329.59"/>
    <n v="3746.8"/>
    <n v="-417.21"/>
    <n v="1.1299999999999999"/>
    <n v="0.16"/>
    <n v="3195.72"/>
    <x v="0"/>
    <n v="765"/>
    <n v="0.44"/>
    <n v="835.01"/>
    <n v="0.25"/>
    <n v="210.45"/>
    <n v="0.06"/>
    <n v="5"/>
    <n v="660.95"/>
    <n v="76"/>
    <n v="0"/>
    <n v="585.97"/>
    <n v="3205.43"/>
    <x v="1"/>
    <n v="1156.21"/>
    <x v="6"/>
    <x v="0"/>
    <n v="19.399999999999999"/>
    <s v="High"/>
    <n v="0"/>
    <n v="0"/>
  </r>
  <r>
    <x v="27"/>
    <x v="25"/>
    <n v="1023"/>
    <n v="3412.32"/>
    <n v="3744.9"/>
    <n v="-332.58"/>
    <n v="1.1000000000000001"/>
    <n v="0.27"/>
    <n v="3278.37"/>
    <x v="2"/>
    <n v="656"/>
    <n v="0.56999999999999995"/>
    <n v="393.9"/>
    <n v="0.12"/>
    <n v="468.22"/>
    <n v="0.14000000000000001"/>
    <n v="7"/>
    <n v="220.79"/>
    <n v="55"/>
    <n v="0"/>
    <n v="327.87"/>
    <n v="2762.58"/>
    <x v="2"/>
    <n v="1020.83"/>
    <x v="2"/>
    <x v="0"/>
    <n v="73"/>
    <s v="High"/>
    <n v="0"/>
    <n v="0"/>
  </r>
  <r>
    <x v="27"/>
    <x v="25"/>
    <n v="1941"/>
    <n v="4150.8"/>
    <n v="2183.36"/>
    <n v="1967.44"/>
    <n v="0.53"/>
    <n v="0.05"/>
    <n v="3407.11"/>
    <x v="1"/>
    <n v="645"/>
    <n v="0.1"/>
    <n v="661.46"/>
    <n v="0.16"/>
    <n v="152.37"/>
    <n v="0.04"/>
    <n v="5"/>
    <n v="1216.71"/>
    <n v="49"/>
    <n v="0"/>
    <n v="635.91"/>
    <n v="2428.2800000000002"/>
    <x v="0"/>
    <n v="804.73"/>
    <x v="2"/>
    <x v="0"/>
    <n v="31.1"/>
    <s v="Low"/>
    <n v="1967.44"/>
    <n v="0"/>
  </r>
  <r>
    <x v="27"/>
    <x v="25"/>
    <n v="1296"/>
    <n v="3650.96"/>
    <n v="4767.37"/>
    <n v="-1116.4100000000001"/>
    <n v="1.31"/>
    <n v="0.15"/>
    <n v="3405.03"/>
    <x v="2"/>
    <n v="657"/>
    <n v="0.22"/>
    <n v="657.85"/>
    <n v="0.18"/>
    <n v="438.45"/>
    <n v="0.12"/>
    <n v="6"/>
    <n v="730.31"/>
    <n v="89"/>
    <n v="0"/>
    <n v="528.55999999999995"/>
    <n v="1347.37"/>
    <x v="1"/>
    <n v="1990.06"/>
    <x v="9"/>
    <x v="0"/>
    <n v="90.5"/>
    <s v="High"/>
    <n v="0"/>
    <n v="0"/>
  </r>
  <r>
    <x v="27"/>
    <x v="25"/>
    <n v="1198"/>
    <n v="4544.68"/>
    <n v="3178.58"/>
    <n v="1366.1"/>
    <n v="0.7"/>
    <n v="0.38"/>
    <n v="2807.31"/>
    <x v="2"/>
    <n v="671"/>
    <n v="0.47"/>
    <n v="521.69000000000005"/>
    <n v="0.11"/>
    <n v="560.04"/>
    <n v="0.12"/>
    <n v="6"/>
    <n v="727.37"/>
    <n v="68"/>
    <n v="0"/>
    <n v="301.89999999999998"/>
    <n v="1646"/>
    <x v="1"/>
    <n v="1030.8"/>
    <x v="2"/>
    <x v="2"/>
    <n v="91.8"/>
    <s v="Medium"/>
    <n v="1366.1"/>
    <n v="0"/>
  </r>
  <r>
    <x v="27"/>
    <x v="25"/>
    <n v="1114"/>
    <n v="5496.62"/>
    <n v="3475.36"/>
    <n v="2021.26"/>
    <n v="0.63"/>
    <n v="0.28000000000000003"/>
    <n v="3069.8"/>
    <x v="2"/>
    <n v="724"/>
    <n v="0.4"/>
    <n v="738.8"/>
    <n v="0.13"/>
    <n v="651.85"/>
    <n v="0.12"/>
    <n v="2"/>
    <n v="1993.44"/>
    <n v="37"/>
    <n v="0"/>
    <n v="586.41999999999996"/>
    <n v="2355.69"/>
    <x v="1"/>
    <n v="828.69"/>
    <x v="5"/>
    <x v="0"/>
    <n v="31.5"/>
    <s v="Low"/>
    <n v="2021.26"/>
    <n v="0"/>
  </r>
  <r>
    <x v="27"/>
    <x v="25"/>
    <n v="1271"/>
    <n v="2609.38"/>
    <n v="3289.32"/>
    <n v="-679.94"/>
    <n v="1.26"/>
    <n v="0.25"/>
    <n v="3313.67"/>
    <x v="2"/>
    <n v="716"/>
    <n v="0.35"/>
    <n v="345.44"/>
    <n v="0.13"/>
    <n v="220.63"/>
    <n v="0.08"/>
    <n v="7"/>
    <n v="860.84"/>
    <n v="37"/>
    <n v="0"/>
    <n v="535.4"/>
    <n v="2815.78"/>
    <x v="1"/>
    <n v="625.04999999999995"/>
    <x v="8"/>
    <x v="0"/>
    <n v="56.5"/>
    <s v="Medium"/>
    <n v="0"/>
    <n v="0"/>
  </r>
  <r>
    <x v="27"/>
    <x v="25"/>
    <n v="1011"/>
    <n v="3419.44"/>
    <n v="4156.88"/>
    <n v="-737.44"/>
    <n v="1.22"/>
    <n v="0.06"/>
    <n v="3276"/>
    <x v="1"/>
    <n v="721"/>
    <n v="0.36"/>
    <n v="626.20000000000005"/>
    <n v="0.18"/>
    <n v="0"/>
    <n v="0"/>
    <n v="7"/>
    <n v="1212.1199999999999"/>
    <n v="91"/>
    <n v="0"/>
    <n v="579.69000000000005"/>
    <n v="1418.2"/>
    <x v="1"/>
    <n v="1127.28"/>
    <x v="8"/>
    <x v="2"/>
    <n v="90.7"/>
    <s v="Medium"/>
    <n v="0"/>
    <n v="0"/>
  </r>
  <r>
    <x v="27"/>
    <x v="25"/>
    <n v="1109"/>
    <n v="2880.23"/>
    <n v="2783.31"/>
    <n v="96.92"/>
    <n v="0.97"/>
    <n v="0.16"/>
    <n v="2630.59"/>
    <x v="1"/>
    <n v="579"/>
    <n v="0.2"/>
    <n v="340.58"/>
    <n v="0.12"/>
    <n v="544.57000000000005"/>
    <n v="0.19"/>
    <n v="8"/>
    <n v="946.64"/>
    <n v="98"/>
    <n v="0"/>
    <n v="372.26"/>
    <n v="3117.54"/>
    <x v="1"/>
    <n v="1131.94"/>
    <x v="2"/>
    <x v="0"/>
    <n v="86"/>
    <s v="Medium"/>
    <n v="96.92"/>
    <n v="0"/>
  </r>
  <r>
    <x v="27"/>
    <x v="25"/>
    <n v="1916"/>
    <n v="4004.18"/>
    <n v="3496.17"/>
    <n v="508.01"/>
    <n v="0.87"/>
    <n v="0.17"/>
    <n v="2965.28"/>
    <x v="2"/>
    <n v="712"/>
    <n v="0.14000000000000001"/>
    <n v="663.84"/>
    <n v="0.17"/>
    <n v="509.9"/>
    <n v="0.13"/>
    <n v="2"/>
    <n v="658.34"/>
    <n v="98"/>
    <n v="0"/>
    <n v="544.49"/>
    <n v="3523.85"/>
    <x v="0"/>
    <n v="875.04"/>
    <x v="9"/>
    <x v="0"/>
    <n v="22.3"/>
    <s v="Medium"/>
    <n v="508.01"/>
    <n v="0"/>
  </r>
  <r>
    <x v="27"/>
    <x v="25"/>
    <n v="1522"/>
    <n v="5339.73"/>
    <n v="3734.16"/>
    <n v="1605.57"/>
    <n v="0.7"/>
    <n v="0.09"/>
    <n v="2643.01"/>
    <x v="0"/>
    <n v="727"/>
    <n v="0.17"/>
    <n v="420.25"/>
    <n v="0.08"/>
    <n v="631.29999999999995"/>
    <n v="0.12"/>
    <n v="6"/>
    <n v="869.7"/>
    <n v="97"/>
    <n v="0"/>
    <n v="459.09"/>
    <n v="2084.7199999999998"/>
    <x v="1"/>
    <n v="1397.72"/>
    <x v="0"/>
    <x v="2"/>
    <n v="54.2"/>
    <s v="High"/>
    <n v="1605.57"/>
    <n v="0"/>
  </r>
  <r>
    <x v="27"/>
    <x v="25"/>
    <n v="1817"/>
    <n v="4624.1899999999996"/>
    <n v="3486.68"/>
    <n v="1137.51"/>
    <n v="0.75"/>
    <n v="0.09"/>
    <n v="3333.08"/>
    <x v="1"/>
    <n v="662"/>
    <n v="0.5"/>
    <n v="742.75"/>
    <n v="0.16"/>
    <n v="23.81"/>
    <n v="0.01"/>
    <n v="3"/>
    <n v="1188.3399999999999"/>
    <n v="25"/>
    <n v="0"/>
    <n v="493.62"/>
    <n v="2056.17"/>
    <x v="1"/>
    <n v="825.84"/>
    <x v="2"/>
    <x v="2"/>
    <n v="86.2"/>
    <s v="Low"/>
    <n v="1137.51"/>
    <n v="0"/>
  </r>
  <r>
    <x v="27"/>
    <x v="25"/>
    <n v="1400"/>
    <n v="4950.54"/>
    <n v="2776.35"/>
    <n v="2174.19"/>
    <n v="0.56000000000000005"/>
    <n v="0.28999999999999998"/>
    <n v="3313.1"/>
    <x v="0"/>
    <n v="767"/>
    <n v="0.59"/>
    <n v="196.78"/>
    <n v="0.04"/>
    <n v="366.2"/>
    <n v="7.0000000000000007E-2"/>
    <n v="9"/>
    <n v="1376.91"/>
    <n v="91"/>
    <n v="0"/>
    <n v="558.82000000000005"/>
    <n v="2649.05"/>
    <x v="1"/>
    <n v="1159.22"/>
    <x v="9"/>
    <x v="0"/>
    <n v="45.1"/>
    <s v="Low"/>
    <n v="2174.19"/>
    <n v="0"/>
  </r>
  <r>
    <x v="27"/>
    <x v="25"/>
    <n v="1334"/>
    <n v="1967.29"/>
    <n v="4420.1899999999996"/>
    <n v="-2452.9"/>
    <n v="2.25"/>
    <n v="0.3"/>
    <n v="2976.92"/>
    <x v="0"/>
    <n v="614"/>
    <n v="0.52"/>
    <n v="213.07"/>
    <n v="0.11"/>
    <n v="540.19000000000005"/>
    <n v="0.27"/>
    <n v="5"/>
    <n v="1104.52"/>
    <n v="36"/>
    <n v="0"/>
    <n v="376.7"/>
    <n v="2463.5"/>
    <x v="1"/>
    <n v="853.17"/>
    <x v="4"/>
    <x v="0"/>
    <n v="21.1"/>
    <s v="Low"/>
    <n v="0"/>
    <n v="0"/>
  </r>
  <r>
    <x v="27"/>
    <x v="25"/>
    <n v="1505"/>
    <n v="3194.13"/>
    <n v="2422.39"/>
    <n v="771.74"/>
    <n v="0.76"/>
    <n v="0.36"/>
    <n v="2661.82"/>
    <x v="1"/>
    <n v="631"/>
    <n v="0.47"/>
    <n v="711.23"/>
    <n v="0.22"/>
    <n v="245.59"/>
    <n v="0.08"/>
    <n v="4"/>
    <n v="931.34"/>
    <n v="70"/>
    <n v="0"/>
    <n v="445.98"/>
    <n v="3092.43"/>
    <x v="1"/>
    <n v="982.03"/>
    <x v="6"/>
    <x v="0"/>
    <n v="1.1000000000000001"/>
    <s v="Low"/>
    <n v="771.74"/>
    <n v="0"/>
  </r>
  <r>
    <x v="27"/>
    <x v="25"/>
    <n v="1164"/>
    <n v="4033.04"/>
    <n v="3821.44"/>
    <n v="211.6"/>
    <n v="0.95"/>
    <n v="0.33"/>
    <n v="2051.4"/>
    <x v="0"/>
    <n v="712"/>
    <n v="0.28000000000000003"/>
    <n v="791.34"/>
    <n v="0.2"/>
    <n v="604.20000000000005"/>
    <n v="0.15"/>
    <n v="7"/>
    <n v="895.79"/>
    <n v="51"/>
    <n v="0"/>
    <n v="593.80999999999995"/>
    <n v="1302.5"/>
    <x v="1"/>
    <n v="1613.08"/>
    <x v="3"/>
    <x v="0"/>
    <n v="7.2"/>
    <s v="High"/>
    <n v="211.6"/>
    <n v="0"/>
  </r>
  <r>
    <x v="27"/>
    <x v="25"/>
    <n v="1722"/>
    <n v="4773.45"/>
    <n v="2418.8000000000002"/>
    <n v="2354.65"/>
    <n v="0.51"/>
    <n v="0.28000000000000003"/>
    <n v="2730.76"/>
    <x v="1"/>
    <n v="689"/>
    <n v="0.24"/>
    <n v="270.37"/>
    <n v="0.06"/>
    <n v="535.29999999999995"/>
    <n v="0.11"/>
    <n v="2"/>
    <n v="796.25"/>
    <n v="38"/>
    <n v="0"/>
    <n v="564.98"/>
    <n v="2156.35"/>
    <x v="1"/>
    <n v="1884.13"/>
    <x v="6"/>
    <x v="1"/>
    <n v="52.9"/>
    <s v="Low"/>
    <n v="2354.65"/>
    <n v="0"/>
  </r>
  <r>
    <x v="27"/>
    <x v="25"/>
    <n v="1843"/>
    <n v="3735.57"/>
    <n v="3111.95"/>
    <n v="623.62"/>
    <n v="0.83"/>
    <n v="0.19"/>
    <n v="2803.2"/>
    <x v="1"/>
    <n v="670"/>
    <n v="0.31"/>
    <n v="621.03"/>
    <n v="0.17"/>
    <n v="341.57"/>
    <n v="0.09"/>
    <n v="7"/>
    <n v="1541.24"/>
    <n v="70"/>
    <n v="0"/>
    <n v="437.4"/>
    <n v="1657.14"/>
    <x v="1"/>
    <n v="1286.53"/>
    <x v="0"/>
    <x v="0"/>
    <n v="32.6"/>
    <s v="High"/>
    <n v="623.62"/>
    <n v="0"/>
  </r>
  <r>
    <x v="27"/>
    <x v="25"/>
    <n v="1104"/>
    <n v="1566.74"/>
    <n v="3182.21"/>
    <n v="-1615.47"/>
    <n v="2.0299999999999998"/>
    <n v="7.0000000000000007E-2"/>
    <n v="3533.57"/>
    <x v="1"/>
    <n v="727"/>
    <n v="0.22"/>
    <n v="358.7"/>
    <n v="0.23"/>
    <n v="652.28"/>
    <n v="0.42"/>
    <n v="3"/>
    <n v="1901.75"/>
    <n v="53"/>
    <n v="0"/>
    <n v="465.49"/>
    <n v="1871.63"/>
    <x v="1"/>
    <n v="1024.9100000000001"/>
    <x v="4"/>
    <x v="0"/>
    <n v="45.7"/>
    <s v="Low"/>
    <n v="0"/>
    <n v="0"/>
  </r>
  <r>
    <x v="27"/>
    <x v="25"/>
    <n v="1800"/>
    <n v="1649.18"/>
    <n v="2785.35"/>
    <n v="-1136.17"/>
    <n v="1.69"/>
    <n v="0.13"/>
    <n v="2418.8000000000002"/>
    <x v="1"/>
    <n v="675"/>
    <n v="0.23"/>
    <n v="445.31"/>
    <n v="0.27"/>
    <n v="277.49"/>
    <n v="0.17"/>
    <n v="3"/>
    <n v="1734.84"/>
    <n v="60"/>
    <n v="0"/>
    <n v="516.30999999999995"/>
    <n v="3777.13"/>
    <x v="1"/>
    <n v="1432.21"/>
    <x v="8"/>
    <x v="0"/>
    <n v="81.7"/>
    <s v="Low"/>
    <n v="0"/>
    <n v="0"/>
  </r>
  <r>
    <x v="27"/>
    <x v="25"/>
    <n v="1659"/>
    <n v="2564.52"/>
    <n v="528.42999999999995"/>
    <n v="2036.09"/>
    <n v="0.21"/>
    <n v="0.37"/>
    <n v="3710.16"/>
    <x v="1"/>
    <n v="634"/>
    <n v="0.46"/>
    <n v="446.14"/>
    <n v="0.17"/>
    <n v="144.37"/>
    <n v="0.06"/>
    <n v="8"/>
    <n v="632.62"/>
    <n v="27"/>
    <n v="0"/>
    <n v="454.74"/>
    <n v="1996.53"/>
    <x v="0"/>
    <n v="817.94"/>
    <x v="2"/>
    <x v="0"/>
    <n v="78.900000000000006"/>
    <s v="Low"/>
    <n v="2036.09"/>
    <n v="0"/>
  </r>
  <r>
    <x v="27"/>
    <x v="25"/>
    <n v="1637"/>
    <n v="4327.7700000000004"/>
    <n v="3154.73"/>
    <n v="1173.04"/>
    <n v="0.73"/>
    <n v="0.33"/>
    <n v="3359.46"/>
    <x v="1"/>
    <n v="608"/>
    <n v="0.31"/>
    <n v="717.15"/>
    <n v="0.17"/>
    <n v="104.91"/>
    <n v="0.02"/>
    <n v="3"/>
    <n v="1091.82"/>
    <n v="23"/>
    <n v="0"/>
    <n v="443.4"/>
    <n v="2752.42"/>
    <x v="1"/>
    <n v="1140.7"/>
    <x v="2"/>
    <x v="0"/>
    <n v="37.5"/>
    <s v="Medium"/>
    <n v="1173.04"/>
    <n v="0"/>
  </r>
  <r>
    <x v="27"/>
    <x v="25"/>
    <n v="1383"/>
    <n v="6719.71"/>
    <n v="3624.44"/>
    <n v="3095.27"/>
    <n v="0.54"/>
    <n v="0.21"/>
    <n v="3402.32"/>
    <x v="2"/>
    <n v="656"/>
    <n v="0.45"/>
    <n v="804.08"/>
    <n v="0.12"/>
    <n v="386.81"/>
    <n v="0.06"/>
    <n v="8"/>
    <n v="2035.45"/>
    <n v="41"/>
    <n v="0"/>
    <n v="303.37"/>
    <n v="2541.14"/>
    <x v="1"/>
    <n v="1357.32"/>
    <x v="5"/>
    <x v="1"/>
    <n v="47.2"/>
    <s v="Medium"/>
    <n v="3095.27"/>
    <n v="0"/>
  </r>
  <r>
    <x v="27"/>
    <x v="25"/>
    <n v="1140"/>
    <n v="4527.17"/>
    <n v="3254.12"/>
    <n v="1273.05"/>
    <n v="0.72"/>
    <n v="0.27"/>
    <n v="2388.4299999999998"/>
    <x v="1"/>
    <n v="661"/>
    <n v="0.28000000000000003"/>
    <n v="728.01"/>
    <n v="0.16"/>
    <n v="657.83"/>
    <n v="0.15"/>
    <n v="8"/>
    <n v="1083.8699999999999"/>
    <n v="26"/>
    <n v="0"/>
    <n v="709.98"/>
    <n v="2444.3200000000002"/>
    <x v="1"/>
    <n v="1572.03"/>
    <x v="5"/>
    <x v="1"/>
    <n v="57.7"/>
    <s v="Low"/>
    <n v="1273.05"/>
    <n v="0"/>
  </r>
  <r>
    <x v="27"/>
    <x v="25"/>
    <n v="1443"/>
    <n v="4861.04"/>
    <n v="4084.19"/>
    <n v="776.85"/>
    <n v="0.84"/>
    <n v="0.24"/>
    <n v="2800.26"/>
    <x v="1"/>
    <n v="578"/>
    <n v="0.17"/>
    <n v="471.2"/>
    <n v="0.1"/>
    <n v="645.87"/>
    <n v="0.13"/>
    <n v="7"/>
    <n v="1675.17"/>
    <n v="61"/>
    <n v="0"/>
    <n v="977.44"/>
    <n v="1453.88"/>
    <x v="1"/>
    <n v="1457.29"/>
    <x v="5"/>
    <x v="0"/>
    <n v="30.4"/>
    <s v="Medium"/>
    <n v="776.85"/>
    <n v="0"/>
  </r>
  <r>
    <x v="28"/>
    <x v="26"/>
    <n v="1058"/>
    <n v="4422.9399999999996"/>
    <n v="2989.14"/>
    <n v="1433.8"/>
    <n v="0.68"/>
    <n v="0.32"/>
    <n v="2506.1999999999998"/>
    <x v="1"/>
    <n v="662"/>
    <n v="0.38"/>
    <n v="440.32"/>
    <n v="0.1"/>
    <n v="326.25"/>
    <n v="7.0000000000000007E-2"/>
    <n v="9"/>
    <n v="322.35000000000002"/>
    <n v="90"/>
    <n v="0"/>
    <n v="809.16"/>
    <n v="1000"/>
    <x v="1"/>
    <n v="1618.9"/>
    <x v="7"/>
    <x v="2"/>
    <n v="27.3"/>
    <s v="High"/>
    <n v="1433.8"/>
    <n v="0"/>
  </r>
  <r>
    <x v="28"/>
    <x v="26"/>
    <n v="1938"/>
    <n v="4023.87"/>
    <n v="1360.32"/>
    <n v="2663.55"/>
    <n v="0.34"/>
    <n v="0.17"/>
    <n v="3357.66"/>
    <x v="2"/>
    <n v="740"/>
    <n v="0.21"/>
    <n v="470.65"/>
    <n v="0.12"/>
    <n v="0"/>
    <n v="0"/>
    <n v="7"/>
    <n v="2018.03"/>
    <n v="77"/>
    <n v="0"/>
    <n v="830.19"/>
    <n v="2651.21"/>
    <x v="1"/>
    <n v="851.6"/>
    <x v="6"/>
    <x v="0"/>
    <n v="87"/>
    <s v="Low"/>
    <n v="2663.55"/>
    <n v="0"/>
  </r>
  <r>
    <x v="28"/>
    <x v="26"/>
    <n v="1532"/>
    <n v="3192.65"/>
    <n v="2536.0700000000002"/>
    <n v="656.58"/>
    <n v="0.79"/>
    <n v="0.15"/>
    <n v="3016.3"/>
    <x v="2"/>
    <n v="629"/>
    <n v="0.28000000000000003"/>
    <n v="428.2"/>
    <n v="0.13"/>
    <n v="110.83"/>
    <n v="0.03"/>
    <n v="4"/>
    <n v="1500.46"/>
    <n v="68"/>
    <n v="0"/>
    <n v="397.23"/>
    <n v="2430.85"/>
    <x v="1"/>
    <n v="1639.1"/>
    <x v="5"/>
    <x v="1"/>
    <n v="28.1"/>
    <s v="Medium"/>
    <n v="656.58"/>
    <n v="0"/>
  </r>
  <r>
    <x v="28"/>
    <x v="26"/>
    <n v="1183"/>
    <n v="4628.88"/>
    <n v="3948.03"/>
    <n v="680.85"/>
    <n v="0.85"/>
    <n v="0.21"/>
    <n v="2901.07"/>
    <x v="2"/>
    <n v="684"/>
    <n v="0.55000000000000004"/>
    <n v="721.14"/>
    <n v="0.16"/>
    <n v="455.05"/>
    <n v="0.1"/>
    <n v="2"/>
    <n v="1553.77"/>
    <n v="55"/>
    <n v="0"/>
    <n v="731.04"/>
    <n v="2352.0500000000002"/>
    <x v="1"/>
    <n v="1376.24"/>
    <x v="5"/>
    <x v="2"/>
    <n v="99"/>
    <s v="High"/>
    <n v="680.85"/>
    <n v="0"/>
  </r>
  <r>
    <x v="28"/>
    <x v="26"/>
    <n v="1563"/>
    <n v="5012.67"/>
    <n v="2133.7199999999998"/>
    <n v="2878.95"/>
    <n v="0.43"/>
    <n v="0.05"/>
    <n v="3351.43"/>
    <x v="1"/>
    <n v="626"/>
    <n v="0.4"/>
    <n v="408.36"/>
    <n v="0.08"/>
    <n v="284.12"/>
    <n v="0.06"/>
    <n v="1"/>
    <n v="1458.97"/>
    <n v="98"/>
    <n v="0"/>
    <n v="605.61"/>
    <n v="1511.97"/>
    <x v="1"/>
    <n v="785.35"/>
    <x v="0"/>
    <x v="0"/>
    <n v="6.1"/>
    <s v="Low"/>
    <n v="2878.95"/>
    <n v="0"/>
  </r>
  <r>
    <x v="28"/>
    <x v="26"/>
    <n v="1713"/>
    <n v="5064.66"/>
    <n v="2634.9"/>
    <n v="2429.7600000000002"/>
    <n v="0.52"/>
    <n v="0.33"/>
    <n v="2879.74"/>
    <x v="1"/>
    <n v="666"/>
    <n v="0.19"/>
    <n v="588.41"/>
    <n v="0.12"/>
    <n v="41.33"/>
    <n v="0.01"/>
    <n v="6"/>
    <n v="888"/>
    <n v="88"/>
    <n v="0"/>
    <n v="681.37"/>
    <n v="2533.7399999999998"/>
    <x v="1"/>
    <n v="786.12"/>
    <x v="4"/>
    <x v="1"/>
    <n v="46.7"/>
    <s v="Low"/>
    <n v="2429.7600000000002"/>
    <n v="0"/>
  </r>
  <r>
    <x v="28"/>
    <x v="26"/>
    <n v="1899"/>
    <n v="4037.48"/>
    <n v="4470.87"/>
    <n v="-433.39"/>
    <n v="1.1100000000000001"/>
    <n v="0.35"/>
    <n v="2176.1799999999998"/>
    <x v="0"/>
    <n v="607"/>
    <n v="0.38"/>
    <n v="347.79"/>
    <n v="0.09"/>
    <n v="493.97"/>
    <n v="0.12"/>
    <n v="9"/>
    <n v="1708.83"/>
    <n v="80"/>
    <n v="0"/>
    <n v="256.04000000000002"/>
    <n v="2766.76"/>
    <x v="2"/>
    <n v="787.68"/>
    <x v="3"/>
    <x v="2"/>
    <n v="68.400000000000006"/>
    <s v="Low"/>
    <n v="0"/>
    <n v="0"/>
  </r>
  <r>
    <x v="28"/>
    <x v="26"/>
    <n v="1247"/>
    <n v="4168.96"/>
    <n v="1741.8"/>
    <n v="2427.16"/>
    <n v="0.42"/>
    <n v="0.22"/>
    <n v="3065.08"/>
    <x v="2"/>
    <n v="697"/>
    <n v="0.22"/>
    <n v="397.98"/>
    <n v="0.1"/>
    <n v="199.46"/>
    <n v="0.05"/>
    <n v="6"/>
    <n v="1746.02"/>
    <n v="39"/>
    <n v="0"/>
    <n v="435.08"/>
    <n v="2063.83"/>
    <x v="1"/>
    <n v="1684.58"/>
    <x v="8"/>
    <x v="2"/>
    <n v="7.2"/>
    <s v="Low"/>
    <n v="2427.16"/>
    <n v="0"/>
  </r>
  <r>
    <x v="28"/>
    <x v="26"/>
    <n v="1539"/>
    <n v="5185.59"/>
    <n v="3419.63"/>
    <n v="1765.96"/>
    <n v="0.66"/>
    <n v="0.39"/>
    <n v="3413.38"/>
    <x v="1"/>
    <n v="643"/>
    <n v="0.17"/>
    <n v="345.78"/>
    <n v="7.0000000000000007E-2"/>
    <n v="103.79"/>
    <n v="0.02"/>
    <n v="7"/>
    <n v="968.76"/>
    <n v="56"/>
    <n v="0"/>
    <n v="431.81"/>
    <n v="1348.42"/>
    <x v="1"/>
    <n v="1160.43"/>
    <x v="5"/>
    <x v="0"/>
    <n v="84.3"/>
    <s v="High"/>
    <n v="1765.96"/>
    <n v="0"/>
  </r>
  <r>
    <x v="28"/>
    <x v="26"/>
    <n v="1584"/>
    <n v="2028.96"/>
    <n v="2455.96"/>
    <n v="-427"/>
    <n v="1.21"/>
    <n v="0.05"/>
    <n v="2857.71"/>
    <x v="1"/>
    <n v="760"/>
    <n v="0.37"/>
    <n v="383.61"/>
    <n v="0.19"/>
    <n v="277.89"/>
    <n v="0.14000000000000001"/>
    <n v="7"/>
    <n v="532.38"/>
    <n v="49"/>
    <n v="0"/>
    <n v="284.66000000000003"/>
    <n v="1363.82"/>
    <x v="1"/>
    <n v="1498.03"/>
    <x v="5"/>
    <x v="0"/>
    <n v="17.899999999999999"/>
    <s v="Low"/>
    <n v="0"/>
    <n v="0"/>
  </r>
  <r>
    <x v="28"/>
    <x v="26"/>
    <n v="1805"/>
    <n v="2474.88"/>
    <n v="3324.07"/>
    <n v="-849.19"/>
    <n v="1.34"/>
    <n v="0.16"/>
    <n v="2767.98"/>
    <x v="1"/>
    <n v="696"/>
    <n v="0.44"/>
    <n v="752.33"/>
    <n v="0.3"/>
    <n v="684.6"/>
    <n v="0.28000000000000003"/>
    <n v="6"/>
    <n v="814.24"/>
    <n v="87"/>
    <n v="0"/>
    <n v="501.4"/>
    <n v="3600.13"/>
    <x v="1"/>
    <n v="1247.33"/>
    <x v="7"/>
    <x v="0"/>
    <n v="21.3"/>
    <s v="Medium"/>
    <n v="0"/>
    <n v="0"/>
  </r>
  <r>
    <x v="28"/>
    <x v="26"/>
    <n v="1890"/>
    <n v="4433.49"/>
    <n v="3215.15"/>
    <n v="1218.3399999999999"/>
    <n v="0.73"/>
    <n v="0.18"/>
    <n v="1791.71"/>
    <x v="2"/>
    <n v="717"/>
    <n v="0.57999999999999996"/>
    <n v="501.06"/>
    <n v="0.11"/>
    <n v="972.17"/>
    <n v="0.22"/>
    <n v="5"/>
    <n v="1240.81"/>
    <n v="84"/>
    <n v="0"/>
    <n v="956.16"/>
    <n v="1757.93"/>
    <x v="2"/>
    <n v="1076.1400000000001"/>
    <x v="4"/>
    <x v="0"/>
    <n v="31.2"/>
    <s v="Low"/>
    <n v="1218.3399999999999"/>
    <n v="0"/>
  </r>
  <r>
    <x v="28"/>
    <x v="26"/>
    <n v="1863"/>
    <n v="2318.4499999999998"/>
    <n v="3228.69"/>
    <n v="-910.24"/>
    <n v="1.39"/>
    <n v="0.21"/>
    <n v="2082.23"/>
    <x v="1"/>
    <n v="653"/>
    <n v="0.17"/>
    <n v="256.51"/>
    <n v="0.11"/>
    <n v="624.72"/>
    <n v="0.27"/>
    <n v="5"/>
    <n v="855.91"/>
    <n v="32"/>
    <n v="0"/>
    <n v="702.33"/>
    <n v="2617.33"/>
    <x v="0"/>
    <n v="1204.3900000000001"/>
    <x v="2"/>
    <x v="0"/>
    <n v="12.5"/>
    <s v="Medium"/>
    <n v="0"/>
    <n v="0"/>
  </r>
  <r>
    <x v="28"/>
    <x v="26"/>
    <n v="1024"/>
    <n v="4071.25"/>
    <n v="3059.63"/>
    <n v="1011.62"/>
    <n v="0.75"/>
    <n v="0.06"/>
    <n v="2289.1999999999998"/>
    <x v="1"/>
    <n v="662"/>
    <n v="0.1"/>
    <n v="581.74"/>
    <n v="0.14000000000000001"/>
    <n v="109.74"/>
    <n v="0.03"/>
    <n v="2"/>
    <n v="1060.1600000000001"/>
    <n v="67"/>
    <n v="0"/>
    <n v="291"/>
    <n v="2144.12"/>
    <x v="1"/>
    <n v="1464.41"/>
    <x v="7"/>
    <x v="2"/>
    <n v="63.8"/>
    <s v="Low"/>
    <n v="1011.62"/>
    <n v="0"/>
  </r>
  <r>
    <x v="28"/>
    <x v="26"/>
    <n v="1329"/>
    <n v="2165.5700000000002"/>
    <n v="3373.54"/>
    <n v="-1207.97"/>
    <n v="1.56"/>
    <n v="0.08"/>
    <n v="2678.1"/>
    <x v="1"/>
    <n v="687"/>
    <n v="0.56000000000000005"/>
    <n v="288.95999999999998"/>
    <n v="0.13"/>
    <n v="126.86"/>
    <n v="0.06"/>
    <n v="2"/>
    <n v="1642.24"/>
    <n v="40"/>
    <n v="0"/>
    <n v="538.03"/>
    <n v="1691.66"/>
    <x v="1"/>
    <n v="1514.34"/>
    <x v="6"/>
    <x v="2"/>
    <n v="62.2"/>
    <s v="Low"/>
    <n v="0"/>
    <n v="0"/>
  </r>
  <r>
    <x v="28"/>
    <x v="26"/>
    <n v="1401"/>
    <n v="3960.08"/>
    <n v="3798.98"/>
    <n v="161.1"/>
    <n v="0.96"/>
    <n v="0.21"/>
    <n v="2606.62"/>
    <x v="2"/>
    <n v="613"/>
    <n v="0.44"/>
    <n v="329.81"/>
    <n v="0.08"/>
    <n v="665.16"/>
    <n v="0.17"/>
    <n v="4"/>
    <n v="1201.82"/>
    <n v="90"/>
    <n v="0"/>
    <n v="422.67"/>
    <n v="3145.91"/>
    <x v="1"/>
    <n v="1367.16"/>
    <x v="4"/>
    <x v="2"/>
    <n v="74.8"/>
    <s v="Medium"/>
    <n v="161.1"/>
    <n v="0"/>
  </r>
  <r>
    <x v="28"/>
    <x v="26"/>
    <n v="1966"/>
    <n v="3050.34"/>
    <n v="2828.2"/>
    <n v="222.14"/>
    <n v="0.93"/>
    <n v="7.0000000000000007E-2"/>
    <n v="2491.38"/>
    <x v="0"/>
    <n v="645"/>
    <n v="0.45"/>
    <n v="768.89"/>
    <n v="0.25"/>
    <n v="183.52"/>
    <n v="0.06"/>
    <n v="5"/>
    <n v="1675.32"/>
    <n v="46"/>
    <n v="0"/>
    <n v="126.12"/>
    <n v="1091.55"/>
    <x v="1"/>
    <n v="461.83"/>
    <x v="6"/>
    <x v="2"/>
    <n v="51.1"/>
    <s v="High"/>
    <n v="222.14"/>
    <n v="0"/>
  </r>
  <r>
    <x v="28"/>
    <x v="26"/>
    <n v="1447"/>
    <n v="2020.14"/>
    <n v="2332.4899999999998"/>
    <n v="-312.35000000000002"/>
    <n v="1.1499999999999999"/>
    <n v="0.33"/>
    <n v="2101.46"/>
    <x v="1"/>
    <n v="648"/>
    <n v="0.39"/>
    <n v="503.84"/>
    <n v="0.25"/>
    <n v="400.53"/>
    <n v="0.2"/>
    <n v="4"/>
    <n v="1122.77"/>
    <n v="93"/>
    <n v="0"/>
    <n v="505.9"/>
    <n v="1988.27"/>
    <x v="1"/>
    <n v="1151.33"/>
    <x v="7"/>
    <x v="0"/>
    <n v="31"/>
    <s v="Medium"/>
    <n v="0"/>
    <n v="0"/>
  </r>
  <r>
    <x v="28"/>
    <x v="26"/>
    <n v="1998"/>
    <n v="5075.96"/>
    <n v="1993.4"/>
    <n v="3082.56"/>
    <n v="0.39"/>
    <n v="0.24"/>
    <n v="3256.95"/>
    <x v="1"/>
    <n v="690"/>
    <n v="0.59"/>
    <n v="586.24"/>
    <n v="0.12"/>
    <n v="608.30999999999995"/>
    <n v="0.12"/>
    <n v="2"/>
    <n v="1829.03"/>
    <n v="25"/>
    <n v="0"/>
    <n v="602.5"/>
    <n v="1862.87"/>
    <x v="1"/>
    <n v="539.61"/>
    <x v="0"/>
    <x v="0"/>
    <n v="7.5"/>
    <s v="Low"/>
    <n v="3082.56"/>
    <n v="0"/>
  </r>
  <r>
    <x v="28"/>
    <x v="26"/>
    <n v="1092"/>
    <n v="3966.3"/>
    <n v="3114.97"/>
    <n v="851.33"/>
    <n v="0.79"/>
    <n v="0.3"/>
    <n v="2121.94"/>
    <x v="2"/>
    <n v="651"/>
    <n v="0.51"/>
    <n v="536.9"/>
    <n v="0.14000000000000001"/>
    <n v="127.84"/>
    <n v="0.03"/>
    <n v="6"/>
    <n v="1268.22"/>
    <n v="44"/>
    <n v="0"/>
    <n v="725.75"/>
    <n v="2375.0700000000002"/>
    <x v="1"/>
    <n v="1223.42"/>
    <x v="8"/>
    <x v="1"/>
    <n v="47.9"/>
    <s v="High"/>
    <n v="851.33"/>
    <n v="0"/>
  </r>
  <r>
    <x v="28"/>
    <x v="26"/>
    <n v="1711"/>
    <n v="2189.5500000000002"/>
    <n v="2535.2399999999998"/>
    <n v="-345.69"/>
    <n v="1.1599999999999999"/>
    <n v="0.23"/>
    <n v="2722.12"/>
    <x v="1"/>
    <n v="652"/>
    <n v="0.34"/>
    <n v="332.8"/>
    <n v="0.15"/>
    <n v="226.15"/>
    <n v="0.1"/>
    <n v="4"/>
    <n v="899.51"/>
    <n v="70"/>
    <n v="0"/>
    <n v="919.02"/>
    <n v="1000"/>
    <x v="1"/>
    <n v="1459.77"/>
    <x v="0"/>
    <x v="0"/>
    <n v="24.1"/>
    <s v="Low"/>
    <n v="0"/>
    <n v="0"/>
  </r>
  <r>
    <x v="28"/>
    <x v="26"/>
    <n v="1201"/>
    <n v="3960.15"/>
    <n v="3003.6"/>
    <n v="956.55"/>
    <n v="0.76"/>
    <n v="0.1"/>
    <n v="2530.88"/>
    <x v="1"/>
    <n v="659"/>
    <n v="0.1"/>
    <n v="505.32"/>
    <n v="0.13"/>
    <n v="731.34"/>
    <n v="0.18"/>
    <n v="6"/>
    <n v="1300.3599999999999"/>
    <n v="87"/>
    <n v="0"/>
    <n v="483.63"/>
    <n v="2978.59"/>
    <x v="1"/>
    <n v="609.78"/>
    <x v="3"/>
    <x v="1"/>
    <n v="56.2"/>
    <s v="Medium"/>
    <n v="956.55"/>
    <n v="0"/>
  </r>
  <r>
    <x v="28"/>
    <x v="26"/>
    <n v="1581"/>
    <n v="3152.04"/>
    <n v="3012.22"/>
    <n v="139.82"/>
    <n v="0.96"/>
    <n v="0.23"/>
    <n v="3085.78"/>
    <x v="1"/>
    <n v="756"/>
    <n v="0.49"/>
    <n v="412.07"/>
    <n v="0.13"/>
    <n v="200.26"/>
    <n v="0.06"/>
    <n v="3"/>
    <n v="401.59"/>
    <n v="25"/>
    <n v="0"/>
    <n v="477.32"/>
    <n v="2404.96"/>
    <x v="1"/>
    <n v="990.81"/>
    <x v="1"/>
    <x v="0"/>
    <n v="66.8"/>
    <s v="High"/>
    <n v="139.82"/>
    <n v="0"/>
  </r>
  <r>
    <x v="28"/>
    <x v="26"/>
    <n v="1907"/>
    <n v="3484.28"/>
    <n v="3353.56"/>
    <n v="130.72"/>
    <n v="0.96"/>
    <n v="0.36"/>
    <n v="2879.33"/>
    <x v="1"/>
    <n v="670"/>
    <n v="0.4"/>
    <n v="150.47999999999999"/>
    <n v="0.04"/>
    <n v="87.9"/>
    <n v="0.03"/>
    <n v="8"/>
    <n v="1054.3599999999999"/>
    <n v="54"/>
    <n v="0"/>
    <n v="342.67"/>
    <n v="2959.94"/>
    <x v="1"/>
    <n v="1703.61"/>
    <x v="0"/>
    <x v="0"/>
    <n v="16.3"/>
    <s v="High"/>
    <n v="130.72"/>
    <n v="0"/>
  </r>
  <r>
    <x v="28"/>
    <x v="26"/>
    <n v="1372"/>
    <n v="3427.36"/>
    <n v="2559.4699999999998"/>
    <n v="867.89"/>
    <n v="0.75"/>
    <n v="0.39"/>
    <n v="3041.6"/>
    <x v="0"/>
    <n v="587"/>
    <n v="0.57999999999999996"/>
    <n v="491.47"/>
    <n v="0.14000000000000001"/>
    <n v="315.95"/>
    <n v="0.09"/>
    <n v="6"/>
    <n v="998.34"/>
    <n v="70"/>
    <n v="0"/>
    <n v="551.35"/>
    <n v="2810.04"/>
    <x v="1"/>
    <n v="1754.23"/>
    <x v="2"/>
    <x v="0"/>
    <n v="52.7"/>
    <s v="High"/>
    <n v="867.89"/>
    <n v="0"/>
  </r>
  <r>
    <x v="28"/>
    <x v="26"/>
    <n v="1612"/>
    <n v="4775.53"/>
    <n v="2634.8"/>
    <n v="2140.73"/>
    <n v="0.55000000000000004"/>
    <n v="0.28000000000000003"/>
    <n v="2831.12"/>
    <x v="1"/>
    <n v="626"/>
    <n v="0.56000000000000005"/>
    <n v="555.02"/>
    <n v="0.12"/>
    <n v="371.65"/>
    <n v="0.08"/>
    <n v="5"/>
    <n v="1588.77"/>
    <n v="36"/>
    <n v="0"/>
    <n v="814.6"/>
    <n v="1176.76"/>
    <x v="1"/>
    <n v="869.09"/>
    <x v="0"/>
    <x v="0"/>
    <n v="73.7"/>
    <s v="High"/>
    <n v="2140.73"/>
    <n v="0"/>
  </r>
  <r>
    <x v="28"/>
    <x v="26"/>
    <n v="1904"/>
    <n v="3303.22"/>
    <n v="1881.78"/>
    <n v="1421.44"/>
    <n v="0.56999999999999995"/>
    <n v="0.1"/>
    <n v="2168.7600000000002"/>
    <x v="1"/>
    <n v="663"/>
    <n v="0.13"/>
    <n v="363.79"/>
    <n v="0.11"/>
    <n v="20.9"/>
    <n v="0.01"/>
    <n v="1"/>
    <n v="152.38"/>
    <n v="58"/>
    <n v="0"/>
    <n v="504.4"/>
    <n v="3227.41"/>
    <x v="1"/>
    <n v="2052.41"/>
    <x v="6"/>
    <x v="2"/>
    <n v="37.700000000000003"/>
    <s v="Low"/>
    <n v="1421.44"/>
    <n v="0"/>
  </r>
  <r>
    <x v="28"/>
    <x v="26"/>
    <n v="1642"/>
    <n v="3883.98"/>
    <n v="4760.54"/>
    <n v="-876.56"/>
    <n v="1.23"/>
    <n v="0.33"/>
    <n v="1777.72"/>
    <x v="1"/>
    <n v="578"/>
    <n v="0.45"/>
    <n v="448.72"/>
    <n v="0.12"/>
    <n v="315.16000000000003"/>
    <n v="0.08"/>
    <n v="8"/>
    <n v="814.04"/>
    <n v="93"/>
    <n v="0"/>
    <n v="585.99"/>
    <n v="2390.4899999999998"/>
    <x v="1"/>
    <n v="1385.15"/>
    <x v="5"/>
    <x v="0"/>
    <n v="48.7"/>
    <s v="Low"/>
    <n v="0"/>
    <n v="0"/>
  </r>
  <r>
    <x v="28"/>
    <x v="26"/>
    <n v="1989"/>
    <n v="3970.05"/>
    <n v="1029.22"/>
    <n v="2940.83"/>
    <n v="0.26"/>
    <n v="0.19"/>
    <n v="3863.85"/>
    <x v="1"/>
    <n v="706"/>
    <n v="0.27"/>
    <n v="387.07"/>
    <n v="0.1"/>
    <n v="750.56"/>
    <n v="0.19"/>
    <n v="8"/>
    <n v="657.88"/>
    <n v="62"/>
    <n v="0"/>
    <n v="561.13"/>
    <n v="1806.79"/>
    <x v="1"/>
    <n v="1107.69"/>
    <x v="6"/>
    <x v="0"/>
    <n v="70.3"/>
    <s v="Medium"/>
    <n v="2940.83"/>
    <n v="0"/>
  </r>
  <r>
    <x v="28"/>
    <x v="26"/>
    <n v="1519"/>
    <n v="2597.0300000000002"/>
    <n v="4030.72"/>
    <n v="-1433.69"/>
    <n v="1.55"/>
    <n v="0.35"/>
    <n v="2296.27"/>
    <x v="1"/>
    <n v="772"/>
    <n v="0.22"/>
    <n v="574.15"/>
    <n v="0.22"/>
    <n v="332.43"/>
    <n v="0.13"/>
    <n v="2"/>
    <n v="1070.81"/>
    <n v="78"/>
    <n v="0"/>
    <n v="525.80999999999995"/>
    <n v="2011.39"/>
    <x v="1"/>
    <n v="1209.5899999999999"/>
    <x v="8"/>
    <x v="1"/>
    <n v="18.3"/>
    <s v="Medium"/>
    <n v="0"/>
    <n v="0"/>
  </r>
  <r>
    <x v="28"/>
    <x v="26"/>
    <n v="1151"/>
    <n v="4443.96"/>
    <n v="1866.36"/>
    <n v="2577.6"/>
    <n v="0.42"/>
    <n v="0.38"/>
    <n v="2084.6"/>
    <x v="1"/>
    <n v="681"/>
    <n v="0.18"/>
    <n v="448.94"/>
    <n v="0.1"/>
    <n v="419.96"/>
    <n v="0.09"/>
    <n v="4"/>
    <n v="1858.57"/>
    <n v="46"/>
    <n v="0"/>
    <n v="461.75"/>
    <n v="1671.16"/>
    <x v="1"/>
    <n v="1818.73"/>
    <x v="6"/>
    <x v="2"/>
    <n v="22.8"/>
    <s v="High"/>
    <n v="2577.6"/>
    <n v="1"/>
  </r>
  <r>
    <x v="28"/>
    <x v="26"/>
    <n v="1937"/>
    <n v="5015.16"/>
    <n v="3358.93"/>
    <n v="1656.23"/>
    <n v="0.67"/>
    <n v="0.13"/>
    <n v="2791.2"/>
    <x v="1"/>
    <n v="636"/>
    <n v="0.27"/>
    <n v="266.83"/>
    <n v="0.05"/>
    <n v="496.37"/>
    <n v="0.1"/>
    <n v="1"/>
    <n v="780.44"/>
    <n v="64"/>
    <n v="0"/>
    <n v="254.41"/>
    <n v="1502.41"/>
    <x v="1"/>
    <n v="1752.12"/>
    <x v="5"/>
    <x v="2"/>
    <n v="14.5"/>
    <s v="Low"/>
    <n v="1656.23"/>
    <n v="0"/>
  </r>
  <r>
    <x v="28"/>
    <x v="26"/>
    <n v="1739"/>
    <n v="5537.14"/>
    <n v="4005.47"/>
    <n v="1531.67"/>
    <n v="0.72"/>
    <n v="0.37"/>
    <n v="2762.2"/>
    <x v="2"/>
    <n v="650"/>
    <n v="0.42"/>
    <n v="397.25"/>
    <n v="7.0000000000000007E-2"/>
    <n v="587.07000000000005"/>
    <n v="0.11"/>
    <n v="5"/>
    <n v="494.49"/>
    <n v="61"/>
    <n v="0"/>
    <n v="506.1"/>
    <n v="1085.07"/>
    <x v="1"/>
    <n v="1913.06"/>
    <x v="1"/>
    <x v="0"/>
    <n v="55.4"/>
    <s v="High"/>
    <n v="1531.67"/>
    <n v="0"/>
  </r>
  <r>
    <x v="28"/>
    <x v="26"/>
    <n v="1079"/>
    <n v="3679.64"/>
    <n v="3078.32"/>
    <n v="601.32000000000005"/>
    <n v="0.84"/>
    <n v="0.37"/>
    <n v="3644.96"/>
    <x v="1"/>
    <n v="720"/>
    <n v="0.56999999999999995"/>
    <n v="459"/>
    <n v="0.12"/>
    <n v="628.83000000000004"/>
    <n v="0.17"/>
    <n v="1"/>
    <n v="1512.55"/>
    <n v="63"/>
    <n v="0"/>
    <n v="652.48"/>
    <n v="1901.71"/>
    <x v="1"/>
    <n v="1461.53"/>
    <x v="5"/>
    <x v="1"/>
    <n v="94.9"/>
    <s v="Low"/>
    <n v="601.32000000000005"/>
    <n v="0"/>
  </r>
  <r>
    <x v="28"/>
    <x v="26"/>
    <n v="1907"/>
    <n v="5004.97"/>
    <n v="1825.76"/>
    <n v="3179.21"/>
    <n v="0.36"/>
    <n v="0.22"/>
    <n v="2035.99"/>
    <x v="0"/>
    <n v="658"/>
    <n v="0.35"/>
    <n v="628.51"/>
    <n v="0.13"/>
    <n v="179.45"/>
    <n v="0.04"/>
    <n v="6"/>
    <n v="975"/>
    <n v="53"/>
    <n v="0"/>
    <n v="324.83999999999997"/>
    <n v="1382.04"/>
    <x v="1"/>
    <n v="1383.42"/>
    <x v="5"/>
    <x v="0"/>
    <n v="6.1"/>
    <s v="Low"/>
    <n v="3179.21"/>
    <n v="1"/>
  </r>
  <r>
    <x v="28"/>
    <x v="26"/>
    <n v="1290"/>
    <n v="2688.93"/>
    <n v="2756.73"/>
    <n v="-67.8"/>
    <n v="1.03"/>
    <n v="0.2"/>
    <n v="3028.94"/>
    <x v="1"/>
    <n v="727"/>
    <n v="0.38"/>
    <n v="278.12"/>
    <n v="0.1"/>
    <n v="511.15"/>
    <n v="0.19"/>
    <n v="4"/>
    <n v="667.01"/>
    <n v="32"/>
    <n v="0"/>
    <n v="659.31"/>
    <n v="2452.23"/>
    <x v="1"/>
    <n v="1039.8499999999999"/>
    <x v="9"/>
    <x v="0"/>
    <n v="40.299999999999997"/>
    <s v="Low"/>
    <n v="0"/>
    <n v="0"/>
  </r>
  <r>
    <x v="28"/>
    <x v="26"/>
    <n v="1176"/>
    <n v="3027.25"/>
    <n v="1786.86"/>
    <n v="1240.3900000000001"/>
    <n v="0.59"/>
    <n v="0.35"/>
    <n v="2487.5300000000002"/>
    <x v="1"/>
    <n v="789"/>
    <n v="0.4"/>
    <n v="524.13"/>
    <n v="0.17"/>
    <n v="0"/>
    <n v="0"/>
    <n v="8"/>
    <n v="1565.65"/>
    <n v="99"/>
    <n v="0"/>
    <n v="450.17"/>
    <n v="1929.83"/>
    <x v="1"/>
    <n v="634.21"/>
    <x v="3"/>
    <x v="1"/>
    <n v="20.8"/>
    <s v="High"/>
    <n v="1240.3900000000001"/>
    <n v="0"/>
  </r>
  <r>
    <x v="28"/>
    <x v="26"/>
    <n v="1725"/>
    <n v="4947.25"/>
    <n v="3407.54"/>
    <n v="1539.71"/>
    <n v="0.69"/>
    <n v="0.09"/>
    <n v="2457.66"/>
    <x v="0"/>
    <n v="771"/>
    <n v="0.45"/>
    <n v="491.53"/>
    <n v="0.1"/>
    <n v="172.2"/>
    <n v="0.03"/>
    <n v="2"/>
    <n v="1527.53"/>
    <n v="41"/>
    <n v="0"/>
    <n v="569.48"/>
    <n v="3025.66"/>
    <x v="2"/>
    <n v="1167.4000000000001"/>
    <x v="3"/>
    <x v="0"/>
    <n v="78.900000000000006"/>
    <s v="High"/>
    <n v="1539.71"/>
    <n v="0"/>
  </r>
  <r>
    <x v="28"/>
    <x v="26"/>
    <n v="1198"/>
    <n v="3363.76"/>
    <n v="3213.84"/>
    <n v="149.91999999999999"/>
    <n v="0.96"/>
    <n v="0.26"/>
    <n v="2592.6999999999998"/>
    <x v="1"/>
    <n v="649"/>
    <n v="0.49"/>
    <n v="543.25"/>
    <n v="0.16"/>
    <n v="220.61"/>
    <n v="7.0000000000000007E-2"/>
    <n v="2"/>
    <n v="1741.18"/>
    <n v="89"/>
    <n v="0"/>
    <n v="414.45"/>
    <n v="3281.33"/>
    <x v="1"/>
    <n v="882.74"/>
    <x v="2"/>
    <x v="2"/>
    <n v="85.2"/>
    <s v="Low"/>
    <n v="149.91999999999999"/>
    <n v="0"/>
  </r>
  <r>
    <x v="28"/>
    <x v="26"/>
    <n v="1243"/>
    <n v="3381.03"/>
    <n v="1078.69"/>
    <n v="2302.34"/>
    <n v="0.32"/>
    <n v="0.33"/>
    <n v="3309.37"/>
    <x v="1"/>
    <n v="622"/>
    <n v="0.39"/>
    <n v="589.76"/>
    <n v="0.17"/>
    <n v="697.88"/>
    <n v="0.21"/>
    <n v="5"/>
    <n v="1150.27"/>
    <n v="45"/>
    <n v="0"/>
    <n v="510.56"/>
    <n v="1817.64"/>
    <x v="1"/>
    <n v="763.13"/>
    <x v="0"/>
    <x v="0"/>
    <n v="95.8"/>
    <s v="Medium"/>
    <n v="2302.34"/>
    <n v="0"/>
  </r>
  <r>
    <x v="28"/>
    <x v="26"/>
    <n v="1355"/>
    <n v="2966.28"/>
    <n v="2983.76"/>
    <n v="-17.48"/>
    <n v="1.01"/>
    <n v="0.4"/>
    <n v="2893.95"/>
    <x v="1"/>
    <n v="688"/>
    <n v="0.36"/>
    <n v="853.81"/>
    <n v="0.28999999999999998"/>
    <n v="154.93"/>
    <n v="0.05"/>
    <n v="1"/>
    <n v="0"/>
    <n v="65"/>
    <n v="0"/>
    <n v="448.78"/>
    <n v="1501.02"/>
    <x v="1"/>
    <n v="300"/>
    <x v="0"/>
    <x v="0"/>
    <n v="58.6"/>
    <s v="High"/>
    <n v="0"/>
    <n v="0"/>
  </r>
  <r>
    <x v="28"/>
    <x v="26"/>
    <n v="1369"/>
    <n v="5728.95"/>
    <n v="3384.51"/>
    <n v="2344.44"/>
    <n v="0.59"/>
    <n v="0.23"/>
    <n v="3399.42"/>
    <x v="1"/>
    <n v="669"/>
    <n v="0.15"/>
    <n v="504.6"/>
    <n v="0.09"/>
    <n v="396.79"/>
    <n v="7.0000000000000007E-2"/>
    <n v="2"/>
    <n v="1484.63"/>
    <n v="97"/>
    <n v="0"/>
    <n v="408.29"/>
    <n v="1952.16"/>
    <x v="0"/>
    <n v="975.52"/>
    <x v="1"/>
    <x v="0"/>
    <n v="75.8"/>
    <s v="High"/>
    <n v="2344.44"/>
    <n v="0"/>
  </r>
  <r>
    <x v="28"/>
    <x v="26"/>
    <n v="1189"/>
    <n v="4472.3"/>
    <n v="1589.72"/>
    <n v="2882.58"/>
    <n v="0.36"/>
    <n v="0.32"/>
    <n v="2483.3200000000002"/>
    <x v="2"/>
    <n v="567"/>
    <n v="0.15"/>
    <n v="929.23"/>
    <n v="0.21"/>
    <n v="98.37"/>
    <n v="0.02"/>
    <n v="9"/>
    <n v="1452.67"/>
    <n v="43"/>
    <n v="0"/>
    <n v="498.59"/>
    <n v="3726.45"/>
    <x v="1"/>
    <n v="979.45"/>
    <x v="4"/>
    <x v="0"/>
    <n v="44.6"/>
    <s v="Low"/>
    <n v="2882.58"/>
    <n v="1"/>
  </r>
  <r>
    <x v="28"/>
    <x v="26"/>
    <n v="1124"/>
    <n v="4716.63"/>
    <n v="3242.59"/>
    <n v="1474.04"/>
    <n v="0.69"/>
    <n v="0.15"/>
    <n v="2632.95"/>
    <x v="0"/>
    <n v="722"/>
    <n v="0.56999999999999995"/>
    <n v="637.74"/>
    <n v="0.14000000000000001"/>
    <n v="602.55999999999995"/>
    <n v="0.13"/>
    <n v="6"/>
    <n v="787.82"/>
    <n v="48"/>
    <n v="0"/>
    <n v="458"/>
    <n v="2415.08"/>
    <x v="0"/>
    <n v="1670.3"/>
    <x v="0"/>
    <x v="2"/>
    <n v="61.7"/>
    <s v="Medium"/>
    <n v="1474.04"/>
    <n v="0"/>
  </r>
  <r>
    <x v="28"/>
    <x v="26"/>
    <n v="1419"/>
    <n v="3788.48"/>
    <n v="3132.75"/>
    <n v="655.73"/>
    <n v="0.83"/>
    <n v="0.32"/>
    <n v="3528.79"/>
    <x v="1"/>
    <n v="651"/>
    <n v="0.56999999999999995"/>
    <n v="403.45"/>
    <n v="0.11"/>
    <n v="314.11"/>
    <n v="0.08"/>
    <n v="3"/>
    <n v="740.87"/>
    <n v="44"/>
    <n v="0"/>
    <n v="76.83"/>
    <n v="1083.46"/>
    <x v="1"/>
    <n v="1220.31"/>
    <x v="5"/>
    <x v="0"/>
    <n v="5.3"/>
    <s v="Low"/>
    <n v="655.73"/>
    <n v="0"/>
  </r>
  <r>
    <x v="28"/>
    <x v="26"/>
    <n v="1668"/>
    <n v="2482.4299999999998"/>
    <n v="3409.37"/>
    <n v="-926.94"/>
    <n v="1.37"/>
    <n v="0.11"/>
    <n v="2947.33"/>
    <x v="1"/>
    <n v="744"/>
    <n v="0.24"/>
    <n v="840.11"/>
    <n v="0.34"/>
    <n v="294.95"/>
    <n v="0.12"/>
    <n v="1"/>
    <n v="569.85"/>
    <n v="76"/>
    <n v="0"/>
    <n v="780.3"/>
    <n v="2376.9299999999998"/>
    <x v="1"/>
    <n v="1375.99"/>
    <x v="3"/>
    <x v="0"/>
    <n v="89.4"/>
    <s v="High"/>
    <n v="0"/>
    <n v="0"/>
  </r>
  <r>
    <x v="28"/>
    <x v="26"/>
    <n v="1047"/>
    <n v="4873"/>
    <n v="3477.82"/>
    <n v="1395.18"/>
    <n v="0.71"/>
    <n v="0.24"/>
    <n v="3437.07"/>
    <x v="0"/>
    <n v="653"/>
    <n v="0.17"/>
    <n v="378.11"/>
    <n v="0.08"/>
    <n v="563.35"/>
    <n v="0.12"/>
    <n v="8"/>
    <n v="776.84"/>
    <n v="57"/>
    <n v="0"/>
    <n v="315.63"/>
    <n v="2119.9299999999998"/>
    <x v="1"/>
    <n v="1972.01"/>
    <x v="0"/>
    <x v="0"/>
    <n v="12.5"/>
    <s v="Medium"/>
    <n v="1395.18"/>
    <n v="0"/>
  </r>
  <r>
    <x v="28"/>
    <x v="26"/>
    <n v="1422"/>
    <n v="3145.64"/>
    <n v="2968.69"/>
    <n v="176.95"/>
    <n v="0.94"/>
    <n v="0.05"/>
    <n v="3104.11"/>
    <x v="1"/>
    <n v="630"/>
    <n v="0.4"/>
    <n v="524.76"/>
    <n v="0.17"/>
    <n v="566.24"/>
    <n v="0.18"/>
    <n v="1"/>
    <n v="270.5"/>
    <n v="23"/>
    <n v="0"/>
    <n v="702.69"/>
    <n v="2086.69"/>
    <x v="1"/>
    <n v="1251.21"/>
    <x v="2"/>
    <x v="2"/>
    <n v="73.2"/>
    <s v="Low"/>
    <n v="176.95"/>
    <n v="0"/>
  </r>
  <r>
    <x v="28"/>
    <x v="26"/>
    <n v="1972"/>
    <n v="3981.14"/>
    <n v="2555.0500000000002"/>
    <n v="1426.09"/>
    <n v="0.64"/>
    <n v="0.15"/>
    <n v="3392.84"/>
    <x v="1"/>
    <n v="659"/>
    <n v="0.6"/>
    <n v="325.47000000000003"/>
    <n v="0.08"/>
    <n v="802.38"/>
    <n v="0.2"/>
    <n v="4"/>
    <n v="29.48"/>
    <n v="40"/>
    <n v="0"/>
    <n v="117.47"/>
    <n v="3458.21"/>
    <x v="1"/>
    <n v="1707.07"/>
    <x v="5"/>
    <x v="0"/>
    <n v="14.8"/>
    <s v="Low"/>
    <n v="1426.09"/>
    <n v="0"/>
  </r>
  <r>
    <x v="28"/>
    <x v="26"/>
    <n v="1010"/>
    <n v="5648.44"/>
    <n v="2333.81"/>
    <n v="3314.63"/>
    <n v="0.41"/>
    <n v="0.34"/>
    <n v="3674.57"/>
    <x v="1"/>
    <n v="641"/>
    <n v="0.47"/>
    <n v="121.07"/>
    <n v="0.02"/>
    <n v="262.16000000000003"/>
    <n v="0.05"/>
    <n v="2"/>
    <n v="1290.21"/>
    <n v="60"/>
    <n v="0"/>
    <n v="499.09"/>
    <n v="1602.6"/>
    <x v="1"/>
    <n v="1918.23"/>
    <x v="0"/>
    <x v="0"/>
    <n v="33.6"/>
    <s v="High"/>
    <n v="3314.63"/>
    <n v="0"/>
  </r>
  <r>
    <x v="29"/>
    <x v="27"/>
    <n v="1334"/>
    <n v="4012.76"/>
    <n v="2193.69"/>
    <n v="1819.07"/>
    <n v="0.55000000000000004"/>
    <n v="0.3"/>
    <n v="3328.25"/>
    <x v="1"/>
    <n v="617"/>
    <n v="0.53"/>
    <n v="720.24"/>
    <n v="0.18"/>
    <n v="0"/>
    <n v="0"/>
    <n v="6"/>
    <n v="1168.02"/>
    <n v="96"/>
    <n v="0"/>
    <n v="183.69"/>
    <n v="1375.03"/>
    <x v="0"/>
    <n v="489.72"/>
    <x v="9"/>
    <x v="2"/>
    <n v="65.400000000000006"/>
    <s v="Medium"/>
    <n v="1819.07"/>
    <n v="0"/>
  </r>
  <r>
    <x v="29"/>
    <x v="27"/>
    <n v="1260"/>
    <n v="4976.0200000000004"/>
    <n v="3902.74"/>
    <n v="1073.28"/>
    <n v="0.78"/>
    <n v="0.27"/>
    <n v="2370.54"/>
    <x v="1"/>
    <n v="535"/>
    <n v="0.43"/>
    <n v="1151.8699999999999"/>
    <n v="0.23"/>
    <n v="318.52"/>
    <n v="0.06"/>
    <n v="5"/>
    <n v="592.64"/>
    <n v="58"/>
    <n v="0"/>
    <n v="346.96"/>
    <n v="2214.83"/>
    <x v="1"/>
    <n v="815.3"/>
    <x v="1"/>
    <x v="0"/>
    <n v="93.5"/>
    <s v="Low"/>
    <n v="1073.28"/>
    <n v="0"/>
  </r>
  <r>
    <x v="29"/>
    <x v="27"/>
    <n v="1433"/>
    <n v="4364.93"/>
    <n v="2068.6"/>
    <n v="2296.33"/>
    <n v="0.47"/>
    <n v="0.32"/>
    <n v="2835.57"/>
    <x v="1"/>
    <n v="630"/>
    <n v="0.18"/>
    <n v="524.35"/>
    <n v="0.12"/>
    <n v="0"/>
    <n v="0"/>
    <n v="8"/>
    <n v="1337.57"/>
    <n v="47"/>
    <n v="0"/>
    <n v="773.77"/>
    <n v="2679.95"/>
    <x v="1"/>
    <n v="1535.82"/>
    <x v="3"/>
    <x v="0"/>
    <n v="18.899999999999999"/>
    <s v="Low"/>
    <n v="2296.33"/>
    <n v="0"/>
  </r>
  <r>
    <x v="29"/>
    <x v="27"/>
    <n v="1542"/>
    <n v="4199.72"/>
    <n v="3447.17"/>
    <n v="752.55"/>
    <n v="0.82"/>
    <n v="0.38"/>
    <n v="2524.56"/>
    <x v="2"/>
    <n v="637"/>
    <n v="0.3"/>
    <n v="781.35"/>
    <n v="0.19"/>
    <n v="401.6"/>
    <n v="0.1"/>
    <n v="3"/>
    <n v="1139.96"/>
    <n v="53"/>
    <n v="0"/>
    <n v="586.16999999999996"/>
    <n v="1683.32"/>
    <x v="1"/>
    <n v="977.54"/>
    <x v="7"/>
    <x v="2"/>
    <n v="12.2"/>
    <s v="Medium"/>
    <n v="752.55"/>
    <n v="0"/>
  </r>
  <r>
    <x v="29"/>
    <x v="27"/>
    <n v="1543"/>
    <n v="2824.81"/>
    <n v="3960.22"/>
    <n v="-1135.4100000000001"/>
    <n v="1.4"/>
    <n v="0.11"/>
    <n v="2458.0700000000002"/>
    <x v="1"/>
    <n v="636"/>
    <n v="0.46"/>
    <n v="610.99"/>
    <n v="0.22"/>
    <n v="212.63"/>
    <n v="0.08"/>
    <n v="7"/>
    <n v="260.04000000000002"/>
    <n v="38"/>
    <n v="0"/>
    <n v="758.35"/>
    <n v="2567.7399999999998"/>
    <x v="2"/>
    <n v="1712.07"/>
    <x v="4"/>
    <x v="1"/>
    <n v="79.8"/>
    <s v="Low"/>
    <n v="0"/>
    <n v="0"/>
  </r>
  <r>
    <x v="29"/>
    <x v="27"/>
    <n v="1540"/>
    <n v="2556.4699999999998"/>
    <n v="2812.86"/>
    <n v="-256.39"/>
    <n v="1.1000000000000001"/>
    <n v="0.13"/>
    <n v="3929.76"/>
    <x v="2"/>
    <n v="636"/>
    <n v="0.31"/>
    <n v="708.7"/>
    <n v="0.28000000000000003"/>
    <n v="419.84"/>
    <n v="0.16"/>
    <n v="6"/>
    <n v="1187.26"/>
    <n v="59"/>
    <n v="0"/>
    <n v="821.83"/>
    <n v="1948.5"/>
    <x v="1"/>
    <n v="878.22"/>
    <x v="8"/>
    <x v="1"/>
    <n v="85.4"/>
    <s v="Low"/>
    <n v="0"/>
    <n v="0"/>
  </r>
  <r>
    <x v="29"/>
    <x v="27"/>
    <n v="1808"/>
    <n v="4352.97"/>
    <n v="3363.07"/>
    <n v="989.9"/>
    <n v="0.77"/>
    <n v="0.18"/>
    <n v="2907.32"/>
    <x v="0"/>
    <n v="752"/>
    <n v="0.59"/>
    <n v="385"/>
    <n v="0.09"/>
    <n v="254.44"/>
    <n v="0.06"/>
    <n v="3"/>
    <n v="1281.1099999999999"/>
    <n v="79"/>
    <n v="0"/>
    <n v="755.9"/>
    <n v="2622.08"/>
    <x v="1"/>
    <n v="2067.8200000000002"/>
    <x v="4"/>
    <x v="1"/>
    <n v="3"/>
    <s v="Low"/>
    <n v="989.9"/>
    <n v="0"/>
  </r>
  <r>
    <x v="29"/>
    <x v="27"/>
    <n v="1166"/>
    <n v="3307.47"/>
    <n v="2863.66"/>
    <n v="443.81"/>
    <n v="0.87"/>
    <n v="0.15"/>
    <n v="3004.1"/>
    <x v="1"/>
    <n v="767"/>
    <n v="0.2"/>
    <n v="691.94"/>
    <n v="0.21"/>
    <n v="584.53"/>
    <n v="0.18"/>
    <n v="1"/>
    <n v="957.52"/>
    <n v="80"/>
    <n v="0"/>
    <n v="0"/>
    <n v="1617.28"/>
    <x v="1"/>
    <n v="731.88"/>
    <x v="7"/>
    <x v="0"/>
    <n v="47.4"/>
    <s v="Low"/>
    <n v="443.81"/>
    <n v="0"/>
  </r>
  <r>
    <x v="29"/>
    <x v="27"/>
    <n v="1191"/>
    <n v="3612.44"/>
    <n v="1431.29"/>
    <n v="2181.15"/>
    <n v="0.4"/>
    <n v="0.23"/>
    <n v="3033.22"/>
    <x v="0"/>
    <n v="665"/>
    <n v="0.27"/>
    <n v="638.41"/>
    <n v="0.18"/>
    <n v="589.41"/>
    <n v="0.16"/>
    <n v="7"/>
    <n v="899.72"/>
    <n v="22"/>
    <n v="0"/>
    <n v="488.22"/>
    <n v="1459.98"/>
    <x v="1"/>
    <n v="828.3"/>
    <x v="7"/>
    <x v="0"/>
    <n v="61.3"/>
    <s v="Medium"/>
    <n v="2181.15"/>
    <n v="0"/>
  </r>
  <r>
    <x v="29"/>
    <x v="27"/>
    <n v="1522"/>
    <n v="4676.6099999999997"/>
    <n v="3509.3"/>
    <n v="1167.31"/>
    <n v="0.75"/>
    <n v="0.12"/>
    <n v="2844.99"/>
    <x v="1"/>
    <n v="748"/>
    <n v="0.54"/>
    <n v="335.43"/>
    <n v="7.0000000000000007E-2"/>
    <n v="556.09"/>
    <n v="0.12"/>
    <n v="1"/>
    <n v="1281.8800000000001"/>
    <n v="20"/>
    <n v="0"/>
    <n v="473.87"/>
    <n v="1000"/>
    <x v="1"/>
    <n v="768.47"/>
    <x v="0"/>
    <x v="1"/>
    <n v="78.7"/>
    <s v="Low"/>
    <n v="1167.31"/>
    <n v="0"/>
  </r>
  <r>
    <x v="29"/>
    <x v="27"/>
    <n v="1192"/>
    <n v="2049.7800000000002"/>
    <n v="2352.66"/>
    <n v="-302.88"/>
    <n v="1.1499999999999999"/>
    <n v="0.35"/>
    <n v="3051.1"/>
    <x v="0"/>
    <n v="655"/>
    <n v="0.23"/>
    <n v="456.42"/>
    <n v="0.22"/>
    <n v="465.79"/>
    <n v="0.23"/>
    <n v="5"/>
    <n v="1429.13"/>
    <n v="32"/>
    <n v="0"/>
    <n v="308.75"/>
    <n v="3726.68"/>
    <x v="1"/>
    <n v="1697.84"/>
    <x v="6"/>
    <x v="0"/>
    <n v="0.6"/>
    <s v="Low"/>
    <n v="0"/>
    <n v="0"/>
  </r>
  <r>
    <x v="29"/>
    <x v="27"/>
    <n v="1846"/>
    <n v="4486.17"/>
    <n v="5136.07"/>
    <n v="-649.9"/>
    <n v="1.1399999999999999"/>
    <n v="0.34"/>
    <n v="2876.22"/>
    <x v="1"/>
    <n v="693"/>
    <n v="0.54"/>
    <n v="549.95000000000005"/>
    <n v="0.12"/>
    <n v="238.33"/>
    <n v="0.05"/>
    <n v="5"/>
    <n v="278.77999999999997"/>
    <n v="85"/>
    <n v="0"/>
    <n v="494.15"/>
    <n v="2084.9899999999998"/>
    <x v="1"/>
    <n v="632.41"/>
    <x v="6"/>
    <x v="0"/>
    <n v="2.5"/>
    <s v="Low"/>
    <n v="0"/>
    <n v="0"/>
  </r>
  <r>
    <x v="29"/>
    <x v="27"/>
    <n v="1840"/>
    <n v="4637.24"/>
    <n v="2556.4499999999998"/>
    <n v="2080.79"/>
    <n v="0.55000000000000004"/>
    <n v="0.33"/>
    <n v="3080.45"/>
    <x v="1"/>
    <n v="620"/>
    <n v="0.17"/>
    <n v="560.37"/>
    <n v="0.12"/>
    <n v="385.03"/>
    <n v="0.08"/>
    <n v="4"/>
    <n v="835.79"/>
    <n v="31"/>
    <n v="0"/>
    <n v="522.51"/>
    <n v="1738.23"/>
    <x v="1"/>
    <n v="946.59"/>
    <x v="9"/>
    <x v="2"/>
    <n v="75.400000000000006"/>
    <s v="Low"/>
    <n v="2080.79"/>
    <n v="0"/>
  </r>
  <r>
    <x v="29"/>
    <x v="27"/>
    <n v="1661"/>
    <n v="4611"/>
    <n v="2383.5300000000002"/>
    <n v="2227.4699999999998"/>
    <n v="0.52"/>
    <n v="0.25"/>
    <n v="2740.38"/>
    <x v="1"/>
    <n v="706"/>
    <n v="0.18"/>
    <n v="329.77"/>
    <n v="7.0000000000000007E-2"/>
    <n v="379.26"/>
    <n v="0.08"/>
    <n v="8"/>
    <n v="806.13"/>
    <n v="25"/>
    <n v="0"/>
    <n v="0"/>
    <n v="2056.08"/>
    <x v="1"/>
    <n v="733.48"/>
    <x v="5"/>
    <x v="0"/>
    <n v="20.9"/>
    <s v="Low"/>
    <n v="2227.4699999999998"/>
    <n v="0"/>
  </r>
  <r>
    <x v="29"/>
    <x v="27"/>
    <n v="1805"/>
    <n v="2995.55"/>
    <n v="2425.14"/>
    <n v="570.41"/>
    <n v="0.81"/>
    <n v="0.13"/>
    <n v="3368.69"/>
    <x v="1"/>
    <n v="726"/>
    <n v="0.21"/>
    <n v="555.74"/>
    <n v="0.19"/>
    <n v="381.08"/>
    <n v="0.13"/>
    <n v="7"/>
    <n v="836.35"/>
    <n v="67"/>
    <n v="0"/>
    <n v="452.34"/>
    <n v="2129.96"/>
    <x v="1"/>
    <n v="1484.33"/>
    <x v="6"/>
    <x v="1"/>
    <n v="46.5"/>
    <s v="Low"/>
    <n v="570.41"/>
    <n v="0"/>
  </r>
  <r>
    <x v="29"/>
    <x v="27"/>
    <n v="1318"/>
    <n v="3073.53"/>
    <n v="2900.26"/>
    <n v="173.27"/>
    <n v="0.94"/>
    <n v="0.33"/>
    <n v="2697.23"/>
    <x v="1"/>
    <n v="639"/>
    <n v="0.39"/>
    <n v="760.16"/>
    <n v="0.25"/>
    <n v="514.88"/>
    <n v="0.17"/>
    <n v="3"/>
    <n v="1455.76"/>
    <n v="67"/>
    <n v="0"/>
    <n v="548.34"/>
    <n v="1938.53"/>
    <x v="1"/>
    <n v="1136.74"/>
    <x v="0"/>
    <x v="0"/>
    <n v="1.1000000000000001"/>
    <s v="Low"/>
    <n v="173.27"/>
    <n v="0"/>
  </r>
  <r>
    <x v="29"/>
    <x v="27"/>
    <n v="1662"/>
    <n v="2967.7"/>
    <n v="3150.82"/>
    <n v="-183.12"/>
    <n v="1.06"/>
    <n v="0.38"/>
    <n v="2662.94"/>
    <x v="0"/>
    <n v="610"/>
    <n v="0.37"/>
    <n v="530.85"/>
    <n v="0.18"/>
    <n v="331.37"/>
    <n v="0.11"/>
    <n v="1"/>
    <n v="155.63"/>
    <n v="47"/>
    <n v="0"/>
    <n v="374.25"/>
    <n v="3095.39"/>
    <x v="0"/>
    <n v="871.38"/>
    <x v="1"/>
    <x v="1"/>
    <n v="34.1"/>
    <s v="Medium"/>
    <n v="0"/>
    <n v="0"/>
  </r>
  <r>
    <x v="29"/>
    <x v="27"/>
    <n v="1939"/>
    <n v="4331.97"/>
    <n v="2657.92"/>
    <n v="1674.05"/>
    <n v="0.61"/>
    <n v="0.23"/>
    <n v="3543.98"/>
    <x v="0"/>
    <n v="710"/>
    <n v="0.35"/>
    <n v="336.06"/>
    <n v="0.08"/>
    <n v="488.54"/>
    <n v="0.11"/>
    <n v="5"/>
    <n v="1396.12"/>
    <n v="69"/>
    <n v="0"/>
    <n v="710.67"/>
    <n v="2073.34"/>
    <x v="1"/>
    <n v="1332.97"/>
    <x v="1"/>
    <x v="0"/>
    <n v="99.5"/>
    <s v="Medium"/>
    <n v="1674.05"/>
    <n v="0"/>
  </r>
  <r>
    <x v="29"/>
    <x v="27"/>
    <n v="1999"/>
    <n v="3294.98"/>
    <n v="3410.53"/>
    <n v="-115.55"/>
    <n v="1.04"/>
    <n v="0.28000000000000003"/>
    <n v="2859.43"/>
    <x v="2"/>
    <n v="757"/>
    <n v="0.51"/>
    <n v="436.89"/>
    <n v="0.13"/>
    <n v="449.3"/>
    <n v="0.14000000000000001"/>
    <n v="1"/>
    <n v="1335.86"/>
    <n v="27"/>
    <n v="0"/>
    <n v="280.83"/>
    <n v="2369.41"/>
    <x v="1"/>
    <n v="1498.07"/>
    <x v="8"/>
    <x v="0"/>
    <n v="56.1"/>
    <s v="Low"/>
    <n v="0"/>
    <n v="0"/>
  </r>
  <r>
    <x v="29"/>
    <x v="27"/>
    <n v="1993"/>
    <n v="4343.6499999999996"/>
    <n v="3986.25"/>
    <n v="357.4"/>
    <n v="0.92"/>
    <n v="0.34"/>
    <n v="3611.01"/>
    <x v="2"/>
    <n v="669"/>
    <n v="0.37"/>
    <n v="450.61"/>
    <n v="0.1"/>
    <n v="415.11"/>
    <n v="0.1"/>
    <n v="1"/>
    <n v="339.21"/>
    <n v="63"/>
    <n v="0"/>
    <n v="417.59"/>
    <n v="1000"/>
    <x v="1"/>
    <n v="787.34"/>
    <x v="0"/>
    <x v="1"/>
    <n v="17.399999999999999"/>
    <s v="High"/>
    <n v="357.4"/>
    <n v="0"/>
  </r>
  <r>
    <x v="29"/>
    <x v="27"/>
    <n v="1770"/>
    <n v="4092.78"/>
    <n v="2170.1"/>
    <n v="1922.68"/>
    <n v="0.53"/>
    <n v="0.25"/>
    <n v="2732.78"/>
    <x v="2"/>
    <n v="775"/>
    <n v="0.46"/>
    <n v="636.61"/>
    <n v="0.16"/>
    <n v="261.25"/>
    <n v="0.06"/>
    <n v="7"/>
    <n v="0"/>
    <n v="53"/>
    <n v="0"/>
    <n v="490.89"/>
    <n v="2090.77"/>
    <x v="1"/>
    <n v="1402.29"/>
    <x v="9"/>
    <x v="1"/>
    <n v="0.5"/>
    <s v="High"/>
    <n v="1922.68"/>
    <n v="0"/>
  </r>
  <r>
    <x v="29"/>
    <x v="27"/>
    <n v="1170"/>
    <n v="6765.29"/>
    <n v="3730.73"/>
    <n v="3034.56"/>
    <n v="0.55000000000000004"/>
    <n v="0.19"/>
    <n v="2929.86"/>
    <x v="1"/>
    <n v="695"/>
    <n v="0.28000000000000003"/>
    <n v="469.69"/>
    <n v="7.0000000000000007E-2"/>
    <n v="675.44"/>
    <n v="0.1"/>
    <n v="6"/>
    <n v="587.79999999999995"/>
    <n v="38"/>
    <n v="0"/>
    <n v="283.02"/>
    <n v="2108.7199999999998"/>
    <x v="2"/>
    <n v="1131.3699999999999"/>
    <x v="9"/>
    <x v="1"/>
    <n v="25.9"/>
    <s v="High"/>
    <n v="3034.56"/>
    <n v="1"/>
  </r>
  <r>
    <x v="29"/>
    <x v="27"/>
    <n v="1210"/>
    <n v="5437.7"/>
    <n v="3823.37"/>
    <n v="1614.33"/>
    <n v="0.7"/>
    <n v="0.38"/>
    <n v="2935.26"/>
    <x v="1"/>
    <n v="703"/>
    <n v="0.6"/>
    <n v="848.4"/>
    <n v="0.16"/>
    <n v="220"/>
    <n v="0.04"/>
    <n v="8"/>
    <n v="490.42"/>
    <n v="36"/>
    <n v="0"/>
    <n v="316.42"/>
    <n v="2391.4899999999998"/>
    <x v="1"/>
    <n v="1591.37"/>
    <x v="1"/>
    <x v="0"/>
    <n v="46.4"/>
    <s v="Medium"/>
    <n v="1614.33"/>
    <n v="0"/>
  </r>
  <r>
    <x v="29"/>
    <x v="27"/>
    <n v="1100"/>
    <n v="2507.5100000000002"/>
    <n v="3366.3"/>
    <n v="-858.79"/>
    <n v="1.34"/>
    <n v="0.13"/>
    <n v="2304.5"/>
    <x v="2"/>
    <n v="696"/>
    <n v="0.54"/>
    <n v="535.16"/>
    <n v="0.21"/>
    <n v="10.7"/>
    <n v="0"/>
    <n v="2"/>
    <n v="2086.0700000000002"/>
    <n v="92"/>
    <n v="0"/>
    <n v="533.04"/>
    <n v="1273.83"/>
    <x v="0"/>
    <n v="1182.6500000000001"/>
    <x v="6"/>
    <x v="0"/>
    <n v="14.3"/>
    <s v="Low"/>
    <n v="0"/>
    <n v="0"/>
  </r>
  <r>
    <x v="29"/>
    <x v="27"/>
    <n v="1999"/>
    <n v="4511.83"/>
    <n v="3233.72"/>
    <n v="1278.1099999999999"/>
    <n v="0.72"/>
    <n v="0.3"/>
    <n v="2771.39"/>
    <x v="1"/>
    <n v="626"/>
    <n v="0.17"/>
    <n v="545.89"/>
    <n v="0.12"/>
    <n v="320.97000000000003"/>
    <n v="7.0000000000000007E-2"/>
    <n v="1"/>
    <n v="1196.3"/>
    <n v="71"/>
    <n v="0"/>
    <n v="742.36"/>
    <n v="2255.2800000000002"/>
    <x v="2"/>
    <n v="1021.9"/>
    <x v="3"/>
    <x v="0"/>
    <n v="71.2"/>
    <s v="High"/>
    <n v="1278.1099999999999"/>
    <n v="0"/>
  </r>
  <r>
    <x v="29"/>
    <x v="27"/>
    <n v="1402"/>
    <n v="4191.84"/>
    <n v="3619.19"/>
    <n v="572.65"/>
    <n v="0.86"/>
    <n v="0.31"/>
    <n v="2389.4499999999998"/>
    <x v="1"/>
    <n v="620"/>
    <n v="0.48"/>
    <n v="541.70000000000005"/>
    <n v="0.13"/>
    <n v="151.97"/>
    <n v="0.04"/>
    <n v="8"/>
    <n v="1406.53"/>
    <n v="74"/>
    <n v="0"/>
    <n v="333.91"/>
    <n v="1731.74"/>
    <x v="1"/>
    <n v="1013.94"/>
    <x v="1"/>
    <x v="1"/>
    <n v="37.4"/>
    <s v="Low"/>
    <n v="572.65"/>
    <n v="0"/>
  </r>
  <r>
    <x v="29"/>
    <x v="27"/>
    <n v="1222"/>
    <n v="2599.5500000000002"/>
    <n v="3789.75"/>
    <n v="-1190.2"/>
    <n v="1.46"/>
    <n v="0.33"/>
    <n v="3159.22"/>
    <x v="1"/>
    <n v="661"/>
    <n v="0.54"/>
    <n v="711.83"/>
    <n v="0.27"/>
    <n v="613.67999999999995"/>
    <n v="0.24"/>
    <n v="6"/>
    <n v="1012.33"/>
    <n v="43"/>
    <n v="0"/>
    <n v="566.23"/>
    <n v="2455.42"/>
    <x v="1"/>
    <n v="863.18"/>
    <x v="4"/>
    <x v="0"/>
    <n v="17.399999999999999"/>
    <s v="Low"/>
    <n v="0"/>
    <n v="0"/>
  </r>
  <r>
    <x v="29"/>
    <x v="27"/>
    <n v="1540"/>
    <n v="4289.3500000000004"/>
    <n v="1883.55"/>
    <n v="2405.8000000000002"/>
    <n v="0.44"/>
    <n v="0.36"/>
    <n v="2570.89"/>
    <x v="2"/>
    <n v="725"/>
    <n v="0.49"/>
    <n v="596.78"/>
    <n v="0.14000000000000001"/>
    <n v="617.49"/>
    <n v="0.14000000000000001"/>
    <n v="5"/>
    <n v="1321.22"/>
    <n v="87"/>
    <n v="0"/>
    <n v="172.05"/>
    <n v="3274.46"/>
    <x v="1"/>
    <n v="991.98"/>
    <x v="9"/>
    <x v="0"/>
    <n v="41.9"/>
    <s v="Medium"/>
    <n v="2405.8000000000002"/>
    <n v="0"/>
  </r>
  <r>
    <x v="29"/>
    <x v="27"/>
    <n v="1533"/>
    <n v="4845.09"/>
    <n v="3014.68"/>
    <n v="1830.41"/>
    <n v="0.62"/>
    <n v="0.39"/>
    <n v="2727.51"/>
    <x v="1"/>
    <n v="727"/>
    <n v="0.38"/>
    <n v="853.23"/>
    <n v="0.18"/>
    <n v="459.05"/>
    <n v="0.09"/>
    <n v="9"/>
    <n v="1105.21"/>
    <n v="79"/>
    <n v="0"/>
    <n v="803.94"/>
    <n v="1677.34"/>
    <x v="2"/>
    <n v="1198.73"/>
    <x v="6"/>
    <x v="2"/>
    <n v="80"/>
    <s v="Low"/>
    <n v="1830.41"/>
    <n v="0"/>
  </r>
  <r>
    <x v="29"/>
    <x v="27"/>
    <n v="1929"/>
    <n v="2557.58"/>
    <n v="3116.78"/>
    <n v="-559.20000000000005"/>
    <n v="1.22"/>
    <n v="0.06"/>
    <n v="2115.2600000000002"/>
    <x v="2"/>
    <n v="685"/>
    <n v="0.47"/>
    <n v="517.01"/>
    <n v="0.2"/>
    <n v="371.61"/>
    <n v="0.15"/>
    <n v="2"/>
    <n v="1223.6400000000001"/>
    <n v="33"/>
    <n v="0"/>
    <n v="647.54"/>
    <n v="2443.87"/>
    <x v="1"/>
    <n v="1127.0899999999999"/>
    <x v="5"/>
    <x v="1"/>
    <n v="37.200000000000003"/>
    <s v="Low"/>
    <n v="0"/>
    <n v="0"/>
  </r>
  <r>
    <x v="29"/>
    <x v="27"/>
    <n v="1627"/>
    <n v="2435.41"/>
    <n v="2695.54"/>
    <n v="-260.13"/>
    <n v="1.1100000000000001"/>
    <n v="0.06"/>
    <n v="2527.42"/>
    <x v="1"/>
    <n v="692"/>
    <n v="0.31"/>
    <n v="745.68"/>
    <n v="0.31"/>
    <n v="394.69"/>
    <n v="0.16"/>
    <n v="4"/>
    <n v="1314.19"/>
    <n v="46"/>
    <n v="0"/>
    <n v="332.73"/>
    <n v="2472.63"/>
    <x v="1"/>
    <n v="1311.05"/>
    <x v="0"/>
    <x v="2"/>
    <n v="25.2"/>
    <s v="High"/>
    <n v="0"/>
    <n v="0"/>
  </r>
  <r>
    <x v="29"/>
    <x v="27"/>
    <n v="1077"/>
    <n v="3989.19"/>
    <n v="2281.7399999999998"/>
    <n v="1707.45"/>
    <n v="0.56999999999999995"/>
    <n v="0.18"/>
    <n v="3204.29"/>
    <x v="1"/>
    <n v="655"/>
    <n v="0.31"/>
    <n v="350.61"/>
    <n v="0.09"/>
    <n v="610.64"/>
    <n v="0.15"/>
    <n v="6"/>
    <n v="1244.17"/>
    <n v="65"/>
    <n v="0"/>
    <n v="360.17"/>
    <n v="1888.61"/>
    <x v="1"/>
    <n v="1843.39"/>
    <x v="9"/>
    <x v="0"/>
    <n v="82.3"/>
    <s v="Low"/>
    <n v="1707.45"/>
    <n v="0"/>
  </r>
  <r>
    <x v="29"/>
    <x v="27"/>
    <n v="1581"/>
    <n v="1024.42"/>
    <n v="2498.8000000000002"/>
    <n v="-1474.38"/>
    <n v="2.44"/>
    <n v="0.32"/>
    <n v="2382.2399999999998"/>
    <x v="2"/>
    <n v="660"/>
    <n v="0.22"/>
    <n v="521.61"/>
    <n v="0.51"/>
    <n v="104.59"/>
    <n v="0.1"/>
    <n v="3"/>
    <n v="488.82"/>
    <n v="22"/>
    <n v="0"/>
    <n v="263.01"/>
    <n v="1919.07"/>
    <x v="1"/>
    <n v="1113.3399999999999"/>
    <x v="2"/>
    <x v="1"/>
    <n v="6.1"/>
    <s v="Low"/>
    <n v="0"/>
    <n v="0"/>
  </r>
  <r>
    <x v="29"/>
    <x v="27"/>
    <n v="1196"/>
    <n v="3260.1"/>
    <n v="3222.86"/>
    <n v="37.24"/>
    <n v="0.99"/>
    <n v="0.3"/>
    <n v="2911.17"/>
    <x v="1"/>
    <n v="755"/>
    <n v="0.18"/>
    <n v="524.16999999999996"/>
    <n v="0.16"/>
    <n v="399.3"/>
    <n v="0.12"/>
    <n v="6"/>
    <n v="488.06"/>
    <n v="95"/>
    <n v="0"/>
    <n v="324.37"/>
    <n v="2662.79"/>
    <x v="1"/>
    <n v="1377.67"/>
    <x v="5"/>
    <x v="1"/>
    <n v="2.6"/>
    <s v="Low"/>
    <n v="37.24"/>
    <n v="0"/>
  </r>
  <r>
    <x v="29"/>
    <x v="27"/>
    <n v="1140"/>
    <n v="5916.09"/>
    <n v="2101.5"/>
    <n v="3814.59"/>
    <n v="0.36"/>
    <n v="0.21"/>
    <n v="2597.5700000000002"/>
    <x v="0"/>
    <n v="643"/>
    <n v="0.23"/>
    <n v="520.76"/>
    <n v="0.09"/>
    <n v="297.99"/>
    <n v="0.05"/>
    <n v="3"/>
    <n v="319.74"/>
    <n v="77"/>
    <n v="0"/>
    <n v="564.99"/>
    <n v="2153.4699999999998"/>
    <x v="1"/>
    <n v="1300.04"/>
    <x v="8"/>
    <x v="0"/>
    <n v="3.7"/>
    <s v="Low"/>
    <n v="3814.59"/>
    <n v="1"/>
  </r>
  <r>
    <x v="29"/>
    <x v="27"/>
    <n v="1623"/>
    <n v="7382.84"/>
    <n v="2688.05"/>
    <n v="4694.79"/>
    <n v="0.36"/>
    <n v="0.15"/>
    <n v="3337.38"/>
    <x v="2"/>
    <n v="691"/>
    <n v="0.51"/>
    <n v="710.41"/>
    <n v="0.1"/>
    <n v="414.45"/>
    <n v="0.06"/>
    <n v="1"/>
    <n v="218.98"/>
    <n v="26"/>
    <n v="0"/>
    <n v="174.72"/>
    <n v="3173.19"/>
    <x v="1"/>
    <n v="1382.94"/>
    <x v="9"/>
    <x v="2"/>
    <n v="39.6"/>
    <s v="High"/>
    <n v="4694.79"/>
    <n v="1"/>
  </r>
  <r>
    <x v="29"/>
    <x v="27"/>
    <n v="1612"/>
    <n v="3046.87"/>
    <n v="1118.74"/>
    <n v="1928.13"/>
    <n v="0.37"/>
    <n v="0.06"/>
    <n v="3262.97"/>
    <x v="1"/>
    <n v="677"/>
    <n v="0.13"/>
    <n v="726.88"/>
    <n v="0.24"/>
    <n v="667.63"/>
    <n v="0.22"/>
    <n v="4"/>
    <n v="1747.81"/>
    <n v="79"/>
    <n v="0"/>
    <n v="812.07"/>
    <n v="2362.46"/>
    <x v="1"/>
    <n v="1359.5"/>
    <x v="9"/>
    <x v="0"/>
    <n v="74.7"/>
    <s v="Low"/>
    <n v="1928.13"/>
    <n v="0"/>
  </r>
  <r>
    <x v="29"/>
    <x v="27"/>
    <n v="1480"/>
    <n v="4827.87"/>
    <n v="3453.24"/>
    <n v="1374.63"/>
    <n v="0.72"/>
    <n v="0.16"/>
    <n v="1983.43"/>
    <x v="1"/>
    <n v="636"/>
    <n v="0.6"/>
    <n v="771.44"/>
    <n v="0.16"/>
    <n v="435.15"/>
    <n v="0.09"/>
    <n v="8"/>
    <n v="278.02999999999997"/>
    <n v="55"/>
    <n v="0"/>
    <n v="317.74"/>
    <n v="1803.97"/>
    <x v="1"/>
    <n v="1576.44"/>
    <x v="9"/>
    <x v="0"/>
    <n v="87.6"/>
    <s v="Low"/>
    <n v="1374.63"/>
    <n v="0"/>
  </r>
  <r>
    <x v="29"/>
    <x v="27"/>
    <n v="1914"/>
    <n v="5544.6"/>
    <n v="3234.95"/>
    <n v="2309.65"/>
    <n v="0.57999999999999996"/>
    <n v="0.28000000000000003"/>
    <n v="2594.4"/>
    <x v="1"/>
    <n v="694"/>
    <n v="0.22"/>
    <n v="177.33"/>
    <n v="0.03"/>
    <n v="246.07"/>
    <n v="0.04"/>
    <n v="8"/>
    <n v="1259.3399999999999"/>
    <n v="40"/>
    <n v="0"/>
    <n v="170.47"/>
    <n v="1000"/>
    <x v="0"/>
    <n v="1228.1099999999999"/>
    <x v="3"/>
    <x v="2"/>
    <n v="7.7"/>
    <s v="High"/>
    <n v="2309.65"/>
    <n v="0"/>
  </r>
  <r>
    <x v="29"/>
    <x v="27"/>
    <n v="1082"/>
    <n v="2672.62"/>
    <n v="2790.32"/>
    <n v="-117.7"/>
    <n v="1.04"/>
    <n v="0.37"/>
    <n v="2300.87"/>
    <x v="0"/>
    <n v="649"/>
    <n v="0.28000000000000003"/>
    <n v="694.19"/>
    <n v="0.26"/>
    <n v="0"/>
    <n v="0"/>
    <n v="4"/>
    <n v="59.57"/>
    <n v="71"/>
    <n v="0"/>
    <n v="579.22"/>
    <n v="1276.3499999999999"/>
    <x v="1"/>
    <n v="813.88"/>
    <x v="1"/>
    <x v="0"/>
    <n v="28"/>
    <s v="Low"/>
    <n v="0"/>
    <n v="0"/>
  </r>
  <r>
    <x v="29"/>
    <x v="27"/>
    <n v="1626"/>
    <n v="1399.55"/>
    <n v="3514.61"/>
    <n v="-2115.06"/>
    <n v="2.5099999999999998"/>
    <n v="0.26"/>
    <n v="3216.5"/>
    <x v="1"/>
    <n v="707"/>
    <n v="0.42"/>
    <n v="430.8"/>
    <n v="0.31"/>
    <n v="295.8"/>
    <n v="0.21"/>
    <n v="4"/>
    <n v="1039.4100000000001"/>
    <n v="45"/>
    <n v="0"/>
    <n v="225.26"/>
    <n v="2899.09"/>
    <x v="1"/>
    <n v="617.94000000000005"/>
    <x v="0"/>
    <x v="0"/>
    <n v="27"/>
    <s v="Low"/>
    <n v="0"/>
    <n v="0"/>
  </r>
  <r>
    <x v="29"/>
    <x v="27"/>
    <n v="1549"/>
    <n v="4668.2"/>
    <n v="2212.88"/>
    <n v="2455.3200000000002"/>
    <n v="0.47"/>
    <n v="0.1"/>
    <n v="2906.03"/>
    <x v="2"/>
    <n v="769"/>
    <n v="0.13"/>
    <n v="797.65"/>
    <n v="0.17"/>
    <n v="162.04"/>
    <n v="0.03"/>
    <n v="9"/>
    <n v="153.74"/>
    <n v="78"/>
    <n v="0"/>
    <n v="686.09"/>
    <n v="3188.51"/>
    <x v="0"/>
    <n v="1279.32"/>
    <x v="7"/>
    <x v="0"/>
    <n v="3.1"/>
    <s v="High"/>
    <n v="2455.3200000000002"/>
    <n v="0"/>
  </r>
  <r>
    <x v="29"/>
    <x v="27"/>
    <n v="1164"/>
    <n v="2888.28"/>
    <n v="2936.03"/>
    <n v="-47.75"/>
    <n v="1.02"/>
    <n v="0.39"/>
    <n v="2773.58"/>
    <x v="1"/>
    <n v="632"/>
    <n v="0.19"/>
    <n v="686.65"/>
    <n v="0.24"/>
    <n v="791.5"/>
    <n v="0.27"/>
    <n v="2"/>
    <n v="854.66"/>
    <n v="92"/>
    <n v="0"/>
    <n v="356.08"/>
    <n v="1933.95"/>
    <x v="1"/>
    <n v="1064.8"/>
    <x v="9"/>
    <x v="1"/>
    <n v="27.6"/>
    <s v="Low"/>
    <n v="0"/>
    <n v="0"/>
  </r>
  <r>
    <x v="29"/>
    <x v="27"/>
    <n v="1988"/>
    <n v="2569.0100000000002"/>
    <n v="3005.39"/>
    <n v="-436.38"/>
    <n v="1.17"/>
    <n v="0.33"/>
    <n v="3074.57"/>
    <x v="2"/>
    <n v="633"/>
    <n v="0.34"/>
    <n v="544.4"/>
    <n v="0.21"/>
    <n v="179.75"/>
    <n v="7.0000000000000007E-2"/>
    <n v="4"/>
    <n v="1045.05"/>
    <n v="56"/>
    <n v="0"/>
    <n v="201.06"/>
    <n v="2195.44"/>
    <x v="1"/>
    <n v="1352.61"/>
    <x v="2"/>
    <x v="0"/>
    <n v="65.5"/>
    <s v="High"/>
    <n v="0"/>
    <n v="0"/>
  </r>
  <r>
    <x v="29"/>
    <x v="27"/>
    <n v="1885"/>
    <n v="4534.09"/>
    <n v="2518.38"/>
    <n v="2015.71"/>
    <n v="0.56000000000000005"/>
    <n v="0.09"/>
    <n v="3354.12"/>
    <x v="1"/>
    <n v="716"/>
    <n v="0.46"/>
    <n v="278.32"/>
    <n v="0.06"/>
    <n v="597.13"/>
    <n v="0.13"/>
    <n v="3"/>
    <n v="837.61"/>
    <n v="62"/>
    <n v="0"/>
    <n v="452.87"/>
    <n v="1969.49"/>
    <x v="0"/>
    <n v="651.28"/>
    <x v="7"/>
    <x v="0"/>
    <n v="84"/>
    <s v="Low"/>
    <n v="2015.71"/>
    <n v="0"/>
  </r>
  <r>
    <x v="29"/>
    <x v="27"/>
    <n v="1623"/>
    <n v="4348.67"/>
    <n v="2319.5500000000002"/>
    <n v="2029.12"/>
    <n v="0.53"/>
    <n v="0.28999999999999998"/>
    <n v="1793.65"/>
    <x v="1"/>
    <n v="628"/>
    <n v="0.36"/>
    <n v="309.35000000000002"/>
    <n v="7.0000000000000007E-2"/>
    <n v="519.73"/>
    <n v="0.12"/>
    <n v="3"/>
    <n v="517.86"/>
    <n v="41"/>
    <n v="0"/>
    <n v="324.08"/>
    <n v="1977.47"/>
    <x v="1"/>
    <n v="398.92"/>
    <x v="8"/>
    <x v="0"/>
    <n v="13.6"/>
    <s v="Low"/>
    <n v="2029.12"/>
    <n v="1"/>
  </r>
  <r>
    <x v="29"/>
    <x v="27"/>
    <n v="1667"/>
    <n v="4207.24"/>
    <n v="3409.25"/>
    <n v="797.99"/>
    <n v="0.81"/>
    <n v="0.27"/>
    <n v="3005.56"/>
    <x v="2"/>
    <n v="658"/>
    <n v="0.2"/>
    <n v="298.73"/>
    <n v="7.0000000000000007E-2"/>
    <n v="610.19000000000005"/>
    <n v="0.15"/>
    <n v="1"/>
    <n v="1578.22"/>
    <n v="35"/>
    <n v="0"/>
    <n v="245.45"/>
    <n v="2125.75"/>
    <x v="1"/>
    <n v="1166.55"/>
    <x v="1"/>
    <x v="0"/>
    <n v="92.5"/>
    <s v="High"/>
    <n v="797.99"/>
    <n v="0"/>
  </r>
  <r>
    <x v="29"/>
    <x v="27"/>
    <n v="1126"/>
    <n v="3323.18"/>
    <n v="2835.22"/>
    <n v="487.96"/>
    <n v="0.85"/>
    <n v="0.34"/>
    <n v="2140.7399999999998"/>
    <x v="1"/>
    <n v="632"/>
    <n v="0.33"/>
    <n v="309.13"/>
    <n v="0.09"/>
    <n v="728.45"/>
    <n v="0.22"/>
    <n v="1"/>
    <n v="967.05"/>
    <n v="63"/>
    <n v="0"/>
    <n v="347.36"/>
    <n v="1975.94"/>
    <x v="2"/>
    <n v="1730.98"/>
    <x v="8"/>
    <x v="0"/>
    <n v="46.5"/>
    <s v="Low"/>
    <n v="487.96"/>
    <n v="0"/>
  </r>
  <r>
    <x v="29"/>
    <x v="27"/>
    <n v="1755"/>
    <n v="5234.7700000000004"/>
    <n v="2789.89"/>
    <n v="2444.88"/>
    <n v="0.53"/>
    <n v="0.19"/>
    <n v="2344.17"/>
    <x v="1"/>
    <n v="686"/>
    <n v="0.56999999999999995"/>
    <n v="527.26"/>
    <n v="0.1"/>
    <n v="697.75"/>
    <n v="0.13"/>
    <n v="8"/>
    <n v="1408.05"/>
    <n v="54"/>
    <n v="0"/>
    <n v="43.36"/>
    <n v="1939.32"/>
    <x v="1"/>
    <n v="996.99"/>
    <x v="2"/>
    <x v="1"/>
    <n v="22.4"/>
    <s v="Low"/>
    <n v="2444.88"/>
    <n v="1"/>
  </r>
  <r>
    <x v="29"/>
    <x v="27"/>
    <n v="1134"/>
    <n v="3965.94"/>
    <n v="3729.55"/>
    <n v="236.39"/>
    <n v="0.94"/>
    <n v="0.24"/>
    <n v="2727.19"/>
    <x v="1"/>
    <n v="811"/>
    <n v="0.19"/>
    <n v="551.28"/>
    <n v="0.14000000000000001"/>
    <n v="614.36"/>
    <n v="0.15"/>
    <n v="9"/>
    <n v="748.35"/>
    <n v="24"/>
    <n v="0"/>
    <n v="500.59"/>
    <n v="2381.94"/>
    <x v="0"/>
    <n v="382.8"/>
    <x v="2"/>
    <x v="0"/>
    <n v="90.9"/>
    <s v="High"/>
    <n v="236.39"/>
    <n v="0"/>
  </r>
  <r>
    <x v="30"/>
    <x v="28"/>
    <n v="1256"/>
    <n v="3163.61"/>
    <n v="4000.56"/>
    <n v="-836.95"/>
    <n v="1.26"/>
    <n v="0.22"/>
    <n v="2749.02"/>
    <x v="2"/>
    <n v="619"/>
    <n v="0.28999999999999998"/>
    <n v="377.91"/>
    <n v="0.12"/>
    <n v="686.52"/>
    <n v="0.22"/>
    <n v="6"/>
    <n v="1411.56"/>
    <n v="96"/>
    <n v="0"/>
    <n v="220.76"/>
    <n v="2389.84"/>
    <x v="1"/>
    <n v="1197.82"/>
    <x v="9"/>
    <x v="2"/>
    <n v="89.5"/>
    <s v="Low"/>
    <n v="0"/>
    <n v="0"/>
  </r>
  <r>
    <x v="30"/>
    <x v="28"/>
    <n v="1277"/>
    <n v="3874.19"/>
    <n v="2673.9"/>
    <n v="1200.29"/>
    <n v="0.69"/>
    <n v="0.06"/>
    <n v="3160.19"/>
    <x v="0"/>
    <n v="709"/>
    <n v="0.42"/>
    <n v="359.9"/>
    <n v="0.09"/>
    <n v="0"/>
    <n v="0"/>
    <n v="9"/>
    <n v="192.49"/>
    <n v="21"/>
    <n v="0"/>
    <n v="826.7"/>
    <n v="2111.3000000000002"/>
    <x v="1"/>
    <n v="1239.3399999999999"/>
    <x v="4"/>
    <x v="0"/>
    <n v="22.5"/>
    <s v="Medium"/>
    <n v="1200.29"/>
    <n v="0"/>
  </r>
  <r>
    <x v="30"/>
    <x v="28"/>
    <n v="1469"/>
    <n v="4424.01"/>
    <n v="3273.45"/>
    <n v="1150.56"/>
    <n v="0.74"/>
    <n v="0.39"/>
    <n v="2313.13"/>
    <x v="1"/>
    <n v="734"/>
    <n v="0.41"/>
    <n v="399.9"/>
    <n v="0.09"/>
    <n v="448.44"/>
    <n v="0.1"/>
    <n v="6"/>
    <n v="1072.04"/>
    <n v="51"/>
    <n v="0"/>
    <n v="688.96"/>
    <n v="1000"/>
    <x v="1"/>
    <n v="1040.46"/>
    <x v="0"/>
    <x v="1"/>
    <n v="42.1"/>
    <s v="Low"/>
    <n v="1150.56"/>
    <n v="0"/>
  </r>
  <r>
    <x v="30"/>
    <x v="28"/>
    <n v="1018"/>
    <n v="3727.2"/>
    <n v="2866.51"/>
    <n v="860.69"/>
    <n v="0.77"/>
    <n v="0.34"/>
    <n v="3024.36"/>
    <x v="1"/>
    <n v="756"/>
    <n v="0.37"/>
    <n v="715.66"/>
    <n v="0.19"/>
    <n v="651.91999999999996"/>
    <n v="0.17"/>
    <n v="2"/>
    <n v="767.64"/>
    <n v="85"/>
    <n v="0"/>
    <n v="233.62"/>
    <n v="2389.16"/>
    <x v="2"/>
    <n v="819.47"/>
    <x v="6"/>
    <x v="2"/>
    <n v="8.9"/>
    <s v="Low"/>
    <n v="860.69"/>
    <n v="0"/>
  </r>
  <r>
    <x v="30"/>
    <x v="28"/>
    <n v="1158"/>
    <n v="3652.62"/>
    <n v="3357.22"/>
    <n v="295.39999999999998"/>
    <n v="0.92"/>
    <n v="0.26"/>
    <n v="2534.2399999999998"/>
    <x v="1"/>
    <n v="637"/>
    <n v="0.56000000000000005"/>
    <n v="125.84"/>
    <n v="0.03"/>
    <n v="0"/>
    <n v="0"/>
    <n v="1"/>
    <n v="647"/>
    <n v="75"/>
    <n v="0"/>
    <n v="343.91"/>
    <n v="2069.21"/>
    <x v="1"/>
    <n v="441.35"/>
    <x v="8"/>
    <x v="0"/>
    <n v="1.3"/>
    <s v="Low"/>
    <n v="295.39999999999998"/>
    <n v="0"/>
  </r>
  <r>
    <x v="30"/>
    <x v="28"/>
    <n v="1382"/>
    <n v="1949.72"/>
    <n v="3154.76"/>
    <n v="-1205.04"/>
    <n v="1.62"/>
    <n v="0.16"/>
    <n v="3199.38"/>
    <x v="1"/>
    <n v="571"/>
    <n v="0.48"/>
    <n v="902.18"/>
    <n v="0.46"/>
    <n v="280.87"/>
    <n v="0.14000000000000001"/>
    <n v="8"/>
    <n v="1081.5899999999999"/>
    <n v="35"/>
    <n v="0"/>
    <n v="627.5"/>
    <n v="1474.79"/>
    <x v="1"/>
    <n v="1390.28"/>
    <x v="7"/>
    <x v="0"/>
    <n v="12.2"/>
    <s v="High"/>
    <n v="0"/>
    <n v="0"/>
  </r>
  <r>
    <x v="30"/>
    <x v="28"/>
    <n v="1242"/>
    <n v="3857.32"/>
    <n v="2481.91"/>
    <n v="1375.41"/>
    <n v="0.64"/>
    <n v="0.05"/>
    <n v="3051.46"/>
    <x v="1"/>
    <n v="673"/>
    <n v="0.24"/>
    <n v="471.35"/>
    <n v="0.12"/>
    <n v="404.3"/>
    <n v="0.1"/>
    <n v="6"/>
    <n v="865.15"/>
    <n v="65"/>
    <n v="0"/>
    <n v="540.70000000000005"/>
    <n v="1551.91"/>
    <x v="1"/>
    <n v="1688.72"/>
    <x v="9"/>
    <x v="0"/>
    <n v="56.3"/>
    <s v="High"/>
    <n v="1375.41"/>
    <n v="0"/>
  </r>
  <r>
    <x v="30"/>
    <x v="28"/>
    <n v="1646"/>
    <n v="3968.25"/>
    <n v="2563.71"/>
    <n v="1404.54"/>
    <n v="0.65"/>
    <n v="0.11"/>
    <n v="2079.96"/>
    <x v="2"/>
    <n v="747"/>
    <n v="0.51"/>
    <n v="452.51"/>
    <n v="0.11"/>
    <n v="308.08"/>
    <n v="0.08"/>
    <n v="4"/>
    <n v="1536.58"/>
    <n v="98"/>
    <n v="0"/>
    <n v="534.71"/>
    <n v="2564.27"/>
    <x v="1"/>
    <n v="1096.1199999999999"/>
    <x v="1"/>
    <x v="0"/>
    <n v="86.6"/>
    <s v="Low"/>
    <n v="1404.54"/>
    <n v="0"/>
  </r>
  <r>
    <x v="30"/>
    <x v="28"/>
    <n v="1046"/>
    <n v="4419.3900000000003"/>
    <n v="2683.77"/>
    <n v="1735.62"/>
    <n v="0.61"/>
    <n v="0.1"/>
    <n v="2570.54"/>
    <x v="1"/>
    <n v="614"/>
    <n v="0.39"/>
    <n v="346.06"/>
    <n v="0.08"/>
    <n v="141.72"/>
    <n v="0.03"/>
    <n v="9"/>
    <n v="158.29"/>
    <n v="79"/>
    <n v="0"/>
    <n v="363.8"/>
    <n v="2300.21"/>
    <x v="1"/>
    <n v="1687.28"/>
    <x v="1"/>
    <x v="2"/>
    <n v="7.2"/>
    <s v="Low"/>
    <n v="1735.62"/>
    <n v="0"/>
  </r>
  <r>
    <x v="30"/>
    <x v="28"/>
    <n v="1172"/>
    <n v="3641.92"/>
    <n v="3614.64"/>
    <n v="27.28"/>
    <n v="0.99"/>
    <n v="0.17"/>
    <n v="3297.79"/>
    <x v="1"/>
    <n v="677"/>
    <n v="0.6"/>
    <n v="734.86"/>
    <n v="0.2"/>
    <n v="315.18"/>
    <n v="0.09"/>
    <n v="1"/>
    <n v="611.53"/>
    <n v="45"/>
    <n v="0"/>
    <n v="777.72"/>
    <n v="2058"/>
    <x v="2"/>
    <n v="1414.52"/>
    <x v="2"/>
    <x v="1"/>
    <n v="88.6"/>
    <s v="Medium"/>
    <n v="27.28"/>
    <n v="0"/>
  </r>
  <r>
    <x v="30"/>
    <x v="28"/>
    <n v="1163"/>
    <n v="3501.07"/>
    <n v="2589.2399999999998"/>
    <n v="911.83"/>
    <n v="0.74"/>
    <n v="0.31"/>
    <n v="2950.98"/>
    <x v="1"/>
    <n v="656"/>
    <n v="0.12"/>
    <n v="677.77"/>
    <n v="0.19"/>
    <n v="88.48"/>
    <n v="0.03"/>
    <n v="3"/>
    <n v="1859.19"/>
    <n v="38"/>
    <n v="0"/>
    <n v="725.98"/>
    <n v="2385.9699999999998"/>
    <x v="1"/>
    <n v="1541.38"/>
    <x v="3"/>
    <x v="0"/>
    <n v="10.9"/>
    <s v="Medium"/>
    <n v="911.83"/>
    <n v="0"/>
  </r>
  <r>
    <x v="30"/>
    <x v="28"/>
    <n v="1371"/>
    <n v="3570.72"/>
    <n v="3579.36"/>
    <n v="-8.64"/>
    <n v="1"/>
    <n v="0.34"/>
    <n v="3143.54"/>
    <x v="0"/>
    <n v="757"/>
    <n v="0.13"/>
    <n v="497.05"/>
    <n v="0.14000000000000001"/>
    <n v="652.28"/>
    <n v="0.18"/>
    <n v="6"/>
    <n v="2139.66"/>
    <n v="24"/>
    <n v="0"/>
    <n v="670.55"/>
    <n v="2347.54"/>
    <x v="1"/>
    <n v="1185.05"/>
    <x v="4"/>
    <x v="0"/>
    <n v="21.4"/>
    <s v="Medium"/>
    <n v="0"/>
    <n v="0"/>
  </r>
  <r>
    <x v="30"/>
    <x v="28"/>
    <n v="1580"/>
    <n v="3826.08"/>
    <n v="3000.03"/>
    <n v="826.05"/>
    <n v="0.78"/>
    <n v="0.37"/>
    <n v="3665.75"/>
    <x v="1"/>
    <n v="724"/>
    <n v="0.53"/>
    <n v="435.31"/>
    <n v="0.11"/>
    <n v="433.2"/>
    <n v="0.11"/>
    <n v="1"/>
    <n v="1791.71"/>
    <n v="63"/>
    <n v="0"/>
    <n v="482.85"/>
    <n v="1147.55"/>
    <x v="2"/>
    <n v="1521.49"/>
    <x v="2"/>
    <x v="1"/>
    <n v="1.2"/>
    <s v="Low"/>
    <n v="826.05"/>
    <n v="0"/>
  </r>
  <r>
    <x v="30"/>
    <x v="28"/>
    <n v="1206"/>
    <n v="4865.3100000000004"/>
    <n v="4036.2"/>
    <n v="829.11"/>
    <n v="0.83"/>
    <n v="0.23"/>
    <n v="2249.48"/>
    <x v="1"/>
    <n v="667"/>
    <n v="0.4"/>
    <n v="595.98"/>
    <n v="0.12"/>
    <n v="579.20000000000005"/>
    <n v="0.12"/>
    <n v="4"/>
    <n v="862.97"/>
    <n v="62"/>
    <n v="0"/>
    <n v="312.48"/>
    <n v="3217.77"/>
    <x v="1"/>
    <n v="1387.64"/>
    <x v="6"/>
    <x v="0"/>
    <n v="41.6"/>
    <s v="Low"/>
    <n v="829.11"/>
    <n v="0"/>
  </r>
  <r>
    <x v="30"/>
    <x v="28"/>
    <n v="1477"/>
    <n v="3897.53"/>
    <n v="3466.13"/>
    <n v="431.4"/>
    <n v="0.89"/>
    <n v="0.34"/>
    <n v="2947.79"/>
    <x v="2"/>
    <n v="776"/>
    <n v="0.44"/>
    <n v="636.59"/>
    <n v="0.16"/>
    <n v="410.64"/>
    <n v="0.11"/>
    <n v="1"/>
    <n v="1205.4100000000001"/>
    <n v="72"/>
    <n v="0"/>
    <n v="683.09"/>
    <n v="1954.33"/>
    <x v="1"/>
    <n v="1887.04"/>
    <x v="4"/>
    <x v="2"/>
    <n v="30.7"/>
    <s v="High"/>
    <n v="431.4"/>
    <n v="0"/>
  </r>
  <r>
    <x v="30"/>
    <x v="28"/>
    <n v="1783"/>
    <n v="4492.58"/>
    <n v="2890.4"/>
    <n v="1602.18"/>
    <n v="0.64"/>
    <n v="7.0000000000000007E-2"/>
    <n v="2955.42"/>
    <x v="1"/>
    <n v="595"/>
    <n v="0.37"/>
    <n v="672.05"/>
    <n v="0.15"/>
    <n v="393.81"/>
    <n v="0.09"/>
    <n v="8"/>
    <n v="448.07"/>
    <n v="56"/>
    <n v="0"/>
    <n v="758.18"/>
    <n v="1672.06"/>
    <x v="1"/>
    <n v="1200.94"/>
    <x v="0"/>
    <x v="0"/>
    <n v="18.100000000000001"/>
    <s v="Low"/>
    <n v="1602.18"/>
    <n v="0"/>
  </r>
  <r>
    <x v="30"/>
    <x v="28"/>
    <n v="1154"/>
    <n v="2554.4699999999998"/>
    <n v="2592.84"/>
    <n v="-38.369999999999997"/>
    <n v="1.02"/>
    <n v="0.17"/>
    <n v="2302.62"/>
    <x v="0"/>
    <n v="677"/>
    <n v="0.38"/>
    <n v="812.38"/>
    <n v="0.32"/>
    <n v="409.2"/>
    <n v="0.16"/>
    <n v="4"/>
    <n v="1326.54"/>
    <n v="55"/>
    <n v="0"/>
    <n v="664.84"/>
    <n v="2385.37"/>
    <x v="1"/>
    <n v="665.78"/>
    <x v="2"/>
    <x v="0"/>
    <n v="87"/>
    <s v="Low"/>
    <n v="0"/>
    <n v="0"/>
  </r>
  <r>
    <x v="30"/>
    <x v="28"/>
    <n v="1272"/>
    <n v="5027.2299999999996"/>
    <n v="2414.1999999999998"/>
    <n v="2613.0300000000002"/>
    <n v="0.48"/>
    <n v="0.19"/>
    <n v="2370.73"/>
    <x v="1"/>
    <n v="654"/>
    <n v="0.47"/>
    <n v="799.65"/>
    <n v="0.16"/>
    <n v="0"/>
    <n v="0"/>
    <n v="6"/>
    <n v="1149"/>
    <n v="23"/>
    <n v="0"/>
    <n v="340.38"/>
    <n v="1000"/>
    <x v="0"/>
    <n v="1245.73"/>
    <x v="5"/>
    <x v="2"/>
    <n v="31"/>
    <s v="High"/>
    <n v="2613.0300000000002"/>
    <n v="1"/>
  </r>
  <r>
    <x v="30"/>
    <x v="28"/>
    <n v="1892"/>
    <n v="2298.41"/>
    <n v="3206.4"/>
    <n v="-907.99"/>
    <n v="1.4"/>
    <n v="0.05"/>
    <n v="1981.61"/>
    <x v="1"/>
    <n v="694"/>
    <n v="0.38"/>
    <n v="536.02"/>
    <n v="0.23"/>
    <n v="406.04"/>
    <n v="0.18"/>
    <n v="1"/>
    <n v="766.07"/>
    <n v="25"/>
    <n v="0"/>
    <n v="343.67"/>
    <n v="2791.09"/>
    <x v="0"/>
    <n v="1752.5"/>
    <x v="4"/>
    <x v="1"/>
    <n v="59.5"/>
    <s v="Medium"/>
    <n v="0"/>
    <n v="0"/>
  </r>
  <r>
    <x v="30"/>
    <x v="28"/>
    <n v="1308"/>
    <n v="4248.1099999999997"/>
    <n v="2131.5100000000002"/>
    <n v="2116.6"/>
    <n v="0.5"/>
    <n v="0.1"/>
    <n v="3344.46"/>
    <x v="0"/>
    <n v="669"/>
    <n v="0.56000000000000005"/>
    <n v="412.01"/>
    <n v="0.1"/>
    <n v="114.23"/>
    <n v="0.03"/>
    <n v="7"/>
    <n v="630.96"/>
    <n v="50"/>
    <n v="0"/>
    <n v="388.82"/>
    <n v="1788.89"/>
    <x v="0"/>
    <n v="1311.82"/>
    <x v="8"/>
    <x v="0"/>
    <n v="99.1"/>
    <s v="High"/>
    <n v="2116.6"/>
    <n v="0"/>
  </r>
  <r>
    <x v="30"/>
    <x v="28"/>
    <n v="1438"/>
    <n v="4044.89"/>
    <n v="3931.32"/>
    <n v="113.57"/>
    <n v="0.97"/>
    <n v="0.12"/>
    <n v="2357.84"/>
    <x v="0"/>
    <n v="694"/>
    <n v="0.55000000000000004"/>
    <n v="512.04999999999995"/>
    <n v="0.13"/>
    <n v="498.89"/>
    <n v="0.12"/>
    <n v="8"/>
    <n v="1070.1099999999999"/>
    <n v="23"/>
    <n v="0"/>
    <n v="408.87"/>
    <n v="2483.5100000000002"/>
    <x v="1"/>
    <n v="1299.58"/>
    <x v="1"/>
    <x v="2"/>
    <n v="9.4"/>
    <s v="Low"/>
    <n v="113.57"/>
    <n v="0"/>
  </r>
  <r>
    <x v="30"/>
    <x v="28"/>
    <n v="1818"/>
    <n v="5974.57"/>
    <n v="1624.47"/>
    <n v="4350.1000000000004"/>
    <n v="0.27"/>
    <n v="0.39"/>
    <n v="2564.67"/>
    <x v="0"/>
    <n v="563"/>
    <n v="0.56000000000000005"/>
    <n v="835.81"/>
    <n v="0.14000000000000001"/>
    <n v="423.93"/>
    <n v="7.0000000000000007E-2"/>
    <n v="7"/>
    <n v="989.68"/>
    <n v="51"/>
    <n v="0"/>
    <n v="341.6"/>
    <n v="1990.01"/>
    <x v="0"/>
    <n v="1029.17"/>
    <x v="3"/>
    <x v="2"/>
    <n v="87.1"/>
    <s v="Medium"/>
    <n v="4350.1000000000004"/>
    <n v="1"/>
  </r>
  <r>
    <x v="30"/>
    <x v="28"/>
    <n v="1862"/>
    <n v="3679.44"/>
    <n v="2667.59"/>
    <n v="1011.85"/>
    <n v="0.72"/>
    <n v="0.38"/>
    <n v="1988.35"/>
    <x v="1"/>
    <n v="649"/>
    <n v="0.4"/>
    <n v="658.16"/>
    <n v="0.18"/>
    <n v="322.48"/>
    <n v="0.09"/>
    <n v="6"/>
    <n v="1093.22"/>
    <n v="66"/>
    <n v="0"/>
    <n v="564.48"/>
    <n v="1488.86"/>
    <x v="1"/>
    <n v="1552.8"/>
    <x v="0"/>
    <x v="0"/>
    <n v="17.5"/>
    <s v="Medium"/>
    <n v="1011.85"/>
    <n v="0"/>
  </r>
  <r>
    <x v="30"/>
    <x v="28"/>
    <n v="1969"/>
    <n v="4012.58"/>
    <n v="2304.5100000000002"/>
    <n v="1708.07"/>
    <n v="0.56999999999999995"/>
    <n v="0.25"/>
    <n v="2901.53"/>
    <x v="1"/>
    <n v="715"/>
    <n v="0.22"/>
    <n v="595.51"/>
    <n v="0.15"/>
    <n v="82.17"/>
    <n v="0.02"/>
    <n v="4"/>
    <n v="917.92"/>
    <n v="25"/>
    <n v="0"/>
    <n v="720.59"/>
    <n v="3054.16"/>
    <x v="1"/>
    <n v="1313.88"/>
    <x v="0"/>
    <x v="0"/>
    <n v="43.2"/>
    <s v="Medium"/>
    <n v="1708.07"/>
    <n v="0"/>
  </r>
  <r>
    <x v="30"/>
    <x v="28"/>
    <n v="1973"/>
    <n v="4059.17"/>
    <n v="3081.99"/>
    <n v="977.18"/>
    <n v="0.76"/>
    <n v="0.11"/>
    <n v="1768.89"/>
    <x v="0"/>
    <n v="679"/>
    <n v="0.54"/>
    <n v="549.87"/>
    <n v="0.14000000000000001"/>
    <n v="466.15"/>
    <n v="0.11"/>
    <n v="5"/>
    <n v="1466.67"/>
    <n v="80"/>
    <n v="0"/>
    <n v="649.22"/>
    <n v="2569.5300000000002"/>
    <x v="2"/>
    <n v="1259.74"/>
    <x v="0"/>
    <x v="0"/>
    <n v="71.599999999999994"/>
    <s v="Medium"/>
    <n v="977.18"/>
    <n v="0"/>
  </r>
  <r>
    <x v="30"/>
    <x v="28"/>
    <n v="1682"/>
    <n v="2873.54"/>
    <n v="2749.08"/>
    <n v="124.46"/>
    <n v="0.96"/>
    <n v="0.21"/>
    <n v="2855.29"/>
    <x v="1"/>
    <n v="742"/>
    <n v="0.12"/>
    <n v="509.66"/>
    <n v="0.18"/>
    <n v="959.28"/>
    <n v="0.33"/>
    <n v="4"/>
    <n v="1539.59"/>
    <n v="84"/>
    <n v="0"/>
    <n v="255.54"/>
    <n v="1943.02"/>
    <x v="1"/>
    <n v="748.78"/>
    <x v="1"/>
    <x v="0"/>
    <n v="23.8"/>
    <s v="High"/>
    <n v="124.46"/>
    <n v="0"/>
  </r>
  <r>
    <x v="30"/>
    <x v="28"/>
    <n v="1220"/>
    <n v="4128.8100000000004"/>
    <n v="1695.2"/>
    <n v="2433.61"/>
    <n v="0.41"/>
    <n v="0.25"/>
    <n v="3204.47"/>
    <x v="0"/>
    <n v="620"/>
    <n v="0.34"/>
    <n v="511.82"/>
    <n v="0.12"/>
    <n v="311.14"/>
    <n v="0.08"/>
    <n v="5"/>
    <n v="1266.1500000000001"/>
    <n v="48"/>
    <n v="0"/>
    <n v="881.72"/>
    <n v="1851.74"/>
    <x v="1"/>
    <n v="1728.87"/>
    <x v="0"/>
    <x v="0"/>
    <n v="90.3"/>
    <s v="Medium"/>
    <n v="2433.61"/>
    <n v="0"/>
  </r>
  <r>
    <x v="30"/>
    <x v="28"/>
    <n v="1866"/>
    <n v="2587.89"/>
    <n v="1265.01"/>
    <n v="1322.88"/>
    <n v="0.49"/>
    <n v="0.14000000000000001"/>
    <n v="3189.09"/>
    <x v="1"/>
    <n v="533"/>
    <n v="0.46"/>
    <n v="355.5"/>
    <n v="0.14000000000000001"/>
    <n v="380.76"/>
    <n v="0.15"/>
    <n v="1"/>
    <n v="321.91000000000003"/>
    <n v="98"/>
    <n v="0"/>
    <n v="443.39"/>
    <n v="2414.48"/>
    <x v="1"/>
    <n v="1245.8699999999999"/>
    <x v="1"/>
    <x v="0"/>
    <n v="69.8"/>
    <s v="High"/>
    <n v="1322.88"/>
    <n v="0"/>
  </r>
  <r>
    <x v="30"/>
    <x v="28"/>
    <n v="1357"/>
    <n v="4631.16"/>
    <n v="3209.93"/>
    <n v="1421.23"/>
    <n v="0.69"/>
    <n v="0.26"/>
    <n v="3323.56"/>
    <x v="1"/>
    <n v="660"/>
    <n v="0.36"/>
    <n v="252.19"/>
    <n v="0.05"/>
    <n v="623.29999999999995"/>
    <n v="0.13"/>
    <n v="6"/>
    <n v="1044.5899999999999"/>
    <n v="32"/>
    <n v="0"/>
    <n v="279.49"/>
    <n v="1364.2"/>
    <x v="1"/>
    <n v="1515.69"/>
    <x v="1"/>
    <x v="2"/>
    <n v="53.4"/>
    <s v="Low"/>
    <n v="1421.23"/>
    <n v="0"/>
  </r>
  <r>
    <x v="30"/>
    <x v="28"/>
    <n v="1128"/>
    <n v="2943.7"/>
    <n v="2116.94"/>
    <n v="826.76"/>
    <n v="0.72"/>
    <n v="0.12"/>
    <n v="2877.6"/>
    <x v="0"/>
    <n v="703"/>
    <n v="0.6"/>
    <n v="516.48"/>
    <n v="0.18"/>
    <n v="808.93"/>
    <n v="0.27"/>
    <n v="2"/>
    <n v="322.87"/>
    <n v="74"/>
    <n v="0"/>
    <n v="925.69"/>
    <n v="1648.02"/>
    <x v="1"/>
    <n v="1104.56"/>
    <x v="5"/>
    <x v="0"/>
    <n v="51.5"/>
    <s v="Medium"/>
    <n v="826.76"/>
    <n v="0"/>
  </r>
  <r>
    <x v="30"/>
    <x v="28"/>
    <n v="1711"/>
    <n v="3093.8"/>
    <n v="3327.55"/>
    <n v="-233.75"/>
    <n v="1.08"/>
    <n v="0.25"/>
    <n v="2987.48"/>
    <x v="1"/>
    <n v="777"/>
    <n v="0.33"/>
    <n v="473.49"/>
    <n v="0.15"/>
    <n v="83.52"/>
    <n v="0.03"/>
    <n v="4"/>
    <n v="1451.56"/>
    <n v="22"/>
    <n v="0"/>
    <n v="558.65"/>
    <n v="2294.9899999999998"/>
    <x v="2"/>
    <n v="638.33000000000004"/>
    <x v="5"/>
    <x v="0"/>
    <n v="42"/>
    <s v="High"/>
    <n v="0"/>
    <n v="0"/>
  </r>
  <r>
    <x v="30"/>
    <x v="28"/>
    <n v="1588"/>
    <n v="3782.33"/>
    <n v="1791.96"/>
    <n v="1990.37"/>
    <n v="0.47"/>
    <n v="0.3"/>
    <n v="2764.43"/>
    <x v="2"/>
    <n v="713"/>
    <n v="0.47"/>
    <n v="684.5"/>
    <n v="0.18"/>
    <n v="25.87"/>
    <n v="0.01"/>
    <n v="2"/>
    <n v="1467.87"/>
    <n v="50"/>
    <n v="0"/>
    <n v="412.2"/>
    <n v="1205.72"/>
    <x v="1"/>
    <n v="1144.9000000000001"/>
    <x v="6"/>
    <x v="0"/>
    <n v="39.6"/>
    <s v="High"/>
    <n v="1990.37"/>
    <n v="0"/>
  </r>
  <r>
    <x v="30"/>
    <x v="28"/>
    <n v="1721"/>
    <n v="2263.7199999999998"/>
    <n v="2028.81"/>
    <n v="234.91"/>
    <n v="0.9"/>
    <n v="0.3"/>
    <n v="2249.37"/>
    <x v="1"/>
    <n v="652"/>
    <n v="0.54"/>
    <n v="745.09"/>
    <n v="0.33"/>
    <n v="472.97"/>
    <n v="0.21"/>
    <n v="6"/>
    <n v="1208.49"/>
    <n v="41"/>
    <n v="0"/>
    <n v="351.61"/>
    <n v="2163.0500000000002"/>
    <x v="1"/>
    <n v="1103.58"/>
    <x v="5"/>
    <x v="2"/>
    <n v="37"/>
    <s v="Low"/>
    <n v="234.91"/>
    <n v="0"/>
  </r>
  <r>
    <x v="30"/>
    <x v="28"/>
    <n v="1457"/>
    <n v="3066.8"/>
    <n v="3840.06"/>
    <n v="-773.26"/>
    <n v="1.25"/>
    <n v="0.12"/>
    <n v="2773.09"/>
    <x v="0"/>
    <n v="695"/>
    <n v="0.33"/>
    <n v="556.83000000000004"/>
    <n v="0.18"/>
    <n v="220.8"/>
    <n v="7.0000000000000007E-2"/>
    <n v="5"/>
    <n v="1032.3599999999999"/>
    <n v="38"/>
    <n v="0"/>
    <n v="783.12"/>
    <n v="2294"/>
    <x v="0"/>
    <n v="2165.92"/>
    <x v="2"/>
    <x v="0"/>
    <n v="78.599999999999994"/>
    <s v="High"/>
    <n v="0"/>
    <n v="0"/>
  </r>
  <r>
    <x v="30"/>
    <x v="28"/>
    <n v="1159"/>
    <n v="5002.47"/>
    <n v="1861.44"/>
    <n v="3141.03"/>
    <n v="0.37"/>
    <n v="0.1"/>
    <n v="2721.65"/>
    <x v="1"/>
    <n v="589"/>
    <n v="0.4"/>
    <n v="47.03"/>
    <n v="0.01"/>
    <n v="220.68"/>
    <n v="0.04"/>
    <n v="9"/>
    <n v="1729.09"/>
    <n v="36"/>
    <n v="0"/>
    <n v="402.82"/>
    <n v="2595.3000000000002"/>
    <x v="2"/>
    <n v="1500.73"/>
    <x v="3"/>
    <x v="0"/>
    <n v="61.4"/>
    <s v="Low"/>
    <n v="3141.03"/>
    <n v="1"/>
  </r>
  <r>
    <x v="30"/>
    <x v="28"/>
    <n v="1827"/>
    <n v="4086.68"/>
    <n v="3346.06"/>
    <n v="740.62"/>
    <n v="0.82"/>
    <n v="0.34"/>
    <n v="2759.81"/>
    <x v="1"/>
    <n v="640"/>
    <n v="0.31"/>
    <n v="720.68"/>
    <n v="0.18"/>
    <n v="41.62"/>
    <n v="0.01"/>
    <n v="1"/>
    <n v="1230.76"/>
    <n v="30"/>
    <n v="0"/>
    <n v="423.84"/>
    <n v="1397.65"/>
    <x v="1"/>
    <n v="896.93"/>
    <x v="1"/>
    <x v="0"/>
    <n v="11.6"/>
    <s v="Low"/>
    <n v="740.62"/>
    <n v="0"/>
  </r>
  <r>
    <x v="30"/>
    <x v="28"/>
    <n v="1025"/>
    <n v="2778.19"/>
    <n v="3279.76"/>
    <n v="-501.57"/>
    <n v="1.18"/>
    <n v="0.32"/>
    <n v="2622.53"/>
    <x v="2"/>
    <n v="720"/>
    <n v="0.2"/>
    <n v="609.61"/>
    <n v="0.22"/>
    <n v="181.64"/>
    <n v="7.0000000000000007E-2"/>
    <n v="9"/>
    <n v="732.56"/>
    <n v="30"/>
    <n v="0"/>
    <n v="640.1"/>
    <n v="1852.62"/>
    <x v="1"/>
    <n v="1359.99"/>
    <x v="0"/>
    <x v="0"/>
    <n v="14.4"/>
    <s v="Medium"/>
    <n v="0"/>
    <n v="0"/>
  </r>
  <r>
    <x v="30"/>
    <x v="28"/>
    <n v="1809"/>
    <n v="3486.31"/>
    <n v="1466.9"/>
    <n v="2019.41"/>
    <n v="0.42"/>
    <n v="0.35"/>
    <n v="2722.77"/>
    <x v="1"/>
    <n v="694"/>
    <n v="0.52"/>
    <n v="410.72"/>
    <n v="0.12"/>
    <n v="631.05999999999995"/>
    <n v="0.18"/>
    <n v="5"/>
    <n v="1079.4100000000001"/>
    <n v="55"/>
    <n v="0"/>
    <n v="777.42"/>
    <n v="1644"/>
    <x v="1"/>
    <n v="1021.38"/>
    <x v="9"/>
    <x v="1"/>
    <n v="26.2"/>
    <s v="Low"/>
    <n v="2019.41"/>
    <n v="0"/>
  </r>
  <r>
    <x v="30"/>
    <x v="28"/>
    <n v="1158"/>
    <n v="3367.43"/>
    <n v="2730.8"/>
    <n v="636.63"/>
    <n v="0.81"/>
    <n v="0.2"/>
    <n v="3056.91"/>
    <x v="1"/>
    <n v="684"/>
    <n v="0.23"/>
    <n v="271.27"/>
    <n v="0.08"/>
    <n v="303.36"/>
    <n v="0.09"/>
    <n v="5"/>
    <n v="1314.25"/>
    <n v="35"/>
    <n v="0"/>
    <n v="574.79"/>
    <n v="2215.08"/>
    <x v="2"/>
    <n v="1051.3399999999999"/>
    <x v="1"/>
    <x v="2"/>
    <n v="42.8"/>
    <s v="High"/>
    <n v="636.63"/>
    <n v="0"/>
  </r>
  <r>
    <x v="30"/>
    <x v="28"/>
    <n v="1738"/>
    <n v="3378.97"/>
    <n v="2155.12"/>
    <n v="1223.8499999999999"/>
    <n v="0.64"/>
    <n v="0.11"/>
    <n v="1781.78"/>
    <x v="0"/>
    <n v="618"/>
    <n v="0.37"/>
    <n v="74.03"/>
    <n v="0.02"/>
    <n v="736.44"/>
    <n v="0.22"/>
    <n v="4"/>
    <n v="1320.48"/>
    <n v="77"/>
    <n v="0"/>
    <n v="375.98"/>
    <n v="2196.67"/>
    <x v="0"/>
    <n v="713.05"/>
    <x v="9"/>
    <x v="0"/>
    <n v="98.3"/>
    <s v="Low"/>
    <n v="1223.8499999999999"/>
    <n v="0"/>
  </r>
  <r>
    <x v="30"/>
    <x v="28"/>
    <n v="1203"/>
    <n v="4606.57"/>
    <n v="2854.43"/>
    <n v="1752.14"/>
    <n v="0.62"/>
    <n v="0.37"/>
    <n v="2574.56"/>
    <x v="0"/>
    <n v="682"/>
    <n v="0.41"/>
    <n v="736.5"/>
    <n v="0.16"/>
    <n v="541.14"/>
    <n v="0.12"/>
    <n v="1"/>
    <n v="1681.64"/>
    <n v="65"/>
    <n v="0"/>
    <n v="107.81"/>
    <n v="2513.0500000000002"/>
    <x v="1"/>
    <n v="1715.64"/>
    <x v="6"/>
    <x v="1"/>
    <n v="48.7"/>
    <s v="Low"/>
    <n v="1752.14"/>
    <n v="0"/>
  </r>
  <r>
    <x v="30"/>
    <x v="28"/>
    <n v="1422"/>
    <n v="2952.33"/>
    <n v="2515.94"/>
    <n v="436.39"/>
    <n v="0.85"/>
    <n v="0.06"/>
    <n v="2913.37"/>
    <x v="2"/>
    <n v="660"/>
    <n v="0.38"/>
    <n v="682.79"/>
    <n v="0.23"/>
    <n v="809.82"/>
    <n v="0.27"/>
    <n v="1"/>
    <n v="1469.5"/>
    <n v="20"/>
    <n v="0"/>
    <n v="932.38"/>
    <n v="1415.17"/>
    <x v="1"/>
    <n v="924.39"/>
    <x v="5"/>
    <x v="0"/>
    <n v="33.299999999999997"/>
    <s v="High"/>
    <n v="436.39"/>
    <n v="0"/>
  </r>
  <r>
    <x v="30"/>
    <x v="28"/>
    <n v="1607"/>
    <n v="4780.7299999999996"/>
    <n v="2471.27"/>
    <n v="2309.46"/>
    <n v="0.52"/>
    <n v="0.31"/>
    <n v="3268.53"/>
    <x v="1"/>
    <n v="708"/>
    <n v="0.55000000000000004"/>
    <n v="773.02"/>
    <n v="0.16"/>
    <n v="554.79"/>
    <n v="0.12"/>
    <n v="7"/>
    <n v="1056.31"/>
    <n v="62"/>
    <n v="0"/>
    <n v="303.86"/>
    <n v="2900.41"/>
    <x v="1"/>
    <n v="1163.46"/>
    <x v="7"/>
    <x v="0"/>
    <n v="99.5"/>
    <s v="Low"/>
    <n v="2309.46"/>
    <n v="0"/>
  </r>
  <r>
    <x v="30"/>
    <x v="28"/>
    <n v="1318"/>
    <n v="3174.77"/>
    <n v="3053.05"/>
    <n v="121.72"/>
    <n v="0.96"/>
    <n v="0.38"/>
    <n v="2685.02"/>
    <x v="1"/>
    <n v="639"/>
    <n v="0.41"/>
    <n v="50.65"/>
    <n v="0.02"/>
    <n v="548.88"/>
    <n v="0.17"/>
    <n v="4"/>
    <n v="394.28"/>
    <n v="90"/>
    <n v="0"/>
    <n v="304.19"/>
    <n v="2050.0500000000002"/>
    <x v="1"/>
    <n v="951.26"/>
    <x v="3"/>
    <x v="1"/>
    <n v="34.6"/>
    <s v="Medium"/>
    <n v="121.72"/>
    <n v="0"/>
  </r>
  <r>
    <x v="30"/>
    <x v="28"/>
    <n v="1824"/>
    <n v="3824.28"/>
    <n v="2233.9499999999998"/>
    <n v="1590.33"/>
    <n v="0.57999999999999996"/>
    <n v="0.06"/>
    <n v="3002.98"/>
    <x v="1"/>
    <n v="614"/>
    <n v="0.24"/>
    <n v="703.35"/>
    <n v="0.18"/>
    <n v="362.14"/>
    <n v="0.09"/>
    <n v="6"/>
    <n v="1182.1600000000001"/>
    <n v="73"/>
    <n v="0"/>
    <n v="695.69"/>
    <n v="1849.14"/>
    <x v="1"/>
    <n v="1627.7"/>
    <x v="3"/>
    <x v="0"/>
    <n v="30.7"/>
    <s v="Low"/>
    <n v="1590.33"/>
    <n v="0"/>
  </r>
  <r>
    <x v="30"/>
    <x v="28"/>
    <n v="1804"/>
    <n v="4558.71"/>
    <n v="3893.4"/>
    <n v="665.31"/>
    <n v="0.85"/>
    <n v="0.12"/>
    <n v="3720.03"/>
    <x v="1"/>
    <n v="685"/>
    <n v="0.11"/>
    <n v="427.88"/>
    <n v="0.09"/>
    <n v="474.65"/>
    <n v="0.1"/>
    <n v="8"/>
    <n v="0"/>
    <n v="44"/>
    <n v="0"/>
    <n v="589.98"/>
    <n v="3002.99"/>
    <x v="0"/>
    <n v="1199.99"/>
    <x v="1"/>
    <x v="0"/>
    <n v="34.1"/>
    <s v="Low"/>
    <n v="665.31"/>
    <n v="0"/>
  </r>
  <r>
    <x v="30"/>
    <x v="28"/>
    <n v="1557"/>
    <n v="4776.26"/>
    <n v="4119.67"/>
    <n v="656.59"/>
    <n v="0.86"/>
    <n v="7.0000000000000007E-2"/>
    <n v="2743.44"/>
    <x v="2"/>
    <n v="766"/>
    <n v="0.32"/>
    <n v="582.46"/>
    <n v="0.12"/>
    <n v="849.42"/>
    <n v="0.18"/>
    <n v="4"/>
    <n v="1349.01"/>
    <n v="34"/>
    <n v="0"/>
    <n v="479.1"/>
    <n v="2033.45"/>
    <x v="1"/>
    <n v="776.98"/>
    <x v="9"/>
    <x v="0"/>
    <n v="19.8"/>
    <s v="Low"/>
    <n v="656.59"/>
    <n v="0"/>
  </r>
  <r>
    <x v="30"/>
    <x v="28"/>
    <n v="1474"/>
    <n v="4397.68"/>
    <n v="2868.96"/>
    <n v="1528.72"/>
    <n v="0.65"/>
    <n v="0.17"/>
    <n v="2385.19"/>
    <x v="1"/>
    <n v="618"/>
    <n v="0.51"/>
    <n v="472.33"/>
    <n v="0.11"/>
    <n v="536.84"/>
    <n v="0.12"/>
    <n v="2"/>
    <n v="551.22"/>
    <n v="91"/>
    <n v="0"/>
    <n v="743.73"/>
    <n v="2144.9"/>
    <x v="0"/>
    <n v="913.85"/>
    <x v="1"/>
    <x v="2"/>
    <n v="82.9"/>
    <s v="High"/>
    <n v="1528.72"/>
    <n v="0"/>
  </r>
  <r>
    <x v="30"/>
    <x v="28"/>
    <n v="1891"/>
    <n v="4200.93"/>
    <n v="2412.25"/>
    <n v="1788.68"/>
    <n v="0.56999999999999995"/>
    <n v="0.27"/>
    <n v="3061.44"/>
    <x v="1"/>
    <n v="544"/>
    <n v="0.55000000000000004"/>
    <n v="1021.44"/>
    <n v="0.24"/>
    <n v="44.1"/>
    <n v="0.01"/>
    <n v="3"/>
    <n v="1969.86"/>
    <n v="98"/>
    <n v="0"/>
    <n v="344.11"/>
    <n v="2701.03"/>
    <x v="1"/>
    <n v="770.85"/>
    <x v="7"/>
    <x v="2"/>
    <n v="32.1"/>
    <s v="Low"/>
    <n v="1788.68"/>
    <n v="0"/>
  </r>
  <r>
    <x v="30"/>
    <x v="28"/>
    <n v="1340"/>
    <n v="3678.87"/>
    <n v="4179.37"/>
    <n v="-500.5"/>
    <n v="1.1399999999999999"/>
    <n v="0.13"/>
    <n v="3457.13"/>
    <x v="2"/>
    <n v="712"/>
    <n v="0.31"/>
    <n v="1008.01"/>
    <n v="0.27"/>
    <n v="407.02"/>
    <n v="0.11"/>
    <n v="3"/>
    <n v="904.63"/>
    <n v="68"/>
    <n v="0"/>
    <n v="716.07"/>
    <n v="2044.41"/>
    <x v="1"/>
    <n v="1088.68"/>
    <x v="7"/>
    <x v="0"/>
    <n v="81.5"/>
    <s v="Medium"/>
    <n v="0"/>
    <n v="0"/>
  </r>
  <r>
    <x v="31"/>
    <x v="29"/>
    <n v="1421"/>
    <n v="2980.36"/>
    <n v="2083.75"/>
    <n v="896.61"/>
    <n v="0.7"/>
    <n v="0.15"/>
    <n v="3026.26"/>
    <x v="2"/>
    <n v="690"/>
    <n v="0.23"/>
    <n v="365.45"/>
    <n v="0.12"/>
    <n v="213.49"/>
    <n v="7.0000000000000007E-2"/>
    <n v="6"/>
    <n v="453.89"/>
    <n v="78"/>
    <n v="0"/>
    <n v="96.31"/>
    <n v="2709.84"/>
    <x v="1"/>
    <n v="1127.79"/>
    <x v="8"/>
    <x v="0"/>
    <n v="84"/>
    <s v="Medium"/>
    <n v="896.61"/>
    <n v="0"/>
  </r>
  <r>
    <x v="31"/>
    <x v="29"/>
    <n v="1446"/>
    <n v="3539.63"/>
    <n v="1192.31"/>
    <n v="2347.3200000000002"/>
    <n v="0.34"/>
    <n v="7.0000000000000007E-2"/>
    <n v="2554.84"/>
    <x v="1"/>
    <n v="731"/>
    <n v="0.4"/>
    <n v="680.77"/>
    <n v="0.19"/>
    <n v="130.47999999999999"/>
    <n v="0.04"/>
    <n v="3"/>
    <n v="303.31"/>
    <n v="91"/>
    <n v="0"/>
    <n v="641.53"/>
    <n v="1446.19"/>
    <x v="0"/>
    <n v="1269.19"/>
    <x v="3"/>
    <x v="2"/>
    <n v="34"/>
    <s v="Low"/>
    <n v="2347.3200000000002"/>
    <n v="0"/>
  </r>
  <r>
    <x v="31"/>
    <x v="29"/>
    <n v="1942"/>
    <n v="3950.61"/>
    <n v="4145.59"/>
    <n v="-194.98"/>
    <n v="1.05"/>
    <n v="0.08"/>
    <n v="3392.67"/>
    <x v="0"/>
    <n v="717"/>
    <n v="0.22"/>
    <n v="656.13"/>
    <n v="0.17"/>
    <n v="94.21"/>
    <n v="0.02"/>
    <n v="4"/>
    <n v="972.52"/>
    <n v="37"/>
    <n v="0"/>
    <n v="348.13"/>
    <n v="1725.78"/>
    <x v="1"/>
    <n v="1722.81"/>
    <x v="9"/>
    <x v="0"/>
    <n v="40.4"/>
    <s v="High"/>
    <n v="0"/>
    <n v="0"/>
  </r>
  <r>
    <x v="31"/>
    <x v="29"/>
    <n v="1680"/>
    <n v="4566.2"/>
    <n v="2625.76"/>
    <n v="1940.44"/>
    <n v="0.57999999999999996"/>
    <n v="0.17"/>
    <n v="1714.73"/>
    <x v="0"/>
    <n v="718"/>
    <n v="0.36"/>
    <n v="698.12"/>
    <n v="0.15"/>
    <n v="302.37"/>
    <n v="7.0000000000000007E-2"/>
    <n v="3"/>
    <n v="492.93"/>
    <n v="95"/>
    <n v="0"/>
    <n v="298.67"/>
    <n v="3050.94"/>
    <x v="0"/>
    <n v="1011.88"/>
    <x v="1"/>
    <x v="1"/>
    <n v="58.1"/>
    <s v="High"/>
    <n v="1940.44"/>
    <n v="1"/>
  </r>
  <r>
    <x v="31"/>
    <x v="29"/>
    <n v="1032"/>
    <n v="2831.05"/>
    <n v="1633.94"/>
    <n v="1197.1099999999999"/>
    <n v="0.57999999999999996"/>
    <n v="0.19"/>
    <n v="2877.03"/>
    <x v="1"/>
    <n v="734"/>
    <n v="0.51"/>
    <n v="718.85"/>
    <n v="0.25"/>
    <n v="559.11"/>
    <n v="0.2"/>
    <n v="8"/>
    <n v="1629.45"/>
    <n v="49"/>
    <n v="1"/>
    <n v="71.27"/>
    <n v="2196.12"/>
    <x v="1"/>
    <n v="1196.3900000000001"/>
    <x v="7"/>
    <x v="1"/>
    <n v="52.8"/>
    <s v="High"/>
    <n v="1197.1099999999999"/>
    <n v="0"/>
  </r>
  <r>
    <x v="31"/>
    <x v="29"/>
    <n v="1586"/>
    <n v="3633.4"/>
    <n v="2973.05"/>
    <n v="660.35"/>
    <n v="0.82"/>
    <n v="0.14000000000000001"/>
    <n v="2713.93"/>
    <x v="1"/>
    <n v="668"/>
    <n v="0.28999999999999998"/>
    <n v="261.2"/>
    <n v="7.0000000000000007E-2"/>
    <n v="345.66"/>
    <n v="0.1"/>
    <n v="2"/>
    <n v="1592.85"/>
    <n v="27"/>
    <n v="0"/>
    <n v="379.58"/>
    <n v="2490.0300000000002"/>
    <x v="0"/>
    <n v="881.9"/>
    <x v="0"/>
    <x v="0"/>
    <n v="39.9"/>
    <s v="Medium"/>
    <n v="660.35"/>
    <n v="0"/>
  </r>
  <r>
    <x v="31"/>
    <x v="29"/>
    <n v="1756"/>
    <n v="3976.54"/>
    <n v="3184.21"/>
    <n v="792.33"/>
    <n v="0.8"/>
    <n v="0.25"/>
    <n v="3060.25"/>
    <x v="0"/>
    <n v="638"/>
    <n v="0.28000000000000003"/>
    <n v="600.64"/>
    <n v="0.15"/>
    <n v="248.89"/>
    <n v="0.06"/>
    <n v="3"/>
    <n v="1177.76"/>
    <n v="60"/>
    <n v="0"/>
    <n v="269.42"/>
    <n v="3548.11"/>
    <x v="1"/>
    <n v="821.07"/>
    <x v="2"/>
    <x v="2"/>
    <n v="90.7"/>
    <s v="Medium"/>
    <n v="792.33"/>
    <n v="0"/>
  </r>
  <r>
    <x v="31"/>
    <x v="29"/>
    <n v="1650"/>
    <n v="3333.33"/>
    <n v="1497.29"/>
    <n v="1836.04"/>
    <n v="0.45"/>
    <n v="0.2"/>
    <n v="3327.99"/>
    <x v="1"/>
    <n v="580"/>
    <n v="0.48"/>
    <n v="650.20000000000005"/>
    <n v="0.2"/>
    <n v="489.97"/>
    <n v="0.15"/>
    <n v="5"/>
    <n v="1710.05"/>
    <n v="66"/>
    <n v="0"/>
    <n v="535.82000000000005"/>
    <n v="2799.71"/>
    <x v="0"/>
    <n v="1353.84"/>
    <x v="7"/>
    <x v="1"/>
    <n v="35.299999999999997"/>
    <s v="Low"/>
    <n v="1836.04"/>
    <n v="0"/>
  </r>
  <r>
    <x v="31"/>
    <x v="29"/>
    <n v="1099"/>
    <n v="3427.54"/>
    <n v="3992.41"/>
    <n v="-564.87"/>
    <n v="1.1599999999999999"/>
    <n v="0.12"/>
    <n v="3072.07"/>
    <x v="1"/>
    <n v="779"/>
    <n v="0.18"/>
    <n v="605.25"/>
    <n v="0.18"/>
    <n v="239.23"/>
    <n v="7.0000000000000007E-2"/>
    <n v="8"/>
    <n v="956"/>
    <n v="83"/>
    <n v="0"/>
    <n v="457.9"/>
    <n v="3182.34"/>
    <x v="1"/>
    <n v="1652.2"/>
    <x v="8"/>
    <x v="0"/>
    <n v="93.2"/>
    <s v="High"/>
    <n v="0"/>
    <n v="0"/>
  </r>
  <r>
    <x v="31"/>
    <x v="29"/>
    <n v="1968"/>
    <n v="3587.67"/>
    <n v="1607.94"/>
    <n v="1979.73"/>
    <n v="0.45"/>
    <n v="0.26"/>
    <n v="2961.3"/>
    <x v="2"/>
    <n v="685"/>
    <n v="0.5"/>
    <n v="449.09"/>
    <n v="0.13"/>
    <n v="12.34"/>
    <n v="0"/>
    <n v="2"/>
    <n v="1200.4000000000001"/>
    <n v="86"/>
    <n v="0"/>
    <n v="540.23"/>
    <n v="2469.77"/>
    <x v="0"/>
    <n v="1664.67"/>
    <x v="7"/>
    <x v="0"/>
    <n v="98.7"/>
    <s v="Medium"/>
    <n v="1979.73"/>
    <n v="0"/>
  </r>
  <r>
    <x v="31"/>
    <x v="29"/>
    <n v="1333"/>
    <n v="4599.99"/>
    <n v="3001.41"/>
    <n v="1598.58"/>
    <n v="0.65"/>
    <n v="0.37"/>
    <n v="2848.76"/>
    <x v="2"/>
    <n v="665"/>
    <n v="0.47"/>
    <n v="470.48"/>
    <n v="0.1"/>
    <n v="289.82"/>
    <n v="0.06"/>
    <n v="9"/>
    <n v="227.5"/>
    <n v="93"/>
    <n v="0"/>
    <n v="453.34"/>
    <n v="2357.19"/>
    <x v="1"/>
    <n v="893.38"/>
    <x v="0"/>
    <x v="0"/>
    <n v="30.8"/>
    <s v="Low"/>
    <n v="1598.58"/>
    <n v="0"/>
  </r>
  <r>
    <x v="31"/>
    <x v="29"/>
    <n v="1147"/>
    <n v="3350.17"/>
    <n v="2928.87"/>
    <n v="421.3"/>
    <n v="0.87"/>
    <n v="0.11"/>
    <n v="3896.14"/>
    <x v="2"/>
    <n v="668"/>
    <n v="0.53"/>
    <n v="439.65"/>
    <n v="0.13"/>
    <n v="190.19"/>
    <n v="0.06"/>
    <n v="3"/>
    <n v="577.15"/>
    <n v="81"/>
    <n v="0"/>
    <n v="694.9"/>
    <n v="1749.04"/>
    <x v="1"/>
    <n v="646.77"/>
    <x v="0"/>
    <x v="1"/>
    <n v="63.6"/>
    <s v="Low"/>
    <n v="421.3"/>
    <n v="0"/>
  </r>
  <r>
    <x v="31"/>
    <x v="29"/>
    <n v="1272"/>
    <n v="2261.9699999999998"/>
    <n v="3107.77"/>
    <n v="-845.8"/>
    <n v="1.37"/>
    <n v="0.28000000000000003"/>
    <n v="3460.36"/>
    <x v="1"/>
    <n v="638"/>
    <n v="0.4"/>
    <n v="495.46"/>
    <n v="0.22"/>
    <n v="660.24"/>
    <n v="0.28999999999999998"/>
    <n v="1"/>
    <n v="1746.74"/>
    <n v="73"/>
    <n v="0"/>
    <n v="878.43"/>
    <n v="2814.66"/>
    <x v="1"/>
    <n v="928.46"/>
    <x v="5"/>
    <x v="0"/>
    <n v="23.6"/>
    <s v="Low"/>
    <n v="0"/>
    <n v="0"/>
  </r>
  <r>
    <x v="31"/>
    <x v="29"/>
    <n v="1438"/>
    <n v="2556.5300000000002"/>
    <n v="3164.98"/>
    <n v="-608.45000000000005"/>
    <n v="1.24"/>
    <n v="0.39"/>
    <n v="3140.44"/>
    <x v="1"/>
    <n v="668"/>
    <n v="0.45"/>
    <n v="552.75"/>
    <n v="0.22"/>
    <n v="240.68"/>
    <n v="0.09"/>
    <n v="6"/>
    <n v="1182.77"/>
    <n v="91"/>
    <n v="0"/>
    <n v="611.6"/>
    <n v="2076.98"/>
    <x v="1"/>
    <n v="719.57"/>
    <x v="8"/>
    <x v="0"/>
    <n v="92.5"/>
    <s v="Low"/>
    <n v="0"/>
    <n v="0"/>
  </r>
  <r>
    <x v="31"/>
    <x v="29"/>
    <n v="1668"/>
    <n v="4114.49"/>
    <n v="3330.8"/>
    <n v="783.69"/>
    <n v="0.81"/>
    <n v="0.21"/>
    <n v="3513.54"/>
    <x v="2"/>
    <n v="701"/>
    <n v="0.23"/>
    <n v="531.71"/>
    <n v="0.13"/>
    <n v="246.18"/>
    <n v="0.06"/>
    <n v="3"/>
    <n v="1577.94"/>
    <n v="43"/>
    <n v="0"/>
    <n v="235.47"/>
    <n v="2550.75"/>
    <x v="1"/>
    <n v="1353.75"/>
    <x v="6"/>
    <x v="0"/>
    <n v="47.8"/>
    <s v="Low"/>
    <n v="783.69"/>
    <n v="0"/>
  </r>
  <r>
    <x v="31"/>
    <x v="29"/>
    <n v="1396"/>
    <n v="4753.76"/>
    <n v="1017.04"/>
    <n v="3736.72"/>
    <n v="0.21"/>
    <n v="0.06"/>
    <n v="2024.7"/>
    <x v="1"/>
    <n v="626"/>
    <n v="0.4"/>
    <n v="459.42"/>
    <n v="0.1"/>
    <n v="586.01"/>
    <n v="0.12"/>
    <n v="1"/>
    <n v="776.6"/>
    <n v="90"/>
    <n v="0"/>
    <n v="777.66"/>
    <n v="2209.9499999999998"/>
    <x v="0"/>
    <n v="628.25"/>
    <x v="0"/>
    <x v="2"/>
    <n v="52.5"/>
    <s v="Medium"/>
    <n v="3736.72"/>
    <n v="1"/>
  </r>
  <r>
    <x v="31"/>
    <x v="29"/>
    <n v="1270"/>
    <n v="4987"/>
    <n v="2570"/>
    <n v="2417"/>
    <n v="0.52"/>
    <n v="0.16"/>
    <n v="3563.92"/>
    <x v="2"/>
    <n v="636"/>
    <n v="0.25"/>
    <n v="828.78"/>
    <n v="0.17"/>
    <n v="442.9"/>
    <n v="0.09"/>
    <n v="3"/>
    <n v="1420.45"/>
    <n v="95"/>
    <n v="0"/>
    <n v="462.86"/>
    <n v="2808.55"/>
    <x v="2"/>
    <n v="833.71"/>
    <x v="8"/>
    <x v="2"/>
    <n v="75.900000000000006"/>
    <s v="High"/>
    <n v="2417"/>
    <n v="0"/>
  </r>
  <r>
    <x v="31"/>
    <x v="29"/>
    <n v="1992"/>
    <n v="3643.48"/>
    <n v="2570.1999999999998"/>
    <n v="1073.28"/>
    <n v="0.71"/>
    <n v="0.26"/>
    <n v="3177.48"/>
    <x v="0"/>
    <n v="748"/>
    <n v="0.56999999999999995"/>
    <n v="611.67999999999995"/>
    <n v="0.17"/>
    <n v="222.07"/>
    <n v="0.06"/>
    <n v="3"/>
    <n v="1126.53"/>
    <n v="72"/>
    <n v="0"/>
    <n v="225.58"/>
    <n v="1338.37"/>
    <x v="1"/>
    <n v="1428.13"/>
    <x v="1"/>
    <x v="0"/>
    <n v="32.299999999999997"/>
    <s v="Low"/>
    <n v="1073.28"/>
    <n v="0"/>
  </r>
  <r>
    <x v="31"/>
    <x v="29"/>
    <n v="1755"/>
    <n v="4675.74"/>
    <n v="3354.49"/>
    <n v="1321.25"/>
    <n v="0.72"/>
    <n v="0.37"/>
    <n v="2828.38"/>
    <x v="1"/>
    <n v="678"/>
    <n v="0.43"/>
    <n v="541.6"/>
    <n v="0.12"/>
    <n v="378.68"/>
    <n v="0.08"/>
    <n v="4"/>
    <n v="493.38"/>
    <n v="98"/>
    <n v="0"/>
    <n v="200.81"/>
    <n v="1807.27"/>
    <x v="1"/>
    <n v="845.1"/>
    <x v="8"/>
    <x v="1"/>
    <n v="1.5"/>
    <s v="Low"/>
    <n v="1321.25"/>
    <n v="0"/>
  </r>
  <r>
    <x v="31"/>
    <x v="29"/>
    <n v="1852"/>
    <n v="3200.14"/>
    <n v="3695.42"/>
    <n v="-495.28"/>
    <n v="1.1499999999999999"/>
    <n v="0.33"/>
    <n v="2995.36"/>
    <x v="0"/>
    <n v="764"/>
    <n v="0.31"/>
    <n v="130.94999999999999"/>
    <n v="0.04"/>
    <n v="230.6"/>
    <n v="7.0000000000000007E-2"/>
    <n v="5"/>
    <n v="1041.07"/>
    <n v="60"/>
    <n v="0"/>
    <n v="785.73"/>
    <n v="2851.16"/>
    <x v="1"/>
    <n v="1427.57"/>
    <x v="9"/>
    <x v="0"/>
    <n v="44.9"/>
    <s v="Medium"/>
    <n v="0"/>
    <n v="0"/>
  </r>
  <r>
    <x v="31"/>
    <x v="29"/>
    <n v="1827"/>
    <n v="4257.04"/>
    <n v="2910.4"/>
    <n v="1346.64"/>
    <n v="0.68"/>
    <n v="0.22"/>
    <n v="2668.49"/>
    <x v="1"/>
    <n v="768"/>
    <n v="0.2"/>
    <n v="433.48"/>
    <n v="0.1"/>
    <n v="432.51"/>
    <n v="0.1"/>
    <n v="5"/>
    <n v="1602.32"/>
    <n v="73"/>
    <n v="0"/>
    <n v="627.22"/>
    <n v="2414.66"/>
    <x v="1"/>
    <n v="1235.73"/>
    <x v="0"/>
    <x v="0"/>
    <n v="85"/>
    <s v="Medium"/>
    <n v="1346.64"/>
    <n v="0"/>
  </r>
  <r>
    <x v="31"/>
    <x v="29"/>
    <n v="1971"/>
    <n v="2662.47"/>
    <n v="3161.1"/>
    <n v="-498.63"/>
    <n v="1.19"/>
    <n v="0.21"/>
    <n v="2509.44"/>
    <x v="2"/>
    <n v="608"/>
    <n v="0.19"/>
    <n v="490.07"/>
    <n v="0.18"/>
    <n v="167.2"/>
    <n v="0.06"/>
    <n v="7"/>
    <n v="1835.49"/>
    <n v="76"/>
    <n v="0"/>
    <n v="545.86"/>
    <n v="1218.81"/>
    <x v="1"/>
    <n v="899.76"/>
    <x v="8"/>
    <x v="2"/>
    <n v="98.1"/>
    <s v="Low"/>
    <n v="0"/>
    <n v="0"/>
  </r>
  <r>
    <x v="31"/>
    <x v="29"/>
    <n v="1728"/>
    <n v="4638.91"/>
    <n v="2209.9899999999998"/>
    <n v="2428.92"/>
    <n v="0.48"/>
    <n v="0.4"/>
    <n v="2813.92"/>
    <x v="2"/>
    <n v="630"/>
    <n v="0.36"/>
    <n v="646.66"/>
    <n v="0.14000000000000001"/>
    <n v="420.85"/>
    <n v="0.09"/>
    <n v="4"/>
    <n v="463.06"/>
    <n v="87"/>
    <n v="0"/>
    <n v="524.64"/>
    <n v="2437.66"/>
    <x v="1"/>
    <n v="827.44"/>
    <x v="5"/>
    <x v="0"/>
    <n v="91.2"/>
    <s v="Medium"/>
    <n v="2428.92"/>
    <n v="0"/>
  </r>
  <r>
    <x v="31"/>
    <x v="29"/>
    <n v="1013"/>
    <n v="3465.62"/>
    <n v="3251.08"/>
    <n v="214.54"/>
    <n v="0.94"/>
    <n v="0.12"/>
    <n v="3419.6"/>
    <x v="1"/>
    <n v="697"/>
    <n v="0.12"/>
    <n v="632.66999999999996"/>
    <n v="0.18"/>
    <n v="723.61"/>
    <n v="0.21"/>
    <n v="2"/>
    <n v="960.77"/>
    <n v="89"/>
    <n v="0"/>
    <n v="1014.19"/>
    <n v="2059.35"/>
    <x v="1"/>
    <n v="922.92"/>
    <x v="6"/>
    <x v="0"/>
    <n v="99"/>
    <s v="Low"/>
    <n v="214.54"/>
    <n v="0"/>
  </r>
  <r>
    <x v="31"/>
    <x v="29"/>
    <n v="1229"/>
    <n v="6828.27"/>
    <n v="2627.82"/>
    <n v="4200.45"/>
    <n v="0.38"/>
    <n v="0.05"/>
    <n v="2530.0700000000002"/>
    <x v="1"/>
    <n v="670"/>
    <n v="0.47"/>
    <n v="287.18"/>
    <n v="0.04"/>
    <n v="350.54"/>
    <n v="0.05"/>
    <n v="1"/>
    <n v="1347.13"/>
    <n v="88"/>
    <n v="0"/>
    <n v="557.16"/>
    <n v="2678.26"/>
    <x v="1"/>
    <n v="1361.67"/>
    <x v="6"/>
    <x v="0"/>
    <n v="10.5"/>
    <s v="High"/>
    <n v="4200.45"/>
    <n v="1"/>
  </r>
  <r>
    <x v="31"/>
    <x v="29"/>
    <n v="1198"/>
    <n v="4213.74"/>
    <n v="3367.77"/>
    <n v="845.97"/>
    <n v="0.8"/>
    <n v="0.14000000000000001"/>
    <n v="3145.14"/>
    <x v="1"/>
    <n v="692"/>
    <n v="0.37"/>
    <n v="703.99"/>
    <n v="0.17"/>
    <n v="296.75"/>
    <n v="7.0000000000000007E-2"/>
    <n v="6"/>
    <n v="430.17"/>
    <n v="66"/>
    <n v="0"/>
    <n v="625.52"/>
    <n v="3909.92"/>
    <x v="1"/>
    <n v="1536.54"/>
    <x v="2"/>
    <x v="0"/>
    <n v="83.5"/>
    <s v="Low"/>
    <n v="845.97"/>
    <n v="0"/>
  </r>
  <r>
    <x v="31"/>
    <x v="29"/>
    <n v="1521"/>
    <n v="3737.23"/>
    <n v="2423.81"/>
    <n v="1313.42"/>
    <n v="0.65"/>
    <n v="0.11"/>
    <n v="2830.88"/>
    <x v="1"/>
    <n v="671"/>
    <n v="0.11"/>
    <n v="327.37"/>
    <n v="0.09"/>
    <n v="545.55999999999995"/>
    <n v="0.15"/>
    <n v="3"/>
    <n v="488.43"/>
    <n v="42"/>
    <n v="0"/>
    <n v="671.32"/>
    <n v="2644.04"/>
    <x v="1"/>
    <n v="1420.81"/>
    <x v="6"/>
    <x v="0"/>
    <n v="12.1"/>
    <s v="Medium"/>
    <n v="1313.42"/>
    <n v="0"/>
  </r>
  <r>
    <x v="31"/>
    <x v="29"/>
    <n v="1465"/>
    <n v="4842.1099999999997"/>
    <n v="4915.78"/>
    <n v="-73.67"/>
    <n v="1.02"/>
    <n v="0.13"/>
    <n v="4056.42"/>
    <x v="2"/>
    <n v="725"/>
    <n v="0.16"/>
    <n v="326.08999999999997"/>
    <n v="7.0000000000000007E-2"/>
    <n v="251.54"/>
    <n v="0.05"/>
    <n v="9"/>
    <n v="599.78"/>
    <n v="33"/>
    <n v="1"/>
    <n v="488.9"/>
    <n v="2870.97"/>
    <x v="2"/>
    <n v="949"/>
    <x v="7"/>
    <x v="0"/>
    <n v="44.6"/>
    <s v="Low"/>
    <n v="0"/>
    <n v="0"/>
  </r>
  <r>
    <x v="31"/>
    <x v="29"/>
    <n v="1721"/>
    <n v="4914.54"/>
    <n v="2719.67"/>
    <n v="2194.87"/>
    <n v="0.55000000000000004"/>
    <n v="0.28000000000000003"/>
    <n v="3018.73"/>
    <x v="0"/>
    <n v="680"/>
    <n v="0.32"/>
    <n v="346.17"/>
    <n v="7.0000000000000007E-2"/>
    <n v="352.42"/>
    <n v="7.0000000000000007E-2"/>
    <n v="6"/>
    <n v="198.65"/>
    <n v="30"/>
    <n v="0"/>
    <n v="431.09"/>
    <n v="3028.09"/>
    <x v="0"/>
    <n v="1216.8699999999999"/>
    <x v="2"/>
    <x v="1"/>
    <n v="27.4"/>
    <s v="High"/>
    <n v="2194.87"/>
    <n v="0"/>
  </r>
  <r>
    <x v="31"/>
    <x v="29"/>
    <n v="1499"/>
    <n v="2018.05"/>
    <n v="3643.42"/>
    <n v="-1625.37"/>
    <n v="1.81"/>
    <n v="0.26"/>
    <n v="2439.2199999999998"/>
    <x v="1"/>
    <n v="747"/>
    <n v="0.23"/>
    <n v="342.92"/>
    <n v="0.17"/>
    <n v="69.41"/>
    <n v="0.03"/>
    <n v="9"/>
    <n v="1418.83"/>
    <n v="49"/>
    <n v="0"/>
    <n v="745.89"/>
    <n v="2116.14"/>
    <x v="0"/>
    <n v="1009.84"/>
    <x v="9"/>
    <x v="0"/>
    <n v="91.7"/>
    <s v="Low"/>
    <n v="0"/>
    <n v="0"/>
  </r>
  <r>
    <x v="31"/>
    <x v="29"/>
    <n v="1148"/>
    <n v="4615.7"/>
    <n v="3231.27"/>
    <n v="1384.43"/>
    <n v="0.7"/>
    <n v="0.37"/>
    <n v="3021.24"/>
    <x v="1"/>
    <n v="661"/>
    <n v="0.11"/>
    <n v="153.5"/>
    <n v="0.03"/>
    <n v="148.75"/>
    <n v="0.03"/>
    <n v="5"/>
    <n v="1125.06"/>
    <n v="73"/>
    <n v="0"/>
    <n v="228.43"/>
    <n v="1757.32"/>
    <x v="1"/>
    <n v="428.9"/>
    <x v="7"/>
    <x v="0"/>
    <n v="55.6"/>
    <s v="High"/>
    <n v="1384.43"/>
    <n v="0"/>
  </r>
  <r>
    <x v="31"/>
    <x v="29"/>
    <n v="1481"/>
    <n v="3667.83"/>
    <n v="3321.01"/>
    <n v="346.82"/>
    <n v="0.91"/>
    <n v="0.27"/>
    <n v="2899.07"/>
    <x v="2"/>
    <n v="647"/>
    <n v="0.34"/>
    <n v="467.76"/>
    <n v="0.13"/>
    <n v="400.93"/>
    <n v="0.11"/>
    <n v="1"/>
    <n v="721.41"/>
    <n v="79"/>
    <n v="0"/>
    <n v="484.02"/>
    <n v="2653.83"/>
    <x v="1"/>
    <n v="1592.85"/>
    <x v="1"/>
    <x v="1"/>
    <n v="87.4"/>
    <s v="Medium"/>
    <n v="346.82"/>
    <n v="0"/>
  </r>
  <r>
    <x v="31"/>
    <x v="29"/>
    <n v="1187"/>
    <n v="3239.67"/>
    <n v="4285.87"/>
    <n v="-1046.2"/>
    <n v="1.32"/>
    <n v="0.11"/>
    <n v="3142.04"/>
    <x v="1"/>
    <n v="678"/>
    <n v="0.56999999999999995"/>
    <n v="523.94000000000005"/>
    <n v="0.16"/>
    <n v="330.96"/>
    <n v="0.1"/>
    <n v="8"/>
    <n v="1462.98"/>
    <n v="62"/>
    <n v="0"/>
    <n v="722.76"/>
    <n v="1516.43"/>
    <x v="1"/>
    <n v="1254.3900000000001"/>
    <x v="2"/>
    <x v="0"/>
    <n v="52.5"/>
    <s v="Low"/>
    <n v="0"/>
    <n v="0"/>
  </r>
  <r>
    <x v="31"/>
    <x v="29"/>
    <n v="1883"/>
    <n v="3520.1"/>
    <n v="3278.29"/>
    <n v="241.81"/>
    <n v="0.93"/>
    <n v="0.3"/>
    <n v="3362.57"/>
    <x v="0"/>
    <n v="612"/>
    <n v="0.33"/>
    <n v="698.44"/>
    <n v="0.2"/>
    <n v="643.95000000000005"/>
    <n v="0.18"/>
    <n v="9"/>
    <n v="717.64"/>
    <n v="41"/>
    <n v="0"/>
    <n v="644.54999999999995"/>
    <n v="1000"/>
    <x v="0"/>
    <n v="928.72"/>
    <x v="8"/>
    <x v="0"/>
    <n v="90.6"/>
    <s v="Low"/>
    <n v="241.81"/>
    <n v="0"/>
  </r>
  <r>
    <x v="31"/>
    <x v="29"/>
    <n v="1031"/>
    <n v="4409.26"/>
    <n v="3409.29"/>
    <n v="999.97"/>
    <n v="0.77"/>
    <n v="0.38"/>
    <n v="2521.27"/>
    <x v="1"/>
    <n v="664"/>
    <n v="0.56000000000000005"/>
    <n v="283.75"/>
    <n v="0.06"/>
    <n v="0"/>
    <n v="0"/>
    <n v="2"/>
    <n v="575.08000000000004"/>
    <n v="55"/>
    <n v="0"/>
    <n v="281.60000000000002"/>
    <n v="1506.26"/>
    <x v="1"/>
    <n v="1350.12"/>
    <x v="7"/>
    <x v="2"/>
    <n v="29.5"/>
    <s v="High"/>
    <n v="999.97"/>
    <n v="0"/>
  </r>
  <r>
    <x v="31"/>
    <x v="29"/>
    <n v="1783"/>
    <n v="3008.4"/>
    <n v="3022.7"/>
    <n v="-14.3"/>
    <n v="1"/>
    <n v="0.18"/>
    <n v="2508.48"/>
    <x v="0"/>
    <n v="641"/>
    <n v="0.19"/>
    <n v="454.27"/>
    <n v="0.15"/>
    <n v="669.96"/>
    <n v="0.22"/>
    <n v="7"/>
    <n v="1047.1500000000001"/>
    <n v="69"/>
    <n v="0"/>
    <n v="575.15"/>
    <n v="1766.05"/>
    <x v="0"/>
    <n v="932.26"/>
    <x v="5"/>
    <x v="0"/>
    <n v="12"/>
    <s v="Low"/>
    <n v="0"/>
    <n v="0"/>
  </r>
  <r>
    <x v="31"/>
    <x v="29"/>
    <n v="1703"/>
    <n v="5313.46"/>
    <n v="1716.99"/>
    <n v="3596.47"/>
    <n v="0.32"/>
    <n v="0.32"/>
    <n v="3035.09"/>
    <x v="1"/>
    <n v="761"/>
    <n v="0.28999999999999998"/>
    <n v="198.7"/>
    <n v="0.04"/>
    <n v="170.1"/>
    <n v="0.03"/>
    <n v="4"/>
    <n v="2487.98"/>
    <n v="91"/>
    <n v="0"/>
    <n v="385.14"/>
    <n v="3071.28"/>
    <x v="0"/>
    <n v="1682.46"/>
    <x v="1"/>
    <x v="0"/>
    <n v="21.9"/>
    <s v="Low"/>
    <n v="3596.47"/>
    <n v="1"/>
  </r>
  <r>
    <x v="31"/>
    <x v="29"/>
    <n v="1247"/>
    <n v="4364.97"/>
    <n v="3887.58"/>
    <n v="477.39"/>
    <n v="0.89"/>
    <n v="0.18"/>
    <n v="2965.72"/>
    <x v="1"/>
    <n v="705"/>
    <n v="0.26"/>
    <n v="360.61"/>
    <n v="0.08"/>
    <n v="214.93"/>
    <n v="0.05"/>
    <n v="7"/>
    <n v="981.77"/>
    <n v="49"/>
    <n v="0"/>
    <n v="0"/>
    <n v="1688.98"/>
    <x v="1"/>
    <n v="1332.81"/>
    <x v="3"/>
    <x v="0"/>
    <n v="77"/>
    <s v="Low"/>
    <n v="477.39"/>
    <n v="0"/>
  </r>
  <r>
    <x v="31"/>
    <x v="29"/>
    <n v="1743"/>
    <n v="4724.07"/>
    <n v="2816.32"/>
    <n v="1907.75"/>
    <n v="0.6"/>
    <n v="0.36"/>
    <n v="2871.98"/>
    <x v="1"/>
    <n v="707"/>
    <n v="0.43"/>
    <n v="338.6"/>
    <n v="7.0000000000000007E-2"/>
    <n v="295.61"/>
    <n v="0.06"/>
    <n v="8"/>
    <n v="1255.05"/>
    <n v="99"/>
    <n v="0"/>
    <n v="479.04"/>
    <n v="2639.03"/>
    <x v="1"/>
    <n v="1284.3800000000001"/>
    <x v="8"/>
    <x v="0"/>
    <n v="62.8"/>
    <s v="Medium"/>
    <n v="1907.75"/>
    <n v="0"/>
  </r>
  <r>
    <x v="31"/>
    <x v="29"/>
    <n v="1458"/>
    <n v="1824.81"/>
    <n v="3444.88"/>
    <n v="-1620.07"/>
    <n v="1.89"/>
    <n v="0.19"/>
    <n v="2481.8000000000002"/>
    <x v="1"/>
    <n v="659"/>
    <n v="0.49"/>
    <n v="575.36"/>
    <n v="0.32"/>
    <n v="591.95000000000005"/>
    <n v="0.32"/>
    <n v="9"/>
    <n v="988.74"/>
    <n v="86"/>
    <n v="0"/>
    <n v="93.3"/>
    <n v="2337.5700000000002"/>
    <x v="1"/>
    <n v="1193.08"/>
    <x v="6"/>
    <x v="1"/>
    <n v="59"/>
    <s v="Medium"/>
    <n v="0"/>
    <n v="0"/>
  </r>
  <r>
    <x v="31"/>
    <x v="29"/>
    <n v="1627"/>
    <n v="3623.08"/>
    <n v="3018.66"/>
    <n v="604.41999999999996"/>
    <n v="0.83"/>
    <n v="0.19"/>
    <n v="2862.7"/>
    <x v="0"/>
    <n v="681"/>
    <n v="0.27"/>
    <n v="483.56"/>
    <n v="0.13"/>
    <n v="477.69"/>
    <n v="0.13"/>
    <n v="2"/>
    <n v="614.9"/>
    <n v="54"/>
    <n v="0"/>
    <n v="315.48"/>
    <n v="2145.12"/>
    <x v="1"/>
    <n v="1437.99"/>
    <x v="3"/>
    <x v="1"/>
    <n v="58.8"/>
    <s v="Low"/>
    <n v="604.41999999999996"/>
    <n v="0"/>
  </r>
  <r>
    <x v="31"/>
    <x v="29"/>
    <n v="1642"/>
    <n v="3609.85"/>
    <n v="2078.61"/>
    <n v="1531.24"/>
    <n v="0.57999999999999996"/>
    <n v="0.05"/>
    <n v="2425.41"/>
    <x v="1"/>
    <n v="818"/>
    <n v="0.23"/>
    <n v="479.3"/>
    <n v="0.13"/>
    <n v="425.36"/>
    <n v="0.12"/>
    <n v="4"/>
    <n v="748.6"/>
    <n v="31"/>
    <n v="0"/>
    <n v="604.87"/>
    <n v="2467.21"/>
    <x v="1"/>
    <n v="1502.81"/>
    <x v="0"/>
    <x v="0"/>
    <n v="16.5"/>
    <s v="Low"/>
    <n v="1531.24"/>
    <n v="0"/>
  </r>
  <r>
    <x v="31"/>
    <x v="29"/>
    <n v="1962"/>
    <n v="5559.19"/>
    <n v="3200.27"/>
    <n v="2358.92"/>
    <n v="0.57999999999999996"/>
    <n v="0.35"/>
    <n v="2564.7199999999998"/>
    <x v="2"/>
    <n v="683"/>
    <n v="0.54"/>
    <n v="580.96"/>
    <n v="0.1"/>
    <n v="0"/>
    <n v="0"/>
    <n v="5"/>
    <n v="962.83"/>
    <n v="83"/>
    <n v="0"/>
    <n v="757.95"/>
    <n v="1693.81"/>
    <x v="1"/>
    <n v="1133.31"/>
    <x v="2"/>
    <x v="0"/>
    <n v="60.9"/>
    <s v="High"/>
    <n v="2358.92"/>
    <n v="0"/>
  </r>
  <r>
    <x v="31"/>
    <x v="29"/>
    <n v="1376"/>
    <n v="5232.4399999999996"/>
    <n v="2626.44"/>
    <n v="2606"/>
    <n v="0.5"/>
    <n v="0.19"/>
    <n v="3542.76"/>
    <x v="1"/>
    <n v="643"/>
    <n v="0.59"/>
    <n v="405.37"/>
    <n v="0.08"/>
    <n v="514.61"/>
    <n v="0.1"/>
    <n v="8"/>
    <n v="147.91"/>
    <n v="85"/>
    <n v="0"/>
    <n v="843.53"/>
    <n v="2852.1"/>
    <x v="1"/>
    <n v="789.23"/>
    <x v="0"/>
    <x v="2"/>
    <n v="18"/>
    <s v="Medium"/>
    <n v="2606"/>
    <n v="0"/>
  </r>
  <r>
    <x v="31"/>
    <x v="29"/>
    <n v="1523"/>
    <n v="4430.53"/>
    <n v="3054.13"/>
    <n v="1376.4"/>
    <n v="0.69"/>
    <n v="0.06"/>
    <n v="3221.31"/>
    <x v="1"/>
    <n v="702"/>
    <n v="0.59"/>
    <n v="471.15"/>
    <n v="0.11"/>
    <n v="709.62"/>
    <n v="0.16"/>
    <n v="8"/>
    <n v="1357.61"/>
    <n v="69"/>
    <n v="0"/>
    <n v="334.26"/>
    <n v="2069.5500000000002"/>
    <x v="1"/>
    <n v="1197.27"/>
    <x v="0"/>
    <x v="0"/>
    <n v="70.400000000000006"/>
    <s v="Low"/>
    <n v="1376.4"/>
    <n v="0"/>
  </r>
  <r>
    <x v="31"/>
    <x v="29"/>
    <n v="1528"/>
    <n v="2696.33"/>
    <n v="4383.92"/>
    <n v="-1687.59"/>
    <n v="1.63"/>
    <n v="0.16"/>
    <n v="2334.44"/>
    <x v="1"/>
    <n v="781"/>
    <n v="0.16"/>
    <n v="541.94000000000005"/>
    <n v="0.2"/>
    <n v="155.02000000000001"/>
    <n v="0.06"/>
    <n v="9"/>
    <n v="819.03"/>
    <n v="73"/>
    <n v="0"/>
    <n v="286.13"/>
    <n v="2805.28"/>
    <x v="0"/>
    <n v="1382.07"/>
    <x v="4"/>
    <x v="0"/>
    <n v="79.2"/>
    <s v="Low"/>
    <n v="0"/>
    <n v="0"/>
  </r>
  <r>
    <x v="31"/>
    <x v="29"/>
    <n v="1487"/>
    <n v="3454.82"/>
    <n v="3024.92"/>
    <n v="429.9"/>
    <n v="0.88"/>
    <n v="0.09"/>
    <n v="2978.65"/>
    <x v="1"/>
    <n v="634"/>
    <n v="0.43"/>
    <n v="796.94"/>
    <n v="0.23"/>
    <n v="600.71"/>
    <n v="0.17"/>
    <n v="2"/>
    <n v="1533.13"/>
    <n v="77"/>
    <n v="0"/>
    <n v="717.01"/>
    <n v="2480.63"/>
    <x v="1"/>
    <n v="1264.67"/>
    <x v="5"/>
    <x v="0"/>
    <n v="59.7"/>
    <s v="Low"/>
    <n v="429.9"/>
    <n v="0"/>
  </r>
  <r>
    <x v="31"/>
    <x v="29"/>
    <n v="1148"/>
    <n v="3715.31"/>
    <n v="3449.86"/>
    <n v="265.45"/>
    <n v="0.93"/>
    <n v="0.12"/>
    <n v="2880.33"/>
    <x v="1"/>
    <n v="686"/>
    <n v="0.23"/>
    <n v="572.62"/>
    <n v="0.15"/>
    <n v="340.35"/>
    <n v="0.09"/>
    <n v="8"/>
    <n v="1369.7"/>
    <n v="66"/>
    <n v="0"/>
    <n v="347.39"/>
    <n v="1971.13"/>
    <x v="1"/>
    <n v="841.69"/>
    <x v="0"/>
    <x v="1"/>
    <n v="41.2"/>
    <s v="Low"/>
    <n v="265.45"/>
    <n v="0"/>
  </r>
  <r>
    <x v="31"/>
    <x v="29"/>
    <n v="1060"/>
    <n v="4745.8500000000004"/>
    <n v="4025.03"/>
    <n v="720.82"/>
    <n v="0.85"/>
    <n v="0.14000000000000001"/>
    <n v="2402.46"/>
    <x v="0"/>
    <n v="768"/>
    <n v="0.57999999999999996"/>
    <n v="332.26"/>
    <n v="7.0000000000000007E-2"/>
    <n v="333.84"/>
    <n v="7.0000000000000007E-2"/>
    <n v="2"/>
    <n v="250.1"/>
    <n v="40"/>
    <n v="0"/>
    <n v="409.04"/>
    <n v="2012.69"/>
    <x v="0"/>
    <n v="1507.37"/>
    <x v="7"/>
    <x v="1"/>
    <n v="34.4"/>
    <s v="Low"/>
    <n v="720.82"/>
    <n v="0"/>
  </r>
  <r>
    <x v="31"/>
    <x v="29"/>
    <n v="1156"/>
    <n v="4750.4399999999996"/>
    <n v="3312.93"/>
    <n v="1437.51"/>
    <n v="0.7"/>
    <n v="0.4"/>
    <n v="2444.19"/>
    <x v="1"/>
    <n v="781"/>
    <n v="0.52"/>
    <n v="40.450000000000003"/>
    <n v="0.01"/>
    <n v="388.44"/>
    <n v="0.08"/>
    <n v="6"/>
    <n v="1143.81"/>
    <n v="41"/>
    <n v="0"/>
    <n v="497.51"/>
    <n v="2500.25"/>
    <x v="1"/>
    <n v="1719.79"/>
    <x v="3"/>
    <x v="0"/>
    <n v="62.1"/>
    <s v="Low"/>
    <n v="1437.51"/>
    <n v="0"/>
  </r>
  <r>
    <x v="32"/>
    <x v="30"/>
    <n v="1456"/>
    <n v="3515.99"/>
    <n v="3276.12"/>
    <n v="239.87"/>
    <n v="0.93"/>
    <n v="0.06"/>
    <n v="3289.32"/>
    <x v="0"/>
    <n v="633"/>
    <n v="0.12"/>
    <n v="479.01"/>
    <n v="0.14000000000000001"/>
    <n v="353.98"/>
    <n v="0.1"/>
    <n v="8"/>
    <n v="347.98"/>
    <n v="38"/>
    <n v="0"/>
    <n v="482.87"/>
    <n v="2536.0100000000002"/>
    <x v="1"/>
    <n v="1042.06"/>
    <x v="7"/>
    <x v="0"/>
    <n v="98.8"/>
    <s v="Low"/>
    <n v="239.87"/>
    <n v="0"/>
  </r>
  <r>
    <x v="32"/>
    <x v="30"/>
    <n v="1917"/>
    <n v="2832.28"/>
    <n v="4716.8"/>
    <n v="-1884.52"/>
    <n v="1.67"/>
    <n v="0.39"/>
    <n v="2712.04"/>
    <x v="1"/>
    <n v="648"/>
    <n v="0.23"/>
    <n v="346.02"/>
    <n v="0.12"/>
    <n v="479.85"/>
    <n v="0.17"/>
    <n v="1"/>
    <n v="1165.48"/>
    <n v="68"/>
    <n v="0"/>
    <n v="390.53"/>
    <n v="2336.89"/>
    <x v="1"/>
    <n v="1179.1500000000001"/>
    <x v="1"/>
    <x v="2"/>
    <n v="63.3"/>
    <s v="Medium"/>
    <n v="0"/>
    <n v="0"/>
  </r>
  <r>
    <x v="32"/>
    <x v="30"/>
    <n v="1191"/>
    <n v="3552.09"/>
    <n v="2608.6"/>
    <n v="943.49"/>
    <n v="0.73"/>
    <n v="0.31"/>
    <n v="2597.9499999999998"/>
    <x v="1"/>
    <n v="674"/>
    <n v="0.16"/>
    <n v="537.44000000000005"/>
    <n v="0.15"/>
    <n v="352.15"/>
    <n v="0.1"/>
    <n v="1"/>
    <n v="1932.91"/>
    <n v="22"/>
    <n v="0"/>
    <n v="536.73"/>
    <n v="3491.05"/>
    <x v="1"/>
    <n v="547.59"/>
    <x v="2"/>
    <x v="1"/>
    <n v="94.8"/>
    <s v="Low"/>
    <n v="943.49"/>
    <n v="0"/>
  </r>
  <r>
    <x v="32"/>
    <x v="30"/>
    <n v="1715"/>
    <n v="3905.58"/>
    <n v="3644.25"/>
    <n v="261.33"/>
    <n v="0.93"/>
    <n v="0.34"/>
    <n v="2970.4"/>
    <x v="2"/>
    <n v="742"/>
    <n v="0.56000000000000005"/>
    <n v="493.53"/>
    <n v="0.13"/>
    <n v="511.12"/>
    <n v="0.13"/>
    <n v="1"/>
    <n v="1729.69"/>
    <n v="98"/>
    <n v="0"/>
    <n v="775.94"/>
    <n v="1854.28"/>
    <x v="1"/>
    <n v="1025.8900000000001"/>
    <x v="4"/>
    <x v="2"/>
    <n v="10.5"/>
    <s v="Low"/>
    <n v="261.33"/>
    <n v="0"/>
  </r>
  <r>
    <x v="32"/>
    <x v="30"/>
    <n v="1129"/>
    <n v="3913.95"/>
    <n v="3876.22"/>
    <n v="37.729999999999997"/>
    <n v="0.99"/>
    <n v="0.15"/>
    <n v="2955.47"/>
    <x v="0"/>
    <n v="691"/>
    <n v="0.5"/>
    <n v="624.62"/>
    <n v="0.16"/>
    <n v="399.92"/>
    <n v="0.1"/>
    <n v="6"/>
    <n v="1176.73"/>
    <n v="30"/>
    <n v="0"/>
    <n v="498.77"/>
    <n v="1838.49"/>
    <x v="0"/>
    <n v="1460.22"/>
    <x v="2"/>
    <x v="0"/>
    <n v="4.0999999999999996"/>
    <s v="Medium"/>
    <n v="37.729999999999997"/>
    <n v="0"/>
  </r>
  <r>
    <x v="32"/>
    <x v="30"/>
    <n v="1719"/>
    <n v="5471.78"/>
    <n v="1498.72"/>
    <n v="3973.06"/>
    <n v="0.27"/>
    <n v="0.11"/>
    <n v="2378.91"/>
    <x v="0"/>
    <n v="696"/>
    <n v="0.55000000000000004"/>
    <n v="519.78"/>
    <n v="0.09"/>
    <n v="364.23"/>
    <n v="7.0000000000000007E-2"/>
    <n v="7"/>
    <n v="1004.42"/>
    <n v="68"/>
    <n v="0"/>
    <n v="542.82000000000005"/>
    <n v="1802.09"/>
    <x v="1"/>
    <n v="2423.0100000000002"/>
    <x v="5"/>
    <x v="0"/>
    <n v="81.7"/>
    <s v="Medium"/>
    <n v="3973.06"/>
    <n v="1"/>
  </r>
  <r>
    <x v="32"/>
    <x v="30"/>
    <n v="1236"/>
    <n v="2716.43"/>
    <n v="2427.56"/>
    <n v="288.87"/>
    <n v="0.89"/>
    <n v="0.23"/>
    <n v="3153.9"/>
    <x v="2"/>
    <n v="699"/>
    <n v="0.59"/>
    <n v="530.67999999999995"/>
    <n v="0.2"/>
    <n v="453.73"/>
    <n v="0.17"/>
    <n v="1"/>
    <n v="1531.73"/>
    <n v="74"/>
    <n v="0"/>
    <n v="486.89"/>
    <n v="2416.56"/>
    <x v="1"/>
    <n v="1055.94"/>
    <x v="1"/>
    <x v="2"/>
    <n v="63.1"/>
    <s v="High"/>
    <n v="288.87"/>
    <n v="0"/>
  </r>
  <r>
    <x v="32"/>
    <x v="30"/>
    <n v="1075"/>
    <n v="4174.09"/>
    <n v="2568.25"/>
    <n v="1605.84"/>
    <n v="0.62"/>
    <n v="0.11"/>
    <n v="2400.17"/>
    <x v="1"/>
    <n v="754"/>
    <n v="0.42"/>
    <n v="379.43"/>
    <n v="0.09"/>
    <n v="744.83"/>
    <n v="0.18"/>
    <n v="1"/>
    <n v="1584.43"/>
    <n v="38"/>
    <n v="0"/>
    <n v="580.16"/>
    <n v="1977.55"/>
    <x v="1"/>
    <n v="959.98"/>
    <x v="9"/>
    <x v="0"/>
    <n v="24.8"/>
    <s v="Medium"/>
    <n v="1605.84"/>
    <n v="0"/>
  </r>
  <r>
    <x v="32"/>
    <x v="30"/>
    <n v="1428"/>
    <n v="4652.2"/>
    <n v="1910.38"/>
    <n v="2741.82"/>
    <n v="0.41"/>
    <n v="0.1"/>
    <n v="2867.1"/>
    <x v="1"/>
    <n v="733"/>
    <n v="0.56999999999999995"/>
    <n v="738.89"/>
    <n v="0.16"/>
    <n v="757.03"/>
    <n v="0.16"/>
    <n v="6"/>
    <n v="1258.17"/>
    <n v="39"/>
    <n v="0"/>
    <n v="431.44"/>
    <n v="2328.4699999999998"/>
    <x v="1"/>
    <n v="1420.29"/>
    <x v="6"/>
    <x v="0"/>
    <n v="13.2"/>
    <s v="Low"/>
    <n v="2741.82"/>
    <n v="0"/>
  </r>
  <r>
    <x v="32"/>
    <x v="30"/>
    <n v="1888"/>
    <n v="2812.24"/>
    <n v="3389.31"/>
    <n v="-577.07000000000005"/>
    <n v="1.21"/>
    <n v="0.24"/>
    <n v="2915.28"/>
    <x v="1"/>
    <n v="730"/>
    <n v="0.12"/>
    <n v="353.3"/>
    <n v="0.13"/>
    <n v="564.32000000000005"/>
    <n v="0.2"/>
    <n v="9"/>
    <n v="44.14"/>
    <n v="82"/>
    <n v="0"/>
    <n v="516.66"/>
    <n v="2861.97"/>
    <x v="1"/>
    <n v="1239.8900000000001"/>
    <x v="7"/>
    <x v="1"/>
    <n v="19.399999999999999"/>
    <s v="Low"/>
    <n v="0"/>
    <n v="0"/>
  </r>
  <r>
    <x v="32"/>
    <x v="30"/>
    <n v="1169"/>
    <n v="2990.93"/>
    <n v="2714.58"/>
    <n v="276.35000000000002"/>
    <n v="0.91"/>
    <n v="0.2"/>
    <n v="2042.97"/>
    <x v="1"/>
    <n v="684"/>
    <n v="0.17"/>
    <n v="561.79"/>
    <n v="0.19"/>
    <n v="598.51"/>
    <n v="0.2"/>
    <n v="8"/>
    <n v="221.72"/>
    <n v="84"/>
    <n v="0"/>
    <n v="684.88"/>
    <n v="2627.69"/>
    <x v="0"/>
    <n v="999.33"/>
    <x v="2"/>
    <x v="0"/>
    <n v="26"/>
    <s v="Low"/>
    <n v="276.35000000000002"/>
    <n v="0"/>
  </r>
  <r>
    <x v="32"/>
    <x v="30"/>
    <n v="1305"/>
    <n v="3089.53"/>
    <n v="3912.42"/>
    <n v="-822.89"/>
    <n v="1.27"/>
    <n v="0.34"/>
    <n v="2892.15"/>
    <x v="1"/>
    <n v="656"/>
    <n v="0.3"/>
    <n v="627.04999999999995"/>
    <n v="0.2"/>
    <n v="389.76"/>
    <n v="0.13"/>
    <n v="9"/>
    <n v="412.15"/>
    <n v="84"/>
    <n v="0"/>
    <n v="554.73"/>
    <n v="2726.64"/>
    <x v="0"/>
    <n v="1562.75"/>
    <x v="8"/>
    <x v="0"/>
    <n v="13.8"/>
    <s v="Low"/>
    <n v="0"/>
    <n v="0"/>
  </r>
  <r>
    <x v="32"/>
    <x v="30"/>
    <n v="1024"/>
    <n v="3257.44"/>
    <n v="3272.5"/>
    <n v="-15.06"/>
    <n v="1"/>
    <n v="0.23"/>
    <n v="3237.4"/>
    <x v="2"/>
    <n v="710"/>
    <n v="0.24"/>
    <n v="436.38"/>
    <n v="0.13"/>
    <n v="357.13"/>
    <n v="0.11"/>
    <n v="5"/>
    <n v="970.36"/>
    <n v="74"/>
    <n v="0"/>
    <n v="289.98"/>
    <n v="1790.8"/>
    <x v="1"/>
    <n v="1406.68"/>
    <x v="1"/>
    <x v="0"/>
    <n v="95.2"/>
    <s v="Medium"/>
    <n v="0"/>
    <n v="0"/>
  </r>
  <r>
    <x v="32"/>
    <x v="30"/>
    <n v="1698"/>
    <n v="3898.94"/>
    <n v="1240.6099999999999"/>
    <n v="2658.33"/>
    <n v="0.32"/>
    <n v="0.12"/>
    <n v="2221.7399999999998"/>
    <x v="2"/>
    <n v="649"/>
    <n v="0.49"/>
    <n v="468.67"/>
    <n v="0.12"/>
    <n v="976.71"/>
    <n v="0.25"/>
    <n v="2"/>
    <n v="1244.1199999999999"/>
    <n v="97"/>
    <n v="0"/>
    <n v="218.27"/>
    <n v="1994.69"/>
    <x v="2"/>
    <n v="946.26"/>
    <x v="1"/>
    <x v="0"/>
    <n v="56.8"/>
    <s v="High"/>
    <n v="2658.33"/>
    <n v="1"/>
  </r>
  <r>
    <x v="32"/>
    <x v="30"/>
    <n v="1784"/>
    <n v="3788.81"/>
    <n v="3265.87"/>
    <n v="522.94000000000005"/>
    <n v="0.86"/>
    <n v="0.1"/>
    <n v="2847.16"/>
    <x v="0"/>
    <n v="642"/>
    <n v="0.13"/>
    <n v="385.77"/>
    <n v="0.1"/>
    <n v="530.04999999999995"/>
    <n v="0.14000000000000001"/>
    <n v="1"/>
    <n v="890.12"/>
    <n v="46"/>
    <n v="1"/>
    <n v="595.86"/>
    <n v="2952.46"/>
    <x v="1"/>
    <n v="1170.5"/>
    <x v="7"/>
    <x v="0"/>
    <n v="15.2"/>
    <s v="Medium"/>
    <n v="522.94000000000005"/>
    <n v="0"/>
  </r>
  <r>
    <x v="32"/>
    <x v="30"/>
    <n v="1665"/>
    <n v="3268.37"/>
    <n v="3395.71"/>
    <n v="-127.34"/>
    <n v="1.04"/>
    <n v="0.2"/>
    <n v="3411.93"/>
    <x v="0"/>
    <n v="635"/>
    <n v="0.42"/>
    <n v="441.62"/>
    <n v="0.14000000000000001"/>
    <n v="161.38"/>
    <n v="0.05"/>
    <n v="8"/>
    <n v="1177.17"/>
    <n v="95"/>
    <n v="0"/>
    <n v="402.1"/>
    <n v="3018.39"/>
    <x v="1"/>
    <n v="640.62"/>
    <x v="3"/>
    <x v="2"/>
    <n v="56.7"/>
    <s v="High"/>
    <n v="0"/>
    <n v="0"/>
  </r>
  <r>
    <x v="32"/>
    <x v="30"/>
    <n v="1717"/>
    <n v="3636.72"/>
    <n v="2250.29"/>
    <n v="1386.43"/>
    <n v="0.62"/>
    <n v="0.4"/>
    <n v="2993.12"/>
    <x v="1"/>
    <n v="659"/>
    <n v="0.11"/>
    <n v="682.15"/>
    <n v="0.19"/>
    <n v="151.9"/>
    <n v="0.04"/>
    <n v="6"/>
    <n v="1669.71"/>
    <n v="99"/>
    <n v="0"/>
    <n v="320.14"/>
    <n v="1574.44"/>
    <x v="1"/>
    <n v="1155.45"/>
    <x v="3"/>
    <x v="1"/>
    <n v="82.1"/>
    <s v="Low"/>
    <n v="1386.43"/>
    <n v="0"/>
  </r>
  <r>
    <x v="32"/>
    <x v="30"/>
    <n v="1033"/>
    <n v="4326.45"/>
    <n v="4967.2299999999996"/>
    <n v="-640.78"/>
    <n v="1.1499999999999999"/>
    <n v="0.3"/>
    <n v="3077.25"/>
    <x v="1"/>
    <n v="729"/>
    <n v="0.13"/>
    <n v="353.56"/>
    <n v="0.08"/>
    <n v="404.45"/>
    <n v="0.09"/>
    <n v="7"/>
    <n v="1092.23"/>
    <n v="53"/>
    <n v="0"/>
    <n v="818.72"/>
    <n v="2351.9699999999998"/>
    <x v="1"/>
    <n v="1182.53"/>
    <x v="9"/>
    <x v="1"/>
    <n v="42.8"/>
    <s v="Low"/>
    <n v="0"/>
    <n v="0"/>
  </r>
  <r>
    <x v="32"/>
    <x v="30"/>
    <n v="1354"/>
    <n v="4056.35"/>
    <n v="2356.37"/>
    <n v="1699.98"/>
    <n v="0.57999999999999996"/>
    <n v="0.08"/>
    <n v="2768.56"/>
    <x v="1"/>
    <n v="691"/>
    <n v="0.36"/>
    <n v="435.63"/>
    <n v="0.11"/>
    <n v="466.12"/>
    <n v="0.11"/>
    <n v="5"/>
    <n v="198.92"/>
    <n v="70"/>
    <n v="0"/>
    <n v="571.46"/>
    <n v="3160.19"/>
    <x v="2"/>
    <n v="911.9"/>
    <x v="7"/>
    <x v="0"/>
    <n v="30.2"/>
    <s v="Medium"/>
    <n v="1699.98"/>
    <n v="0"/>
  </r>
  <r>
    <x v="32"/>
    <x v="30"/>
    <n v="1584"/>
    <n v="4445.12"/>
    <n v="2184.64"/>
    <n v="2260.48"/>
    <n v="0.49"/>
    <n v="0.18"/>
    <n v="3280.53"/>
    <x v="1"/>
    <n v="710"/>
    <n v="0.56000000000000005"/>
    <n v="533.79999999999995"/>
    <n v="0.12"/>
    <n v="461.62"/>
    <n v="0.1"/>
    <n v="5"/>
    <n v="1225.95"/>
    <n v="90"/>
    <n v="0"/>
    <n v="549.66"/>
    <n v="1733.09"/>
    <x v="1"/>
    <n v="2070.8000000000002"/>
    <x v="1"/>
    <x v="0"/>
    <n v="62.2"/>
    <s v="High"/>
    <n v="2260.48"/>
    <n v="0"/>
  </r>
  <r>
    <x v="32"/>
    <x v="30"/>
    <n v="1771"/>
    <n v="4628.7"/>
    <n v="2991.48"/>
    <n v="1637.22"/>
    <n v="0.65"/>
    <n v="0.19"/>
    <n v="2118.11"/>
    <x v="1"/>
    <n v="649"/>
    <n v="0.46"/>
    <n v="358.44"/>
    <n v="0.08"/>
    <n v="609.46"/>
    <n v="0.13"/>
    <n v="5"/>
    <n v="389.95"/>
    <n v="60"/>
    <n v="0"/>
    <n v="597.44000000000005"/>
    <n v="2824.86"/>
    <x v="1"/>
    <n v="1425.48"/>
    <x v="4"/>
    <x v="1"/>
    <n v="56"/>
    <s v="High"/>
    <n v="1637.22"/>
    <n v="0"/>
  </r>
  <r>
    <x v="32"/>
    <x v="30"/>
    <n v="1949"/>
    <n v="1262.81"/>
    <n v="3983.64"/>
    <n v="-2720.83"/>
    <n v="3.15"/>
    <n v="0.14000000000000001"/>
    <n v="3086.22"/>
    <x v="1"/>
    <n v="702"/>
    <n v="0.27"/>
    <n v="472.03"/>
    <n v="0.37"/>
    <n v="125.25"/>
    <n v="0.1"/>
    <n v="2"/>
    <n v="810.84"/>
    <n v="46"/>
    <n v="0"/>
    <n v="482.3"/>
    <n v="3108.82"/>
    <x v="1"/>
    <n v="1019.27"/>
    <x v="0"/>
    <x v="0"/>
    <n v="77.3"/>
    <s v="Medium"/>
    <n v="0"/>
    <n v="0"/>
  </r>
  <r>
    <x v="32"/>
    <x v="30"/>
    <n v="1340"/>
    <n v="3152.62"/>
    <n v="2691.53"/>
    <n v="461.09"/>
    <n v="0.85"/>
    <n v="0.18"/>
    <n v="2305.21"/>
    <x v="2"/>
    <n v="658"/>
    <n v="0.13"/>
    <n v="538.89"/>
    <n v="0.17"/>
    <n v="150.15"/>
    <n v="0.05"/>
    <n v="6"/>
    <n v="1311.7"/>
    <n v="26"/>
    <n v="0"/>
    <n v="829.27"/>
    <n v="3246.94"/>
    <x v="0"/>
    <n v="904.15"/>
    <x v="9"/>
    <x v="2"/>
    <n v="78.2"/>
    <s v="High"/>
    <n v="461.09"/>
    <n v="0"/>
  </r>
  <r>
    <x v="32"/>
    <x v="30"/>
    <n v="1622"/>
    <n v="3886"/>
    <n v="2834.19"/>
    <n v="1051.81"/>
    <n v="0.73"/>
    <n v="0.25"/>
    <n v="2727.78"/>
    <x v="0"/>
    <n v="607"/>
    <n v="0.25"/>
    <n v="416.14"/>
    <n v="0.11"/>
    <n v="336.68"/>
    <n v="0.09"/>
    <n v="5"/>
    <n v="709.1"/>
    <n v="32"/>
    <n v="0"/>
    <n v="255.7"/>
    <n v="1541.03"/>
    <x v="1"/>
    <n v="1032.53"/>
    <x v="5"/>
    <x v="0"/>
    <n v="81.7"/>
    <s v="High"/>
    <n v="1051.81"/>
    <n v="0"/>
  </r>
  <r>
    <x v="32"/>
    <x v="30"/>
    <n v="1032"/>
    <n v="2835.01"/>
    <n v="3185.63"/>
    <n v="-350.62"/>
    <n v="1.1200000000000001"/>
    <n v="0.16"/>
    <n v="4201.34"/>
    <x v="1"/>
    <n v="638"/>
    <n v="0.49"/>
    <n v="344.08"/>
    <n v="0.12"/>
    <n v="241.01"/>
    <n v="0.09"/>
    <n v="3"/>
    <n v="1216.4000000000001"/>
    <n v="71"/>
    <n v="0"/>
    <n v="366.24"/>
    <n v="2420.12"/>
    <x v="1"/>
    <n v="1537.45"/>
    <x v="6"/>
    <x v="0"/>
    <n v="17.399999999999999"/>
    <s v="Medium"/>
    <n v="0"/>
    <n v="0"/>
  </r>
  <r>
    <x v="32"/>
    <x v="30"/>
    <n v="1574"/>
    <n v="4579.54"/>
    <n v="3547"/>
    <n v="1032.54"/>
    <n v="0.77"/>
    <n v="0.3"/>
    <n v="3373.76"/>
    <x v="2"/>
    <n v="691"/>
    <n v="0.3"/>
    <n v="831.01"/>
    <n v="0.18"/>
    <n v="244.38"/>
    <n v="0.05"/>
    <n v="3"/>
    <n v="1549.16"/>
    <n v="46"/>
    <n v="0"/>
    <n v="435.2"/>
    <n v="2027.21"/>
    <x v="1"/>
    <n v="1346.36"/>
    <x v="7"/>
    <x v="0"/>
    <n v="86.9"/>
    <s v="Low"/>
    <n v="1032.54"/>
    <n v="0"/>
  </r>
  <r>
    <x v="32"/>
    <x v="30"/>
    <n v="1821"/>
    <n v="2284.1999999999998"/>
    <n v="2988.99"/>
    <n v="-704.79"/>
    <n v="1.31"/>
    <n v="0.14000000000000001"/>
    <n v="3183.29"/>
    <x v="1"/>
    <n v="668"/>
    <n v="0.53"/>
    <n v="637.64"/>
    <n v="0.28000000000000003"/>
    <n v="556.42999999999995"/>
    <n v="0.24"/>
    <n v="2"/>
    <n v="973.15"/>
    <n v="97"/>
    <n v="0"/>
    <n v="700"/>
    <n v="1727.01"/>
    <x v="1"/>
    <n v="1288.5"/>
    <x v="8"/>
    <x v="1"/>
    <n v="26.4"/>
    <s v="High"/>
    <n v="0"/>
    <n v="0"/>
  </r>
  <r>
    <x v="32"/>
    <x v="30"/>
    <n v="1331"/>
    <n v="3714.16"/>
    <n v="3752.83"/>
    <n v="-38.67"/>
    <n v="1.01"/>
    <n v="0.18"/>
    <n v="2903.44"/>
    <x v="1"/>
    <n v="634"/>
    <n v="0.54"/>
    <n v="28.62"/>
    <n v="0.01"/>
    <n v="192.2"/>
    <n v="0.05"/>
    <n v="9"/>
    <n v="1023.73"/>
    <n v="44"/>
    <n v="0"/>
    <n v="739.31"/>
    <n v="2041.09"/>
    <x v="1"/>
    <n v="1669.49"/>
    <x v="9"/>
    <x v="0"/>
    <n v="75.5"/>
    <s v="Low"/>
    <n v="0"/>
    <n v="0"/>
  </r>
  <r>
    <x v="32"/>
    <x v="30"/>
    <n v="1408"/>
    <n v="3874.63"/>
    <n v="3996.49"/>
    <n v="-121.86"/>
    <n v="1.03"/>
    <n v="0.27"/>
    <n v="3644.35"/>
    <x v="0"/>
    <n v="718"/>
    <n v="0.47"/>
    <n v="921.48"/>
    <n v="0.24"/>
    <n v="331.95"/>
    <n v="0.09"/>
    <n v="6"/>
    <n v="1723.08"/>
    <n v="59"/>
    <n v="0"/>
    <n v="296.01"/>
    <n v="2314.92"/>
    <x v="1"/>
    <n v="1702.48"/>
    <x v="1"/>
    <x v="1"/>
    <n v="76.099999999999994"/>
    <s v="Low"/>
    <n v="0"/>
    <n v="0"/>
  </r>
  <r>
    <x v="32"/>
    <x v="30"/>
    <n v="1085"/>
    <n v="1269.43"/>
    <n v="1948.39"/>
    <n v="-678.96"/>
    <n v="1.53"/>
    <n v="0.1"/>
    <n v="2676.06"/>
    <x v="2"/>
    <n v="720"/>
    <n v="0.39"/>
    <n v="500.71"/>
    <n v="0.39"/>
    <n v="14.84"/>
    <n v="0.01"/>
    <n v="4"/>
    <n v="592.80999999999995"/>
    <n v="79"/>
    <n v="0"/>
    <n v="531.17999999999995"/>
    <n v="2666.9"/>
    <x v="1"/>
    <n v="1210.1500000000001"/>
    <x v="1"/>
    <x v="2"/>
    <n v="99.9"/>
    <s v="Low"/>
    <n v="0"/>
    <n v="0"/>
  </r>
  <r>
    <x v="32"/>
    <x v="30"/>
    <n v="1475"/>
    <n v="3928.51"/>
    <n v="3113.71"/>
    <n v="814.8"/>
    <n v="0.79"/>
    <n v="0.13"/>
    <n v="3028.4"/>
    <x v="1"/>
    <n v="632"/>
    <n v="0.57999999999999996"/>
    <n v="642.55999999999995"/>
    <n v="0.16"/>
    <n v="323.29000000000002"/>
    <n v="0.08"/>
    <n v="4"/>
    <n v="1044.6600000000001"/>
    <n v="28"/>
    <n v="0"/>
    <n v="478.36"/>
    <n v="1006.97"/>
    <x v="1"/>
    <n v="513.80999999999995"/>
    <x v="9"/>
    <x v="0"/>
    <n v="66.400000000000006"/>
    <s v="Low"/>
    <n v="814.8"/>
    <n v="0"/>
  </r>
  <r>
    <x v="32"/>
    <x v="30"/>
    <n v="1720"/>
    <n v="3781.06"/>
    <n v="1485.48"/>
    <n v="2295.58"/>
    <n v="0.39"/>
    <n v="0.26"/>
    <n v="2926.85"/>
    <x v="1"/>
    <n v="708"/>
    <n v="0.55000000000000004"/>
    <n v="434.83"/>
    <n v="0.12"/>
    <n v="31.68"/>
    <n v="0.01"/>
    <n v="4"/>
    <n v="821.38"/>
    <n v="38"/>
    <n v="0"/>
    <n v="874.03"/>
    <n v="1000"/>
    <x v="1"/>
    <n v="1687.68"/>
    <x v="0"/>
    <x v="0"/>
    <n v="66.7"/>
    <s v="Low"/>
    <n v="2295.58"/>
    <n v="0"/>
  </r>
  <r>
    <x v="32"/>
    <x v="30"/>
    <n v="1651"/>
    <n v="6415.64"/>
    <n v="2198.36"/>
    <n v="4217.28"/>
    <n v="0.34"/>
    <n v="0.08"/>
    <n v="2991.91"/>
    <x v="1"/>
    <n v="685"/>
    <n v="0.49"/>
    <n v="275.76"/>
    <n v="0.04"/>
    <n v="288.89999999999998"/>
    <n v="0.05"/>
    <n v="9"/>
    <n v="1055.23"/>
    <n v="63"/>
    <n v="0"/>
    <n v="625.52"/>
    <n v="2639.27"/>
    <x v="1"/>
    <n v="465.35"/>
    <x v="1"/>
    <x v="0"/>
    <n v="50.4"/>
    <s v="Low"/>
    <n v="4217.28"/>
    <n v="1"/>
  </r>
  <r>
    <x v="32"/>
    <x v="30"/>
    <n v="1516"/>
    <n v="4518.6400000000003"/>
    <n v="3513"/>
    <n v="1005.64"/>
    <n v="0.78"/>
    <n v="0.1"/>
    <n v="3411.24"/>
    <x v="0"/>
    <n v="748"/>
    <n v="0.41"/>
    <n v="562.12"/>
    <n v="0.12"/>
    <n v="223.28"/>
    <n v="0.05"/>
    <n v="7"/>
    <n v="252"/>
    <n v="30"/>
    <n v="0"/>
    <n v="456.72"/>
    <n v="1632.51"/>
    <x v="1"/>
    <n v="1193.93"/>
    <x v="3"/>
    <x v="0"/>
    <n v="90.9"/>
    <s v="Low"/>
    <n v="1005.64"/>
    <n v="0"/>
  </r>
  <r>
    <x v="32"/>
    <x v="30"/>
    <n v="1440"/>
    <n v="3521.95"/>
    <n v="3313.67"/>
    <n v="208.28"/>
    <n v="0.94"/>
    <n v="0.25"/>
    <n v="2629"/>
    <x v="0"/>
    <n v="563"/>
    <n v="0.45"/>
    <n v="379.86"/>
    <n v="0.11"/>
    <n v="371.64"/>
    <n v="0.11"/>
    <n v="7"/>
    <n v="1142.53"/>
    <n v="28"/>
    <n v="0"/>
    <n v="168.97"/>
    <n v="1578.83"/>
    <x v="1"/>
    <n v="1617.84"/>
    <x v="7"/>
    <x v="0"/>
    <n v="50.5"/>
    <s v="Medium"/>
    <n v="208.28"/>
    <n v="0"/>
  </r>
  <r>
    <x v="32"/>
    <x v="30"/>
    <n v="1004"/>
    <n v="3563.08"/>
    <n v="3533.87"/>
    <n v="29.21"/>
    <n v="0.99"/>
    <n v="0.08"/>
    <n v="2338.37"/>
    <x v="0"/>
    <n v="600"/>
    <n v="0.13"/>
    <n v="577.78"/>
    <n v="0.16"/>
    <n v="641.99"/>
    <n v="0.18"/>
    <n v="9"/>
    <n v="0"/>
    <n v="50"/>
    <n v="0"/>
    <n v="211.91"/>
    <n v="1787.47"/>
    <x v="1"/>
    <n v="1302.28"/>
    <x v="0"/>
    <x v="1"/>
    <n v="51.8"/>
    <s v="Low"/>
    <n v="29.21"/>
    <n v="0"/>
  </r>
  <r>
    <x v="32"/>
    <x v="30"/>
    <n v="1855"/>
    <n v="2899.28"/>
    <n v="2985.7"/>
    <n v="-86.42"/>
    <n v="1.03"/>
    <n v="0.27"/>
    <n v="2815.68"/>
    <x v="1"/>
    <n v="686"/>
    <n v="0.26"/>
    <n v="863.58"/>
    <n v="0.3"/>
    <n v="736.9"/>
    <n v="0.25"/>
    <n v="4"/>
    <n v="1562.99"/>
    <n v="22"/>
    <n v="0"/>
    <n v="482.54"/>
    <n v="1332.57"/>
    <x v="1"/>
    <n v="1186.8900000000001"/>
    <x v="9"/>
    <x v="0"/>
    <n v="67.3"/>
    <s v="Low"/>
    <n v="0"/>
    <n v="0"/>
  </r>
  <r>
    <x v="32"/>
    <x v="30"/>
    <n v="1163"/>
    <n v="4006.41"/>
    <n v="2542.71"/>
    <n v="1463.7"/>
    <n v="0.63"/>
    <n v="0.09"/>
    <n v="3331.33"/>
    <x v="1"/>
    <n v="617"/>
    <n v="0.27"/>
    <n v="565.96"/>
    <n v="0.14000000000000001"/>
    <n v="554.22"/>
    <n v="0.14000000000000001"/>
    <n v="2"/>
    <n v="939.87"/>
    <n v="62"/>
    <n v="0"/>
    <n v="373.62"/>
    <n v="3211.01"/>
    <x v="0"/>
    <n v="1089.74"/>
    <x v="8"/>
    <x v="0"/>
    <n v="38.299999999999997"/>
    <s v="Low"/>
    <n v="1463.7"/>
    <n v="0"/>
  </r>
  <r>
    <x v="32"/>
    <x v="30"/>
    <n v="1205"/>
    <n v="1748.43"/>
    <n v="3125.37"/>
    <n v="-1376.94"/>
    <n v="1.79"/>
    <n v="0.27"/>
    <n v="2301.86"/>
    <x v="1"/>
    <n v="607"/>
    <n v="0.26"/>
    <n v="483.25"/>
    <n v="0.28000000000000003"/>
    <n v="872.87"/>
    <n v="0.5"/>
    <n v="6"/>
    <n v="712.72"/>
    <n v="21"/>
    <n v="0"/>
    <n v="609.9"/>
    <n v="2562.16"/>
    <x v="1"/>
    <n v="1358.62"/>
    <x v="4"/>
    <x v="2"/>
    <n v="22.6"/>
    <s v="High"/>
    <n v="0"/>
    <n v="0"/>
  </r>
  <r>
    <x v="32"/>
    <x v="30"/>
    <n v="1013"/>
    <n v="4507.7299999999996"/>
    <n v="1978.96"/>
    <n v="2528.77"/>
    <n v="0.44"/>
    <n v="0.17"/>
    <n v="2710.3"/>
    <x v="1"/>
    <n v="701"/>
    <n v="0.4"/>
    <n v="428.49"/>
    <n v="0.1"/>
    <n v="403.48"/>
    <n v="0.09"/>
    <n v="3"/>
    <n v="910.89"/>
    <n v="37"/>
    <n v="0"/>
    <n v="302.85000000000002"/>
    <n v="2078.15"/>
    <x v="0"/>
    <n v="623.09"/>
    <x v="3"/>
    <x v="0"/>
    <n v="7.3"/>
    <s v="Medium"/>
    <n v="2528.77"/>
    <n v="0"/>
  </r>
  <r>
    <x v="32"/>
    <x v="30"/>
    <n v="1039"/>
    <n v="4758.33"/>
    <n v="3731.48"/>
    <n v="1026.8499999999999"/>
    <n v="0.78"/>
    <n v="0.24"/>
    <n v="2468.4899999999998"/>
    <x v="1"/>
    <n v="606"/>
    <n v="0.33"/>
    <n v="462.31"/>
    <n v="0.1"/>
    <n v="45.94"/>
    <n v="0.01"/>
    <n v="3"/>
    <n v="771.66"/>
    <n v="93"/>
    <n v="0"/>
    <n v="279.81"/>
    <n v="2984.23"/>
    <x v="1"/>
    <n v="760.04"/>
    <x v="8"/>
    <x v="2"/>
    <n v="75.099999999999994"/>
    <s v="Low"/>
    <n v="1026.8499999999999"/>
    <n v="0"/>
  </r>
  <r>
    <x v="32"/>
    <x v="30"/>
    <n v="1666"/>
    <n v="4936.3500000000004"/>
    <n v="3975.13"/>
    <n v="961.22"/>
    <n v="0.81"/>
    <n v="0.08"/>
    <n v="2817.55"/>
    <x v="1"/>
    <n v="686"/>
    <n v="0.41"/>
    <n v="861"/>
    <n v="0.17"/>
    <n v="1074.46"/>
    <n v="0.22"/>
    <n v="2"/>
    <n v="1912.78"/>
    <n v="58"/>
    <n v="0"/>
    <n v="629.20000000000005"/>
    <n v="2205.0700000000002"/>
    <x v="1"/>
    <n v="1018.82"/>
    <x v="8"/>
    <x v="1"/>
    <n v="38.200000000000003"/>
    <s v="Low"/>
    <n v="961.22"/>
    <n v="0"/>
  </r>
  <r>
    <x v="32"/>
    <x v="30"/>
    <n v="1209"/>
    <n v="4766.46"/>
    <n v="2159.9699999999998"/>
    <n v="2606.4899999999998"/>
    <n v="0.45"/>
    <n v="0.34"/>
    <n v="3431.69"/>
    <x v="0"/>
    <n v="597"/>
    <n v="0.55000000000000004"/>
    <n v="475.76"/>
    <n v="0.1"/>
    <n v="162.41999999999999"/>
    <n v="0.03"/>
    <n v="9"/>
    <n v="1077.6300000000001"/>
    <n v="74"/>
    <n v="0"/>
    <n v="409.07"/>
    <n v="2551.6"/>
    <x v="1"/>
    <n v="347.97"/>
    <x v="8"/>
    <x v="2"/>
    <n v="55"/>
    <s v="Low"/>
    <n v="2606.4899999999998"/>
    <n v="0"/>
  </r>
  <r>
    <x v="32"/>
    <x v="30"/>
    <n v="1635"/>
    <n v="4738.71"/>
    <n v="3476.76"/>
    <n v="1261.95"/>
    <n v="0.73"/>
    <n v="0.19"/>
    <n v="3029.09"/>
    <x v="1"/>
    <n v="654"/>
    <n v="0.38"/>
    <n v="444.23"/>
    <n v="0.09"/>
    <n v="537.72"/>
    <n v="0.11"/>
    <n v="9"/>
    <n v="535.79999999999995"/>
    <n v="61"/>
    <n v="0"/>
    <n v="998.72"/>
    <n v="1191.26"/>
    <x v="1"/>
    <n v="1558.8"/>
    <x v="7"/>
    <x v="0"/>
    <n v="14"/>
    <s v="Medium"/>
    <n v="1261.95"/>
    <n v="0"/>
  </r>
  <r>
    <x v="32"/>
    <x v="30"/>
    <n v="1098"/>
    <n v="4609.38"/>
    <n v="2293.84"/>
    <n v="2315.54"/>
    <n v="0.5"/>
    <n v="0.13"/>
    <n v="3223.98"/>
    <x v="2"/>
    <n v="637"/>
    <n v="0.49"/>
    <n v="405.86"/>
    <n v="0.09"/>
    <n v="154.06"/>
    <n v="0.03"/>
    <n v="3"/>
    <n v="1005.17"/>
    <n v="68"/>
    <n v="0"/>
    <n v="731.86"/>
    <n v="1918.98"/>
    <x v="2"/>
    <n v="928.51"/>
    <x v="3"/>
    <x v="2"/>
    <n v="51.4"/>
    <s v="High"/>
    <n v="2315.54"/>
    <n v="0"/>
  </r>
  <r>
    <x v="32"/>
    <x v="30"/>
    <n v="1512"/>
    <n v="3032.06"/>
    <n v="2532.83"/>
    <n v="499.23"/>
    <n v="0.84"/>
    <n v="0.08"/>
    <n v="2491.6"/>
    <x v="2"/>
    <n v="626"/>
    <n v="0.31"/>
    <n v="905.02"/>
    <n v="0.3"/>
    <n v="441.33"/>
    <n v="0.15"/>
    <n v="4"/>
    <n v="1566.03"/>
    <n v="92"/>
    <n v="0"/>
    <n v="811.21"/>
    <n v="2401.58"/>
    <x v="1"/>
    <n v="1061.3800000000001"/>
    <x v="8"/>
    <x v="0"/>
    <n v="33.299999999999997"/>
    <s v="Low"/>
    <n v="499.23"/>
    <n v="0"/>
  </r>
  <r>
    <x v="32"/>
    <x v="30"/>
    <n v="1584"/>
    <n v="4519.37"/>
    <n v="3956.7"/>
    <n v="562.66999999999996"/>
    <n v="0.88"/>
    <n v="0.06"/>
    <n v="2875.26"/>
    <x v="1"/>
    <n v="630"/>
    <n v="0.28999999999999998"/>
    <n v="481.41"/>
    <n v="0.11"/>
    <n v="629.42999999999995"/>
    <n v="0.14000000000000001"/>
    <n v="8"/>
    <n v="629.74"/>
    <n v="88"/>
    <n v="0"/>
    <n v="827.1"/>
    <n v="2341.3000000000002"/>
    <x v="1"/>
    <n v="831.1"/>
    <x v="4"/>
    <x v="0"/>
    <n v="62.6"/>
    <s v="High"/>
    <n v="562.66999999999996"/>
    <n v="0"/>
  </r>
  <r>
    <x v="32"/>
    <x v="30"/>
    <n v="1061"/>
    <n v="3151.25"/>
    <n v="2228.61"/>
    <n v="922.64"/>
    <n v="0.71"/>
    <n v="0.11"/>
    <n v="3473.51"/>
    <x v="2"/>
    <n v="705"/>
    <n v="0.28999999999999998"/>
    <n v="815.94"/>
    <n v="0.26"/>
    <n v="259.86"/>
    <n v="0.08"/>
    <n v="8"/>
    <n v="1515.69"/>
    <n v="25"/>
    <n v="0"/>
    <n v="604.6"/>
    <n v="1712.89"/>
    <x v="1"/>
    <n v="1161.33"/>
    <x v="8"/>
    <x v="0"/>
    <n v="26"/>
    <s v="Low"/>
    <n v="922.64"/>
    <n v="0"/>
  </r>
  <r>
    <x v="32"/>
    <x v="30"/>
    <n v="1927"/>
    <n v="5332.78"/>
    <n v="3326.59"/>
    <n v="2006.19"/>
    <n v="0.62"/>
    <n v="0.38"/>
    <n v="2237.31"/>
    <x v="1"/>
    <n v="604"/>
    <n v="0.38"/>
    <n v="517.24"/>
    <n v="0.1"/>
    <n v="553.71"/>
    <n v="0.1"/>
    <n v="6"/>
    <n v="449.66"/>
    <n v="92"/>
    <n v="0"/>
    <n v="684.91"/>
    <n v="3058.31"/>
    <x v="1"/>
    <n v="1024.83"/>
    <x v="9"/>
    <x v="0"/>
    <n v="22.2"/>
    <s v="Low"/>
    <n v="2006.19"/>
    <n v="0"/>
  </r>
  <r>
    <x v="32"/>
    <x v="30"/>
    <n v="1495"/>
    <n v="3791.23"/>
    <n v="2182.44"/>
    <n v="1608.79"/>
    <n v="0.57999999999999996"/>
    <n v="0.1"/>
    <n v="2468.39"/>
    <x v="1"/>
    <n v="620"/>
    <n v="0.4"/>
    <n v="407.04"/>
    <n v="0.11"/>
    <n v="331.81"/>
    <n v="0.09"/>
    <n v="6"/>
    <n v="263.94"/>
    <n v="82"/>
    <n v="0"/>
    <n v="810.9"/>
    <n v="2354.17"/>
    <x v="0"/>
    <n v="1349.77"/>
    <x v="6"/>
    <x v="0"/>
    <n v="87.9"/>
    <s v="Medium"/>
    <n v="1608.79"/>
    <n v="0"/>
  </r>
  <r>
    <x v="33"/>
    <x v="31"/>
    <n v="1974"/>
    <n v="3855.03"/>
    <n v="2510.2800000000002"/>
    <n v="1344.75"/>
    <n v="0.65"/>
    <n v="0.4"/>
    <n v="3054.35"/>
    <x v="1"/>
    <n v="736"/>
    <n v="0.52"/>
    <n v="247.74"/>
    <n v="0.06"/>
    <n v="223.91"/>
    <n v="0.06"/>
    <n v="9"/>
    <n v="497.88"/>
    <n v="22"/>
    <n v="0"/>
    <n v="352.05"/>
    <n v="2030.87"/>
    <x v="0"/>
    <n v="994.3"/>
    <x v="1"/>
    <x v="0"/>
    <n v="80.7"/>
    <s v="Low"/>
    <n v="1344.75"/>
    <n v="0"/>
  </r>
  <r>
    <x v="33"/>
    <x v="31"/>
    <n v="1209"/>
    <n v="3456.66"/>
    <n v="2910.41"/>
    <n v="546.25"/>
    <n v="0.84"/>
    <n v="0.3"/>
    <n v="3457.95"/>
    <x v="1"/>
    <n v="611"/>
    <n v="0.48"/>
    <n v="492.74"/>
    <n v="0.14000000000000001"/>
    <n v="222.84"/>
    <n v="0.06"/>
    <n v="7"/>
    <n v="592.01"/>
    <n v="68"/>
    <n v="0"/>
    <n v="429.48"/>
    <n v="2045.01"/>
    <x v="1"/>
    <n v="670"/>
    <x v="7"/>
    <x v="1"/>
    <n v="10.7"/>
    <s v="Low"/>
    <n v="546.25"/>
    <n v="0"/>
  </r>
  <r>
    <x v="33"/>
    <x v="31"/>
    <n v="1975"/>
    <n v="3780.84"/>
    <n v="2435.75"/>
    <n v="1345.09"/>
    <n v="0.64"/>
    <n v="0.4"/>
    <n v="2923.72"/>
    <x v="1"/>
    <n v="639"/>
    <n v="0.25"/>
    <n v="452.79"/>
    <n v="0.12"/>
    <n v="577.32000000000005"/>
    <n v="0.15"/>
    <n v="3"/>
    <n v="244.24"/>
    <n v="38"/>
    <n v="0"/>
    <n v="474.94"/>
    <n v="2171.6"/>
    <x v="2"/>
    <n v="1811.64"/>
    <x v="0"/>
    <x v="1"/>
    <n v="14.4"/>
    <s v="Medium"/>
    <n v="1345.09"/>
    <n v="0"/>
  </r>
  <r>
    <x v="33"/>
    <x v="31"/>
    <n v="1191"/>
    <n v="4625.76"/>
    <n v="3753.91"/>
    <n v="871.85"/>
    <n v="0.81"/>
    <n v="0.17"/>
    <n v="2701.65"/>
    <x v="2"/>
    <n v="727"/>
    <n v="0.3"/>
    <n v="128.13999999999999"/>
    <n v="0.03"/>
    <n v="0"/>
    <n v="0"/>
    <n v="8"/>
    <n v="900.37"/>
    <n v="34"/>
    <n v="0"/>
    <n v="639.96"/>
    <n v="1946.77"/>
    <x v="1"/>
    <n v="1224.58"/>
    <x v="9"/>
    <x v="0"/>
    <n v="50.7"/>
    <s v="Low"/>
    <n v="871.85"/>
    <n v="0"/>
  </r>
  <r>
    <x v="33"/>
    <x v="31"/>
    <n v="1124"/>
    <n v="5046.7700000000004"/>
    <n v="3509.69"/>
    <n v="1537.08"/>
    <n v="0.7"/>
    <n v="0.23"/>
    <n v="2336.6799999999998"/>
    <x v="1"/>
    <n v="664"/>
    <n v="0.16"/>
    <n v="572.28"/>
    <n v="0.11"/>
    <n v="62.53"/>
    <n v="0.01"/>
    <n v="7"/>
    <n v="1500.59"/>
    <n v="94"/>
    <n v="0"/>
    <n v="253.73"/>
    <n v="2968.49"/>
    <x v="2"/>
    <n v="1391.38"/>
    <x v="4"/>
    <x v="2"/>
    <n v="67.7"/>
    <s v="Low"/>
    <n v="1537.08"/>
    <n v="0"/>
  </r>
  <r>
    <x v="33"/>
    <x v="31"/>
    <n v="1588"/>
    <n v="4551.8599999999997"/>
    <n v="2345.0500000000002"/>
    <n v="2206.81"/>
    <n v="0.52"/>
    <n v="0.22"/>
    <n v="2186.9299999999998"/>
    <x v="1"/>
    <n v="711"/>
    <n v="0.11"/>
    <n v="511.6"/>
    <n v="0.11"/>
    <n v="555.36"/>
    <n v="0.12"/>
    <n v="9"/>
    <n v="1723.44"/>
    <n v="58"/>
    <n v="0"/>
    <n v="319.13"/>
    <n v="1874.79"/>
    <x v="1"/>
    <n v="903.03"/>
    <x v="5"/>
    <x v="0"/>
    <n v="39.200000000000003"/>
    <s v="Medium"/>
    <n v="2206.81"/>
    <n v="1"/>
  </r>
  <r>
    <x v="33"/>
    <x v="31"/>
    <n v="1632"/>
    <n v="4971.84"/>
    <n v="3404.51"/>
    <n v="1567.33"/>
    <n v="0.68"/>
    <n v="0.11"/>
    <n v="3803.92"/>
    <x v="0"/>
    <n v="710"/>
    <n v="0.54"/>
    <n v="525.34"/>
    <n v="0.11"/>
    <n v="755.28"/>
    <n v="0.15"/>
    <n v="9"/>
    <n v="911.81"/>
    <n v="28"/>
    <n v="0"/>
    <n v="486.28"/>
    <n v="1589.32"/>
    <x v="2"/>
    <n v="1239.05"/>
    <x v="4"/>
    <x v="0"/>
    <n v="47.7"/>
    <s v="Low"/>
    <n v="1567.33"/>
    <n v="0"/>
  </r>
  <r>
    <x v="33"/>
    <x v="31"/>
    <n v="1211"/>
    <n v="2388.1999999999998"/>
    <n v="2203.69"/>
    <n v="184.51"/>
    <n v="0.92"/>
    <n v="0.36"/>
    <n v="3870.71"/>
    <x v="1"/>
    <n v="702"/>
    <n v="0.6"/>
    <n v="521.29999999999995"/>
    <n v="0.22"/>
    <n v="189.27"/>
    <n v="0.08"/>
    <n v="4"/>
    <n v="199.81"/>
    <n v="66"/>
    <n v="0"/>
    <n v="549.72"/>
    <n v="1877.92"/>
    <x v="1"/>
    <n v="968.27"/>
    <x v="5"/>
    <x v="0"/>
    <n v="26.8"/>
    <s v="High"/>
    <n v="184.51"/>
    <n v="0"/>
  </r>
  <r>
    <x v="33"/>
    <x v="31"/>
    <n v="1157"/>
    <n v="2568.63"/>
    <n v="1685.71"/>
    <n v="882.92"/>
    <n v="0.66"/>
    <n v="0.28999999999999998"/>
    <n v="3389.17"/>
    <x v="1"/>
    <n v="698"/>
    <n v="0.38"/>
    <n v="196.55"/>
    <n v="0.08"/>
    <n v="65.64"/>
    <n v="0.03"/>
    <n v="7"/>
    <n v="1100.43"/>
    <n v="57"/>
    <n v="0"/>
    <n v="353.64"/>
    <n v="2345.79"/>
    <x v="0"/>
    <n v="1577.08"/>
    <x v="7"/>
    <x v="0"/>
    <n v="85.8"/>
    <s v="Medium"/>
    <n v="882.92"/>
    <n v="0"/>
  </r>
  <r>
    <x v="33"/>
    <x v="31"/>
    <n v="1767"/>
    <n v="4316.84"/>
    <n v="2698.31"/>
    <n v="1618.53"/>
    <n v="0.63"/>
    <n v="0.24"/>
    <n v="2797.43"/>
    <x v="1"/>
    <n v="681"/>
    <n v="0.22"/>
    <n v="515.66999999999996"/>
    <n v="0.12"/>
    <n v="687.21"/>
    <n v="0.16"/>
    <n v="2"/>
    <n v="413.97"/>
    <n v="83"/>
    <n v="0"/>
    <n v="518.73"/>
    <n v="2496.7600000000002"/>
    <x v="1"/>
    <n v="737.09"/>
    <x v="5"/>
    <x v="1"/>
    <n v="26.7"/>
    <s v="High"/>
    <n v="1618.53"/>
    <n v="0"/>
  </r>
  <r>
    <x v="33"/>
    <x v="31"/>
    <n v="1741"/>
    <n v="4600.92"/>
    <n v="1713.88"/>
    <n v="2887.04"/>
    <n v="0.37"/>
    <n v="0.24"/>
    <n v="3231.79"/>
    <x v="1"/>
    <n v="654"/>
    <n v="0.51"/>
    <n v="746.07"/>
    <n v="0.16"/>
    <n v="154.04"/>
    <n v="0.03"/>
    <n v="1"/>
    <n v="1294.22"/>
    <n v="69"/>
    <n v="0"/>
    <n v="527.33000000000004"/>
    <n v="1536.2"/>
    <x v="0"/>
    <n v="1125.3499999999999"/>
    <x v="8"/>
    <x v="1"/>
    <n v="27.4"/>
    <s v="Low"/>
    <n v="2887.04"/>
    <n v="0"/>
  </r>
  <r>
    <x v="33"/>
    <x v="31"/>
    <n v="1805"/>
    <n v="4401.9399999999996"/>
    <n v="3683.42"/>
    <n v="718.52"/>
    <n v="0.84"/>
    <n v="0.21"/>
    <n v="3038.19"/>
    <x v="1"/>
    <n v="713"/>
    <n v="0.27"/>
    <n v="269.95"/>
    <n v="0.06"/>
    <n v="1027.3399999999999"/>
    <n v="0.23"/>
    <n v="4"/>
    <n v="1082.75"/>
    <n v="46"/>
    <n v="0"/>
    <n v="700.87"/>
    <n v="2832.69"/>
    <x v="0"/>
    <n v="1234.42"/>
    <x v="6"/>
    <x v="0"/>
    <n v="86.6"/>
    <s v="Medium"/>
    <n v="718.52"/>
    <n v="0"/>
  </r>
  <r>
    <x v="33"/>
    <x v="31"/>
    <n v="1043"/>
    <n v="3802.14"/>
    <n v="3100.35"/>
    <n v="701.79"/>
    <n v="0.82"/>
    <n v="0.19"/>
    <n v="2908.44"/>
    <x v="2"/>
    <n v="708"/>
    <n v="0.11"/>
    <n v="738.5"/>
    <n v="0.19"/>
    <n v="429.62"/>
    <n v="0.11"/>
    <n v="3"/>
    <n v="1209.07"/>
    <n v="42"/>
    <n v="0"/>
    <n v="348.63"/>
    <n v="1936.03"/>
    <x v="1"/>
    <n v="1297.28"/>
    <x v="2"/>
    <x v="0"/>
    <n v="69.2"/>
    <s v="High"/>
    <n v="701.79"/>
    <n v="0"/>
  </r>
  <r>
    <x v="33"/>
    <x v="31"/>
    <n v="1311"/>
    <n v="3043.73"/>
    <n v="2610.81"/>
    <n v="432.92"/>
    <n v="0.86"/>
    <n v="0.33"/>
    <n v="1881.46"/>
    <x v="1"/>
    <n v="636"/>
    <n v="0.55000000000000004"/>
    <n v="547.48"/>
    <n v="0.18"/>
    <n v="91.77"/>
    <n v="0.03"/>
    <n v="3"/>
    <n v="187.59"/>
    <n v="31"/>
    <n v="1"/>
    <n v="625.70000000000005"/>
    <n v="3281.68"/>
    <x v="1"/>
    <n v="1339.25"/>
    <x v="1"/>
    <x v="0"/>
    <n v="2.9"/>
    <s v="High"/>
    <n v="432.92"/>
    <n v="0"/>
  </r>
  <r>
    <x v="33"/>
    <x v="31"/>
    <n v="1530"/>
    <n v="3471.8"/>
    <n v="4290.5200000000004"/>
    <n v="-818.72"/>
    <n v="1.24"/>
    <n v="0.22"/>
    <n v="3042.14"/>
    <x v="2"/>
    <n v="579"/>
    <n v="0.18"/>
    <n v="285.69"/>
    <n v="0.08"/>
    <n v="590.11"/>
    <n v="0.17"/>
    <n v="6"/>
    <n v="952.09"/>
    <n v="51"/>
    <n v="0"/>
    <n v="348.06"/>
    <n v="1999.08"/>
    <x v="1"/>
    <n v="1722.17"/>
    <x v="6"/>
    <x v="0"/>
    <n v="71"/>
    <s v="Low"/>
    <n v="0"/>
    <n v="0"/>
  </r>
  <r>
    <x v="33"/>
    <x v="31"/>
    <n v="1586"/>
    <n v="4726.0200000000004"/>
    <n v="2220.67"/>
    <n v="2505.35"/>
    <n v="0.47"/>
    <n v="0.22"/>
    <n v="2081.31"/>
    <x v="2"/>
    <n v="709"/>
    <n v="0.5"/>
    <n v="534.19000000000005"/>
    <n v="0.11"/>
    <n v="412.02"/>
    <n v="0.09"/>
    <n v="3"/>
    <n v="1394.02"/>
    <n v="33"/>
    <n v="0"/>
    <n v="771.75"/>
    <n v="2093.4499999999998"/>
    <x v="1"/>
    <n v="1751.94"/>
    <x v="0"/>
    <x v="0"/>
    <n v="47.6"/>
    <s v="Medium"/>
    <n v="2505.35"/>
    <n v="1"/>
  </r>
  <r>
    <x v="33"/>
    <x v="31"/>
    <n v="1529"/>
    <n v="3500.91"/>
    <n v="4130.3599999999997"/>
    <n v="-629.45000000000005"/>
    <n v="1.18"/>
    <n v="0.37"/>
    <n v="3043.75"/>
    <x v="1"/>
    <n v="738"/>
    <n v="0.4"/>
    <n v="833.44"/>
    <n v="0.24"/>
    <n v="612.71"/>
    <n v="0.18"/>
    <n v="6"/>
    <n v="979.74"/>
    <n v="60"/>
    <n v="0"/>
    <n v="589.95000000000005"/>
    <n v="2650.27"/>
    <x v="1"/>
    <n v="481.75"/>
    <x v="7"/>
    <x v="0"/>
    <n v="40.4"/>
    <s v="Medium"/>
    <n v="0"/>
    <n v="0"/>
  </r>
  <r>
    <x v="33"/>
    <x v="31"/>
    <n v="1199"/>
    <n v="2067.7199999999998"/>
    <n v="2710.95"/>
    <n v="-643.23"/>
    <n v="1.31"/>
    <n v="0.12"/>
    <n v="3783.45"/>
    <x v="1"/>
    <n v="622"/>
    <n v="0.2"/>
    <n v="250.13"/>
    <n v="0.12"/>
    <n v="520.29999999999995"/>
    <n v="0.25"/>
    <n v="1"/>
    <n v="891.84"/>
    <n v="28"/>
    <n v="0"/>
    <n v="320.48"/>
    <n v="1666.2"/>
    <x v="1"/>
    <n v="1425.06"/>
    <x v="9"/>
    <x v="1"/>
    <n v="97.5"/>
    <s v="Medium"/>
    <n v="0"/>
    <n v="0"/>
  </r>
  <r>
    <x v="33"/>
    <x v="31"/>
    <n v="1521"/>
    <n v="4685.76"/>
    <n v="2810.71"/>
    <n v="1875.05"/>
    <n v="0.6"/>
    <n v="0.34"/>
    <n v="3239.07"/>
    <x v="0"/>
    <n v="649"/>
    <n v="0.12"/>
    <n v="598.9"/>
    <n v="0.13"/>
    <n v="60.52"/>
    <n v="0.01"/>
    <n v="2"/>
    <n v="1015.86"/>
    <n v="51"/>
    <n v="0"/>
    <n v="394.6"/>
    <n v="3227.63"/>
    <x v="1"/>
    <n v="1439.28"/>
    <x v="6"/>
    <x v="1"/>
    <n v="32"/>
    <s v="Low"/>
    <n v="1875.05"/>
    <n v="0"/>
  </r>
  <r>
    <x v="33"/>
    <x v="31"/>
    <n v="1155"/>
    <n v="4176.33"/>
    <n v="3309.43"/>
    <n v="866.9"/>
    <n v="0.79"/>
    <n v="0.25"/>
    <n v="2199.5100000000002"/>
    <x v="2"/>
    <n v="664"/>
    <n v="0.22"/>
    <n v="411.23"/>
    <n v="0.1"/>
    <n v="141.49"/>
    <n v="0.03"/>
    <n v="6"/>
    <n v="1764.29"/>
    <n v="24"/>
    <n v="0"/>
    <n v="521"/>
    <n v="1801.76"/>
    <x v="1"/>
    <n v="1529.15"/>
    <x v="5"/>
    <x v="1"/>
    <n v="78.3"/>
    <s v="High"/>
    <n v="866.9"/>
    <n v="0"/>
  </r>
  <r>
    <x v="33"/>
    <x v="31"/>
    <n v="1659"/>
    <n v="4352.82"/>
    <n v="3150.71"/>
    <n v="1202.1099999999999"/>
    <n v="0.72"/>
    <n v="0.12"/>
    <n v="1930.75"/>
    <x v="1"/>
    <n v="563"/>
    <n v="0.38"/>
    <n v="569.76"/>
    <n v="0.13"/>
    <n v="413.76"/>
    <n v="0.1"/>
    <n v="7"/>
    <n v="803.76"/>
    <n v="99"/>
    <n v="0"/>
    <n v="802.27"/>
    <n v="1045.17"/>
    <x v="2"/>
    <n v="862.82"/>
    <x v="7"/>
    <x v="0"/>
    <n v="5.0999999999999996"/>
    <s v="Low"/>
    <n v="1202.1099999999999"/>
    <n v="0"/>
  </r>
  <r>
    <x v="33"/>
    <x v="31"/>
    <n v="1479"/>
    <n v="3731.63"/>
    <n v="3630.44"/>
    <n v="101.19"/>
    <n v="0.97"/>
    <n v="0.22"/>
    <n v="3251.81"/>
    <x v="1"/>
    <n v="686"/>
    <n v="0.45"/>
    <n v="578.6"/>
    <n v="0.16"/>
    <n v="592.83000000000004"/>
    <n v="0.16"/>
    <n v="7"/>
    <n v="920.03"/>
    <n v="93"/>
    <n v="1"/>
    <n v="398.36"/>
    <n v="2282.5100000000002"/>
    <x v="1"/>
    <n v="1421.51"/>
    <x v="9"/>
    <x v="1"/>
    <n v="90.6"/>
    <s v="Medium"/>
    <n v="101.19"/>
    <n v="0"/>
  </r>
  <r>
    <x v="33"/>
    <x v="31"/>
    <n v="1704"/>
    <n v="4875.42"/>
    <n v="2179.69"/>
    <n v="2695.73"/>
    <n v="0.45"/>
    <n v="0.18"/>
    <n v="2850.22"/>
    <x v="1"/>
    <n v="783"/>
    <n v="0.25"/>
    <n v="276.25"/>
    <n v="0.06"/>
    <n v="235.28"/>
    <n v="0.05"/>
    <n v="5"/>
    <n v="1478.71"/>
    <n v="24"/>
    <n v="0"/>
    <n v="451.73"/>
    <n v="2603.85"/>
    <x v="1"/>
    <n v="1053.6099999999999"/>
    <x v="3"/>
    <x v="0"/>
    <n v="38.4"/>
    <s v="Low"/>
    <n v="2695.73"/>
    <n v="0"/>
  </r>
  <r>
    <x v="33"/>
    <x v="31"/>
    <n v="1762"/>
    <n v="4400.6099999999997"/>
    <n v="2995.2"/>
    <n v="1405.41"/>
    <n v="0.68"/>
    <n v="0.22"/>
    <n v="2811.45"/>
    <x v="1"/>
    <n v="630"/>
    <n v="0.19"/>
    <n v="390.18"/>
    <n v="0.09"/>
    <n v="576.29"/>
    <n v="0.13"/>
    <n v="8"/>
    <n v="1005.54"/>
    <n v="92"/>
    <n v="0"/>
    <n v="836.01"/>
    <n v="1171.9000000000001"/>
    <x v="2"/>
    <n v="1255.79"/>
    <x v="8"/>
    <x v="1"/>
    <n v="14.4"/>
    <s v="Medium"/>
    <n v="1405.41"/>
    <n v="0"/>
  </r>
  <r>
    <x v="33"/>
    <x v="31"/>
    <n v="1134"/>
    <n v="3484.11"/>
    <n v="2959.85"/>
    <n v="524.26"/>
    <n v="0.85"/>
    <n v="0.21"/>
    <n v="3149.1"/>
    <x v="0"/>
    <n v="684"/>
    <n v="0.15"/>
    <n v="429.55"/>
    <n v="0.12"/>
    <n v="215.99"/>
    <n v="0.06"/>
    <n v="5"/>
    <n v="1163.28"/>
    <n v="62"/>
    <n v="0"/>
    <n v="576.61"/>
    <n v="2057.9899999999998"/>
    <x v="0"/>
    <n v="935.74"/>
    <x v="7"/>
    <x v="2"/>
    <n v="16.3"/>
    <s v="Low"/>
    <n v="524.26"/>
    <n v="0"/>
  </r>
  <r>
    <x v="33"/>
    <x v="31"/>
    <n v="1182"/>
    <n v="2742.34"/>
    <n v="3436.62"/>
    <n v="-694.28"/>
    <n v="1.25"/>
    <n v="0.17"/>
    <n v="4121.1000000000004"/>
    <x v="1"/>
    <n v="742"/>
    <n v="0.55000000000000004"/>
    <n v="398.72"/>
    <n v="0.15"/>
    <n v="698.74"/>
    <n v="0.25"/>
    <n v="5"/>
    <n v="1623.95"/>
    <n v="77"/>
    <n v="0"/>
    <n v="196.09"/>
    <n v="1701.61"/>
    <x v="1"/>
    <n v="2048.6"/>
    <x v="5"/>
    <x v="1"/>
    <n v="35"/>
    <s v="Medium"/>
    <n v="0"/>
    <n v="0"/>
  </r>
  <r>
    <x v="33"/>
    <x v="31"/>
    <n v="1427"/>
    <n v="3755.48"/>
    <n v="2775.44"/>
    <n v="980.04"/>
    <n v="0.74"/>
    <n v="0.26"/>
    <n v="1836.01"/>
    <x v="2"/>
    <n v="702"/>
    <n v="0.36"/>
    <n v="577.77"/>
    <n v="0.15"/>
    <n v="374.88"/>
    <n v="0.1"/>
    <n v="8"/>
    <n v="1457.83"/>
    <n v="51"/>
    <n v="0"/>
    <n v="544.51"/>
    <n v="2032.99"/>
    <x v="1"/>
    <n v="1312.42"/>
    <x v="2"/>
    <x v="0"/>
    <n v="57.1"/>
    <s v="Medium"/>
    <n v="980.04"/>
    <n v="0"/>
  </r>
  <r>
    <x v="33"/>
    <x v="31"/>
    <n v="1313"/>
    <n v="3465.48"/>
    <n v="812.73"/>
    <n v="2652.75"/>
    <n v="0.23"/>
    <n v="0.27"/>
    <n v="3439.43"/>
    <x v="0"/>
    <n v="723"/>
    <n v="0.17"/>
    <n v="366.48"/>
    <n v="0.11"/>
    <n v="438.91"/>
    <n v="0.13"/>
    <n v="1"/>
    <n v="472.66"/>
    <n v="71"/>
    <n v="0"/>
    <n v="704.15"/>
    <n v="3518.15"/>
    <x v="0"/>
    <n v="753.28"/>
    <x v="3"/>
    <x v="0"/>
    <n v="74.400000000000006"/>
    <s v="Medium"/>
    <n v="2652.75"/>
    <n v="0"/>
  </r>
  <r>
    <x v="33"/>
    <x v="31"/>
    <n v="1378"/>
    <n v="4823.2"/>
    <n v="1341.46"/>
    <n v="3481.74"/>
    <n v="0.28000000000000003"/>
    <n v="0.4"/>
    <n v="3027.9"/>
    <x v="1"/>
    <n v="684"/>
    <n v="0.5"/>
    <n v="398.95"/>
    <n v="0.08"/>
    <n v="222.28"/>
    <n v="0.05"/>
    <n v="5"/>
    <n v="859.5"/>
    <n v="57"/>
    <n v="0"/>
    <n v="472.96"/>
    <n v="1275.9000000000001"/>
    <x v="1"/>
    <n v="1667.87"/>
    <x v="1"/>
    <x v="1"/>
    <n v="77.400000000000006"/>
    <s v="High"/>
    <n v="3481.74"/>
    <n v="1"/>
  </r>
  <r>
    <x v="33"/>
    <x v="31"/>
    <n v="1623"/>
    <n v="5850.03"/>
    <n v="3600.78"/>
    <n v="2249.25"/>
    <n v="0.62"/>
    <n v="0.34"/>
    <n v="3021.81"/>
    <x v="0"/>
    <n v="640"/>
    <n v="0.21"/>
    <n v="0.76"/>
    <n v="0"/>
    <n v="0"/>
    <n v="0"/>
    <n v="5"/>
    <n v="557.91999999999996"/>
    <n v="66"/>
    <n v="0"/>
    <n v="268.55"/>
    <n v="2139.14"/>
    <x v="1"/>
    <n v="1292.33"/>
    <x v="4"/>
    <x v="0"/>
    <n v="60.9"/>
    <s v="Low"/>
    <n v="2249.25"/>
    <n v="0"/>
  </r>
  <r>
    <x v="33"/>
    <x v="31"/>
    <n v="1845"/>
    <n v="2112.75"/>
    <n v="2620.9499999999998"/>
    <n v="-508.2"/>
    <n v="1.24"/>
    <n v="0.18"/>
    <n v="2930.49"/>
    <x v="2"/>
    <n v="661"/>
    <n v="0.18"/>
    <n v="289.2"/>
    <n v="0.14000000000000001"/>
    <n v="515.71"/>
    <n v="0.24"/>
    <n v="9"/>
    <n v="830.84"/>
    <n v="43"/>
    <n v="0"/>
    <n v="299.8"/>
    <n v="2587.25"/>
    <x v="0"/>
    <n v="1158.33"/>
    <x v="4"/>
    <x v="2"/>
    <n v="16.7"/>
    <s v="High"/>
    <n v="0"/>
    <n v="0"/>
  </r>
  <r>
    <x v="33"/>
    <x v="31"/>
    <n v="1513"/>
    <n v="3550.09"/>
    <n v="2241.6799999999998"/>
    <n v="1308.4100000000001"/>
    <n v="0.63"/>
    <n v="0.2"/>
    <n v="2879.42"/>
    <x v="1"/>
    <n v="587"/>
    <n v="0.34"/>
    <n v="697.57"/>
    <n v="0.2"/>
    <n v="865.3"/>
    <n v="0.24"/>
    <n v="1"/>
    <n v="305.18"/>
    <n v="45"/>
    <n v="0"/>
    <n v="560.30999999999995"/>
    <n v="2884.83"/>
    <x v="1"/>
    <n v="943.14"/>
    <x v="3"/>
    <x v="0"/>
    <n v="88"/>
    <s v="Medium"/>
    <n v="1308.4100000000001"/>
    <n v="0"/>
  </r>
  <r>
    <x v="33"/>
    <x v="31"/>
    <n v="1311"/>
    <n v="3157.9"/>
    <n v="4246.12"/>
    <n v="-1088.22"/>
    <n v="1.34"/>
    <n v="0.19"/>
    <n v="1918.56"/>
    <x v="1"/>
    <n v="687"/>
    <n v="0.35"/>
    <n v="637.41"/>
    <n v="0.2"/>
    <n v="391.21"/>
    <n v="0.12"/>
    <n v="3"/>
    <n v="950.65"/>
    <n v="40"/>
    <n v="0"/>
    <n v="706.49"/>
    <n v="3127.26"/>
    <x v="1"/>
    <n v="1092.3800000000001"/>
    <x v="4"/>
    <x v="0"/>
    <n v="10"/>
    <s v="High"/>
    <n v="0"/>
    <n v="0"/>
  </r>
  <r>
    <x v="33"/>
    <x v="31"/>
    <n v="1647"/>
    <n v="3663.34"/>
    <n v="4942.26"/>
    <n v="-1278.92"/>
    <n v="1.35"/>
    <n v="0.39"/>
    <n v="2136.8000000000002"/>
    <x v="2"/>
    <n v="698"/>
    <n v="0.43"/>
    <n v="538.51"/>
    <n v="0.15"/>
    <n v="318.01"/>
    <n v="0.09"/>
    <n v="5"/>
    <n v="1486.15"/>
    <n v="25"/>
    <n v="0"/>
    <n v="275.41000000000003"/>
    <n v="3557.41"/>
    <x v="1"/>
    <n v="2020.6"/>
    <x v="1"/>
    <x v="2"/>
    <n v="41.6"/>
    <s v="Low"/>
    <n v="0"/>
    <n v="0"/>
  </r>
  <r>
    <x v="33"/>
    <x v="31"/>
    <n v="1839"/>
    <n v="3124.4"/>
    <n v="2548.35"/>
    <n v="576.04999999999995"/>
    <n v="0.82"/>
    <n v="0.28999999999999998"/>
    <n v="3001.68"/>
    <x v="0"/>
    <n v="656"/>
    <n v="0.35"/>
    <n v="627.44000000000005"/>
    <n v="0.2"/>
    <n v="641.62"/>
    <n v="0.21"/>
    <n v="4"/>
    <n v="245.53"/>
    <n v="28"/>
    <n v="0"/>
    <n v="649.13"/>
    <n v="1926.62"/>
    <x v="1"/>
    <n v="1542.79"/>
    <x v="5"/>
    <x v="0"/>
    <n v="65.599999999999994"/>
    <s v="Low"/>
    <n v="576.04999999999995"/>
    <n v="0"/>
  </r>
  <r>
    <x v="33"/>
    <x v="31"/>
    <n v="1376"/>
    <n v="3227.8"/>
    <n v="3693.57"/>
    <n v="-465.77"/>
    <n v="1.1399999999999999"/>
    <n v="0.15"/>
    <n v="2950.17"/>
    <x v="1"/>
    <n v="718"/>
    <n v="0.11"/>
    <n v="423.38"/>
    <n v="0.13"/>
    <n v="298.2"/>
    <n v="0.09"/>
    <n v="3"/>
    <n v="381.42"/>
    <n v="70"/>
    <n v="0"/>
    <n v="531.44000000000005"/>
    <n v="2402.2800000000002"/>
    <x v="1"/>
    <n v="1653.5"/>
    <x v="3"/>
    <x v="0"/>
    <n v="64.8"/>
    <s v="Medium"/>
    <n v="0"/>
    <n v="0"/>
  </r>
  <r>
    <x v="33"/>
    <x v="31"/>
    <n v="1474"/>
    <n v="1698.62"/>
    <n v="4505.3100000000004"/>
    <n v="-2806.69"/>
    <n v="2.65"/>
    <n v="7.0000000000000007E-2"/>
    <n v="2409.7800000000002"/>
    <x v="2"/>
    <n v="674"/>
    <n v="0.17"/>
    <n v="188.68"/>
    <n v="0.11"/>
    <n v="19.899999999999999"/>
    <n v="0.01"/>
    <n v="2"/>
    <n v="1061.4100000000001"/>
    <n v="53"/>
    <n v="0"/>
    <n v="524.4"/>
    <n v="1250.95"/>
    <x v="2"/>
    <n v="1208.95"/>
    <x v="2"/>
    <x v="0"/>
    <n v="26.2"/>
    <s v="Medium"/>
    <n v="0"/>
    <n v="0"/>
  </r>
  <r>
    <x v="33"/>
    <x v="31"/>
    <n v="1821"/>
    <n v="3180.89"/>
    <n v="3172.94"/>
    <n v="7.95"/>
    <n v="1"/>
    <n v="0.15"/>
    <n v="3242.5"/>
    <x v="1"/>
    <n v="645"/>
    <n v="0.47"/>
    <n v="585.24"/>
    <n v="0.18"/>
    <n v="340.72"/>
    <n v="0.11"/>
    <n v="4"/>
    <n v="1422.93"/>
    <n v="22"/>
    <n v="0"/>
    <n v="692.93"/>
    <n v="1550.71"/>
    <x v="1"/>
    <n v="1377.93"/>
    <x v="3"/>
    <x v="1"/>
    <n v="4.5999999999999996"/>
    <s v="Low"/>
    <n v="7.95"/>
    <n v="0"/>
  </r>
  <r>
    <x v="33"/>
    <x v="31"/>
    <n v="1970"/>
    <n v="4403.25"/>
    <n v="3628.64"/>
    <n v="774.61"/>
    <n v="0.82"/>
    <n v="7.0000000000000007E-2"/>
    <n v="3384.63"/>
    <x v="1"/>
    <n v="571"/>
    <n v="0.31"/>
    <n v="371.07"/>
    <n v="0.08"/>
    <n v="761.04"/>
    <n v="0.17"/>
    <n v="4"/>
    <n v="1357.22"/>
    <n v="78"/>
    <n v="0"/>
    <n v="97.24"/>
    <n v="2064.08"/>
    <x v="1"/>
    <n v="1415.28"/>
    <x v="6"/>
    <x v="0"/>
    <n v="45.6"/>
    <s v="Low"/>
    <n v="774.61"/>
    <n v="0"/>
  </r>
  <r>
    <x v="33"/>
    <x v="31"/>
    <n v="1573"/>
    <n v="4829.08"/>
    <n v="3534.87"/>
    <n v="1294.21"/>
    <n v="0.73"/>
    <n v="0.2"/>
    <n v="2578.3000000000002"/>
    <x v="1"/>
    <n v="704"/>
    <n v="0.37"/>
    <n v="516.66999999999996"/>
    <n v="0.11"/>
    <n v="308.19"/>
    <n v="0.06"/>
    <n v="8"/>
    <n v="625.5"/>
    <n v="76"/>
    <n v="0"/>
    <n v="500.92"/>
    <n v="2987.57"/>
    <x v="1"/>
    <n v="1747.6"/>
    <x v="2"/>
    <x v="0"/>
    <n v="92"/>
    <s v="Low"/>
    <n v="1294.21"/>
    <n v="0"/>
  </r>
  <r>
    <x v="33"/>
    <x v="31"/>
    <n v="1838"/>
    <n v="3322.2"/>
    <n v="2672.82"/>
    <n v="649.38"/>
    <n v="0.8"/>
    <n v="0.18"/>
    <n v="3327.51"/>
    <x v="1"/>
    <n v="685"/>
    <n v="0.27"/>
    <n v="293.64999999999998"/>
    <n v="0.09"/>
    <n v="254.59"/>
    <n v="0.08"/>
    <n v="6"/>
    <n v="750.49"/>
    <n v="35"/>
    <n v="0"/>
    <n v="335.25"/>
    <n v="3385.68"/>
    <x v="1"/>
    <n v="1261.58"/>
    <x v="2"/>
    <x v="0"/>
    <n v="33.200000000000003"/>
    <s v="Medium"/>
    <n v="649.38"/>
    <n v="0"/>
  </r>
  <r>
    <x v="33"/>
    <x v="31"/>
    <n v="1352"/>
    <n v="2516.7399999999998"/>
    <n v="1724.5"/>
    <n v="792.24"/>
    <n v="0.69"/>
    <n v="0.23"/>
    <n v="2638.64"/>
    <x v="0"/>
    <n v="753"/>
    <n v="0.39"/>
    <n v="518.13"/>
    <n v="0.21"/>
    <n v="777.85"/>
    <n v="0.31"/>
    <n v="5"/>
    <n v="666.38"/>
    <n v="30"/>
    <n v="0"/>
    <n v="478.8"/>
    <n v="2346.23"/>
    <x v="1"/>
    <n v="1115.6500000000001"/>
    <x v="3"/>
    <x v="2"/>
    <n v="88.2"/>
    <s v="Medium"/>
    <n v="792.24"/>
    <n v="0"/>
  </r>
  <r>
    <x v="33"/>
    <x v="31"/>
    <n v="1518"/>
    <n v="3072.79"/>
    <n v="3061.53"/>
    <n v="11.26"/>
    <n v="1"/>
    <n v="0.36"/>
    <n v="2147.31"/>
    <x v="0"/>
    <n v="630"/>
    <n v="0.51"/>
    <n v="433.6"/>
    <n v="0.14000000000000001"/>
    <n v="250.3"/>
    <n v="0.08"/>
    <n v="1"/>
    <n v="1069.3699999999999"/>
    <n v="93"/>
    <n v="0"/>
    <n v="163.86"/>
    <n v="2568.9899999999998"/>
    <x v="1"/>
    <n v="928.37"/>
    <x v="6"/>
    <x v="0"/>
    <n v="10.6"/>
    <s v="High"/>
    <n v="11.26"/>
    <n v="0"/>
  </r>
  <r>
    <x v="33"/>
    <x v="31"/>
    <n v="1346"/>
    <n v="3888.45"/>
    <n v="908.09"/>
    <n v="2980.36"/>
    <n v="0.23"/>
    <n v="0.22"/>
    <n v="2399.63"/>
    <x v="1"/>
    <n v="677"/>
    <n v="0.3"/>
    <n v="230.28"/>
    <n v="0.06"/>
    <n v="406.68"/>
    <n v="0.1"/>
    <n v="1"/>
    <n v="458.03"/>
    <n v="98"/>
    <n v="0"/>
    <n v="669.41"/>
    <n v="2302.2800000000002"/>
    <x v="0"/>
    <n v="1312.26"/>
    <x v="3"/>
    <x v="0"/>
    <n v="8.6"/>
    <s v="Medium"/>
    <n v="2980.36"/>
    <n v="1"/>
  </r>
  <r>
    <x v="33"/>
    <x v="31"/>
    <n v="1989"/>
    <n v="5329.29"/>
    <n v="2140.66"/>
    <n v="3188.63"/>
    <n v="0.4"/>
    <n v="0.14000000000000001"/>
    <n v="2394.66"/>
    <x v="1"/>
    <n v="703"/>
    <n v="0.51"/>
    <n v="375.64"/>
    <n v="7.0000000000000007E-2"/>
    <n v="0"/>
    <n v="0"/>
    <n v="1"/>
    <n v="987.64"/>
    <n v="26"/>
    <n v="0"/>
    <n v="552.32000000000005"/>
    <n v="2568.6799999999998"/>
    <x v="0"/>
    <n v="968.17"/>
    <x v="6"/>
    <x v="2"/>
    <n v="69.400000000000006"/>
    <s v="Medium"/>
    <n v="3188.63"/>
    <n v="1"/>
  </r>
  <r>
    <x v="33"/>
    <x v="31"/>
    <n v="1992"/>
    <n v="2586.75"/>
    <n v="1986.99"/>
    <n v="599.76"/>
    <n v="0.77"/>
    <n v="0.28999999999999998"/>
    <n v="2541.13"/>
    <x v="0"/>
    <n v="729"/>
    <n v="0.13"/>
    <n v="755.51"/>
    <n v="0.28999999999999998"/>
    <n v="146.19999999999999"/>
    <n v="0.06"/>
    <n v="5"/>
    <n v="822.22"/>
    <n v="58"/>
    <n v="0"/>
    <n v="634.79999999999995"/>
    <n v="2620.12"/>
    <x v="2"/>
    <n v="823.97"/>
    <x v="0"/>
    <x v="0"/>
    <n v="0.8"/>
    <s v="Medium"/>
    <n v="599.76"/>
    <n v="0"/>
  </r>
  <r>
    <x v="33"/>
    <x v="31"/>
    <n v="1664"/>
    <n v="2254.1"/>
    <n v="2907.71"/>
    <n v="-653.61"/>
    <n v="1.29"/>
    <n v="0.06"/>
    <n v="2962.08"/>
    <x v="1"/>
    <n v="627"/>
    <n v="0.37"/>
    <n v="310.87"/>
    <n v="0.14000000000000001"/>
    <n v="111.81"/>
    <n v="0.05"/>
    <n v="5"/>
    <n v="1673.62"/>
    <n v="90"/>
    <n v="1"/>
    <n v="71.5"/>
    <n v="2176.83"/>
    <x v="0"/>
    <n v="499.62"/>
    <x v="0"/>
    <x v="0"/>
    <n v="40.799999999999997"/>
    <s v="Low"/>
    <n v="0"/>
    <n v="0"/>
  </r>
  <r>
    <x v="33"/>
    <x v="31"/>
    <n v="1830"/>
    <n v="5657.79"/>
    <n v="2451.35"/>
    <n v="3206.44"/>
    <n v="0.43"/>
    <n v="0.39"/>
    <n v="3379.92"/>
    <x v="2"/>
    <n v="699"/>
    <n v="0.13"/>
    <n v="335.67"/>
    <n v="0.06"/>
    <n v="0"/>
    <n v="0"/>
    <n v="1"/>
    <n v="707.36"/>
    <n v="74"/>
    <n v="0"/>
    <n v="305.22000000000003"/>
    <n v="2246.46"/>
    <x v="1"/>
    <n v="1225.69"/>
    <x v="1"/>
    <x v="0"/>
    <n v="53.2"/>
    <s v="Medium"/>
    <n v="3206.44"/>
    <n v="0"/>
  </r>
  <r>
    <x v="33"/>
    <x v="31"/>
    <n v="1440"/>
    <n v="4377.63"/>
    <n v="2794.15"/>
    <n v="1583.48"/>
    <n v="0.64"/>
    <n v="0.39"/>
    <n v="3077.36"/>
    <x v="1"/>
    <n v="692"/>
    <n v="0.28999999999999998"/>
    <n v="266.39999999999998"/>
    <n v="0.06"/>
    <n v="736.35"/>
    <n v="0.17"/>
    <n v="8"/>
    <n v="82.81"/>
    <n v="43"/>
    <n v="0"/>
    <n v="429.96"/>
    <n v="1431.11"/>
    <x v="1"/>
    <n v="1077.81"/>
    <x v="3"/>
    <x v="2"/>
    <n v="82.7"/>
    <s v="Low"/>
    <n v="1583.48"/>
    <n v="0"/>
  </r>
  <r>
    <x v="33"/>
    <x v="31"/>
    <n v="1863"/>
    <n v="4481.62"/>
    <n v="4257.87"/>
    <n v="223.75"/>
    <n v="0.95"/>
    <n v="0.18"/>
    <n v="3410"/>
    <x v="1"/>
    <n v="718"/>
    <n v="0.18"/>
    <n v="253.33"/>
    <n v="0.06"/>
    <n v="226.09"/>
    <n v="0.05"/>
    <n v="3"/>
    <n v="270.58"/>
    <n v="63"/>
    <n v="0"/>
    <n v="706.62"/>
    <n v="2023.32"/>
    <x v="2"/>
    <n v="1209.92"/>
    <x v="1"/>
    <x v="0"/>
    <n v="47.4"/>
    <s v="Medium"/>
    <n v="223.75"/>
    <n v="0"/>
  </r>
  <r>
    <x v="34"/>
    <x v="32"/>
    <n v="1730"/>
    <n v="3725.58"/>
    <n v="3430.91"/>
    <n v="294.67"/>
    <n v="0.92"/>
    <n v="0.08"/>
    <n v="2739.51"/>
    <x v="1"/>
    <n v="771"/>
    <n v="0.43"/>
    <n v="588.67999999999995"/>
    <n v="0.16"/>
    <n v="736.18"/>
    <n v="0.2"/>
    <n v="9"/>
    <n v="890.21"/>
    <n v="70"/>
    <n v="0"/>
    <n v="0"/>
    <n v="1675.65"/>
    <x v="1"/>
    <n v="834.94"/>
    <x v="6"/>
    <x v="0"/>
    <n v="88.5"/>
    <s v="Medium"/>
    <n v="294.67"/>
    <n v="0"/>
  </r>
  <r>
    <x v="34"/>
    <x v="32"/>
    <n v="1896"/>
    <n v="2954.93"/>
    <n v="5011.59"/>
    <n v="-2056.66"/>
    <n v="1.7"/>
    <n v="0.19"/>
    <n v="3533.22"/>
    <x v="0"/>
    <n v="696"/>
    <n v="0.35"/>
    <n v="324.05"/>
    <n v="0.11"/>
    <n v="608.22"/>
    <n v="0.21"/>
    <n v="1"/>
    <n v="959.69"/>
    <n v="69"/>
    <n v="0"/>
    <n v="516.67999999999995"/>
    <n v="2701.17"/>
    <x v="1"/>
    <n v="1902.67"/>
    <x v="8"/>
    <x v="1"/>
    <n v="1"/>
    <s v="High"/>
    <n v="0"/>
    <n v="0"/>
  </r>
  <r>
    <x v="34"/>
    <x v="32"/>
    <n v="1611"/>
    <n v="4348"/>
    <n v="2301"/>
    <n v="2047"/>
    <n v="0.53"/>
    <n v="0.16"/>
    <n v="2533.29"/>
    <x v="1"/>
    <n v="714"/>
    <n v="0.39"/>
    <n v="210.95"/>
    <n v="0.05"/>
    <n v="335.33"/>
    <n v="0.08"/>
    <n v="4"/>
    <n v="976.95"/>
    <n v="79"/>
    <n v="0"/>
    <n v="818.7"/>
    <n v="2833.09"/>
    <x v="1"/>
    <n v="1248.21"/>
    <x v="1"/>
    <x v="1"/>
    <n v="13"/>
    <s v="Medium"/>
    <n v="2047"/>
    <n v="0"/>
  </r>
  <r>
    <x v="34"/>
    <x v="32"/>
    <n v="1419"/>
    <n v="4153.75"/>
    <n v="2946.18"/>
    <n v="1207.57"/>
    <n v="0.71"/>
    <n v="0.37"/>
    <n v="2685.02"/>
    <x v="2"/>
    <n v="680"/>
    <n v="0.31"/>
    <n v="577.34"/>
    <n v="0.14000000000000001"/>
    <n v="482.11"/>
    <n v="0.12"/>
    <n v="4"/>
    <n v="1297.8599999999999"/>
    <n v="72"/>
    <n v="0"/>
    <n v="686.32"/>
    <n v="2952.92"/>
    <x v="0"/>
    <n v="1156.4000000000001"/>
    <x v="7"/>
    <x v="0"/>
    <n v="81.7"/>
    <s v="High"/>
    <n v="1207.57"/>
    <n v="0"/>
  </r>
  <r>
    <x v="34"/>
    <x v="32"/>
    <n v="1760"/>
    <n v="3273.03"/>
    <n v="4972.57"/>
    <n v="-1699.54"/>
    <n v="1.52"/>
    <n v="0.19"/>
    <n v="2089.5300000000002"/>
    <x v="1"/>
    <n v="752"/>
    <n v="0.6"/>
    <n v="369.34"/>
    <n v="0.11"/>
    <n v="595.49"/>
    <n v="0.18"/>
    <n v="3"/>
    <n v="374.93"/>
    <n v="99"/>
    <n v="0"/>
    <n v="465.91"/>
    <n v="2604.5300000000002"/>
    <x v="0"/>
    <n v="1014.43"/>
    <x v="9"/>
    <x v="2"/>
    <n v="14.5"/>
    <s v="Low"/>
    <n v="0"/>
    <n v="0"/>
  </r>
  <r>
    <x v="34"/>
    <x v="32"/>
    <n v="1279"/>
    <n v="3550.85"/>
    <n v="2607.9899999999998"/>
    <n v="942.86"/>
    <n v="0.73"/>
    <n v="0.32"/>
    <n v="2261.81"/>
    <x v="1"/>
    <n v="716"/>
    <n v="0.39"/>
    <n v="593.65"/>
    <n v="0.17"/>
    <n v="11.25"/>
    <n v="0"/>
    <n v="4"/>
    <n v="384.88"/>
    <n v="35"/>
    <n v="0"/>
    <n v="669.37"/>
    <n v="2166.84"/>
    <x v="0"/>
    <n v="1311.01"/>
    <x v="1"/>
    <x v="2"/>
    <n v="21.9"/>
    <s v="High"/>
    <n v="942.86"/>
    <n v="0"/>
  </r>
  <r>
    <x v="34"/>
    <x v="32"/>
    <n v="1920"/>
    <n v="2598.41"/>
    <n v="4365.72"/>
    <n v="-1767.31"/>
    <n v="1.68"/>
    <n v="0.05"/>
    <n v="2220"/>
    <x v="1"/>
    <n v="636"/>
    <n v="0.28000000000000003"/>
    <n v="928.42"/>
    <n v="0.36"/>
    <n v="352.1"/>
    <n v="0.14000000000000001"/>
    <n v="5"/>
    <n v="1550.37"/>
    <n v="81"/>
    <n v="0"/>
    <n v="281.92"/>
    <n v="1488.14"/>
    <x v="1"/>
    <n v="1208.3900000000001"/>
    <x v="9"/>
    <x v="0"/>
    <n v="46.5"/>
    <s v="Low"/>
    <n v="0"/>
    <n v="0"/>
  </r>
  <r>
    <x v="34"/>
    <x v="32"/>
    <n v="1572"/>
    <n v="4672.84"/>
    <n v="3412.94"/>
    <n v="1259.9000000000001"/>
    <n v="0.73"/>
    <n v="0.28999999999999998"/>
    <n v="3249.47"/>
    <x v="1"/>
    <n v="675"/>
    <n v="0.53"/>
    <n v="360.24"/>
    <n v="0.08"/>
    <n v="369.69"/>
    <n v="0.08"/>
    <n v="5"/>
    <n v="190.83"/>
    <n v="73"/>
    <n v="0"/>
    <n v="319.77"/>
    <n v="1814.17"/>
    <x v="1"/>
    <n v="1345.52"/>
    <x v="4"/>
    <x v="0"/>
    <n v="2.6"/>
    <s v="Low"/>
    <n v="1259.9000000000001"/>
    <n v="0"/>
  </r>
  <r>
    <x v="34"/>
    <x v="32"/>
    <n v="1401"/>
    <n v="3851.08"/>
    <n v="2650.81"/>
    <n v="1200.27"/>
    <n v="0.69"/>
    <n v="0.2"/>
    <n v="2478.42"/>
    <x v="1"/>
    <n v="684"/>
    <n v="0.31"/>
    <n v="398.24"/>
    <n v="0.1"/>
    <n v="624.99"/>
    <n v="0.16"/>
    <n v="6"/>
    <n v="1125.3699999999999"/>
    <n v="95"/>
    <n v="0"/>
    <n v="680.06"/>
    <n v="2273.9899999999998"/>
    <x v="1"/>
    <n v="719.04"/>
    <x v="9"/>
    <x v="0"/>
    <n v="0.3"/>
    <s v="Medium"/>
    <n v="1200.27"/>
    <n v="0"/>
  </r>
  <r>
    <x v="34"/>
    <x v="32"/>
    <n v="1603"/>
    <n v="3457.99"/>
    <n v="3482.58"/>
    <n v="-24.59"/>
    <n v="1.01"/>
    <n v="0.38"/>
    <n v="2505.38"/>
    <x v="1"/>
    <n v="626"/>
    <n v="0.13"/>
    <n v="441.16"/>
    <n v="0.13"/>
    <n v="0"/>
    <n v="0"/>
    <n v="9"/>
    <n v="820.45"/>
    <n v="94"/>
    <n v="0"/>
    <n v="596.38"/>
    <n v="1392.57"/>
    <x v="1"/>
    <n v="1874.98"/>
    <x v="3"/>
    <x v="0"/>
    <n v="4.5999999999999996"/>
    <s v="Low"/>
    <n v="0"/>
    <n v="0"/>
  </r>
  <r>
    <x v="34"/>
    <x v="32"/>
    <n v="1021"/>
    <n v="4077.43"/>
    <n v="2765.5"/>
    <n v="1311.93"/>
    <n v="0.68"/>
    <n v="0.14000000000000001"/>
    <n v="2304.88"/>
    <x v="1"/>
    <n v="717"/>
    <n v="0.57999999999999996"/>
    <n v="442.84"/>
    <n v="0.11"/>
    <n v="395.29"/>
    <n v="0.1"/>
    <n v="5"/>
    <n v="254.77"/>
    <n v="62"/>
    <n v="0"/>
    <n v="381.56"/>
    <n v="2243"/>
    <x v="1"/>
    <n v="1192.83"/>
    <x v="1"/>
    <x v="0"/>
    <n v="64.3"/>
    <s v="Low"/>
    <n v="1311.93"/>
    <n v="0"/>
  </r>
  <r>
    <x v="34"/>
    <x v="32"/>
    <n v="1059"/>
    <n v="4266.04"/>
    <n v="2042.77"/>
    <n v="2223.27"/>
    <n v="0.48"/>
    <n v="0.3"/>
    <n v="2658.01"/>
    <x v="0"/>
    <n v="622"/>
    <n v="0.47"/>
    <n v="567.15"/>
    <n v="0.13"/>
    <n v="155.05000000000001"/>
    <n v="0.04"/>
    <n v="8"/>
    <n v="1067.29"/>
    <n v="63"/>
    <n v="0"/>
    <n v="602.65"/>
    <n v="2721.13"/>
    <x v="0"/>
    <n v="2251.1999999999998"/>
    <x v="7"/>
    <x v="1"/>
    <n v="61.6"/>
    <s v="Medium"/>
    <n v="2223.27"/>
    <n v="0"/>
  </r>
  <r>
    <x v="34"/>
    <x v="32"/>
    <n v="1890"/>
    <n v="3937.79"/>
    <n v="4417.8599999999997"/>
    <n v="-480.07"/>
    <n v="1.1200000000000001"/>
    <n v="0.35"/>
    <n v="2723.54"/>
    <x v="1"/>
    <n v="547"/>
    <n v="0.53"/>
    <n v="313.01"/>
    <n v="0.08"/>
    <n v="551.84"/>
    <n v="0.14000000000000001"/>
    <n v="6"/>
    <n v="1468.52"/>
    <n v="75"/>
    <n v="0"/>
    <n v="580.09"/>
    <n v="2247.9299999999998"/>
    <x v="1"/>
    <n v="1660.24"/>
    <x v="1"/>
    <x v="0"/>
    <n v="62.1"/>
    <s v="Low"/>
    <n v="0"/>
    <n v="0"/>
  </r>
  <r>
    <x v="34"/>
    <x v="32"/>
    <n v="1632"/>
    <n v="3108.58"/>
    <n v="2515.06"/>
    <n v="593.52"/>
    <n v="0.81"/>
    <n v="0.32"/>
    <n v="2660.53"/>
    <x v="1"/>
    <n v="626"/>
    <n v="0.16"/>
    <n v="456.07"/>
    <n v="0.15"/>
    <n v="480.76"/>
    <n v="0.15"/>
    <n v="8"/>
    <n v="532.33000000000004"/>
    <n v="40"/>
    <n v="0"/>
    <n v="120.81"/>
    <n v="1453.54"/>
    <x v="1"/>
    <n v="1388.29"/>
    <x v="2"/>
    <x v="0"/>
    <n v="88.9"/>
    <s v="Low"/>
    <n v="593.52"/>
    <n v="0"/>
  </r>
  <r>
    <x v="34"/>
    <x v="32"/>
    <n v="1616"/>
    <n v="3489.98"/>
    <n v="3478.88"/>
    <n v="11.1"/>
    <n v="1"/>
    <n v="0.35"/>
    <n v="3010.67"/>
    <x v="1"/>
    <n v="633"/>
    <n v="0.5"/>
    <n v="655.63"/>
    <n v="0.19"/>
    <n v="604.46"/>
    <n v="0.17"/>
    <n v="4"/>
    <n v="1200.67"/>
    <n v="34"/>
    <n v="0"/>
    <n v="911.82"/>
    <n v="1885.5"/>
    <x v="1"/>
    <n v="1421.29"/>
    <x v="1"/>
    <x v="2"/>
    <n v="71.900000000000006"/>
    <s v="High"/>
    <n v="11.1"/>
    <n v="0"/>
  </r>
  <r>
    <x v="34"/>
    <x v="32"/>
    <n v="1418"/>
    <n v="4075.23"/>
    <n v="1152.24"/>
    <n v="2922.99"/>
    <n v="0.28000000000000003"/>
    <n v="0.4"/>
    <n v="3083.69"/>
    <x v="1"/>
    <n v="671"/>
    <n v="0.43"/>
    <n v="434.12"/>
    <n v="0.11"/>
    <n v="370.53"/>
    <n v="0.09"/>
    <n v="7"/>
    <n v="1487.26"/>
    <n v="80"/>
    <n v="0"/>
    <n v="552.13"/>
    <n v="2281.81"/>
    <x v="1"/>
    <n v="1253.49"/>
    <x v="6"/>
    <x v="1"/>
    <n v="75.7"/>
    <s v="Low"/>
    <n v="2922.99"/>
    <n v="0"/>
  </r>
  <r>
    <x v="34"/>
    <x v="32"/>
    <n v="1572"/>
    <n v="2292.67"/>
    <n v="2613.5"/>
    <n v="-320.83"/>
    <n v="1.1399999999999999"/>
    <n v="0.22"/>
    <n v="2775.48"/>
    <x v="2"/>
    <n v="732"/>
    <n v="0.55000000000000004"/>
    <n v="287.29000000000002"/>
    <n v="0.13"/>
    <n v="511.27"/>
    <n v="0.22"/>
    <n v="3"/>
    <n v="600.82000000000005"/>
    <n v="73"/>
    <n v="0"/>
    <n v="441.22"/>
    <n v="2527.1"/>
    <x v="0"/>
    <n v="349.21"/>
    <x v="4"/>
    <x v="2"/>
    <n v="39.1"/>
    <s v="Low"/>
    <n v="0"/>
    <n v="0"/>
  </r>
  <r>
    <x v="34"/>
    <x v="32"/>
    <n v="1010"/>
    <n v="3496.37"/>
    <n v="3863.84"/>
    <n v="-367.47"/>
    <n v="1.1100000000000001"/>
    <n v="0.19"/>
    <n v="2388.69"/>
    <x v="1"/>
    <n v="608"/>
    <n v="0.25"/>
    <n v="736.24"/>
    <n v="0.21"/>
    <n v="248.68"/>
    <n v="7.0000000000000007E-2"/>
    <n v="6"/>
    <n v="457.74"/>
    <n v="96"/>
    <n v="0"/>
    <n v="268.18"/>
    <n v="2028.19"/>
    <x v="1"/>
    <n v="1415.05"/>
    <x v="0"/>
    <x v="2"/>
    <n v="65.7"/>
    <s v="Low"/>
    <n v="0"/>
    <n v="0"/>
  </r>
  <r>
    <x v="34"/>
    <x v="32"/>
    <n v="1271"/>
    <n v="4977.3500000000004"/>
    <n v="2036.96"/>
    <n v="2940.39"/>
    <n v="0.41"/>
    <n v="0.28999999999999998"/>
    <n v="3143.3"/>
    <x v="2"/>
    <n v="753"/>
    <n v="0.6"/>
    <n v="349.66"/>
    <n v="7.0000000000000007E-2"/>
    <n v="621.65"/>
    <n v="0.12"/>
    <n v="4"/>
    <n v="843.86"/>
    <n v="83"/>
    <n v="0"/>
    <n v="294.19"/>
    <n v="2990.21"/>
    <x v="2"/>
    <n v="757.51"/>
    <x v="1"/>
    <x v="0"/>
    <n v="33"/>
    <s v="Medium"/>
    <n v="2940.39"/>
    <n v="0"/>
  </r>
  <r>
    <x v="34"/>
    <x v="32"/>
    <n v="1465"/>
    <n v="5655.8"/>
    <n v="2328.1799999999998"/>
    <n v="3327.62"/>
    <n v="0.41"/>
    <n v="0.17"/>
    <n v="2441.63"/>
    <x v="2"/>
    <n v="663"/>
    <n v="0.59"/>
    <n v="603.25"/>
    <n v="0.11"/>
    <n v="410.79"/>
    <n v="7.0000000000000007E-2"/>
    <n v="1"/>
    <n v="1668.64"/>
    <n v="97"/>
    <n v="0"/>
    <n v="349.24"/>
    <n v="1983.67"/>
    <x v="1"/>
    <n v="1892.02"/>
    <x v="8"/>
    <x v="0"/>
    <n v="94.6"/>
    <s v="Low"/>
    <n v="3327.62"/>
    <n v="1"/>
  </r>
  <r>
    <x v="34"/>
    <x v="32"/>
    <n v="1929"/>
    <n v="3370.26"/>
    <n v="2595.71"/>
    <n v="774.55"/>
    <n v="0.77"/>
    <n v="0.36"/>
    <n v="2606.29"/>
    <x v="0"/>
    <n v="651"/>
    <n v="0.17"/>
    <n v="386.21"/>
    <n v="0.11"/>
    <n v="511.3"/>
    <n v="0.15"/>
    <n v="1"/>
    <n v="1223.95"/>
    <n v="47"/>
    <n v="1"/>
    <n v="334.91"/>
    <n v="2263.54"/>
    <x v="1"/>
    <n v="1268.81"/>
    <x v="6"/>
    <x v="1"/>
    <n v="87.9"/>
    <s v="High"/>
    <n v="774.55"/>
    <n v="0"/>
  </r>
  <r>
    <x v="34"/>
    <x v="32"/>
    <n v="1520"/>
    <n v="4404.16"/>
    <n v="3518.73"/>
    <n v="885.43"/>
    <n v="0.8"/>
    <n v="0.28999999999999998"/>
    <n v="3380.32"/>
    <x v="0"/>
    <n v="694"/>
    <n v="0.13"/>
    <n v="432.02"/>
    <n v="0.1"/>
    <n v="214.42"/>
    <n v="0.05"/>
    <n v="8"/>
    <n v="1660.73"/>
    <n v="99"/>
    <n v="0"/>
    <n v="590"/>
    <n v="2905.03"/>
    <x v="1"/>
    <n v="1055.8900000000001"/>
    <x v="6"/>
    <x v="1"/>
    <n v="25.4"/>
    <s v="Low"/>
    <n v="885.43"/>
    <n v="0"/>
  </r>
  <r>
    <x v="34"/>
    <x v="32"/>
    <n v="1599"/>
    <n v="5009.67"/>
    <n v="3363.98"/>
    <n v="1645.69"/>
    <n v="0.67"/>
    <n v="0.11"/>
    <n v="3298.25"/>
    <x v="0"/>
    <n v="659"/>
    <n v="0.19"/>
    <n v="591.25"/>
    <n v="0.12"/>
    <n v="264.25"/>
    <n v="0.05"/>
    <n v="9"/>
    <n v="797.59"/>
    <n v="79"/>
    <n v="0"/>
    <n v="235.79"/>
    <n v="2164.94"/>
    <x v="1"/>
    <n v="1596.06"/>
    <x v="0"/>
    <x v="2"/>
    <n v="41.2"/>
    <s v="Low"/>
    <n v="1645.69"/>
    <n v="0"/>
  </r>
  <r>
    <x v="34"/>
    <x v="32"/>
    <n v="1337"/>
    <n v="4174.9399999999996"/>
    <n v="2718.75"/>
    <n v="1456.19"/>
    <n v="0.65"/>
    <n v="0.26"/>
    <n v="2946.37"/>
    <x v="0"/>
    <n v="658"/>
    <n v="0.11"/>
    <n v="756.8"/>
    <n v="0.18"/>
    <n v="325"/>
    <n v="0.08"/>
    <n v="7"/>
    <n v="1884.87"/>
    <n v="41"/>
    <n v="0"/>
    <n v="701.53"/>
    <n v="2254.85"/>
    <x v="1"/>
    <n v="1083.01"/>
    <x v="9"/>
    <x v="0"/>
    <n v="8.3000000000000007"/>
    <s v="Low"/>
    <n v="1456.19"/>
    <n v="0"/>
  </r>
  <r>
    <x v="34"/>
    <x v="32"/>
    <n v="1421"/>
    <n v="4746.63"/>
    <n v="1994.56"/>
    <n v="2752.07"/>
    <n v="0.42"/>
    <n v="0.28999999999999998"/>
    <n v="2177.4899999999998"/>
    <x v="1"/>
    <n v="719"/>
    <n v="0.2"/>
    <n v="483.5"/>
    <n v="0.1"/>
    <n v="410.04"/>
    <n v="0.09"/>
    <n v="4"/>
    <n v="1692.67"/>
    <n v="95"/>
    <n v="0"/>
    <n v="606.80999999999995"/>
    <n v="2967.46"/>
    <x v="2"/>
    <n v="929.47"/>
    <x v="6"/>
    <x v="0"/>
    <n v="66"/>
    <s v="Low"/>
    <n v="2752.07"/>
    <n v="1"/>
  </r>
  <r>
    <x v="34"/>
    <x v="32"/>
    <n v="1541"/>
    <n v="4693.72"/>
    <n v="3273.57"/>
    <n v="1420.15"/>
    <n v="0.7"/>
    <n v="0.09"/>
    <n v="2088.79"/>
    <x v="1"/>
    <n v="640"/>
    <n v="0.27"/>
    <n v="434.86"/>
    <n v="0.09"/>
    <n v="68.16"/>
    <n v="0.01"/>
    <n v="4"/>
    <n v="762.47"/>
    <n v="65"/>
    <n v="0"/>
    <n v="960.73"/>
    <n v="2233.0700000000002"/>
    <x v="0"/>
    <n v="538.49"/>
    <x v="3"/>
    <x v="0"/>
    <n v="29.1"/>
    <s v="High"/>
    <n v="1420.15"/>
    <n v="0"/>
  </r>
  <r>
    <x v="34"/>
    <x v="32"/>
    <n v="1322"/>
    <n v="4568.97"/>
    <n v="2828.91"/>
    <n v="1740.06"/>
    <n v="0.62"/>
    <n v="0.37"/>
    <n v="2403.58"/>
    <x v="1"/>
    <n v="731"/>
    <n v="0.41"/>
    <n v="524.66999999999996"/>
    <n v="0.11"/>
    <n v="269.48"/>
    <n v="0.06"/>
    <n v="1"/>
    <n v="893.3"/>
    <n v="77"/>
    <n v="0"/>
    <n v="509.65"/>
    <n v="2451.62"/>
    <x v="1"/>
    <n v="1302.44"/>
    <x v="1"/>
    <x v="1"/>
    <n v="51.1"/>
    <s v="Medium"/>
    <n v="1740.06"/>
    <n v="0"/>
  </r>
  <r>
    <x v="34"/>
    <x v="32"/>
    <n v="1141"/>
    <n v="3298.01"/>
    <n v="3312.21"/>
    <n v="-14.2"/>
    <n v="1"/>
    <n v="0.37"/>
    <n v="3043.58"/>
    <x v="1"/>
    <n v="654"/>
    <n v="0.37"/>
    <n v="618.12"/>
    <n v="0.19"/>
    <n v="269.51"/>
    <n v="0.08"/>
    <n v="5"/>
    <n v="1287.75"/>
    <n v="30"/>
    <n v="0"/>
    <n v="666.64"/>
    <n v="2628.05"/>
    <x v="1"/>
    <n v="2006.26"/>
    <x v="2"/>
    <x v="0"/>
    <n v="78.2"/>
    <s v="Medium"/>
    <n v="0"/>
    <n v="0"/>
  </r>
  <r>
    <x v="34"/>
    <x v="32"/>
    <n v="1449"/>
    <n v="2135.71"/>
    <n v="3858.22"/>
    <n v="-1722.51"/>
    <n v="1.81"/>
    <n v="0.34"/>
    <n v="2027.83"/>
    <x v="0"/>
    <n v="664"/>
    <n v="0.5"/>
    <n v="853.21"/>
    <n v="0.4"/>
    <n v="382.18"/>
    <n v="0.18"/>
    <n v="2"/>
    <n v="1095.72"/>
    <n v="67"/>
    <n v="0"/>
    <n v="0"/>
    <n v="3160.49"/>
    <x v="1"/>
    <n v="1005.66"/>
    <x v="3"/>
    <x v="0"/>
    <n v="55.2"/>
    <s v="Low"/>
    <n v="0"/>
    <n v="0"/>
  </r>
  <r>
    <x v="34"/>
    <x v="32"/>
    <n v="1094"/>
    <n v="3195.04"/>
    <n v="1609.11"/>
    <n v="1585.93"/>
    <n v="0.5"/>
    <n v="0.38"/>
    <n v="3121.99"/>
    <x v="1"/>
    <n v="655"/>
    <n v="0.55000000000000004"/>
    <n v="607.57000000000005"/>
    <n v="0.19"/>
    <n v="245.19"/>
    <n v="0.08"/>
    <n v="2"/>
    <n v="480.94"/>
    <n v="43"/>
    <n v="0"/>
    <n v="277.54000000000002"/>
    <n v="1861.17"/>
    <x v="1"/>
    <n v="1056.3499999999999"/>
    <x v="3"/>
    <x v="2"/>
    <n v="62.5"/>
    <s v="High"/>
    <n v="1585.93"/>
    <n v="0"/>
  </r>
  <r>
    <x v="34"/>
    <x v="32"/>
    <n v="1172"/>
    <n v="5219.66"/>
    <n v="2336.39"/>
    <n v="2883.27"/>
    <n v="0.45"/>
    <n v="0.1"/>
    <n v="3586.82"/>
    <x v="1"/>
    <n v="648"/>
    <n v="0.56000000000000005"/>
    <n v="710.58"/>
    <n v="0.14000000000000001"/>
    <n v="448"/>
    <n v="0.09"/>
    <n v="7"/>
    <n v="1625.65"/>
    <n v="85"/>
    <n v="0"/>
    <n v="329.86"/>
    <n v="1831.12"/>
    <x v="1"/>
    <n v="2263.7399999999998"/>
    <x v="2"/>
    <x v="0"/>
    <n v="97.5"/>
    <s v="Low"/>
    <n v="2883.27"/>
    <n v="0"/>
  </r>
  <r>
    <x v="34"/>
    <x v="32"/>
    <n v="1353"/>
    <n v="5678.87"/>
    <n v="2578.7800000000002"/>
    <n v="3100.09"/>
    <n v="0.45"/>
    <n v="0.24"/>
    <n v="3564.19"/>
    <x v="0"/>
    <n v="666"/>
    <n v="0.33"/>
    <n v="119.89"/>
    <n v="0.02"/>
    <n v="388.46"/>
    <n v="7.0000000000000007E-2"/>
    <n v="3"/>
    <n v="688.57"/>
    <n v="98"/>
    <n v="0"/>
    <n v="444.42"/>
    <n v="2263.4499999999998"/>
    <x v="1"/>
    <n v="735.75"/>
    <x v="5"/>
    <x v="1"/>
    <n v="35.1"/>
    <s v="Medium"/>
    <n v="3100.09"/>
    <n v="0"/>
  </r>
  <r>
    <x v="34"/>
    <x v="32"/>
    <n v="1635"/>
    <n v="3003.31"/>
    <n v="2934.01"/>
    <n v="69.3"/>
    <n v="0.98"/>
    <n v="0.28999999999999998"/>
    <n v="3305.74"/>
    <x v="1"/>
    <n v="709"/>
    <n v="0.51"/>
    <n v="404.79"/>
    <n v="0.13"/>
    <n v="472.86"/>
    <n v="0.16"/>
    <n v="4"/>
    <n v="842.27"/>
    <n v="67"/>
    <n v="0"/>
    <n v="467.02"/>
    <n v="1701.51"/>
    <x v="1"/>
    <n v="1887.49"/>
    <x v="9"/>
    <x v="0"/>
    <n v="67.3"/>
    <s v="Low"/>
    <n v="69.3"/>
    <n v="0"/>
  </r>
  <r>
    <x v="34"/>
    <x v="32"/>
    <n v="1636"/>
    <n v="2980.47"/>
    <n v="2028.71"/>
    <n v="951.76"/>
    <n v="0.68"/>
    <n v="0.26"/>
    <n v="3034.63"/>
    <x v="0"/>
    <n v="636"/>
    <n v="0.48"/>
    <n v="564.09"/>
    <n v="0.19"/>
    <n v="278.45999999999998"/>
    <n v="0.09"/>
    <n v="7"/>
    <n v="898.43"/>
    <n v="84"/>
    <n v="0"/>
    <n v="320.36"/>
    <n v="3010.9"/>
    <x v="1"/>
    <n v="1347.15"/>
    <x v="6"/>
    <x v="2"/>
    <n v="25.3"/>
    <s v="Low"/>
    <n v="951.76"/>
    <n v="0"/>
  </r>
  <r>
    <x v="34"/>
    <x v="32"/>
    <n v="1636"/>
    <n v="3560.32"/>
    <n v="3922.94"/>
    <n v="-362.62"/>
    <n v="1.1000000000000001"/>
    <n v="0.2"/>
    <n v="2907.41"/>
    <x v="1"/>
    <n v="700"/>
    <n v="0.42"/>
    <n v="657.24"/>
    <n v="0.18"/>
    <n v="402.79"/>
    <n v="0.11"/>
    <n v="9"/>
    <n v="587.66"/>
    <n v="75"/>
    <n v="0"/>
    <n v="316.83999999999997"/>
    <n v="2931.72"/>
    <x v="0"/>
    <n v="2134.79"/>
    <x v="0"/>
    <x v="0"/>
    <n v="47.2"/>
    <s v="Medium"/>
    <n v="0"/>
    <n v="0"/>
  </r>
  <r>
    <x v="34"/>
    <x v="32"/>
    <n v="1171"/>
    <n v="4467.41"/>
    <n v="3659.99"/>
    <n v="807.42"/>
    <n v="0.82"/>
    <n v="0.2"/>
    <n v="2175.13"/>
    <x v="1"/>
    <n v="668"/>
    <n v="0.38"/>
    <n v="718.97"/>
    <n v="0.16"/>
    <n v="665.35"/>
    <n v="0.15"/>
    <n v="9"/>
    <n v="1671.3"/>
    <n v="60"/>
    <n v="0"/>
    <n v="554.37"/>
    <n v="1736.9"/>
    <x v="1"/>
    <n v="686.79"/>
    <x v="8"/>
    <x v="0"/>
    <n v="47.2"/>
    <s v="High"/>
    <n v="807.42"/>
    <n v="0"/>
  </r>
  <r>
    <x v="34"/>
    <x v="32"/>
    <n v="1205"/>
    <n v="4100.4799999999996"/>
    <n v="2745.66"/>
    <n v="1354.82"/>
    <n v="0.67"/>
    <n v="0.11"/>
    <n v="2851.2"/>
    <x v="2"/>
    <n v="745"/>
    <n v="0.52"/>
    <n v="535.24"/>
    <n v="0.13"/>
    <n v="305.60000000000002"/>
    <n v="7.0000000000000007E-2"/>
    <n v="7"/>
    <n v="1054.6099999999999"/>
    <n v="41"/>
    <n v="0"/>
    <n v="417.58"/>
    <n v="2604.21"/>
    <x v="2"/>
    <n v="300"/>
    <x v="3"/>
    <x v="0"/>
    <n v="19.399999999999999"/>
    <s v="Low"/>
    <n v="1354.82"/>
    <n v="0"/>
  </r>
  <r>
    <x v="34"/>
    <x v="32"/>
    <n v="1302"/>
    <n v="4171.22"/>
    <n v="2548.5"/>
    <n v="1622.72"/>
    <n v="0.61"/>
    <n v="0.38"/>
    <n v="2874.13"/>
    <x v="0"/>
    <n v="599"/>
    <n v="0.21"/>
    <n v="0"/>
    <n v="0"/>
    <n v="869.82"/>
    <n v="0.21"/>
    <n v="5"/>
    <n v="226.45"/>
    <n v="24"/>
    <n v="0"/>
    <n v="595.74"/>
    <n v="1633.11"/>
    <x v="1"/>
    <n v="646.15"/>
    <x v="0"/>
    <x v="2"/>
    <n v="9.4"/>
    <s v="Medium"/>
    <n v="1622.72"/>
    <n v="0"/>
  </r>
  <r>
    <x v="34"/>
    <x v="32"/>
    <n v="1353"/>
    <n v="2997.58"/>
    <n v="3846.24"/>
    <n v="-848.66"/>
    <n v="1.28"/>
    <n v="0.2"/>
    <n v="2829.67"/>
    <x v="0"/>
    <n v="700"/>
    <n v="0.33"/>
    <n v="555.04999999999995"/>
    <n v="0.19"/>
    <n v="681.13"/>
    <n v="0.23"/>
    <n v="6"/>
    <n v="1042.8499999999999"/>
    <n v="35"/>
    <n v="0"/>
    <n v="591.4"/>
    <n v="2536.34"/>
    <x v="1"/>
    <n v="939.69"/>
    <x v="0"/>
    <x v="0"/>
    <n v="23.1"/>
    <s v="Low"/>
    <n v="0"/>
    <n v="0"/>
  </r>
  <r>
    <x v="34"/>
    <x v="32"/>
    <n v="1417"/>
    <n v="4034.1"/>
    <n v="2383.8200000000002"/>
    <n v="1650.28"/>
    <n v="0.59"/>
    <n v="0.36"/>
    <n v="2916.37"/>
    <x v="2"/>
    <n v="774"/>
    <n v="0.14000000000000001"/>
    <n v="400.84"/>
    <n v="0.1"/>
    <n v="231.11"/>
    <n v="0.06"/>
    <n v="7"/>
    <n v="1005.34"/>
    <n v="88"/>
    <n v="0"/>
    <n v="396.71"/>
    <n v="1948.51"/>
    <x v="1"/>
    <n v="763.91"/>
    <x v="8"/>
    <x v="0"/>
    <n v="45.9"/>
    <s v="Low"/>
    <n v="1650.28"/>
    <n v="0"/>
  </r>
  <r>
    <x v="34"/>
    <x v="32"/>
    <n v="1494"/>
    <n v="4624.72"/>
    <n v="2742.81"/>
    <n v="1881.91"/>
    <n v="0.59"/>
    <n v="0.28999999999999998"/>
    <n v="2507.11"/>
    <x v="1"/>
    <n v="671"/>
    <n v="0.2"/>
    <n v="106.11"/>
    <n v="0.02"/>
    <n v="640.12"/>
    <n v="0.14000000000000001"/>
    <n v="3"/>
    <n v="838.77"/>
    <n v="46"/>
    <n v="0"/>
    <n v="734.99"/>
    <n v="2431.17"/>
    <x v="1"/>
    <n v="1500.3"/>
    <x v="2"/>
    <x v="0"/>
    <n v="19.899999999999999"/>
    <s v="Low"/>
    <n v="1881.91"/>
    <n v="0"/>
  </r>
  <r>
    <x v="34"/>
    <x v="32"/>
    <n v="1891"/>
    <n v="3456.96"/>
    <n v="3226.27"/>
    <n v="230.69"/>
    <n v="0.93"/>
    <n v="0.33"/>
    <n v="2735.93"/>
    <x v="1"/>
    <n v="662"/>
    <n v="0.25"/>
    <n v="509.75"/>
    <n v="0.15"/>
    <n v="588.20000000000005"/>
    <n v="0.17"/>
    <n v="3"/>
    <n v="1685.99"/>
    <n v="70"/>
    <n v="0"/>
    <n v="498.34"/>
    <n v="2333.71"/>
    <x v="0"/>
    <n v="989.38"/>
    <x v="1"/>
    <x v="0"/>
    <n v="13.1"/>
    <s v="Low"/>
    <n v="230.69"/>
    <n v="0"/>
  </r>
  <r>
    <x v="34"/>
    <x v="32"/>
    <n v="1288"/>
    <n v="3815.91"/>
    <n v="2120.0300000000002"/>
    <n v="1695.88"/>
    <n v="0.56000000000000005"/>
    <n v="0.31"/>
    <n v="3238.16"/>
    <x v="2"/>
    <n v="740"/>
    <n v="0.15"/>
    <n v="466"/>
    <n v="0.12"/>
    <n v="67.97"/>
    <n v="0.02"/>
    <n v="1"/>
    <n v="1045.23"/>
    <n v="31"/>
    <n v="0"/>
    <n v="748.46"/>
    <n v="1773.15"/>
    <x v="0"/>
    <n v="397.07"/>
    <x v="1"/>
    <x v="0"/>
    <n v="45"/>
    <s v="High"/>
    <n v="1695.88"/>
    <n v="0"/>
  </r>
  <r>
    <x v="34"/>
    <x v="32"/>
    <n v="1440"/>
    <n v="4530.3100000000004"/>
    <n v="3798.56"/>
    <n v="731.75"/>
    <n v="0.84"/>
    <n v="0.12"/>
    <n v="2272.88"/>
    <x v="2"/>
    <n v="682"/>
    <n v="0.15"/>
    <n v="434.77"/>
    <n v="0.1"/>
    <n v="0"/>
    <n v="0"/>
    <n v="3"/>
    <n v="801.18"/>
    <n v="35"/>
    <n v="0"/>
    <n v="406.72"/>
    <n v="1691.77"/>
    <x v="1"/>
    <n v="1160.8900000000001"/>
    <x v="2"/>
    <x v="0"/>
    <n v="63.3"/>
    <s v="Low"/>
    <n v="731.75"/>
    <n v="0"/>
  </r>
  <r>
    <x v="34"/>
    <x v="32"/>
    <n v="1305"/>
    <n v="4009.96"/>
    <n v="3248.56"/>
    <n v="761.4"/>
    <n v="0.81"/>
    <n v="0.28000000000000003"/>
    <n v="2252.4"/>
    <x v="0"/>
    <n v="678"/>
    <n v="0.48"/>
    <n v="334.99"/>
    <n v="0.08"/>
    <n v="874.2"/>
    <n v="0.22"/>
    <n v="5"/>
    <n v="1429.82"/>
    <n v="89"/>
    <n v="0"/>
    <n v="727.99"/>
    <n v="1629.61"/>
    <x v="1"/>
    <n v="1582.72"/>
    <x v="8"/>
    <x v="0"/>
    <n v="86.4"/>
    <s v="High"/>
    <n v="761.4"/>
    <n v="0"/>
  </r>
  <r>
    <x v="34"/>
    <x v="32"/>
    <n v="1272"/>
    <n v="3466.72"/>
    <n v="3246.7"/>
    <n v="220.02"/>
    <n v="0.94"/>
    <n v="0.21"/>
    <n v="3563.86"/>
    <x v="0"/>
    <n v="657"/>
    <n v="0.39"/>
    <n v="608.42999999999995"/>
    <n v="0.18"/>
    <n v="0"/>
    <n v="0"/>
    <n v="9"/>
    <n v="714.29"/>
    <n v="78"/>
    <n v="0"/>
    <n v="761.25"/>
    <n v="2750.12"/>
    <x v="1"/>
    <n v="1771.87"/>
    <x v="8"/>
    <x v="0"/>
    <n v="0.7"/>
    <s v="Low"/>
    <n v="220.02"/>
    <n v="0"/>
  </r>
  <r>
    <x v="34"/>
    <x v="32"/>
    <n v="1882"/>
    <n v="5347.9"/>
    <n v="3760.72"/>
    <n v="1587.18"/>
    <n v="0.7"/>
    <n v="0.37"/>
    <n v="2773.39"/>
    <x v="0"/>
    <n v="639"/>
    <n v="0.59"/>
    <n v="383.98"/>
    <n v="7.0000000000000007E-2"/>
    <n v="371.72"/>
    <n v="7.0000000000000007E-2"/>
    <n v="7"/>
    <n v="2412.13"/>
    <n v="92"/>
    <n v="0"/>
    <n v="449.53"/>
    <n v="2115.7800000000002"/>
    <x v="1"/>
    <n v="1663.95"/>
    <x v="8"/>
    <x v="0"/>
    <n v="93.6"/>
    <s v="Medium"/>
    <n v="1587.18"/>
    <n v="0"/>
  </r>
  <r>
    <x v="34"/>
    <x v="32"/>
    <n v="1271"/>
    <n v="3917.35"/>
    <n v="2160.1799999999998"/>
    <n v="1757.17"/>
    <n v="0.55000000000000004"/>
    <n v="0.25"/>
    <n v="2024.55"/>
    <x v="0"/>
    <n v="633"/>
    <n v="0.11"/>
    <n v="661.66"/>
    <n v="0.17"/>
    <n v="147.97999999999999"/>
    <n v="0.04"/>
    <n v="4"/>
    <n v="749.62"/>
    <n v="67"/>
    <n v="0"/>
    <n v="892.8"/>
    <n v="1518.04"/>
    <x v="1"/>
    <n v="2132.3000000000002"/>
    <x v="9"/>
    <x v="0"/>
    <n v="24"/>
    <s v="High"/>
    <n v="1757.17"/>
    <n v="0"/>
  </r>
  <r>
    <x v="34"/>
    <x v="32"/>
    <n v="1380"/>
    <n v="4416.04"/>
    <n v="2748.6"/>
    <n v="1667.44"/>
    <n v="0.62"/>
    <n v="0.39"/>
    <n v="2753.85"/>
    <x v="0"/>
    <n v="700"/>
    <n v="0.1"/>
    <n v="361.42"/>
    <n v="0.08"/>
    <n v="0"/>
    <n v="0"/>
    <n v="8"/>
    <n v="545.98"/>
    <n v="43"/>
    <n v="0"/>
    <n v="143.84"/>
    <n v="2082.64"/>
    <x v="1"/>
    <n v="1577.77"/>
    <x v="4"/>
    <x v="0"/>
    <n v="46"/>
    <s v="High"/>
    <n v="1667.44"/>
    <n v="0"/>
  </r>
  <r>
    <x v="34"/>
    <x v="32"/>
    <n v="1026"/>
    <n v="5545.12"/>
    <n v="2705.48"/>
    <n v="2839.64"/>
    <n v="0.49"/>
    <n v="0.24"/>
    <n v="3874.76"/>
    <x v="1"/>
    <n v="722"/>
    <n v="0.15"/>
    <n v="502.38"/>
    <n v="0.09"/>
    <n v="476.52"/>
    <n v="0.09"/>
    <n v="9"/>
    <n v="1544.95"/>
    <n v="91"/>
    <n v="0"/>
    <n v="265.47000000000003"/>
    <n v="3119.43"/>
    <x v="1"/>
    <n v="1202.94"/>
    <x v="7"/>
    <x v="0"/>
    <n v="86.1"/>
    <s v="Medium"/>
    <n v="2839.64"/>
    <n v="0"/>
  </r>
  <r>
    <x v="35"/>
    <x v="33"/>
    <n v="1340"/>
    <n v="5423.61"/>
    <n v="3424.74"/>
    <n v="1998.87"/>
    <n v="0.63"/>
    <n v="0.39"/>
    <n v="2646.35"/>
    <x v="2"/>
    <n v="718"/>
    <n v="0.2"/>
    <n v="330.56"/>
    <n v="0.06"/>
    <n v="610.25"/>
    <n v="0.11"/>
    <n v="4"/>
    <n v="735.81"/>
    <n v="86"/>
    <n v="0"/>
    <n v="546.80999999999995"/>
    <n v="2287.09"/>
    <x v="1"/>
    <n v="1768.19"/>
    <x v="7"/>
    <x v="0"/>
    <n v="62.6"/>
    <s v="Medium"/>
    <n v="1998.87"/>
    <n v="0"/>
  </r>
  <r>
    <x v="35"/>
    <x v="33"/>
    <n v="1335"/>
    <n v="4374.4799999999996"/>
    <n v="4704.1099999999997"/>
    <n v="-329.63"/>
    <n v="1.08"/>
    <n v="0.2"/>
    <n v="2581.0500000000002"/>
    <x v="1"/>
    <n v="666"/>
    <n v="0.28000000000000003"/>
    <n v="791.63"/>
    <n v="0.18"/>
    <n v="275.37"/>
    <n v="0.06"/>
    <n v="9"/>
    <n v="543.07000000000005"/>
    <n v="51"/>
    <n v="0"/>
    <n v="163.41999999999999"/>
    <n v="2079.27"/>
    <x v="0"/>
    <n v="1375.16"/>
    <x v="2"/>
    <x v="0"/>
    <n v="48"/>
    <s v="High"/>
    <n v="0"/>
    <n v="0"/>
  </r>
  <r>
    <x v="35"/>
    <x v="33"/>
    <n v="1869"/>
    <n v="4451.58"/>
    <n v="2430.48"/>
    <n v="2021.1"/>
    <n v="0.55000000000000004"/>
    <n v="0.13"/>
    <n v="3152.31"/>
    <x v="2"/>
    <n v="826"/>
    <n v="0.2"/>
    <n v="600.37"/>
    <n v="0.13"/>
    <n v="799.51"/>
    <n v="0.18"/>
    <n v="3"/>
    <n v="1704.66"/>
    <n v="45"/>
    <n v="0"/>
    <n v="456.41"/>
    <n v="2881.27"/>
    <x v="1"/>
    <n v="1268.71"/>
    <x v="6"/>
    <x v="0"/>
    <n v="45.9"/>
    <s v="Medium"/>
    <n v="2021.1"/>
    <n v="0"/>
  </r>
  <r>
    <x v="35"/>
    <x v="33"/>
    <n v="1287"/>
    <n v="2929.28"/>
    <n v="2062"/>
    <n v="867.28"/>
    <n v="0.7"/>
    <n v="0.18"/>
    <n v="3302.54"/>
    <x v="2"/>
    <n v="769"/>
    <n v="0.35"/>
    <n v="736.25"/>
    <n v="0.25"/>
    <n v="644.58000000000004"/>
    <n v="0.22"/>
    <n v="8"/>
    <n v="1136.83"/>
    <n v="81"/>
    <n v="0"/>
    <n v="629.97"/>
    <n v="1122.05"/>
    <x v="1"/>
    <n v="1149.32"/>
    <x v="0"/>
    <x v="0"/>
    <n v="92.6"/>
    <s v="Low"/>
    <n v="867.28"/>
    <n v="0"/>
  </r>
  <r>
    <x v="35"/>
    <x v="33"/>
    <n v="1260"/>
    <n v="3322.09"/>
    <n v="3557.36"/>
    <n v="-235.27"/>
    <n v="1.07"/>
    <n v="0.11"/>
    <n v="2501.65"/>
    <x v="0"/>
    <n v="700"/>
    <n v="0.4"/>
    <n v="583.16"/>
    <n v="0.18"/>
    <n v="628.83000000000004"/>
    <n v="0.19"/>
    <n v="6"/>
    <n v="1535.07"/>
    <n v="48"/>
    <n v="0"/>
    <n v="996.56"/>
    <n v="2094.4499999999998"/>
    <x v="1"/>
    <n v="802.1"/>
    <x v="7"/>
    <x v="0"/>
    <n v="94.5"/>
    <s v="Low"/>
    <n v="0"/>
    <n v="0"/>
  </r>
  <r>
    <x v="35"/>
    <x v="33"/>
    <n v="1424"/>
    <n v="3406.61"/>
    <n v="1878.88"/>
    <n v="1527.73"/>
    <n v="0.55000000000000004"/>
    <n v="0.22"/>
    <n v="2730.24"/>
    <x v="2"/>
    <n v="722"/>
    <n v="0.38"/>
    <n v="413.46"/>
    <n v="0.12"/>
    <n v="718.11"/>
    <n v="0.21"/>
    <n v="3"/>
    <n v="771.6"/>
    <n v="91"/>
    <n v="0"/>
    <n v="630.54"/>
    <n v="2218.15"/>
    <x v="1"/>
    <n v="1505.23"/>
    <x v="6"/>
    <x v="0"/>
    <n v="79.400000000000006"/>
    <s v="Low"/>
    <n v="1527.73"/>
    <n v="0"/>
  </r>
  <r>
    <x v="35"/>
    <x v="33"/>
    <n v="1421"/>
    <n v="3737.62"/>
    <n v="2117.58"/>
    <n v="1620.04"/>
    <n v="0.56999999999999995"/>
    <n v="0.25"/>
    <n v="4248.53"/>
    <x v="1"/>
    <n v="606"/>
    <n v="0.3"/>
    <n v="474.48"/>
    <n v="0.13"/>
    <n v="630.54999999999995"/>
    <n v="0.17"/>
    <n v="9"/>
    <n v="1308.81"/>
    <n v="29"/>
    <n v="0"/>
    <n v="0"/>
    <n v="2560.27"/>
    <x v="1"/>
    <n v="1416.02"/>
    <x v="4"/>
    <x v="0"/>
    <n v="84.3"/>
    <s v="Low"/>
    <n v="1620.04"/>
    <n v="0"/>
  </r>
  <r>
    <x v="35"/>
    <x v="33"/>
    <n v="1659"/>
    <n v="3565.41"/>
    <n v="3692.28"/>
    <n v="-126.87"/>
    <n v="1.04"/>
    <n v="0.06"/>
    <n v="3132.17"/>
    <x v="2"/>
    <n v="666"/>
    <n v="0.35"/>
    <n v="482.65"/>
    <n v="0.14000000000000001"/>
    <n v="123.35"/>
    <n v="0.03"/>
    <n v="7"/>
    <n v="216.58"/>
    <n v="59"/>
    <n v="0"/>
    <n v="501.54"/>
    <n v="2588.87"/>
    <x v="0"/>
    <n v="964.59"/>
    <x v="4"/>
    <x v="1"/>
    <n v="84.1"/>
    <s v="Low"/>
    <n v="0"/>
    <n v="0"/>
  </r>
  <r>
    <x v="35"/>
    <x v="33"/>
    <n v="1065"/>
    <n v="3929.27"/>
    <n v="2579.42"/>
    <n v="1349.85"/>
    <n v="0.66"/>
    <n v="0.1"/>
    <n v="2718.35"/>
    <x v="1"/>
    <n v="597"/>
    <n v="0.31"/>
    <n v="558.12"/>
    <n v="0.14000000000000001"/>
    <n v="285.81"/>
    <n v="7.0000000000000007E-2"/>
    <n v="4"/>
    <n v="0"/>
    <n v="28"/>
    <n v="0"/>
    <n v="705.68"/>
    <n v="2977.02"/>
    <x v="0"/>
    <n v="909.16"/>
    <x v="1"/>
    <x v="0"/>
    <n v="51.6"/>
    <s v="Low"/>
    <n v="1349.85"/>
    <n v="0"/>
  </r>
  <r>
    <x v="35"/>
    <x v="33"/>
    <n v="1848"/>
    <n v="3699.45"/>
    <n v="1747.07"/>
    <n v="1952.38"/>
    <n v="0.47"/>
    <n v="0.18"/>
    <n v="2596.34"/>
    <x v="1"/>
    <n v="673"/>
    <n v="0.46"/>
    <n v="447.79"/>
    <n v="0.12"/>
    <n v="319.56"/>
    <n v="0.09"/>
    <n v="6"/>
    <n v="655.65"/>
    <n v="75"/>
    <n v="0"/>
    <n v="474.01"/>
    <n v="2272.98"/>
    <x v="0"/>
    <n v="1371.17"/>
    <x v="9"/>
    <x v="0"/>
    <n v="11.6"/>
    <s v="Medium"/>
    <n v="1952.38"/>
    <n v="0"/>
  </r>
  <r>
    <x v="35"/>
    <x v="33"/>
    <n v="1730"/>
    <n v="4482.92"/>
    <n v="2834.68"/>
    <n v="1648.24"/>
    <n v="0.63"/>
    <n v="0.13"/>
    <n v="2120.5300000000002"/>
    <x v="1"/>
    <n v="720"/>
    <n v="0.25"/>
    <n v="437.04"/>
    <n v="0.1"/>
    <n v="386.36"/>
    <n v="0.09"/>
    <n v="6"/>
    <n v="1599.62"/>
    <n v="24"/>
    <n v="0"/>
    <n v="436.62"/>
    <n v="2649.77"/>
    <x v="1"/>
    <n v="1237.6600000000001"/>
    <x v="6"/>
    <x v="2"/>
    <n v="26.6"/>
    <s v="Low"/>
    <n v="1648.24"/>
    <n v="0"/>
  </r>
  <r>
    <x v="35"/>
    <x v="33"/>
    <n v="1955"/>
    <n v="5248.76"/>
    <n v="2266.0100000000002"/>
    <n v="2982.75"/>
    <n v="0.43"/>
    <n v="0.08"/>
    <n v="2266.7399999999998"/>
    <x v="1"/>
    <n v="691"/>
    <n v="0.5"/>
    <n v="637.88"/>
    <n v="0.12"/>
    <n v="459.92"/>
    <n v="0.09"/>
    <n v="6"/>
    <n v="778.23"/>
    <n v="36"/>
    <n v="0"/>
    <n v="404.26"/>
    <n v="1748.15"/>
    <x v="1"/>
    <n v="1252.6400000000001"/>
    <x v="7"/>
    <x v="0"/>
    <n v="42.8"/>
    <s v="Medium"/>
    <n v="2982.75"/>
    <n v="1"/>
  </r>
  <r>
    <x v="35"/>
    <x v="33"/>
    <n v="1042"/>
    <n v="3741.08"/>
    <n v="3457.88"/>
    <n v="283.2"/>
    <n v="0.92"/>
    <n v="0.31"/>
    <n v="3756.28"/>
    <x v="1"/>
    <n v="631"/>
    <n v="0.53"/>
    <n v="304.41000000000003"/>
    <n v="0.08"/>
    <n v="689.79"/>
    <n v="0.18"/>
    <n v="7"/>
    <n v="1674.05"/>
    <n v="57"/>
    <n v="0"/>
    <n v="721.31"/>
    <n v="2571.9299999999998"/>
    <x v="1"/>
    <n v="769.94"/>
    <x v="7"/>
    <x v="0"/>
    <n v="14.6"/>
    <s v="Low"/>
    <n v="283.2"/>
    <n v="0"/>
  </r>
  <r>
    <x v="35"/>
    <x v="33"/>
    <n v="1189"/>
    <n v="3583.03"/>
    <n v="3549.43"/>
    <n v="33.6"/>
    <n v="0.99"/>
    <n v="0.16"/>
    <n v="2783.6"/>
    <x v="1"/>
    <n v="670"/>
    <n v="0.12"/>
    <n v="495.4"/>
    <n v="0.14000000000000001"/>
    <n v="542.4"/>
    <n v="0.15"/>
    <n v="1"/>
    <n v="459.06"/>
    <n v="85"/>
    <n v="1"/>
    <n v="495.67"/>
    <n v="2350.7199999999998"/>
    <x v="1"/>
    <n v="1343.24"/>
    <x v="4"/>
    <x v="0"/>
    <n v="94"/>
    <s v="High"/>
    <n v="33.6"/>
    <n v="0"/>
  </r>
  <r>
    <x v="35"/>
    <x v="33"/>
    <n v="1043"/>
    <n v="4234.68"/>
    <n v="3634.7"/>
    <n v="599.98"/>
    <n v="0.86"/>
    <n v="0.23"/>
    <n v="2822.38"/>
    <x v="1"/>
    <n v="630"/>
    <n v="0.39"/>
    <n v="411.87"/>
    <n v="0.1"/>
    <n v="0"/>
    <n v="0"/>
    <n v="2"/>
    <n v="1648.98"/>
    <n v="98"/>
    <n v="0"/>
    <n v="335.58"/>
    <n v="1356.33"/>
    <x v="1"/>
    <n v="1439.82"/>
    <x v="9"/>
    <x v="2"/>
    <n v="30.7"/>
    <s v="Low"/>
    <n v="599.98"/>
    <n v="0"/>
  </r>
  <r>
    <x v="35"/>
    <x v="33"/>
    <n v="1470"/>
    <n v="5131.05"/>
    <n v="3785.65"/>
    <n v="1345.4"/>
    <n v="0.74"/>
    <n v="0.16"/>
    <n v="3399.28"/>
    <x v="2"/>
    <n v="668"/>
    <n v="0.47"/>
    <n v="364.78"/>
    <n v="7.0000000000000007E-2"/>
    <n v="522.63"/>
    <n v="0.1"/>
    <n v="5"/>
    <n v="1076.92"/>
    <n v="75"/>
    <n v="0"/>
    <n v="507.07"/>
    <n v="2036.75"/>
    <x v="1"/>
    <n v="1072.71"/>
    <x v="4"/>
    <x v="1"/>
    <n v="90.7"/>
    <s v="Low"/>
    <n v="1345.4"/>
    <n v="0"/>
  </r>
  <r>
    <x v="35"/>
    <x v="33"/>
    <n v="1369"/>
    <n v="4879.0600000000004"/>
    <n v="3026.35"/>
    <n v="1852.71"/>
    <n v="0.62"/>
    <n v="0.16"/>
    <n v="2428.5500000000002"/>
    <x v="1"/>
    <n v="674"/>
    <n v="0.16"/>
    <n v="673.95"/>
    <n v="0.14000000000000001"/>
    <n v="285.13"/>
    <n v="0.06"/>
    <n v="7"/>
    <n v="981.46"/>
    <n v="35"/>
    <n v="0"/>
    <n v="880.66"/>
    <n v="1945.8"/>
    <x v="1"/>
    <n v="1118.68"/>
    <x v="7"/>
    <x v="2"/>
    <n v="33.200000000000003"/>
    <s v="Low"/>
    <n v="1852.71"/>
    <n v="0"/>
  </r>
  <r>
    <x v="35"/>
    <x v="33"/>
    <n v="1536"/>
    <n v="4095.6"/>
    <n v="3810.03"/>
    <n v="285.57"/>
    <n v="0.93"/>
    <n v="0.14000000000000001"/>
    <n v="3334.69"/>
    <x v="1"/>
    <n v="707"/>
    <n v="0.24"/>
    <n v="554.72"/>
    <n v="0.14000000000000001"/>
    <n v="327.25"/>
    <n v="0.08"/>
    <n v="3"/>
    <n v="1267.24"/>
    <n v="24"/>
    <n v="0"/>
    <n v="317.75"/>
    <n v="2565.4699999999998"/>
    <x v="1"/>
    <n v="1677.34"/>
    <x v="9"/>
    <x v="1"/>
    <n v="38.299999999999997"/>
    <s v="Medium"/>
    <n v="285.57"/>
    <n v="0"/>
  </r>
  <r>
    <x v="35"/>
    <x v="33"/>
    <n v="1622"/>
    <n v="4273.3500000000004"/>
    <n v="1621.95"/>
    <n v="2651.4"/>
    <n v="0.38"/>
    <n v="0.32"/>
    <n v="3404.88"/>
    <x v="1"/>
    <n v="608"/>
    <n v="0.46"/>
    <n v="313.75"/>
    <n v="7.0000000000000007E-2"/>
    <n v="996.68"/>
    <n v="0.23"/>
    <n v="4"/>
    <n v="800.67"/>
    <n v="44"/>
    <n v="0"/>
    <n v="710.46"/>
    <n v="2483.29"/>
    <x v="0"/>
    <n v="1698.83"/>
    <x v="3"/>
    <x v="0"/>
    <n v="57.1"/>
    <s v="Medium"/>
    <n v="2651.4"/>
    <n v="0"/>
  </r>
  <r>
    <x v="35"/>
    <x v="33"/>
    <n v="1668"/>
    <n v="6528.31"/>
    <n v="3567.26"/>
    <n v="2961.05"/>
    <n v="0.55000000000000004"/>
    <n v="0.11"/>
    <n v="4195.21"/>
    <x v="1"/>
    <n v="676"/>
    <n v="0.51"/>
    <n v="507.94"/>
    <n v="0.08"/>
    <n v="394.69"/>
    <n v="0.06"/>
    <n v="9"/>
    <n v="660.97"/>
    <n v="60"/>
    <n v="0"/>
    <n v="530.21"/>
    <n v="2259.81"/>
    <x v="0"/>
    <n v="1720.68"/>
    <x v="1"/>
    <x v="2"/>
    <n v="80.8"/>
    <s v="High"/>
    <n v="2961.05"/>
    <n v="0"/>
  </r>
  <r>
    <x v="35"/>
    <x v="33"/>
    <n v="1223"/>
    <n v="3501.5"/>
    <n v="3281.56"/>
    <n v="219.94"/>
    <n v="0.94"/>
    <n v="0.14000000000000001"/>
    <n v="3508.61"/>
    <x v="2"/>
    <n v="718"/>
    <n v="0.52"/>
    <n v="740.63"/>
    <n v="0.21"/>
    <n v="349.22"/>
    <n v="0.1"/>
    <n v="9"/>
    <n v="971.53"/>
    <n v="22"/>
    <n v="0"/>
    <n v="381.53"/>
    <n v="2420.4299999999998"/>
    <x v="1"/>
    <n v="300"/>
    <x v="8"/>
    <x v="2"/>
    <n v="29.7"/>
    <s v="Low"/>
    <n v="219.94"/>
    <n v="0"/>
  </r>
  <r>
    <x v="35"/>
    <x v="33"/>
    <n v="1350"/>
    <n v="2901.8"/>
    <n v="4108.1499999999996"/>
    <n v="-1206.3499999999999"/>
    <n v="1.42"/>
    <n v="0.06"/>
    <n v="3099.72"/>
    <x v="0"/>
    <n v="611"/>
    <n v="0.16"/>
    <n v="634.33000000000004"/>
    <n v="0.22"/>
    <n v="52"/>
    <n v="0.02"/>
    <n v="8"/>
    <n v="28.31"/>
    <n v="49"/>
    <n v="0"/>
    <n v="601.59"/>
    <n v="2887.63"/>
    <x v="0"/>
    <n v="1116.58"/>
    <x v="1"/>
    <x v="0"/>
    <n v="78.8"/>
    <s v="Medium"/>
    <n v="0"/>
    <n v="0"/>
  </r>
  <r>
    <x v="35"/>
    <x v="33"/>
    <n v="1075"/>
    <n v="2779.08"/>
    <n v="4122.99"/>
    <n v="-1343.91"/>
    <n v="1.48"/>
    <n v="0.08"/>
    <n v="2542.16"/>
    <x v="1"/>
    <n v="648"/>
    <n v="0.25"/>
    <n v="705.14"/>
    <n v="0.25"/>
    <n v="326.86"/>
    <n v="0.12"/>
    <n v="8"/>
    <n v="721.25"/>
    <n v="55"/>
    <n v="0"/>
    <n v="439.65"/>
    <n v="2836.88"/>
    <x v="1"/>
    <n v="1551.81"/>
    <x v="0"/>
    <x v="2"/>
    <n v="69.3"/>
    <s v="Low"/>
    <n v="0"/>
    <n v="0"/>
  </r>
  <r>
    <x v="35"/>
    <x v="33"/>
    <n v="1278"/>
    <n v="4169.34"/>
    <n v="4226.29"/>
    <n v="-56.95"/>
    <n v="1.01"/>
    <n v="0.14000000000000001"/>
    <n v="3141.46"/>
    <x v="1"/>
    <n v="647"/>
    <n v="0.26"/>
    <n v="66.56"/>
    <n v="0.02"/>
    <n v="262.56"/>
    <n v="0.06"/>
    <n v="9"/>
    <n v="1398.69"/>
    <n v="91"/>
    <n v="0"/>
    <n v="518.61"/>
    <n v="2012.28"/>
    <x v="0"/>
    <n v="758.51"/>
    <x v="3"/>
    <x v="0"/>
    <n v="56.8"/>
    <s v="Low"/>
    <n v="0"/>
    <n v="0"/>
  </r>
  <r>
    <x v="35"/>
    <x v="33"/>
    <n v="1649"/>
    <n v="4238.21"/>
    <n v="1970.91"/>
    <n v="2267.3000000000002"/>
    <n v="0.47"/>
    <n v="0.37"/>
    <n v="3308.94"/>
    <x v="0"/>
    <n v="651"/>
    <n v="0.16"/>
    <n v="340.11"/>
    <n v="0.08"/>
    <n v="299.39999999999998"/>
    <n v="7.0000000000000007E-2"/>
    <n v="2"/>
    <n v="1684.38"/>
    <n v="39"/>
    <n v="0"/>
    <n v="210.47"/>
    <n v="1464.78"/>
    <x v="1"/>
    <n v="1398.4"/>
    <x v="5"/>
    <x v="1"/>
    <n v="56.5"/>
    <s v="High"/>
    <n v="2267.3000000000002"/>
    <n v="0"/>
  </r>
  <r>
    <x v="35"/>
    <x v="33"/>
    <n v="1167"/>
    <n v="5110.47"/>
    <n v="2678.64"/>
    <n v="2431.83"/>
    <n v="0.52"/>
    <n v="0.18"/>
    <n v="3426.76"/>
    <x v="1"/>
    <n v="662"/>
    <n v="0.15"/>
    <n v="311.81"/>
    <n v="0.06"/>
    <n v="293.22000000000003"/>
    <n v="0.06"/>
    <n v="6"/>
    <n v="1620.64"/>
    <n v="37"/>
    <n v="0"/>
    <n v="688.69"/>
    <n v="2511.06"/>
    <x v="1"/>
    <n v="2391.34"/>
    <x v="3"/>
    <x v="0"/>
    <n v="94.1"/>
    <s v="Medium"/>
    <n v="2431.83"/>
    <n v="0"/>
  </r>
  <r>
    <x v="35"/>
    <x v="33"/>
    <n v="1946"/>
    <n v="1763.54"/>
    <n v="1386.95"/>
    <n v="376.59"/>
    <n v="0.79"/>
    <n v="0.34"/>
    <n v="2305.12"/>
    <x v="1"/>
    <n v="695"/>
    <n v="0.53"/>
    <n v="544.13"/>
    <n v="0.31"/>
    <n v="867.44"/>
    <n v="0.49"/>
    <n v="7"/>
    <n v="311.57"/>
    <n v="52"/>
    <n v="0"/>
    <n v="757.33"/>
    <n v="1572.16"/>
    <x v="1"/>
    <n v="1359.72"/>
    <x v="9"/>
    <x v="0"/>
    <n v="79.5"/>
    <s v="High"/>
    <n v="376.59"/>
    <n v="0"/>
  </r>
  <r>
    <x v="35"/>
    <x v="33"/>
    <n v="1763"/>
    <n v="2574.9"/>
    <n v="3300.72"/>
    <n v="-725.82"/>
    <n v="1.28"/>
    <n v="0.25"/>
    <n v="3085.71"/>
    <x v="0"/>
    <n v="649"/>
    <n v="0.25"/>
    <n v="695.49"/>
    <n v="0.27"/>
    <n v="241.65"/>
    <n v="0.09"/>
    <n v="8"/>
    <n v="1481.63"/>
    <n v="83"/>
    <n v="0"/>
    <n v="405.45"/>
    <n v="2482.9899999999998"/>
    <x v="1"/>
    <n v="1682.25"/>
    <x v="2"/>
    <x v="1"/>
    <n v="25.8"/>
    <s v="Low"/>
    <n v="0"/>
    <n v="0"/>
  </r>
  <r>
    <x v="35"/>
    <x v="33"/>
    <n v="1164"/>
    <n v="3935.93"/>
    <n v="3685.76"/>
    <n v="250.17"/>
    <n v="0.94"/>
    <n v="0.22"/>
    <n v="2010.51"/>
    <x v="0"/>
    <n v="666"/>
    <n v="0.41"/>
    <n v="534.66"/>
    <n v="0.14000000000000001"/>
    <n v="230.57"/>
    <n v="0.06"/>
    <n v="9"/>
    <n v="951.64"/>
    <n v="76"/>
    <n v="0"/>
    <n v="707.43"/>
    <n v="2719.58"/>
    <x v="2"/>
    <n v="1565.65"/>
    <x v="7"/>
    <x v="2"/>
    <n v="79.7"/>
    <s v="Low"/>
    <n v="250.17"/>
    <n v="0"/>
  </r>
  <r>
    <x v="35"/>
    <x v="33"/>
    <n v="1898"/>
    <n v="3535.09"/>
    <n v="4714.95"/>
    <n v="-1179.8599999999999"/>
    <n v="1.33"/>
    <n v="0.14000000000000001"/>
    <n v="3236.71"/>
    <x v="1"/>
    <n v="657"/>
    <n v="0.25"/>
    <n v="719.36"/>
    <n v="0.2"/>
    <n v="628.41999999999996"/>
    <n v="0.18"/>
    <n v="6"/>
    <n v="1078.83"/>
    <n v="35"/>
    <n v="0"/>
    <n v="351.95"/>
    <n v="2341.1"/>
    <x v="1"/>
    <n v="951.21"/>
    <x v="2"/>
    <x v="1"/>
    <n v="36.1"/>
    <s v="Low"/>
    <n v="0"/>
    <n v="0"/>
  </r>
  <r>
    <x v="35"/>
    <x v="33"/>
    <n v="1314"/>
    <n v="4946.59"/>
    <n v="3811.21"/>
    <n v="1135.3800000000001"/>
    <n v="0.77"/>
    <n v="0.27"/>
    <n v="2769.65"/>
    <x v="1"/>
    <n v="622"/>
    <n v="0.46"/>
    <n v="336.92"/>
    <n v="7.0000000000000007E-2"/>
    <n v="595.04999999999995"/>
    <n v="0.12"/>
    <n v="4"/>
    <n v="1078.8399999999999"/>
    <n v="29"/>
    <n v="0"/>
    <n v="456.76"/>
    <n v="1847.29"/>
    <x v="1"/>
    <n v="1138.92"/>
    <x v="0"/>
    <x v="1"/>
    <n v="63.5"/>
    <s v="Low"/>
    <n v="1135.3800000000001"/>
    <n v="0"/>
  </r>
  <r>
    <x v="35"/>
    <x v="33"/>
    <n v="1095"/>
    <n v="3724.11"/>
    <n v="2954.33"/>
    <n v="769.78"/>
    <n v="0.79"/>
    <n v="0.27"/>
    <n v="2563.88"/>
    <x v="1"/>
    <n v="624"/>
    <n v="0.43"/>
    <n v="522.29999999999995"/>
    <n v="0.14000000000000001"/>
    <n v="175.93"/>
    <n v="0.05"/>
    <n v="7"/>
    <n v="1410.51"/>
    <n v="79"/>
    <n v="0"/>
    <n v="474.19"/>
    <n v="2235.1"/>
    <x v="1"/>
    <n v="826.75"/>
    <x v="2"/>
    <x v="0"/>
    <n v="26.1"/>
    <s v="Medium"/>
    <n v="769.78"/>
    <n v="0"/>
  </r>
  <r>
    <x v="35"/>
    <x v="33"/>
    <n v="1164"/>
    <n v="4150.8999999999996"/>
    <n v="4123.76"/>
    <n v="27.14"/>
    <n v="0.99"/>
    <n v="0.31"/>
    <n v="2104"/>
    <x v="1"/>
    <n v="590"/>
    <n v="0.45"/>
    <n v="549.6"/>
    <n v="0.13"/>
    <n v="238.21"/>
    <n v="0.06"/>
    <n v="1"/>
    <n v="1217.5"/>
    <n v="26"/>
    <n v="0"/>
    <n v="451.85"/>
    <n v="1494.24"/>
    <x v="0"/>
    <n v="1148.6600000000001"/>
    <x v="5"/>
    <x v="1"/>
    <n v="87.4"/>
    <s v="Medium"/>
    <n v="27.14"/>
    <n v="0"/>
  </r>
  <r>
    <x v="35"/>
    <x v="33"/>
    <n v="1949"/>
    <n v="5058.21"/>
    <n v="3455.74"/>
    <n v="1602.47"/>
    <n v="0.68"/>
    <n v="0.13"/>
    <n v="2658"/>
    <x v="1"/>
    <n v="764"/>
    <n v="0.37"/>
    <n v="643.05999999999995"/>
    <n v="0.13"/>
    <n v="454.75"/>
    <n v="0.09"/>
    <n v="1"/>
    <n v="876.02"/>
    <n v="65"/>
    <n v="0"/>
    <n v="317.55"/>
    <n v="2044.01"/>
    <x v="1"/>
    <n v="903.52"/>
    <x v="9"/>
    <x v="0"/>
    <n v="92.4"/>
    <s v="Low"/>
    <n v="1602.47"/>
    <n v="0"/>
  </r>
  <r>
    <x v="35"/>
    <x v="33"/>
    <n v="1868"/>
    <n v="2004.18"/>
    <n v="4040.18"/>
    <n v="-2036"/>
    <n v="2.02"/>
    <n v="0.06"/>
    <n v="3115.84"/>
    <x v="1"/>
    <n v="717"/>
    <n v="0.3"/>
    <n v="316.61"/>
    <n v="0.16"/>
    <n v="196.66"/>
    <n v="0.1"/>
    <n v="6"/>
    <n v="1062.3900000000001"/>
    <n v="89"/>
    <n v="0"/>
    <n v="392.57"/>
    <n v="1839.64"/>
    <x v="1"/>
    <n v="1502.88"/>
    <x v="6"/>
    <x v="0"/>
    <n v="89.6"/>
    <s v="High"/>
    <n v="0"/>
    <n v="0"/>
  </r>
  <r>
    <x v="35"/>
    <x v="33"/>
    <n v="1989"/>
    <n v="3789.01"/>
    <n v="2175.04"/>
    <n v="1613.97"/>
    <n v="0.56999999999999995"/>
    <n v="7.0000000000000007E-2"/>
    <n v="2931.26"/>
    <x v="2"/>
    <n v="655"/>
    <n v="0.38"/>
    <n v="78.16"/>
    <n v="0.02"/>
    <n v="290.48"/>
    <n v="0.08"/>
    <n v="3"/>
    <n v="839.21"/>
    <n v="70"/>
    <n v="0"/>
    <n v="428.48"/>
    <n v="1790.14"/>
    <x v="2"/>
    <n v="1081.3699999999999"/>
    <x v="8"/>
    <x v="0"/>
    <n v="8"/>
    <s v="Low"/>
    <n v="1613.97"/>
    <n v="0"/>
  </r>
  <r>
    <x v="35"/>
    <x v="33"/>
    <n v="1276"/>
    <n v="4580.83"/>
    <n v="3049.53"/>
    <n v="1531.3"/>
    <n v="0.67"/>
    <n v="0.18"/>
    <n v="2418.9499999999998"/>
    <x v="0"/>
    <n v="773"/>
    <n v="0.15"/>
    <n v="1023.57"/>
    <n v="0.22"/>
    <n v="297.51"/>
    <n v="0.06"/>
    <n v="3"/>
    <n v="866.77"/>
    <n v="84"/>
    <n v="0"/>
    <n v="545.69000000000005"/>
    <n v="1911.25"/>
    <x v="1"/>
    <n v="1162.53"/>
    <x v="0"/>
    <x v="0"/>
    <n v="50.9"/>
    <s v="Medium"/>
    <n v="1531.3"/>
    <n v="0"/>
  </r>
  <r>
    <x v="35"/>
    <x v="33"/>
    <n v="1791"/>
    <n v="5134.13"/>
    <n v="2294.0300000000002"/>
    <n v="2840.1"/>
    <n v="0.45"/>
    <n v="0.2"/>
    <n v="3252.83"/>
    <x v="1"/>
    <n v="680"/>
    <n v="0.48"/>
    <n v="1105.97"/>
    <n v="0.22"/>
    <n v="505.76"/>
    <n v="0.1"/>
    <n v="6"/>
    <n v="1068.6099999999999"/>
    <n v="45"/>
    <n v="0"/>
    <n v="607.17999999999995"/>
    <n v="2860.96"/>
    <x v="2"/>
    <n v="946.33"/>
    <x v="0"/>
    <x v="0"/>
    <n v="68.3"/>
    <s v="Low"/>
    <n v="2840.1"/>
    <n v="0"/>
  </r>
  <r>
    <x v="35"/>
    <x v="33"/>
    <n v="1501"/>
    <n v="3893.02"/>
    <n v="3806.73"/>
    <n v="86.29"/>
    <n v="0.98"/>
    <n v="0.1"/>
    <n v="1665.95"/>
    <x v="0"/>
    <n v="718"/>
    <n v="0.14000000000000001"/>
    <n v="763.87"/>
    <n v="0.2"/>
    <n v="756.29"/>
    <n v="0.19"/>
    <n v="7"/>
    <n v="1362.25"/>
    <n v="36"/>
    <n v="0"/>
    <n v="489.95"/>
    <n v="2046.04"/>
    <x v="1"/>
    <n v="630.11"/>
    <x v="4"/>
    <x v="0"/>
    <n v="12.2"/>
    <s v="High"/>
    <n v="86.29"/>
    <n v="0"/>
  </r>
  <r>
    <x v="35"/>
    <x v="33"/>
    <n v="1106"/>
    <n v="4463.04"/>
    <n v="4826.88"/>
    <n v="-363.84"/>
    <n v="1.08"/>
    <n v="0.1"/>
    <n v="3272.08"/>
    <x v="1"/>
    <n v="693"/>
    <n v="0.27"/>
    <n v="927.7"/>
    <n v="0.21"/>
    <n v="513.25"/>
    <n v="0.12"/>
    <n v="3"/>
    <n v="1409.3"/>
    <n v="37"/>
    <n v="0"/>
    <n v="219.93"/>
    <n v="1539.67"/>
    <x v="1"/>
    <n v="732.21"/>
    <x v="7"/>
    <x v="1"/>
    <n v="26.6"/>
    <s v="High"/>
    <n v="0"/>
    <n v="0"/>
  </r>
  <r>
    <x v="35"/>
    <x v="33"/>
    <n v="1123"/>
    <n v="4034.14"/>
    <n v="2674.18"/>
    <n v="1359.96"/>
    <n v="0.66"/>
    <n v="0.18"/>
    <n v="3259.26"/>
    <x v="0"/>
    <n v="765"/>
    <n v="0.43"/>
    <n v="535.65"/>
    <n v="0.13"/>
    <n v="307.25"/>
    <n v="0.08"/>
    <n v="9"/>
    <n v="1949.54"/>
    <n v="94"/>
    <n v="0"/>
    <n v="484.32"/>
    <n v="2712.45"/>
    <x v="2"/>
    <n v="1841.13"/>
    <x v="3"/>
    <x v="0"/>
    <n v="56"/>
    <s v="Low"/>
    <n v="1359.96"/>
    <n v="0"/>
  </r>
  <r>
    <x v="35"/>
    <x v="33"/>
    <n v="1707"/>
    <n v="3626.94"/>
    <n v="1452.29"/>
    <n v="2174.65"/>
    <n v="0.4"/>
    <n v="0.1"/>
    <n v="2077.59"/>
    <x v="1"/>
    <n v="799"/>
    <n v="0.36"/>
    <n v="462.26"/>
    <n v="0.13"/>
    <n v="354.03"/>
    <n v="0.1"/>
    <n v="1"/>
    <n v="1071.8399999999999"/>
    <n v="71"/>
    <n v="0"/>
    <n v="302.02999999999997"/>
    <n v="2100.75"/>
    <x v="1"/>
    <n v="1131.1300000000001"/>
    <x v="8"/>
    <x v="1"/>
    <n v="94.4"/>
    <s v="High"/>
    <n v="2174.65"/>
    <n v="1"/>
  </r>
  <r>
    <x v="35"/>
    <x v="33"/>
    <n v="1689"/>
    <n v="6976.51"/>
    <n v="3296.28"/>
    <n v="3680.23"/>
    <n v="0.47"/>
    <n v="0.4"/>
    <n v="3042.72"/>
    <x v="1"/>
    <n v="712"/>
    <n v="0.56999999999999995"/>
    <n v="484.4"/>
    <n v="7.0000000000000007E-2"/>
    <n v="54.57"/>
    <n v="0.01"/>
    <n v="5"/>
    <n v="866.95"/>
    <n v="99"/>
    <n v="0"/>
    <n v="419.32"/>
    <n v="1611.65"/>
    <x v="1"/>
    <n v="1218.28"/>
    <x v="8"/>
    <x v="0"/>
    <n v="43.2"/>
    <s v="Medium"/>
    <n v="3680.23"/>
    <n v="1"/>
  </r>
  <r>
    <x v="35"/>
    <x v="33"/>
    <n v="1003"/>
    <n v="3465.95"/>
    <n v="3552.34"/>
    <n v="-86.39"/>
    <n v="1.02"/>
    <n v="0.09"/>
    <n v="3266.59"/>
    <x v="2"/>
    <n v="680"/>
    <n v="0.27"/>
    <n v="580.76"/>
    <n v="0.17"/>
    <n v="171.01"/>
    <n v="0.05"/>
    <n v="7"/>
    <n v="904.01"/>
    <n v="92"/>
    <n v="0"/>
    <n v="621.01"/>
    <n v="1646.25"/>
    <x v="0"/>
    <n v="1385.61"/>
    <x v="4"/>
    <x v="0"/>
    <n v="12.9"/>
    <s v="Low"/>
    <n v="0"/>
    <n v="0"/>
  </r>
  <r>
    <x v="35"/>
    <x v="33"/>
    <n v="1109"/>
    <n v="3898.66"/>
    <n v="3497.65"/>
    <n v="401.01"/>
    <n v="0.9"/>
    <n v="0.08"/>
    <n v="2377.0300000000002"/>
    <x v="0"/>
    <n v="608"/>
    <n v="0.5"/>
    <n v="497.64"/>
    <n v="0.13"/>
    <n v="567.28"/>
    <n v="0.15"/>
    <n v="6"/>
    <n v="1236.2"/>
    <n v="68"/>
    <n v="0"/>
    <n v="288.32"/>
    <n v="3025.97"/>
    <x v="1"/>
    <n v="899.63"/>
    <x v="2"/>
    <x v="0"/>
    <n v="85.4"/>
    <s v="Low"/>
    <n v="401.01"/>
    <n v="0"/>
  </r>
  <r>
    <x v="35"/>
    <x v="33"/>
    <n v="1155"/>
    <n v="3634.99"/>
    <n v="4646.84"/>
    <n v="-1011.85"/>
    <n v="1.28"/>
    <n v="0.35"/>
    <n v="3024.86"/>
    <x v="2"/>
    <n v="590"/>
    <n v="0.6"/>
    <n v="291.01"/>
    <n v="0.08"/>
    <n v="305.77999999999997"/>
    <n v="0.08"/>
    <n v="1"/>
    <n v="556.13"/>
    <n v="86"/>
    <n v="0"/>
    <n v="433.19"/>
    <n v="1887.85"/>
    <x v="1"/>
    <n v="1149.33"/>
    <x v="1"/>
    <x v="2"/>
    <n v="78.5"/>
    <s v="High"/>
    <n v="0"/>
    <n v="0"/>
  </r>
  <r>
    <x v="35"/>
    <x v="33"/>
    <n v="1228"/>
    <n v="3473.49"/>
    <n v="3254.23"/>
    <n v="219.26"/>
    <n v="0.94"/>
    <n v="0.34"/>
    <n v="3218.67"/>
    <x v="1"/>
    <n v="640"/>
    <n v="0.23"/>
    <n v="956.45"/>
    <n v="0.28000000000000003"/>
    <n v="409.35"/>
    <n v="0.12"/>
    <n v="6"/>
    <n v="359.86"/>
    <n v="83"/>
    <n v="0"/>
    <n v="365.85"/>
    <n v="1498.27"/>
    <x v="1"/>
    <n v="982.54"/>
    <x v="2"/>
    <x v="2"/>
    <n v="33.700000000000003"/>
    <s v="Medium"/>
    <n v="219.26"/>
    <n v="0"/>
  </r>
  <r>
    <x v="35"/>
    <x v="33"/>
    <n v="1255"/>
    <n v="5865.23"/>
    <n v="3666.39"/>
    <n v="2198.84"/>
    <n v="0.63"/>
    <n v="0.38"/>
    <n v="4028.47"/>
    <x v="1"/>
    <n v="708"/>
    <n v="0.45"/>
    <n v="385.4"/>
    <n v="7.0000000000000007E-2"/>
    <n v="331.27"/>
    <n v="0.06"/>
    <n v="9"/>
    <n v="920.44"/>
    <n v="79"/>
    <n v="0"/>
    <n v="137.84"/>
    <n v="1185.71"/>
    <x v="1"/>
    <n v="1453.6"/>
    <x v="7"/>
    <x v="0"/>
    <n v="48.7"/>
    <s v="Low"/>
    <n v="2198.84"/>
    <n v="0"/>
  </r>
  <r>
    <x v="35"/>
    <x v="33"/>
    <n v="1625"/>
    <n v="4898.97"/>
    <n v="3303.06"/>
    <n v="1595.91"/>
    <n v="0.67"/>
    <n v="0.18"/>
    <n v="3391.34"/>
    <x v="1"/>
    <n v="666"/>
    <n v="0.11"/>
    <n v="766.84"/>
    <n v="0.16"/>
    <n v="467.32"/>
    <n v="0.1"/>
    <n v="2"/>
    <n v="894.36"/>
    <n v="76"/>
    <n v="0"/>
    <n v="500.72"/>
    <n v="2054.1"/>
    <x v="2"/>
    <n v="1475.34"/>
    <x v="2"/>
    <x v="0"/>
    <n v="14"/>
    <s v="Medium"/>
    <n v="1595.91"/>
    <n v="0"/>
  </r>
  <r>
    <x v="35"/>
    <x v="33"/>
    <n v="1552"/>
    <n v="4110.99"/>
    <n v="2114.38"/>
    <n v="1996.61"/>
    <n v="0.51"/>
    <n v="0.15"/>
    <n v="2782.81"/>
    <x v="2"/>
    <n v="724"/>
    <n v="0.23"/>
    <n v="617.89"/>
    <n v="0.15"/>
    <n v="535.01"/>
    <n v="0.13"/>
    <n v="5"/>
    <n v="1655.32"/>
    <n v="80"/>
    <n v="0"/>
    <n v="199.98"/>
    <n v="1375.04"/>
    <x v="0"/>
    <n v="875.99"/>
    <x v="4"/>
    <x v="0"/>
    <n v="34.9"/>
    <s v="Medium"/>
    <n v="1996.61"/>
    <n v="0"/>
  </r>
  <r>
    <x v="36"/>
    <x v="34"/>
    <n v="1794"/>
    <n v="5273.97"/>
    <n v="2583.11"/>
    <n v="2690.86"/>
    <n v="0.49"/>
    <n v="0.16"/>
    <n v="3373.36"/>
    <x v="2"/>
    <n v="602"/>
    <n v="0.44"/>
    <n v="426.18"/>
    <n v="0.08"/>
    <n v="621.55999999999995"/>
    <n v="0.12"/>
    <n v="7"/>
    <n v="898.01"/>
    <n v="71"/>
    <n v="0"/>
    <n v="547.91999999999996"/>
    <n v="2573.98"/>
    <x v="1"/>
    <n v="1370"/>
    <x v="3"/>
    <x v="0"/>
    <n v="72.8"/>
    <s v="Medium"/>
    <n v="2690.86"/>
    <n v="0"/>
  </r>
  <r>
    <x v="36"/>
    <x v="34"/>
    <n v="1604"/>
    <n v="3185.98"/>
    <n v="1721.25"/>
    <n v="1464.73"/>
    <n v="0.54"/>
    <n v="0.15"/>
    <n v="2148.2399999999998"/>
    <x v="1"/>
    <n v="613"/>
    <n v="0.32"/>
    <n v="421.45"/>
    <n v="0.13"/>
    <n v="403.33"/>
    <n v="0.13"/>
    <n v="1"/>
    <n v="959.2"/>
    <n v="56"/>
    <n v="0"/>
    <n v="453.23"/>
    <n v="1440.94"/>
    <x v="1"/>
    <n v="812.36"/>
    <x v="1"/>
    <x v="0"/>
    <n v="98.9"/>
    <s v="Low"/>
    <n v="1464.73"/>
    <n v="0"/>
  </r>
  <r>
    <x v="36"/>
    <x v="34"/>
    <n v="1247"/>
    <n v="4514.3900000000003"/>
    <n v="2230.66"/>
    <n v="2283.73"/>
    <n v="0.49"/>
    <n v="0.17"/>
    <n v="2506.81"/>
    <x v="1"/>
    <n v="589"/>
    <n v="0.36"/>
    <n v="811.28"/>
    <n v="0.18"/>
    <n v="83.75"/>
    <n v="0.02"/>
    <n v="3"/>
    <n v="957.85"/>
    <n v="81"/>
    <n v="0"/>
    <n v="669.9"/>
    <n v="2321.88"/>
    <x v="1"/>
    <n v="1666.56"/>
    <x v="7"/>
    <x v="0"/>
    <n v="72"/>
    <s v="Medium"/>
    <n v="2283.73"/>
    <n v="0"/>
  </r>
  <r>
    <x v="36"/>
    <x v="34"/>
    <n v="1701"/>
    <n v="2378.14"/>
    <n v="3431.58"/>
    <n v="-1053.44"/>
    <n v="1.44"/>
    <n v="0.09"/>
    <n v="3004.2"/>
    <x v="1"/>
    <n v="609"/>
    <n v="0.53"/>
    <n v="0"/>
    <n v="0"/>
    <n v="201.84"/>
    <n v="0.08"/>
    <n v="8"/>
    <n v="1887.34"/>
    <n v="86"/>
    <n v="0"/>
    <n v="446.63"/>
    <n v="1822.37"/>
    <x v="1"/>
    <n v="1372.98"/>
    <x v="7"/>
    <x v="1"/>
    <n v="63.8"/>
    <s v="High"/>
    <n v="0"/>
    <n v="0"/>
  </r>
  <r>
    <x v="36"/>
    <x v="34"/>
    <n v="1487"/>
    <n v="3873.44"/>
    <n v="2452.8000000000002"/>
    <n v="1420.64"/>
    <n v="0.63"/>
    <n v="0.11"/>
    <n v="2152.96"/>
    <x v="1"/>
    <n v="719"/>
    <n v="0.56999999999999995"/>
    <n v="231.57"/>
    <n v="0.06"/>
    <n v="321.14"/>
    <n v="0.08"/>
    <n v="2"/>
    <n v="466.03"/>
    <n v="29"/>
    <n v="0"/>
    <n v="476.19"/>
    <n v="3566.47"/>
    <x v="1"/>
    <n v="1039.99"/>
    <x v="5"/>
    <x v="0"/>
    <n v="91"/>
    <s v="Medium"/>
    <n v="1420.64"/>
    <n v="0"/>
  </r>
  <r>
    <x v="36"/>
    <x v="34"/>
    <n v="1853"/>
    <n v="3462.58"/>
    <n v="3017.41"/>
    <n v="445.17"/>
    <n v="0.87"/>
    <n v="0.12"/>
    <n v="3034.22"/>
    <x v="0"/>
    <n v="699"/>
    <n v="0.42"/>
    <n v="652.12"/>
    <n v="0.19"/>
    <n v="303.08999999999997"/>
    <n v="0.09"/>
    <n v="6"/>
    <n v="591.44000000000005"/>
    <n v="37"/>
    <n v="0"/>
    <n v="609.52"/>
    <n v="2748.45"/>
    <x v="2"/>
    <n v="1040.43"/>
    <x v="7"/>
    <x v="0"/>
    <n v="89"/>
    <s v="Medium"/>
    <n v="445.17"/>
    <n v="0"/>
  </r>
  <r>
    <x v="36"/>
    <x v="34"/>
    <n v="1458"/>
    <n v="2791.22"/>
    <n v="3963.88"/>
    <n v="-1172.6600000000001"/>
    <n v="1.42"/>
    <n v="0.22"/>
    <n v="2721.29"/>
    <x v="1"/>
    <n v="616"/>
    <n v="0.13"/>
    <n v="363.32"/>
    <n v="0.13"/>
    <n v="96.27"/>
    <n v="0.03"/>
    <n v="3"/>
    <n v="1564.26"/>
    <n v="50"/>
    <n v="0"/>
    <n v="337.83"/>
    <n v="3095.28"/>
    <x v="2"/>
    <n v="1014.47"/>
    <x v="4"/>
    <x v="0"/>
    <n v="5.0999999999999996"/>
    <s v="Medium"/>
    <n v="0"/>
    <n v="0"/>
  </r>
  <r>
    <x v="36"/>
    <x v="34"/>
    <n v="1136"/>
    <n v="1812.45"/>
    <n v="2667.42"/>
    <n v="-854.97"/>
    <n v="1.47"/>
    <n v="0.12"/>
    <n v="2338.7399999999998"/>
    <x v="1"/>
    <n v="671"/>
    <n v="0.53"/>
    <n v="470.27"/>
    <n v="0.26"/>
    <n v="311.11"/>
    <n v="0.17"/>
    <n v="5"/>
    <n v="785.76"/>
    <n v="64"/>
    <n v="0"/>
    <n v="419.75"/>
    <n v="2149.77"/>
    <x v="1"/>
    <n v="1314.9"/>
    <x v="9"/>
    <x v="2"/>
    <n v="22.4"/>
    <s v="Low"/>
    <n v="0"/>
    <n v="0"/>
  </r>
  <r>
    <x v="36"/>
    <x v="34"/>
    <n v="1918"/>
    <n v="4401.09"/>
    <n v="3131.09"/>
    <n v="1270"/>
    <n v="0.71"/>
    <n v="0.28999999999999998"/>
    <n v="2854.08"/>
    <x v="2"/>
    <n v="671"/>
    <n v="0.55000000000000004"/>
    <n v="671.97"/>
    <n v="0.15"/>
    <n v="400.26"/>
    <n v="0.09"/>
    <n v="6"/>
    <n v="1060.31"/>
    <n v="97"/>
    <n v="0"/>
    <n v="324.2"/>
    <n v="1872.22"/>
    <x v="1"/>
    <n v="334.47"/>
    <x v="5"/>
    <x v="1"/>
    <n v="23.4"/>
    <s v="Low"/>
    <n v="1270"/>
    <n v="0"/>
  </r>
  <r>
    <x v="36"/>
    <x v="34"/>
    <n v="1220"/>
    <n v="4908.88"/>
    <n v="3075.61"/>
    <n v="1833.27"/>
    <n v="0.63"/>
    <n v="0.17"/>
    <n v="2517.83"/>
    <x v="1"/>
    <n v="751"/>
    <n v="0.27"/>
    <n v="218.68"/>
    <n v="0.04"/>
    <n v="354.38"/>
    <n v="7.0000000000000007E-2"/>
    <n v="5"/>
    <n v="418.57"/>
    <n v="20"/>
    <n v="0"/>
    <n v="480.76"/>
    <n v="1608.67"/>
    <x v="0"/>
    <n v="643.97"/>
    <x v="0"/>
    <x v="2"/>
    <n v="83.3"/>
    <s v="High"/>
    <n v="1833.27"/>
    <n v="0"/>
  </r>
  <r>
    <x v="36"/>
    <x v="34"/>
    <n v="1582"/>
    <n v="3970.13"/>
    <n v="2110.35"/>
    <n v="1859.78"/>
    <n v="0.53"/>
    <n v="0.06"/>
    <n v="2648.37"/>
    <x v="1"/>
    <n v="671"/>
    <n v="0.54"/>
    <n v="440.4"/>
    <n v="0.11"/>
    <n v="646.38"/>
    <n v="0.16"/>
    <n v="8"/>
    <n v="1064.93"/>
    <n v="34"/>
    <n v="0"/>
    <n v="216.74"/>
    <n v="2636.24"/>
    <x v="1"/>
    <n v="1398.31"/>
    <x v="8"/>
    <x v="0"/>
    <n v="56.5"/>
    <s v="Medium"/>
    <n v="1859.78"/>
    <n v="0"/>
  </r>
  <r>
    <x v="36"/>
    <x v="34"/>
    <n v="1776"/>
    <n v="5221.41"/>
    <n v="3665.15"/>
    <n v="1556.26"/>
    <n v="0.7"/>
    <n v="0.38"/>
    <n v="2437.89"/>
    <x v="1"/>
    <n v="649"/>
    <n v="0.13"/>
    <n v="628.21"/>
    <n v="0.12"/>
    <n v="569.76"/>
    <n v="0.11"/>
    <n v="9"/>
    <n v="1249.18"/>
    <n v="74"/>
    <n v="0"/>
    <n v="526.72"/>
    <n v="2279.8000000000002"/>
    <x v="1"/>
    <n v="803.89"/>
    <x v="3"/>
    <x v="0"/>
    <n v="78.8"/>
    <s v="High"/>
    <n v="1556.26"/>
    <n v="0"/>
  </r>
  <r>
    <x v="36"/>
    <x v="34"/>
    <n v="1963"/>
    <n v="3897.4"/>
    <n v="3103.26"/>
    <n v="794.14"/>
    <n v="0.8"/>
    <n v="0.28000000000000003"/>
    <n v="2516.2800000000002"/>
    <x v="0"/>
    <n v="689"/>
    <n v="0.54"/>
    <n v="731.69"/>
    <n v="0.19"/>
    <n v="174.12"/>
    <n v="0.04"/>
    <n v="9"/>
    <n v="1325.74"/>
    <n v="33"/>
    <n v="0"/>
    <n v="202.25"/>
    <n v="3092.51"/>
    <x v="1"/>
    <n v="1382.64"/>
    <x v="7"/>
    <x v="0"/>
    <n v="18.600000000000001"/>
    <s v="Low"/>
    <n v="794.14"/>
    <n v="0"/>
  </r>
  <r>
    <x v="36"/>
    <x v="34"/>
    <n v="1581"/>
    <n v="4380.18"/>
    <n v="3799.46"/>
    <n v="580.72"/>
    <n v="0.87"/>
    <n v="0.27"/>
    <n v="2344.4299999999998"/>
    <x v="1"/>
    <n v="555"/>
    <n v="0.6"/>
    <n v="672.24"/>
    <n v="0.15"/>
    <n v="369.26"/>
    <n v="0.08"/>
    <n v="2"/>
    <n v="1903.88"/>
    <n v="62"/>
    <n v="0"/>
    <n v="623.74"/>
    <n v="1203.55"/>
    <x v="2"/>
    <n v="1855.51"/>
    <x v="7"/>
    <x v="0"/>
    <n v="15.4"/>
    <s v="Medium"/>
    <n v="580.72"/>
    <n v="0"/>
  </r>
  <r>
    <x v="36"/>
    <x v="34"/>
    <n v="1138"/>
    <n v="6292.41"/>
    <n v="3382.48"/>
    <n v="2909.93"/>
    <n v="0.54"/>
    <n v="0.12"/>
    <n v="2482.0100000000002"/>
    <x v="1"/>
    <n v="701"/>
    <n v="0.52"/>
    <n v="158.59"/>
    <n v="0.03"/>
    <n v="308.77"/>
    <n v="0.05"/>
    <n v="7"/>
    <n v="922.38"/>
    <n v="92"/>
    <n v="0"/>
    <n v="365.11"/>
    <n v="1758.04"/>
    <x v="0"/>
    <n v="1358.01"/>
    <x v="6"/>
    <x v="2"/>
    <n v="20.5"/>
    <s v="High"/>
    <n v="2909.93"/>
    <n v="1"/>
  </r>
  <r>
    <x v="36"/>
    <x v="34"/>
    <n v="1612"/>
    <n v="4297.1499999999996"/>
    <n v="3165.47"/>
    <n v="1131.68"/>
    <n v="0.74"/>
    <n v="0.22"/>
    <n v="2022.33"/>
    <x v="0"/>
    <n v="693"/>
    <n v="0.21"/>
    <n v="416.23"/>
    <n v="0.1"/>
    <n v="449.68"/>
    <n v="0.1"/>
    <n v="1"/>
    <n v="1284.27"/>
    <n v="65"/>
    <n v="0"/>
    <n v="344.9"/>
    <n v="1958.64"/>
    <x v="1"/>
    <n v="1804.21"/>
    <x v="0"/>
    <x v="0"/>
    <n v="90.1"/>
    <s v="Medium"/>
    <n v="1131.68"/>
    <n v="0"/>
  </r>
  <r>
    <x v="36"/>
    <x v="34"/>
    <n v="1293"/>
    <n v="4181.87"/>
    <n v="2448.13"/>
    <n v="1733.74"/>
    <n v="0.59"/>
    <n v="0.08"/>
    <n v="3068.14"/>
    <x v="0"/>
    <n v="649"/>
    <n v="0.42"/>
    <n v="519.13"/>
    <n v="0.12"/>
    <n v="945.01"/>
    <n v="0.23"/>
    <n v="5"/>
    <n v="1117.69"/>
    <n v="27"/>
    <n v="0"/>
    <n v="354.56"/>
    <n v="2432.6"/>
    <x v="1"/>
    <n v="1669.32"/>
    <x v="5"/>
    <x v="0"/>
    <n v="5.3"/>
    <s v="Medium"/>
    <n v="1733.74"/>
    <n v="0"/>
  </r>
  <r>
    <x v="36"/>
    <x v="34"/>
    <n v="1479"/>
    <n v="3574.03"/>
    <n v="2144.65"/>
    <n v="1429.38"/>
    <n v="0.6"/>
    <n v="0.11"/>
    <n v="3056.15"/>
    <x v="1"/>
    <n v="704"/>
    <n v="0.54"/>
    <n v="472.59"/>
    <n v="0.13"/>
    <n v="554.64"/>
    <n v="0.16"/>
    <n v="1"/>
    <n v="615.29"/>
    <n v="32"/>
    <n v="0"/>
    <n v="57.12"/>
    <n v="3090.79"/>
    <x v="1"/>
    <n v="1458.91"/>
    <x v="5"/>
    <x v="0"/>
    <n v="38.4"/>
    <s v="Medium"/>
    <n v="1429.38"/>
    <n v="0"/>
  </r>
  <r>
    <x v="36"/>
    <x v="34"/>
    <n v="1354"/>
    <n v="3494.96"/>
    <n v="3407.34"/>
    <n v="87.62"/>
    <n v="0.97"/>
    <n v="0.15"/>
    <n v="3847.28"/>
    <x v="0"/>
    <n v="789"/>
    <n v="0.14000000000000001"/>
    <n v="339.48"/>
    <n v="0.1"/>
    <n v="723.6"/>
    <n v="0.21"/>
    <n v="3"/>
    <n v="723.05"/>
    <n v="90"/>
    <n v="0"/>
    <n v="475.89"/>
    <n v="2342.17"/>
    <x v="1"/>
    <n v="971.1"/>
    <x v="4"/>
    <x v="1"/>
    <n v="3.8"/>
    <s v="Low"/>
    <n v="87.62"/>
    <n v="0"/>
  </r>
  <r>
    <x v="36"/>
    <x v="34"/>
    <n v="1476"/>
    <n v="6768.22"/>
    <n v="3576.71"/>
    <n v="3191.51"/>
    <n v="0.53"/>
    <n v="0.31"/>
    <n v="2549.5700000000002"/>
    <x v="1"/>
    <n v="715"/>
    <n v="0.54"/>
    <n v="670.44"/>
    <n v="0.1"/>
    <n v="0"/>
    <n v="0"/>
    <n v="5"/>
    <n v="583.61"/>
    <n v="56"/>
    <n v="0"/>
    <n v="195.43"/>
    <n v="2567.44"/>
    <x v="1"/>
    <n v="971.35"/>
    <x v="9"/>
    <x v="0"/>
    <n v="87.2"/>
    <s v="High"/>
    <n v="3191.51"/>
    <n v="1"/>
  </r>
  <r>
    <x v="36"/>
    <x v="34"/>
    <n v="1814"/>
    <n v="4056.63"/>
    <n v="2785.44"/>
    <n v="1271.19"/>
    <n v="0.69"/>
    <n v="0.3"/>
    <n v="2869.68"/>
    <x v="1"/>
    <n v="775"/>
    <n v="0.56000000000000005"/>
    <n v="308.31"/>
    <n v="0.08"/>
    <n v="495.89"/>
    <n v="0.12"/>
    <n v="9"/>
    <n v="218.38"/>
    <n v="73"/>
    <n v="0"/>
    <n v="484.4"/>
    <n v="2693.64"/>
    <x v="0"/>
    <n v="1015.07"/>
    <x v="0"/>
    <x v="0"/>
    <n v="57.2"/>
    <s v="Low"/>
    <n v="1271.19"/>
    <n v="0"/>
  </r>
  <r>
    <x v="36"/>
    <x v="34"/>
    <n v="1917"/>
    <n v="4358.5600000000004"/>
    <n v="2349.88"/>
    <n v="2008.68"/>
    <n v="0.54"/>
    <n v="0.28000000000000003"/>
    <n v="3719.85"/>
    <x v="2"/>
    <n v="643"/>
    <n v="0.56000000000000005"/>
    <n v="417.78"/>
    <n v="0.1"/>
    <n v="439.07"/>
    <n v="0.1"/>
    <n v="6"/>
    <n v="640.41"/>
    <n v="75"/>
    <n v="0"/>
    <n v="577.23"/>
    <n v="1827.44"/>
    <x v="1"/>
    <n v="1052.03"/>
    <x v="8"/>
    <x v="0"/>
    <n v="1.1000000000000001"/>
    <s v="Medium"/>
    <n v="2008.68"/>
    <n v="0"/>
  </r>
  <r>
    <x v="36"/>
    <x v="34"/>
    <n v="1904"/>
    <n v="3440.35"/>
    <n v="4862.6099999999997"/>
    <n v="-1422.26"/>
    <n v="1.41"/>
    <n v="0.21"/>
    <n v="3015.67"/>
    <x v="1"/>
    <n v="713"/>
    <n v="0.37"/>
    <n v="245.9"/>
    <n v="7.0000000000000007E-2"/>
    <n v="424.62"/>
    <n v="0.12"/>
    <n v="5"/>
    <n v="1609.9"/>
    <n v="37"/>
    <n v="0"/>
    <n v="130.76"/>
    <n v="2795.04"/>
    <x v="0"/>
    <n v="1038.31"/>
    <x v="7"/>
    <x v="0"/>
    <n v="25.4"/>
    <s v="Low"/>
    <n v="0"/>
    <n v="0"/>
  </r>
  <r>
    <x v="36"/>
    <x v="34"/>
    <n v="1819"/>
    <n v="4224.13"/>
    <n v="4309.01"/>
    <n v="-84.88"/>
    <n v="1.02"/>
    <n v="7.0000000000000007E-2"/>
    <n v="2816.46"/>
    <x v="0"/>
    <n v="674"/>
    <n v="0.1"/>
    <n v="1133.5999999999999"/>
    <n v="0.27"/>
    <n v="448.61"/>
    <n v="0.11"/>
    <n v="2"/>
    <n v="317.58"/>
    <n v="78"/>
    <n v="1"/>
    <n v="633.48"/>
    <n v="3220.33"/>
    <x v="2"/>
    <n v="1289.3"/>
    <x v="8"/>
    <x v="1"/>
    <n v="99.1"/>
    <s v="Medium"/>
    <n v="0"/>
    <n v="0"/>
  </r>
  <r>
    <x v="36"/>
    <x v="34"/>
    <n v="1249"/>
    <n v="4723.75"/>
    <n v="2703.66"/>
    <n v="2020.09"/>
    <n v="0.56999999999999995"/>
    <n v="0.28000000000000003"/>
    <n v="3030.22"/>
    <x v="0"/>
    <n v="642"/>
    <n v="0.12"/>
    <n v="644.01"/>
    <n v="0.14000000000000001"/>
    <n v="351.54"/>
    <n v="7.0000000000000007E-2"/>
    <n v="2"/>
    <n v="1120.7"/>
    <n v="83"/>
    <n v="0"/>
    <n v="176.11"/>
    <n v="2139.42"/>
    <x v="1"/>
    <n v="1334.38"/>
    <x v="6"/>
    <x v="0"/>
    <n v="18.7"/>
    <s v="Medium"/>
    <n v="2020.09"/>
    <n v="0"/>
  </r>
  <r>
    <x v="36"/>
    <x v="34"/>
    <n v="1710"/>
    <n v="3582.41"/>
    <n v="1358.34"/>
    <n v="2224.0700000000002"/>
    <n v="0.38"/>
    <n v="0.38"/>
    <n v="3300.92"/>
    <x v="2"/>
    <n v="651"/>
    <n v="0.4"/>
    <n v="589.91999999999996"/>
    <n v="0.16"/>
    <n v="190.7"/>
    <n v="0.05"/>
    <n v="8"/>
    <n v="1502.46"/>
    <n v="37"/>
    <n v="0"/>
    <n v="465.46"/>
    <n v="3167.05"/>
    <x v="2"/>
    <n v="1508.79"/>
    <x v="6"/>
    <x v="0"/>
    <n v="56.3"/>
    <s v="Low"/>
    <n v="2224.0700000000002"/>
    <n v="0"/>
  </r>
  <r>
    <x v="36"/>
    <x v="34"/>
    <n v="1929"/>
    <n v="3531.89"/>
    <n v="3582.43"/>
    <n v="-50.54"/>
    <n v="1.01"/>
    <n v="0.27"/>
    <n v="1940.86"/>
    <x v="1"/>
    <n v="651"/>
    <n v="0.15"/>
    <n v="375.92"/>
    <n v="0.11"/>
    <n v="102.71"/>
    <n v="0.03"/>
    <n v="8"/>
    <n v="0"/>
    <n v="90"/>
    <n v="1"/>
    <n v="577.1"/>
    <n v="2660.43"/>
    <x v="1"/>
    <n v="964.84"/>
    <x v="7"/>
    <x v="1"/>
    <n v="71.3"/>
    <s v="Low"/>
    <n v="0"/>
    <n v="0"/>
  </r>
  <r>
    <x v="36"/>
    <x v="34"/>
    <n v="1132"/>
    <n v="3609.54"/>
    <n v="3008.81"/>
    <n v="600.73"/>
    <n v="0.83"/>
    <n v="7.0000000000000007E-2"/>
    <n v="2974.01"/>
    <x v="1"/>
    <n v="642"/>
    <n v="0.3"/>
    <n v="392.84"/>
    <n v="0.11"/>
    <n v="659.34"/>
    <n v="0.18"/>
    <n v="2"/>
    <n v="449.12"/>
    <n v="65"/>
    <n v="0"/>
    <n v="65.08"/>
    <n v="1951.36"/>
    <x v="1"/>
    <n v="1208.1500000000001"/>
    <x v="2"/>
    <x v="2"/>
    <n v="73.599999999999994"/>
    <s v="Low"/>
    <n v="600.73"/>
    <n v="0"/>
  </r>
  <r>
    <x v="36"/>
    <x v="34"/>
    <n v="1246"/>
    <n v="2418.36"/>
    <n v="3419.83"/>
    <n v="-1001.47"/>
    <n v="1.41"/>
    <n v="0.06"/>
    <n v="2168.44"/>
    <x v="2"/>
    <n v="732"/>
    <n v="0.39"/>
    <n v="567.08000000000004"/>
    <n v="0.23"/>
    <n v="247.48"/>
    <n v="0.1"/>
    <n v="3"/>
    <n v="691.26"/>
    <n v="61"/>
    <n v="0"/>
    <n v="430.75"/>
    <n v="2242.0300000000002"/>
    <x v="1"/>
    <n v="636.46"/>
    <x v="0"/>
    <x v="0"/>
    <n v="61.6"/>
    <s v="Medium"/>
    <n v="0"/>
    <n v="0"/>
  </r>
  <r>
    <x v="36"/>
    <x v="34"/>
    <n v="1836"/>
    <n v="4883.1000000000004"/>
    <n v="2953.04"/>
    <n v="1930.06"/>
    <n v="0.6"/>
    <n v="0.33"/>
    <n v="2662.07"/>
    <x v="1"/>
    <n v="702"/>
    <n v="0.55000000000000004"/>
    <n v="567.79"/>
    <n v="0.12"/>
    <n v="782.52"/>
    <n v="0.16"/>
    <n v="4"/>
    <n v="1218.23"/>
    <n v="73"/>
    <n v="0"/>
    <n v="496.18"/>
    <n v="2411.39"/>
    <x v="1"/>
    <n v="1324.95"/>
    <x v="4"/>
    <x v="0"/>
    <n v="45"/>
    <s v="High"/>
    <n v="1930.06"/>
    <n v="0"/>
  </r>
  <r>
    <x v="36"/>
    <x v="34"/>
    <n v="1358"/>
    <n v="2973.34"/>
    <n v="4225.71"/>
    <n v="-1252.3699999999999"/>
    <n v="1.42"/>
    <n v="0.17"/>
    <n v="3276.93"/>
    <x v="2"/>
    <n v="700"/>
    <n v="0.43"/>
    <n v="669.32"/>
    <n v="0.23"/>
    <n v="69.14"/>
    <n v="0.02"/>
    <n v="2"/>
    <n v="646.79999999999995"/>
    <n v="74"/>
    <n v="0"/>
    <n v="795.14"/>
    <n v="2676.45"/>
    <x v="1"/>
    <n v="1313.85"/>
    <x v="6"/>
    <x v="1"/>
    <n v="90.3"/>
    <s v="Low"/>
    <n v="0"/>
    <n v="0"/>
  </r>
  <r>
    <x v="36"/>
    <x v="34"/>
    <n v="1280"/>
    <n v="2710.11"/>
    <n v="2662.68"/>
    <n v="47.43"/>
    <n v="0.98"/>
    <n v="0.18"/>
    <n v="2756.23"/>
    <x v="1"/>
    <n v="676"/>
    <n v="0.24"/>
    <n v="686.15"/>
    <n v="0.25"/>
    <n v="536.27"/>
    <n v="0.2"/>
    <n v="5"/>
    <n v="540.74"/>
    <n v="50"/>
    <n v="0"/>
    <n v="527.80999999999995"/>
    <n v="2706.82"/>
    <x v="1"/>
    <n v="1302.96"/>
    <x v="8"/>
    <x v="0"/>
    <n v="26.5"/>
    <s v="Medium"/>
    <n v="47.43"/>
    <n v="0"/>
  </r>
  <r>
    <x v="36"/>
    <x v="34"/>
    <n v="1047"/>
    <n v="3547.88"/>
    <n v="2115.9"/>
    <n v="1431.98"/>
    <n v="0.6"/>
    <n v="0.11"/>
    <n v="2707.6"/>
    <x v="1"/>
    <n v="587"/>
    <n v="0.26"/>
    <n v="841.81"/>
    <n v="0.24"/>
    <n v="246.74"/>
    <n v="7.0000000000000007E-2"/>
    <n v="4"/>
    <n v="1984.13"/>
    <n v="58"/>
    <n v="0"/>
    <n v="613.72"/>
    <n v="1419.37"/>
    <x v="0"/>
    <n v="779.73"/>
    <x v="7"/>
    <x v="2"/>
    <n v="50.9"/>
    <s v="Medium"/>
    <n v="1431.98"/>
    <n v="0"/>
  </r>
  <r>
    <x v="36"/>
    <x v="34"/>
    <n v="1357"/>
    <n v="3490.4"/>
    <n v="1740.56"/>
    <n v="1749.84"/>
    <n v="0.5"/>
    <n v="0.33"/>
    <n v="2935.93"/>
    <x v="1"/>
    <n v="711"/>
    <n v="0.33"/>
    <n v="499.06"/>
    <n v="0.14000000000000001"/>
    <n v="298.12"/>
    <n v="0.09"/>
    <n v="9"/>
    <n v="1757.36"/>
    <n v="84"/>
    <n v="0"/>
    <n v="845.24"/>
    <n v="2526.4899999999998"/>
    <x v="0"/>
    <n v="1126.48"/>
    <x v="1"/>
    <x v="1"/>
    <n v="21.5"/>
    <s v="Low"/>
    <n v="1749.84"/>
    <n v="0"/>
  </r>
  <r>
    <x v="36"/>
    <x v="34"/>
    <n v="1153"/>
    <n v="1771.53"/>
    <n v="3041.88"/>
    <n v="-1270.3499999999999"/>
    <n v="1.72"/>
    <n v="0.11"/>
    <n v="2161.4"/>
    <x v="1"/>
    <n v="668"/>
    <n v="0.31"/>
    <n v="517.04"/>
    <n v="0.28999999999999998"/>
    <n v="0"/>
    <n v="0"/>
    <n v="6"/>
    <n v="1660.27"/>
    <n v="97"/>
    <n v="0"/>
    <n v="201.75"/>
    <n v="1941.55"/>
    <x v="0"/>
    <n v="1430.69"/>
    <x v="2"/>
    <x v="0"/>
    <n v="98.9"/>
    <s v="Low"/>
    <n v="0"/>
    <n v="0"/>
  </r>
  <r>
    <x v="36"/>
    <x v="34"/>
    <n v="1964"/>
    <n v="3769.57"/>
    <n v="2147.3000000000002"/>
    <n v="1622.27"/>
    <n v="0.56999999999999995"/>
    <n v="0.22"/>
    <n v="2945.18"/>
    <x v="0"/>
    <n v="749"/>
    <n v="0.59"/>
    <n v="496.21"/>
    <n v="0.13"/>
    <n v="382.31"/>
    <n v="0.1"/>
    <n v="9"/>
    <n v="817.22"/>
    <n v="30"/>
    <n v="0"/>
    <n v="549.86"/>
    <n v="2624.53"/>
    <x v="1"/>
    <n v="1323.22"/>
    <x v="3"/>
    <x v="0"/>
    <n v="88.5"/>
    <s v="Low"/>
    <n v="1622.27"/>
    <n v="0"/>
  </r>
  <r>
    <x v="36"/>
    <x v="34"/>
    <n v="1934"/>
    <n v="3372.74"/>
    <n v="2818.82"/>
    <n v="553.91999999999996"/>
    <n v="0.84"/>
    <n v="0.12"/>
    <n v="3076.84"/>
    <x v="0"/>
    <n v="747"/>
    <n v="0.57999999999999996"/>
    <n v="636.99"/>
    <n v="0.19"/>
    <n v="329.37"/>
    <n v="0.1"/>
    <n v="6"/>
    <n v="1190.17"/>
    <n v="91"/>
    <n v="0"/>
    <n v="753.01"/>
    <n v="2052.9499999999998"/>
    <x v="1"/>
    <n v="1528.9"/>
    <x v="1"/>
    <x v="0"/>
    <n v="63.4"/>
    <s v="Low"/>
    <n v="553.91999999999996"/>
    <n v="0"/>
  </r>
  <r>
    <x v="36"/>
    <x v="34"/>
    <n v="1670"/>
    <n v="4570.17"/>
    <n v="3163.22"/>
    <n v="1406.95"/>
    <n v="0.69"/>
    <n v="0.39"/>
    <n v="2395.65"/>
    <x v="1"/>
    <n v="620"/>
    <n v="0.47"/>
    <n v="107.82"/>
    <n v="0.02"/>
    <n v="242.79"/>
    <n v="0.05"/>
    <n v="4"/>
    <n v="43.48"/>
    <n v="50"/>
    <n v="0"/>
    <n v="532.75"/>
    <n v="1037.99"/>
    <x v="1"/>
    <n v="1510.66"/>
    <x v="4"/>
    <x v="0"/>
    <n v="65.099999999999994"/>
    <s v="Low"/>
    <n v="1406.95"/>
    <n v="0"/>
  </r>
  <r>
    <x v="36"/>
    <x v="34"/>
    <n v="1701"/>
    <n v="4641.3100000000004"/>
    <n v="3614.52"/>
    <n v="1026.79"/>
    <n v="0.78"/>
    <n v="0.3"/>
    <n v="1501.54"/>
    <x v="0"/>
    <n v="668"/>
    <n v="0.18"/>
    <n v="959.17"/>
    <n v="0.21"/>
    <n v="673.59"/>
    <n v="0.15"/>
    <n v="8"/>
    <n v="1289.3699999999999"/>
    <n v="43"/>
    <n v="0"/>
    <n v="686.51"/>
    <n v="2691.27"/>
    <x v="1"/>
    <n v="1663.28"/>
    <x v="1"/>
    <x v="0"/>
    <n v="88.9"/>
    <s v="Low"/>
    <n v="1026.79"/>
    <n v="0"/>
  </r>
  <r>
    <x v="36"/>
    <x v="34"/>
    <n v="1823"/>
    <n v="3834.31"/>
    <n v="2677.87"/>
    <n v="1156.44"/>
    <n v="0.7"/>
    <n v="0.39"/>
    <n v="2859.29"/>
    <x v="1"/>
    <n v="689"/>
    <n v="0.17"/>
    <n v="528.66999999999996"/>
    <n v="0.14000000000000001"/>
    <n v="496.63"/>
    <n v="0.13"/>
    <n v="2"/>
    <n v="1267.03"/>
    <n v="24"/>
    <n v="0"/>
    <n v="470.94"/>
    <n v="1928.98"/>
    <x v="1"/>
    <n v="1252.3499999999999"/>
    <x v="1"/>
    <x v="0"/>
    <n v="96"/>
    <s v="Medium"/>
    <n v="1156.44"/>
    <n v="0"/>
  </r>
  <r>
    <x v="36"/>
    <x v="34"/>
    <n v="1699"/>
    <n v="3939.2"/>
    <n v="4184.22"/>
    <n v="-245.02"/>
    <n v="1.06"/>
    <n v="0.28999999999999998"/>
    <n v="2081.92"/>
    <x v="0"/>
    <n v="577"/>
    <n v="0.38"/>
    <n v="680.05"/>
    <n v="0.17"/>
    <n v="344.16"/>
    <n v="0.09"/>
    <n v="5"/>
    <n v="1769.05"/>
    <n v="79"/>
    <n v="0"/>
    <n v="416.59"/>
    <n v="2163.71"/>
    <x v="1"/>
    <n v="1352.37"/>
    <x v="1"/>
    <x v="0"/>
    <n v="11.4"/>
    <s v="Low"/>
    <n v="0"/>
    <n v="0"/>
  </r>
  <r>
    <x v="36"/>
    <x v="34"/>
    <n v="1505"/>
    <n v="3257.18"/>
    <n v="4136.18"/>
    <n v="-879"/>
    <n v="1.27"/>
    <n v="0.16"/>
    <n v="2506.21"/>
    <x v="1"/>
    <n v="747"/>
    <n v="0.31"/>
    <n v="586.96"/>
    <n v="0.18"/>
    <n v="106.42"/>
    <n v="0.03"/>
    <n v="8"/>
    <n v="1637.71"/>
    <n v="20"/>
    <n v="0"/>
    <n v="261.82"/>
    <n v="1829.9"/>
    <x v="2"/>
    <n v="300"/>
    <x v="2"/>
    <x v="1"/>
    <n v="27.4"/>
    <s v="High"/>
    <n v="0"/>
    <n v="0"/>
  </r>
  <r>
    <x v="36"/>
    <x v="34"/>
    <n v="1817"/>
    <n v="4674.79"/>
    <n v="4273.9399999999996"/>
    <n v="400.85"/>
    <n v="0.91"/>
    <n v="0.16"/>
    <n v="2409.7600000000002"/>
    <x v="0"/>
    <n v="691"/>
    <n v="0.28000000000000003"/>
    <n v="436.77"/>
    <n v="0.09"/>
    <n v="417.71"/>
    <n v="0.09"/>
    <n v="9"/>
    <n v="314.81"/>
    <n v="57"/>
    <n v="0"/>
    <n v="850.33"/>
    <n v="1914.88"/>
    <x v="1"/>
    <n v="565.38"/>
    <x v="2"/>
    <x v="0"/>
    <n v="21.3"/>
    <s v="High"/>
    <n v="400.85"/>
    <n v="0"/>
  </r>
  <r>
    <x v="36"/>
    <x v="34"/>
    <n v="1893"/>
    <n v="4150.37"/>
    <n v="4561.67"/>
    <n v="-411.3"/>
    <n v="1.1000000000000001"/>
    <n v="0.1"/>
    <n v="3145.24"/>
    <x v="0"/>
    <n v="567"/>
    <n v="0.51"/>
    <n v="396.46"/>
    <n v="0.1"/>
    <n v="401.01"/>
    <n v="0.1"/>
    <n v="9"/>
    <n v="1752.97"/>
    <n v="96"/>
    <n v="0"/>
    <n v="561.57000000000005"/>
    <n v="2699.14"/>
    <x v="1"/>
    <n v="1098.27"/>
    <x v="3"/>
    <x v="1"/>
    <n v="45.9"/>
    <s v="Low"/>
    <n v="0"/>
    <n v="0"/>
  </r>
  <r>
    <x v="36"/>
    <x v="34"/>
    <n v="1982"/>
    <n v="2677.14"/>
    <n v="1893.56"/>
    <n v="783.58"/>
    <n v="0.71"/>
    <n v="0.21"/>
    <n v="2126.29"/>
    <x v="0"/>
    <n v="743"/>
    <n v="0.51"/>
    <n v="452.15"/>
    <n v="0.17"/>
    <n v="884.72"/>
    <n v="0.33"/>
    <n v="2"/>
    <n v="1257.92"/>
    <n v="27"/>
    <n v="0"/>
    <n v="555"/>
    <n v="3182.03"/>
    <x v="2"/>
    <n v="1154.29"/>
    <x v="3"/>
    <x v="0"/>
    <n v="1.5"/>
    <s v="Low"/>
    <n v="783.58"/>
    <n v="0"/>
  </r>
  <r>
    <x v="36"/>
    <x v="34"/>
    <n v="1213"/>
    <n v="3878.21"/>
    <n v="4252.2700000000004"/>
    <n v="-374.06"/>
    <n v="1.1000000000000001"/>
    <n v="0.13"/>
    <n v="3011.93"/>
    <x v="1"/>
    <n v="737"/>
    <n v="0.25"/>
    <n v="445.08"/>
    <n v="0.11"/>
    <n v="612.36"/>
    <n v="0.16"/>
    <n v="9"/>
    <n v="1199.01"/>
    <n v="37"/>
    <n v="0"/>
    <n v="489.46"/>
    <n v="3072.24"/>
    <x v="1"/>
    <n v="534.37"/>
    <x v="3"/>
    <x v="0"/>
    <n v="56.4"/>
    <s v="Low"/>
    <n v="0"/>
    <n v="0"/>
  </r>
  <r>
    <x v="36"/>
    <x v="34"/>
    <n v="1756"/>
    <n v="2288.96"/>
    <n v="3012.86"/>
    <n v="-723.9"/>
    <n v="1.32"/>
    <n v="0.3"/>
    <n v="3148.11"/>
    <x v="1"/>
    <n v="656"/>
    <n v="0.47"/>
    <n v="563.98"/>
    <n v="0.25"/>
    <n v="317.43"/>
    <n v="0.14000000000000001"/>
    <n v="1"/>
    <n v="897.06"/>
    <n v="33"/>
    <n v="0"/>
    <n v="535.46"/>
    <n v="2352.4699999999998"/>
    <x v="0"/>
    <n v="814.97"/>
    <x v="2"/>
    <x v="2"/>
    <n v="75.099999999999994"/>
    <s v="Medium"/>
    <n v="0"/>
    <n v="0"/>
  </r>
  <r>
    <x v="36"/>
    <x v="34"/>
    <n v="1005"/>
    <n v="4621.7700000000004"/>
    <n v="3289.25"/>
    <n v="1332.52"/>
    <n v="0.71"/>
    <n v="0.05"/>
    <n v="2779.03"/>
    <x v="1"/>
    <n v="767"/>
    <n v="0.3"/>
    <n v="612.69000000000005"/>
    <n v="0.13"/>
    <n v="405.21"/>
    <n v="0.09"/>
    <n v="6"/>
    <n v="149.31"/>
    <n v="35"/>
    <n v="0"/>
    <n v="711.91"/>
    <n v="2145.2399999999998"/>
    <x v="2"/>
    <n v="680.52"/>
    <x v="6"/>
    <x v="0"/>
    <n v="46.1"/>
    <s v="Low"/>
    <n v="1332.52"/>
    <n v="0"/>
  </r>
  <r>
    <x v="36"/>
    <x v="34"/>
    <n v="1057"/>
    <n v="4668.63"/>
    <n v="3140.53"/>
    <n v="1528.1"/>
    <n v="0.67"/>
    <n v="0.19"/>
    <n v="2274.37"/>
    <x v="2"/>
    <n v="694"/>
    <n v="0.22"/>
    <n v="553.57000000000005"/>
    <n v="0.12"/>
    <n v="0"/>
    <n v="0"/>
    <n v="2"/>
    <n v="1169.19"/>
    <n v="23"/>
    <n v="0"/>
    <n v="361.98"/>
    <n v="1982.72"/>
    <x v="1"/>
    <n v="656.45"/>
    <x v="5"/>
    <x v="0"/>
    <n v="63.2"/>
    <s v="Medium"/>
    <n v="1528.1"/>
    <n v="0"/>
  </r>
  <r>
    <x v="36"/>
    <x v="34"/>
    <n v="1003"/>
    <n v="4757.29"/>
    <n v="3222"/>
    <n v="1535.29"/>
    <n v="0.68"/>
    <n v="0.22"/>
    <n v="2479.19"/>
    <x v="1"/>
    <n v="703"/>
    <n v="0.45"/>
    <n v="505.99"/>
    <n v="0.11"/>
    <n v="474.38"/>
    <n v="0.1"/>
    <n v="4"/>
    <n v="1480.14"/>
    <n v="69"/>
    <n v="0"/>
    <n v="667.41"/>
    <n v="2888.12"/>
    <x v="1"/>
    <n v="1714.23"/>
    <x v="3"/>
    <x v="1"/>
    <n v="76.400000000000006"/>
    <s v="Medium"/>
    <n v="1535.29"/>
    <n v="0"/>
  </r>
  <r>
    <x v="37"/>
    <x v="35"/>
    <n v="1776"/>
    <n v="4276.99"/>
    <n v="2785.21"/>
    <n v="1491.78"/>
    <n v="0.65"/>
    <n v="0.31"/>
    <n v="3381.24"/>
    <x v="0"/>
    <n v="731"/>
    <n v="0.22"/>
    <n v="480.68"/>
    <n v="0.11"/>
    <n v="282.26"/>
    <n v="7.0000000000000007E-2"/>
    <n v="7"/>
    <n v="2344.5300000000002"/>
    <n v="29"/>
    <n v="0"/>
    <n v="482.68"/>
    <n v="2102.2800000000002"/>
    <x v="0"/>
    <n v="866.95"/>
    <x v="5"/>
    <x v="0"/>
    <n v="46.9"/>
    <s v="High"/>
    <n v="1491.78"/>
    <n v="0"/>
  </r>
  <r>
    <x v="37"/>
    <x v="35"/>
    <n v="1895"/>
    <n v="3150.47"/>
    <n v="2759.67"/>
    <n v="390.8"/>
    <n v="0.88"/>
    <n v="0.05"/>
    <n v="2711.72"/>
    <x v="0"/>
    <n v="753"/>
    <n v="0.16"/>
    <n v="538.51"/>
    <n v="0.17"/>
    <n v="418.16"/>
    <n v="0.13"/>
    <n v="6"/>
    <n v="689.26"/>
    <n v="52"/>
    <n v="0"/>
    <n v="748.25"/>
    <n v="1384.25"/>
    <x v="1"/>
    <n v="1101.52"/>
    <x v="3"/>
    <x v="1"/>
    <n v="8.8000000000000007"/>
    <s v="Low"/>
    <n v="390.8"/>
    <n v="0"/>
  </r>
  <r>
    <x v="37"/>
    <x v="35"/>
    <n v="1117"/>
    <n v="4224.96"/>
    <n v="2896.18"/>
    <n v="1328.78"/>
    <n v="0.69"/>
    <n v="0.23"/>
    <n v="3389"/>
    <x v="2"/>
    <n v="590"/>
    <n v="0.39"/>
    <n v="478.88"/>
    <n v="0.11"/>
    <n v="113.33"/>
    <n v="0.03"/>
    <n v="4"/>
    <n v="632.33000000000004"/>
    <n v="93"/>
    <n v="0"/>
    <n v="748.45"/>
    <n v="1618.49"/>
    <x v="1"/>
    <n v="647.79"/>
    <x v="2"/>
    <x v="0"/>
    <n v="13.9"/>
    <s v="Low"/>
    <n v="1328.78"/>
    <n v="0"/>
  </r>
  <r>
    <x v="37"/>
    <x v="35"/>
    <n v="1528"/>
    <n v="2932.61"/>
    <n v="3926.52"/>
    <n v="-993.91"/>
    <n v="1.34"/>
    <n v="0.16"/>
    <n v="2976.24"/>
    <x v="1"/>
    <n v="714"/>
    <n v="0.18"/>
    <n v="463.01"/>
    <n v="0.16"/>
    <n v="0"/>
    <n v="0"/>
    <n v="3"/>
    <n v="534.47"/>
    <n v="60"/>
    <n v="0"/>
    <n v="261.2"/>
    <n v="2403.36"/>
    <x v="1"/>
    <n v="955.07"/>
    <x v="5"/>
    <x v="0"/>
    <n v="11.7"/>
    <s v="Low"/>
    <n v="0"/>
    <n v="0"/>
  </r>
  <r>
    <x v="37"/>
    <x v="35"/>
    <n v="1378"/>
    <n v="4283.67"/>
    <n v="2417.46"/>
    <n v="1866.21"/>
    <n v="0.56000000000000005"/>
    <n v="0.35"/>
    <n v="2988.46"/>
    <x v="1"/>
    <n v="575"/>
    <n v="0.12"/>
    <n v="590.79999999999995"/>
    <n v="0.14000000000000001"/>
    <n v="634.71"/>
    <n v="0.15"/>
    <n v="9"/>
    <n v="1505.59"/>
    <n v="33"/>
    <n v="0"/>
    <n v="782.71"/>
    <n v="2718.95"/>
    <x v="1"/>
    <n v="749.15"/>
    <x v="4"/>
    <x v="1"/>
    <n v="59.3"/>
    <s v="High"/>
    <n v="1866.21"/>
    <n v="0"/>
  </r>
  <r>
    <x v="37"/>
    <x v="35"/>
    <n v="1199"/>
    <n v="3659.97"/>
    <n v="2801.27"/>
    <n v="858.7"/>
    <n v="0.77"/>
    <n v="0.25"/>
    <n v="3232.5"/>
    <x v="1"/>
    <n v="630"/>
    <n v="0.1"/>
    <n v="445.12"/>
    <n v="0.12"/>
    <n v="306.85000000000002"/>
    <n v="0.08"/>
    <n v="1"/>
    <n v="1109.42"/>
    <n v="41"/>
    <n v="0"/>
    <n v="347.53"/>
    <n v="1755.42"/>
    <x v="1"/>
    <n v="355.49"/>
    <x v="8"/>
    <x v="0"/>
    <n v="41.7"/>
    <s v="Medium"/>
    <n v="858.7"/>
    <n v="0"/>
  </r>
  <r>
    <x v="37"/>
    <x v="35"/>
    <n v="1073"/>
    <n v="3525.79"/>
    <n v="2509.2800000000002"/>
    <n v="1016.51"/>
    <n v="0.71"/>
    <n v="0.38"/>
    <n v="3003.38"/>
    <x v="1"/>
    <n v="750"/>
    <n v="0.26"/>
    <n v="789.92"/>
    <n v="0.22"/>
    <n v="646.9"/>
    <n v="0.18"/>
    <n v="6"/>
    <n v="363.48"/>
    <n v="76"/>
    <n v="0"/>
    <n v="653.28"/>
    <n v="2490.48"/>
    <x v="1"/>
    <n v="1158.3399999999999"/>
    <x v="9"/>
    <x v="0"/>
    <n v="89.2"/>
    <s v="Medium"/>
    <n v="1016.51"/>
    <n v="0"/>
  </r>
  <r>
    <x v="37"/>
    <x v="35"/>
    <n v="1351"/>
    <n v="3646.42"/>
    <n v="3513.52"/>
    <n v="132.9"/>
    <n v="0.96"/>
    <n v="0.3"/>
    <n v="3117.89"/>
    <x v="2"/>
    <n v="677"/>
    <n v="0.19"/>
    <n v="576.39"/>
    <n v="0.16"/>
    <n v="425.7"/>
    <n v="0.12"/>
    <n v="6"/>
    <n v="1374.43"/>
    <n v="51"/>
    <n v="0"/>
    <n v="445.45"/>
    <n v="2637.07"/>
    <x v="1"/>
    <n v="1442.03"/>
    <x v="6"/>
    <x v="0"/>
    <n v="23.4"/>
    <s v="Medium"/>
    <n v="132.9"/>
    <n v="0"/>
  </r>
  <r>
    <x v="37"/>
    <x v="35"/>
    <n v="1533"/>
    <n v="4361.62"/>
    <n v="3684.98"/>
    <n v="676.64"/>
    <n v="0.84"/>
    <n v="0.38"/>
    <n v="3449.26"/>
    <x v="1"/>
    <n v="673"/>
    <n v="0.14000000000000001"/>
    <n v="393.36"/>
    <n v="0.09"/>
    <n v="106.71"/>
    <n v="0.02"/>
    <n v="7"/>
    <n v="682.78"/>
    <n v="38"/>
    <n v="0"/>
    <n v="476.95"/>
    <n v="2050.61"/>
    <x v="1"/>
    <n v="1097.94"/>
    <x v="9"/>
    <x v="2"/>
    <n v="88"/>
    <s v="Low"/>
    <n v="676.64"/>
    <n v="0"/>
  </r>
  <r>
    <x v="37"/>
    <x v="35"/>
    <n v="1369"/>
    <n v="4738.6899999999996"/>
    <n v="3342.15"/>
    <n v="1396.54"/>
    <n v="0.71"/>
    <n v="0.09"/>
    <n v="3274.18"/>
    <x v="2"/>
    <n v="640"/>
    <n v="0.22"/>
    <n v="493.76"/>
    <n v="0.1"/>
    <n v="803.88"/>
    <n v="0.17"/>
    <n v="5"/>
    <n v="1816.54"/>
    <n v="68"/>
    <n v="1"/>
    <n v="813.58"/>
    <n v="3008.38"/>
    <x v="0"/>
    <n v="1049.49"/>
    <x v="9"/>
    <x v="2"/>
    <n v="10.7"/>
    <s v="High"/>
    <n v="1396.54"/>
    <n v="0"/>
  </r>
  <r>
    <x v="37"/>
    <x v="35"/>
    <n v="1888"/>
    <n v="3400.29"/>
    <n v="2324.12"/>
    <n v="1076.17"/>
    <n v="0.68"/>
    <n v="0.15"/>
    <n v="3066.71"/>
    <x v="0"/>
    <n v="713"/>
    <n v="0.51"/>
    <n v="503.49"/>
    <n v="0.15"/>
    <n v="214.81"/>
    <n v="0.06"/>
    <n v="7"/>
    <n v="534.89"/>
    <n v="74"/>
    <n v="1"/>
    <n v="476.33"/>
    <n v="2655.42"/>
    <x v="1"/>
    <n v="573.14"/>
    <x v="8"/>
    <x v="0"/>
    <n v="13.4"/>
    <s v="High"/>
    <n v="1076.17"/>
    <n v="0"/>
  </r>
  <r>
    <x v="37"/>
    <x v="35"/>
    <n v="1597"/>
    <n v="4048.72"/>
    <n v="3784.15"/>
    <n v="264.57"/>
    <n v="0.93"/>
    <n v="0.22"/>
    <n v="2530.6"/>
    <x v="1"/>
    <n v="603"/>
    <n v="0.59"/>
    <n v="339.36"/>
    <n v="0.08"/>
    <n v="253.85"/>
    <n v="0.06"/>
    <n v="7"/>
    <n v="0"/>
    <n v="87"/>
    <n v="0"/>
    <n v="270.61"/>
    <n v="2067.6"/>
    <x v="0"/>
    <n v="1306.2"/>
    <x v="6"/>
    <x v="2"/>
    <n v="51.7"/>
    <s v="Medium"/>
    <n v="264.57"/>
    <n v="0"/>
  </r>
  <r>
    <x v="37"/>
    <x v="35"/>
    <n v="1968"/>
    <n v="3464.86"/>
    <n v="3484.6"/>
    <n v="-19.739999999999998"/>
    <n v="1.01"/>
    <n v="0.19"/>
    <n v="3205.74"/>
    <x v="1"/>
    <n v="667"/>
    <n v="0.23"/>
    <n v="236.69"/>
    <n v="7.0000000000000007E-2"/>
    <n v="332.75"/>
    <n v="0.1"/>
    <n v="3"/>
    <n v="1285.67"/>
    <n v="48"/>
    <n v="0"/>
    <n v="477.9"/>
    <n v="2175.25"/>
    <x v="1"/>
    <n v="1112.1199999999999"/>
    <x v="4"/>
    <x v="2"/>
    <n v="73.2"/>
    <s v="High"/>
    <n v="0"/>
    <n v="0"/>
  </r>
  <r>
    <x v="37"/>
    <x v="35"/>
    <n v="1427"/>
    <n v="4726.75"/>
    <n v="3067.28"/>
    <n v="1659.47"/>
    <n v="0.65"/>
    <n v="0.19"/>
    <n v="3528.87"/>
    <x v="1"/>
    <n v="639"/>
    <n v="0.51"/>
    <n v="483.23"/>
    <n v="0.1"/>
    <n v="288.54000000000002"/>
    <n v="0.06"/>
    <n v="3"/>
    <n v="1174.69"/>
    <n v="28"/>
    <n v="0"/>
    <n v="434.01"/>
    <n v="3379.51"/>
    <x v="1"/>
    <n v="733.32"/>
    <x v="9"/>
    <x v="1"/>
    <n v="66.8"/>
    <s v="Medium"/>
    <n v="1659.47"/>
    <n v="0"/>
  </r>
  <r>
    <x v="37"/>
    <x v="35"/>
    <n v="1722"/>
    <n v="3208.88"/>
    <n v="2980.67"/>
    <n v="228.21"/>
    <n v="0.93"/>
    <n v="0.38"/>
    <n v="3264.37"/>
    <x v="1"/>
    <n v="742"/>
    <n v="0.45"/>
    <n v="110.92"/>
    <n v="0.03"/>
    <n v="371.97"/>
    <n v="0.12"/>
    <n v="1"/>
    <n v="698.05"/>
    <n v="52"/>
    <n v="0"/>
    <n v="498.56"/>
    <n v="2137.08"/>
    <x v="1"/>
    <n v="903.63"/>
    <x v="0"/>
    <x v="0"/>
    <n v="96.9"/>
    <s v="High"/>
    <n v="228.21"/>
    <n v="0"/>
  </r>
  <r>
    <x v="37"/>
    <x v="35"/>
    <n v="1472"/>
    <n v="3454.17"/>
    <n v="2425.12"/>
    <n v="1029.05"/>
    <n v="0.7"/>
    <n v="0.15"/>
    <n v="2486.3000000000002"/>
    <x v="1"/>
    <n v="680"/>
    <n v="0.54"/>
    <n v="658.93"/>
    <n v="0.19"/>
    <n v="534.41"/>
    <n v="0.15"/>
    <n v="8"/>
    <n v="504.36"/>
    <n v="32"/>
    <n v="0"/>
    <n v="139.03"/>
    <n v="2095.8000000000002"/>
    <x v="1"/>
    <n v="1434.65"/>
    <x v="2"/>
    <x v="0"/>
    <n v="98.1"/>
    <s v="High"/>
    <n v="1029.05"/>
    <n v="0"/>
  </r>
  <r>
    <x v="37"/>
    <x v="35"/>
    <n v="1880"/>
    <n v="2884.27"/>
    <n v="3415.61"/>
    <n v="-531.34"/>
    <n v="1.18"/>
    <n v="0.2"/>
    <n v="2739.26"/>
    <x v="2"/>
    <n v="631"/>
    <n v="0.19"/>
    <n v="672.31"/>
    <n v="0.23"/>
    <n v="394.98"/>
    <n v="0.14000000000000001"/>
    <n v="8"/>
    <n v="696.64"/>
    <n v="55"/>
    <n v="0"/>
    <n v="476.4"/>
    <n v="1632.41"/>
    <x v="1"/>
    <n v="1299.8499999999999"/>
    <x v="9"/>
    <x v="0"/>
    <n v="10.199999999999999"/>
    <s v="High"/>
    <n v="0"/>
    <n v="0"/>
  </r>
  <r>
    <x v="37"/>
    <x v="35"/>
    <n v="1058"/>
    <n v="2808.94"/>
    <n v="3056.73"/>
    <n v="-247.79"/>
    <n v="1.0900000000000001"/>
    <n v="0.13"/>
    <n v="2812.41"/>
    <x v="1"/>
    <n v="684"/>
    <n v="0.45"/>
    <n v="392.4"/>
    <n v="0.14000000000000001"/>
    <n v="234.72"/>
    <n v="0.08"/>
    <n v="5"/>
    <n v="1009.11"/>
    <n v="37"/>
    <n v="0"/>
    <n v="388.82"/>
    <n v="2193.13"/>
    <x v="1"/>
    <n v="671.01"/>
    <x v="3"/>
    <x v="2"/>
    <n v="45.6"/>
    <s v="High"/>
    <n v="0"/>
    <n v="0"/>
  </r>
  <r>
    <x v="37"/>
    <x v="35"/>
    <n v="1095"/>
    <n v="4543.78"/>
    <n v="2845.01"/>
    <n v="1698.77"/>
    <n v="0.63"/>
    <n v="0.28999999999999998"/>
    <n v="2970.76"/>
    <x v="0"/>
    <n v="601"/>
    <n v="0.28999999999999998"/>
    <n v="822.61"/>
    <n v="0.18"/>
    <n v="494.39"/>
    <n v="0.11"/>
    <n v="2"/>
    <n v="1283.0899999999999"/>
    <n v="31"/>
    <n v="0"/>
    <n v="267.11"/>
    <n v="3045.19"/>
    <x v="1"/>
    <n v="1787.76"/>
    <x v="4"/>
    <x v="0"/>
    <n v="67.900000000000006"/>
    <s v="High"/>
    <n v="1698.77"/>
    <n v="0"/>
  </r>
  <r>
    <x v="37"/>
    <x v="35"/>
    <n v="1125"/>
    <n v="2979.52"/>
    <n v="5236.6400000000003"/>
    <n v="-2257.12"/>
    <n v="1.76"/>
    <n v="0.28999999999999998"/>
    <n v="2809.77"/>
    <x v="2"/>
    <n v="664"/>
    <n v="0.13"/>
    <n v="819.59"/>
    <n v="0.28000000000000003"/>
    <n v="703.07"/>
    <n v="0.24"/>
    <n v="7"/>
    <n v="561.32000000000005"/>
    <n v="71"/>
    <n v="0"/>
    <n v="152.1"/>
    <n v="2016.11"/>
    <x v="0"/>
    <n v="1546.44"/>
    <x v="4"/>
    <x v="0"/>
    <n v="12.3"/>
    <s v="Medium"/>
    <n v="0"/>
    <n v="0"/>
  </r>
  <r>
    <x v="37"/>
    <x v="35"/>
    <n v="1929"/>
    <n v="3620.88"/>
    <n v="3298.98"/>
    <n v="321.89999999999998"/>
    <n v="0.91"/>
    <n v="0.32"/>
    <n v="2812.08"/>
    <x v="1"/>
    <n v="677"/>
    <n v="0.37"/>
    <n v="513.96"/>
    <n v="0.14000000000000001"/>
    <n v="452.34"/>
    <n v="0.12"/>
    <n v="2"/>
    <n v="807.51"/>
    <n v="50"/>
    <n v="0"/>
    <n v="361.54"/>
    <n v="2728.61"/>
    <x v="2"/>
    <n v="624.29"/>
    <x v="1"/>
    <x v="0"/>
    <n v="15.9"/>
    <s v="Low"/>
    <n v="321.89999999999998"/>
    <n v="0"/>
  </r>
  <r>
    <x v="37"/>
    <x v="35"/>
    <n v="1059"/>
    <n v="3262.49"/>
    <n v="1945.61"/>
    <n v="1316.88"/>
    <n v="0.6"/>
    <n v="0.11"/>
    <n v="1895.89"/>
    <x v="0"/>
    <n v="684"/>
    <n v="0.59"/>
    <n v="284.18"/>
    <n v="0.09"/>
    <n v="477.64"/>
    <n v="0.15"/>
    <n v="2"/>
    <n v="201.21"/>
    <n v="99"/>
    <n v="0"/>
    <n v="578.21"/>
    <n v="1263.1199999999999"/>
    <x v="1"/>
    <n v="454.4"/>
    <x v="4"/>
    <x v="0"/>
    <n v="9.6"/>
    <s v="Low"/>
    <n v="1316.88"/>
    <n v="0"/>
  </r>
  <r>
    <x v="37"/>
    <x v="35"/>
    <n v="1549"/>
    <n v="3709.77"/>
    <n v="4149.26"/>
    <n v="-439.49"/>
    <n v="1.1200000000000001"/>
    <n v="0.35"/>
    <n v="2779.88"/>
    <x v="1"/>
    <n v="667"/>
    <n v="0.31"/>
    <n v="397.65"/>
    <n v="0.11"/>
    <n v="809.99"/>
    <n v="0.22"/>
    <n v="2"/>
    <n v="788.56"/>
    <n v="20"/>
    <n v="0"/>
    <n v="662.74"/>
    <n v="2872.23"/>
    <x v="1"/>
    <n v="1578.86"/>
    <x v="9"/>
    <x v="1"/>
    <n v="21.1"/>
    <s v="Medium"/>
    <n v="0"/>
    <n v="0"/>
  </r>
  <r>
    <x v="37"/>
    <x v="35"/>
    <n v="1372"/>
    <n v="2935.39"/>
    <n v="3325.89"/>
    <n v="-390.5"/>
    <n v="1.1299999999999999"/>
    <n v="0.3"/>
    <n v="2935.76"/>
    <x v="2"/>
    <n v="718"/>
    <n v="0.12"/>
    <n v="222.43"/>
    <n v="0.08"/>
    <n v="370.96"/>
    <n v="0.13"/>
    <n v="4"/>
    <n v="818.65"/>
    <n v="30"/>
    <n v="0"/>
    <n v="264.23"/>
    <n v="2734.72"/>
    <x v="1"/>
    <n v="1609.42"/>
    <x v="4"/>
    <x v="0"/>
    <n v="83.2"/>
    <s v="High"/>
    <n v="0"/>
    <n v="0"/>
  </r>
  <r>
    <x v="37"/>
    <x v="35"/>
    <n v="1909"/>
    <n v="4213.2700000000004"/>
    <n v="2797.13"/>
    <n v="1416.14"/>
    <n v="0.66"/>
    <n v="0.21"/>
    <n v="2661.85"/>
    <x v="1"/>
    <n v="806"/>
    <n v="0.44"/>
    <n v="514.12"/>
    <n v="0.12"/>
    <n v="105.22"/>
    <n v="0.02"/>
    <n v="3"/>
    <n v="860.85"/>
    <n v="38"/>
    <n v="0"/>
    <n v="733.79"/>
    <n v="2474.3000000000002"/>
    <x v="1"/>
    <n v="1368.35"/>
    <x v="8"/>
    <x v="0"/>
    <n v="92.5"/>
    <s v="Low"/>
    <n v="1416.14"/>
    <n v="0"/>
  </r>
  <r>
    <x v="37"/>
    <x v="35"/>
    <n v="1109"/>
    <n v="4400.8500000000004"/>
    <n v="4773.28"/>
    <n v="-372.43"/>
    <n v="1.08"/>
    <n v="0.25"/>
    <n v="3370.48"/>
    <x v="1"/>
    <n v="713"/>
    <n v="0.18"/>
    <n v="360.82"/>
    <n v="0.08"/>
    <n v="469.26"/>
    <n v="0.11"/>
    <n v="8"/>
    <n v="780.02"/>
    <n v="21"/>
    <n v="0"/>
    <n v="185.1"/>
    <n v="2866.2"/>
    <x v="0"/>
    <n v="1149.27"/>
    <x v="7"/>
    <x v="0"/>
    <n v="31.1"/>
    <s v="High"/>
    <n v="0"/>
    <n v="0"/>
  </r>
  <r>
    <x v="37"/>
    <x v="35"/>
    <n v="1819"/>
    <n v="3445.74"/>
    <n v="1742.69"/>
    <n v="1703.05"/>
    <n v="0.51"/>
    <n v="0.23"/>
    <n v="3460.53"/>
    <x v="0"/>
    <n v="720"/>
    <n v="0.35"/>
    <n v="245.83"/>
    <n v="7.0000000000000007E-2"/>
    <n v="609.07000000000005"/>
    <n v="0.18"/>
    <n v="9"/>
    <n v="1116.5"/>
    <n v="86"/>
    <n v="0"/>
    <n v="480.47"/>
    <n v="2715.79"/>
    <x v="1"/>
    <n v="1805.71"/>
    <x v="1"/>
    <x v="0"/>
    <n v="85.6"/>
    <s v="Medium"/>
    <n v="1703.05"/>
    <n v="0"/>
  </r>
  <r>
    <x v="37"/>
    <x v="35"/>
    <n v="1897"/>
    <n v="4196.07"/>
    <n v="2947.04"/>
    <n v="1249.03"/>
    <n v="0.7"/>
    <n v="0.36"/>
    <n v="2608.5500000000002"/>
    <x v="2"/>
    <n v="677"/>
    <n v="0.53"/>
    <n v="0"/>
    <n v="0"/>
    <n v="429.86"/>
    <n v="0.1"/>
    <n v="9"/>
    <n v="1127.6300000000001"/>
    <n v="86"/>
    <n v="0"/>
    <n v="338.65"/>
    <n v="1772.4"/>
    <x v="1"/>
    <n v="1615.93"/>
    <x v="5"/>
    <x v="0"/>
    <n v="7.6"/>
    <s v="Medium"/>
    <n v="1249.03"/>
    <n v="0"/>
  </r>
  <r>
    <x v="37"/>
    <x v="35"/>
    <n v="1609"/>
    <n v="3090.57"/>
    <n v="1936.15"/>
    <n v="1154.42"/>
    <n v="0.63"/>
    <n v="0.38"/>
    <n v="2964.43"/>
    <x v="1"/>
    <n v="701"/>
    <n v="0.55000000000000004"/>
    <n v="295.60000000000002"/>
    <n v="0.1"/>
    <n v="269.48"/>
    <n v="0.09"/>
    <n v="3"/>
    <n v="890.65"/>
    <n v="44"/>
    <n v="0"/>
    <n v="561.77"/>
    <n v="2419.58"/>
    <x v="0"/>
    <n v="1226.48"/>
    <x v="9"/>
    <x v="1"/>
    <n v="70.900000000000006"/>
    <s v="Low"/>
    <n v="1154.42"/>
    <n v="0"/>
  </r>
  <r>
    <x v="37"/>
    <x v="35"/>
    <n v="1435"/>
    <n v="2723.47"/>
    <n v="4130.8999999999996"/>
    <n v="-1407.43"/>
    <n v="1.52"/>
    <n v="0.22"/>
    <n v="3608.46"/>
    <x v="1"/>
    <n v="726"/>
    <n v="0.52"/>
    <n v="734.25"/>
    <n v="0.27"/>
    <n v="378.09"/>
    <n v="0.14000000000000001"/>
    <n v="1"/>
    <n v="466.61"/>
    <n v="65"/>
    <n v="0"/>
    <n v="536.17999999999995"/>
    <n v="2159.88"/>
    <x v="0"/>
    <n v="1990.13"/>
    <x v="3"/>
    <x v="0"/>
    <n v="11.5"/>
    <s v="High"/>
    <n v="0"/>
    <n v="0"/>
  </r>
  <r>
    <x v="37"/>
    <x v="35"/>
    <n v="1768"/>
    <n v="1789.65"/>
    <n v="4311.8999999999996"/>
    <n v="-2522.25"/>
    <n v="2.41"/>
    <n v="0.1"/>
    <n v="3790.92"/>
    <x v="1"/>
    <n v="591"/>
    <n v="0.49"/>
    <n v="814.75"/>
    <n v="0.46"/>
    <n v="530.91999999999996"/>
    <n v="0.3"/>
    <n v="6"/>
    <n v="766.87"/>
    <n v="59"/>
    <n v="0"/>
    <n v="554.72"/>
    <n v="2337.8000000000002"/>
    <x v="0"/>
    <n v="593.72"/>
    <x v="9"/>
    <x v="0"/>
    <n v="75.7"/>
    <s v="Low"/>
    <n v="0"/>
    <n v="0"/>
  </r>
  <r>
    <x v="37"/>
    <x v="35"/>
    <n v="1560"/>
    <n v="5157.45"/>
    <n v="3992.48"/>
    <n v="1164.97"/>
    <n v="0.77"/>
    <n v="0.28999999999999998"/>
    <n v="2966.82"/>
    <x v="0"/>
    <n v="701"/>
    <n v="0.21"/>
    <n v="266.52999999999997"/>
    <n v="0.05"/>
    <n v="584.97"/>
    <n v="0.11"/>
    <n v="6"/>
    <n v="1156.5999999999999"/>
    <n v="81"/>
    <n v="0"/>
    <n v="675.76"/>
    <n v="1686.46"/>
    <x v="1"/>
    <n v="1096.8599999999999"/>
    <x v="6"/>
    <x v="0"/>
    <n v="5.9"/>
    <s v="Medium"/>
    <n v="1164.97"/>
    <n v="0"/>
  </r>
  <r>
    <x v="37"/>
    <x v="35"/>
    <n v="1102"/>
    <n v="3048.19"/>
    <n v="1902.72"/>
    <n v="1145.47"/>
    <n v="0.62"/>
    <n v="0.34"/>
    <n v="3482.33"/>
    <x v="2"/>
    <n v="642"/>
    <n v="0.46"/>
    <n v="461.36"/>
    <n v="0.15"/>
    <n v="436.21"/>
    <n v="0.14000000000000001"/>
    <n v="2"/>
    <n v="1046.3399999999999"/>
    <n v="98"/>
    <n v="0"/>
    <n v="313.26"/>
    <n v="3397.72"/>
    <x v="1"/>
    <n v="1379.39"/>
    <x v="0"/>
    <x v="0"/>
    <n v="60.1"/>
    <s v="Low"/>
    <n v="1145.47"/>
    <n v="0"/>
  </r>
  <r>
    <x v="37"/>
    <x v="35"/>
    <n v="1503"/>
    <n v="3854.83"/>
    <n v="4228.26"/>
    <n v="-373.43"/>
    <n v="1.1000000000000001"/>
    <n v="0.32"/>
    <n v="2872.62"/>
    <x v="1"/>
    <n v="682"/>
    <n v="0.42"/>
    <n v="36.47"/>
    <n v="0.01"/>
    <n v="521.62"/>
    <n v="0.14000000000000001"/>
    <n v="4"/>
    <n v="1235.96"/>
    <n v="23"/>
    <n v="0"/>
    <n v="200.59"/>
    <n v="1570.03"/>
    <x v="1"/>
    <n v="1397.23"/>
    <x v="5"/>
    <x v="0"/>
    <n v="18.3"/>
    <s v="High"/>
    <n v="0"/>
    <n v="0"/>
  </r>
  <r>
    <x v="37"/>
    <x v="35"/>
    <n v="1721"/>
    <n v="5684.85"/>
    <n v="3303.58"/>
    <n v="2381.27"/>
    <n v="0.57999999999999996"/>
    <n v="0.11"/>
    <n v="3210.78"/>
    <x v="1"/>
    <n v="728"/>
    <n v="0.32"/>
    <n v="200.03"/>
    <n v="0.04"/>
    <n v="215.02"/>
    <n v="0.04"/>
    <n v="1"/>
    <n v="830.9"/>
    <n v="93"/>
    <n v="0"/>
    <n v="485.27"/>
    <n v="2057.88"/>
    <x v="0"/>
    <n v="953.17"/>
    <x v="1"/>
    <x v="0"/>
    <n v="87.1"/>
    <s v="Low"/>
    <n v="2381.27"/>
    <n v="0"/>
  </r>
  <r>
    <x v="37"/>
    <x v="35"/>
    <n v="1003"/>
    <n v="4873.1099999999997"/>
    <n v="2797.07"/>
    <n v="2076.04"/>
    <n v="0.56999999999999995"/>
    <n v="0.21"/>
    <n v="1782.37"/>
    <x v="1"/>
    <n v="557"/>
    <n v="0.37"/>
    <n v="975.59"/>
    <n v="0.2"/>
    <n v="459.27"/>
    <n v="0.09"/>
    <n v="2"/>
    <n v="469.76"/>
    <n v="89"/>
    <n v="0"/>
    <n v="477.07"/>
    <n v="2042.52"/>
    <x v="0"/>
    <n v="777.64"/>
    <x v="3"/>
    <x v="0"/>
    <n v="90.2"/>
    <s v="High"/>
    <n v="2076.04"/>
    <n v="1"/>
  </r>
  <r>
    <x v="37"/>
    <x v="35"/>
    <n v="1455"/>
    <n v="5700.56"/>
    <n v="2784.28"/>
    <n v="2916.28"/>
    <n v="0.49"/>
    <n v="0.13"/>
    <n v="3037.45"/>
    <x v="1"/>
    <n v="666"/>
    <n v="0.22"/>
    <n v="540.75"/>
    <n v="0.09"/>
    <n v="75.91"/>
    <n v="0.01"/>
    <n v="6"/>
    <n v="1272.79"/>
    <n v="25"/>
    <n v="0"/>
    <n v="398.34"/>
    <n v="2699.42"/>
    <x v="2"/>
    <n v="1687.84"/>
    <x v="5"/>
    <x v="1"/>
    <n v="97.9"/>
    <s v="Low"/>
    <n v="2916.28"/>
    <n v="0"/>
  </r>
  <r>
    <x v="37"/>
    <x v="35"/>
    <n v="1415"/>
    <n v="3898.71"/>
    <n v="3861.04"/>
    <n v="37.67"/>
    <n v="0.99"/>
    <n v="0.05"/>
    <n v="3391.25"/>
    <x v="0"/>
    <n v="624"/>
    <n v="0.2"/>
    <n v="226"/>
    <n v="0.06"/>
    <n v="184.07"/>
    <n v="0.05"/>
    <n v="8"/>
    <n v="1573.83"/>
    <n v="22"/>
    <n v="0"/>
    <n v="492.68"/>
    <n v="2012.61"/>
    <x v="1"/>
    <n v="2006.58"/>
    <x v="6"/>
    <x v="0"/>
    <n v="11.4"/>
    <s v="Low"/>
    <n v="37.67"/>
    <n v="0"/>
  </r>
  <r>
    <x v="37"/>
    <x v="35"/>
    <n v="1844"/>
    <n v="5336.88"/>
    <n v="2202.31"/>
    <n v="3134.57"/>
    <n v="0.41"/>
    <n v="0.18"/>
    <n v="2721.06"/>
    <x v="0"/>
    <n v="616"/>
    <n v="0.18"/>
    <n v="544.67999999999995"/>
    <n v="0.1"/>
    <n v="55.79"/>
    <n v="0.01"/>
    <n v="9"/>
    <n v="1314.49"/>
    <n v="75"/>
    <n v="0"/>
    <n v="604.45000000000005"/>
    <n v="2840.97"/>
    <x v="1"/>
    <n v="1199.81"/>
    <x v="6"/>
    <x v="0"/>
    <n v="50.6"/>
    <s v="Low"/>
    <n v="3134.57"/>
    <n v="1"/>
  </r>
  <r>
    <x v="37"/>
    <x v="35"/>
    <n v="1780"/>
    <n v="4351.4399999999996"/>
    <n v="3157.5"/>
    <n v="1193.94"/>
    <n v="0.73"/>
    <n v="0.37"/>
    <n v="1632.69"/>
    <x v="1"/>
    <n v="627"/>
    <n v="0.46"/>
    <n v="846.5"/>
    <n v="0.19"/>
    <n v="0"/>
    <n v="0"/>
    <n v="8"/>
    <n v="640.74"/>
    <n v="33"/>
    <n v="0"/>
    <n v="666.32"/>
    <n v="3328.91"/>
    <x v="1"/>
    <n v="311.86"/>
    <x v="1"/>
    <x v="2"/>
    <n v="86.4"/>
    <s v="Medium"/>
    <n v="1193.94"/>
    <n v="0"/>
  </r>
  <r>
    <x v="37"/>
    <x v="35"/>
    <n v="1037"/>
    <n v="3343.7"/>
    <n v="3396.81"/>
    <n v="-53.11"/>
    <n v="1.02"/>
    <n v="0.32"/>
    <n v="2910.13"/>
    <x v="1"/>
    <n v="587"/>
    <n v="0.28999999999999998"/>
    <n v="439.42"/>
    <n v="0.13"/>
    <n v="113.67"/>
    <n v="0.03"/>
    <n v="1"/>
    <n v="1126.45"/>
    <n v="75"/>
    <n v="0"/>
    <n v="695.22"/>
    <n v="1440.32"/>
    <x v="1"/>
    <n v="1424.58"/>
    <x v="4"/>
    <x v="1"/>
    <n v="38.5"/>
    <s v="Medium"/>
    <n v="0"/>
    <n v="0"/>
  </r>
  <r>
    <x v="37"/>
    <x v="35"/>
    <n v="1421"/>
    <n v="3416.92"/>
    <n v="2254.36"/>
    <n v="1162.56"/>
    <n v="0.66"/>
    <n v="0.16"/>
    <n v="3047.88"/>
    <x v="2"/>
    <n v="629"/>
    <n v="0.38"/>
    <n v="737.98"/>
    <n v="0.22"/>
    <n v="523.75"/>
    <n v="0.15"/>
    <n v="4"/>
    <n v="842.98"/>
    <n v="32"/>
    <n v="0"/>
    <n v="419.83"/>
    <n v="1872.43"/>
    <x v="0"/>
    <n v="1968.57"/>
    <x v="5"/>
    <x v="0"/>
    <n v="46.7"/>
    <s v="Low"/>
    <n v="1162.56"/>
    <n v="0"/>
  </r>
  <r>
    <x v="37"/>
    <x v="35"/>
    <n v="1268"/>
    <n v="4559.96"/>
    <n v="3047.25"/>
    <n v="1512.71"/>
    <n v="0.67"/>
    <n v="0.35"/>
    <n v="2380.08"/>
    <x v="0"/>
    <n v="662"/>
    <n v="0.54"/>
    <n v="176.77"/>
    <n v="0.04"/>
    <n v="352.88"/>
    <n v="0.08"/>
    <n v="7"/>
    <n v="828.16"/>
    <n v="20"/>
    <n v="0"/>
    <n v="375.28"/>
    <n v="2766.02"/>
    <x v="2"/>
    <n v="977.29"/>
    <x v="1"/>
    <x v="2"/>
    <n v="99"/>
    <s v="Medium"/>
    <n v="1512.71"/>
    <n v="0"/>
  </r>
  <r>
    <x v="37"/>
    <x v="35"/>
    <n v="1903"/>
    <n v="5708.64"/>
    <n v="3088.06"/>
    <n v="2620.58"/>
    <n v="0.54"/>
    <n v="0.36"/>
    <n v="3827.28"/>
    <x v="1"/>
    <n v="658"/>
    <n v="0.51"/>
    <n v="761.11"/>
    <n v="0.13"/>
    <n v="608.41999999999996"/>
    <n v="0.11"/>
    <n v="4"/>
    <n v="33.89"/>
    <n v="74"/>
    <n v="0"/>
    <n v="359.77"/>
    <n v="1108.42"/>
    <x v="0"/>
    <n v="1132.04"/>
    <x v="3"/>
    <x v="0"/>
    <n v="61.9"/>
    <s v="Low"/>
    <n v="2620.58"/>
    <n v="0"/>
  </r>
  <r>
    <x v="37"/>
    <x v="35"/>
    <n v="1266"/>
    <n v="3127.78"/>
    <n v="2931.47"/>
    <n v="196.31"/>
    <n v="0.94"/>
    <n v="0.14000000000000001"/>
    <n v="3779.13"/>
    <x v="1"/>
    <n v="710"/>
    <n v="0.47"/>
    <n v="459.15"/>
    <n v="0.15"/>
    <n v="250.32"/>
    <n v="0.08"/>
    <n v="8"/>
    <n v="1655.27"/>
    <n v="34"/>
    <n v="0"/>
    <n v="783.68"/>
    <n v="1779.7"/>
    <x v="1"/>
    <n v="1118.25"/>
    <x v="9"/>
    <x v="0"/>
    <n v="29.8"/>
    <s v="High"/>
    <n v="196.31"/>
    <n v="0"/>
  </r>
  <r>
    <x v="37"/>
    <x v="35"/>
    <n v="1098"/>
    <n v="3381.49"/>
    <n v="2511.31"/>
    <n v="870.18"/>
    <n v="0.74"/>
    <n v="0.15"/>
    <n v="3827.6"/>
    <x v="2"/>
    <n v="631"/>
    <n v="0.32"/>
    <n v="548.03"/>
    <n v="0.16"/>
    <n v="255.31"/>
    <n v="0.08"/>
    <n v="2"/>
    <n v="0"/>
    <n v="77"/>
    <n v="0"/>
    <n v="370.14"/>
    <n v="1862.06"/>
    <x v="1"/>
    <n v="1062.79"/>
    <x v="4"/>
    <x v="2"/>
    <n v="74.400000000000006"/>
    <s v="Low"/>
    <n v="870.18"/>
    <n v="0"/>
  </r>
  <r>
    <x v="37"/>
    <x v="35"/>
    <n v="1509"/>
    <n v="4723.72"/>
    <n v="1666.13"/>
    <n v="3057.59"/>
    <n v="0.35"/>
    <n v="0.35"/>
    <n v="2942.07"/>
    <x v="1"/>
    <n v="648"/>
    <n v="0.33"/>
    <n v="134.91999999999999"/>
    <n v="0.03"/>
    <n v="259.89"/>
    <n v="0.06"/>
    <n v="1"/>
    <n v="935.92"/>
    <n v="62"/>
    <n v="0"/>
    <n v="389.75"/>
    <n v="2121.33"/>
    <x v="1"/>
    <n v="1023.2"/>
    <x v="6"/>
    <x v="1"/>
    <n v="92"/>
    <s v="High"/>
    <n v="3057.59"/>
    <n v="1"/>
  </r>
  <r>
    <x v="37"/>
    <x v="35"/>
    <n v="1339"/>
    <n v="3236.56"/>
    <n v="3967.34"/>
    <n v="-730.78"/>
    <n v="1.23"/>
    <n v="0.13"/>
    <n v="2793.95"/>
    <x v="2"/>
    <n v="683"/>
    <n v="0.28000000000000003"/>
    <n v="305.32"/>
    <n v="0.09"/>
    <n v="269.23"/>
    <n v="0.08"/>
    <n v="4"/>
    <n v="1482.47"/>
    <n v="21"/>
    <n v="0"/>
    <n v="822.59"/>
    <n v="2466.9"/>
    <x v="2"/>
    <n v="1523.5"/>
    <x v="8"/>
    <x v="1"/>
    <n v="64.3"/>
    <s v="Low"/>
    <n v="0"/>
    <n v="0"/>
  </r>
  <r>
    <x v="37"/>
    <x v="35"/>
    <n v="1223"/>
    <n v="4476.38"/>
    <n v="3222.82"/>
    <n v="1253.56"/>
    <n v="0.72"/>
    <n v="0.4"/>
    <n v="1749.03"/>
    <x v="1"/>
    <n v="634"/>
    <n v="0.56999999999999995"/>
    <n v="672.52"/>
    <n v="0.15"/>
    <n v="367.22"/>
    <n v="0.08"/>
    <n v="6"/>
    <n v="954.26"/>
    <n v="99"/>
    <n v="0"/>
    <n v="526.51"/>
    <n v="2059.92"/>
    <x v="1"/>
    <n v="1175.1600000000001"/>
    <x v="6"/>
    <x v="2"/>
    <n v="31.8"/>
    <s v="Low"/>
    <n v="1253.56"/>
    <n v="0"/>
  </r>
  <r>
    <x v="37"/>
    <x v="35"/>
    <n v="1393"/>
    <n v="3988.51"/>
    <n v="2911.85"/>
    <n v="1076.6600000000001"/>
    <n v="0.73"/>
    <n v="0.18"/>
    <n v="3015.69"/>
    <x v="2"/>
    <n v="759"/>
    <n v="0.47"/>
    <n v="449.98"/>
    <n v="0.11"/>
    <n v="83.17"/>
    <n v="0.02"/>
    <n v="3"/>
    <n v="445.1"/>
    <n v="31"/>
    <n v="0"/>
    <n v="309.24"/>
    <n v="2575.14"/>
    <x v="1"/>
    <n v="765.94"/>
    <x v="1"/>
    <x v="1"/>
    <n v="7.8"/>
    <s v="High"/>
    <n v="1076.6600000000001"/>
    <n v="0"/>
  </r>
  <r>
    <x v="38"/>
    <x v="36"/>
    <n v="1173"/>
    <n v="4781.3900000000003"/>
    <n v="3279.82"/>
    <n v="1501.57"/>
    <n v="0.69"/>
    <n v="0.28999999999999998"/>
    <n v="2503.33"/>
    <x v="2"/>
    <n v="691"/>
    <n v="0.36"/>
    <n v="742.09"/>
    <n v="0.16"/>
    <n v="0"/>
    <n v="0"/>
    <n v="7"/>
    <n v="0"/>
    <n v="62"/>
    <n v="0"/>
    <n v="119.8"/>
    <n v="2368.1"/>
    <x v="1"/>
    <n v="1530.57"/>
    <x v="4"/>
    <x v="0"/>
    <n v="22.2"/>
    <s v="High"/>
    <n v="1501.57"/>
    <n v="0"/>
  </r>
  <r>
    <x v="38"/>
    <x v="36"/>
    <n v="1662"/>
    <n v="3797.06"/>
    <n v="2792.7"/>
    <n v="1004.36"/>
    <n v="0.74"/>
    <n v="0.37"/>
    <n v="2453.8000000000002"/>
    <x v="0"/>
    <n v="690"/>
    <n v="0.34"/>
    <n v="372.48"/>
    <n v="0.1"/>
    <n v="25.42"/>
    <n v="0.01"/>
    <n v="1"/>
    <n v="1593.13"/>
    <n v="63"/>
    <n v="0"/>
    <n v="920.17"/>
    <n v="2452.58"/>
    <x v="1"/>
    <n v="1380.33"/>
    <x v="2"/>
    <x v="0"/>
    <n v="97.7"/>
    <s v="Low"/>
    <n v="1004.36"/>
    <n v="0"/>
  </r>
  <r>
    <x v="38"/>
    <x v="36"/>
    <n v="1401"/>
    <n v="3522.96"/>
    <n v="3828.39"/>
    <n v="-305.43"/>
    <n v="1.0900000000000001"/>
    <n v="0.05"/>
    <n v="3072.32"/>
    <x v="0"/>
    <n v="682"/>
    <n v="0.36"/>
    <n v="279.02"/>
    <n v="0.08"/>
    <n v="298.87"/>
    <n v="0.08"/>
    <n v="8"/>
    <n v="1881.79"/>
    <n v="45"/>
    <n v="0"/>
    <n v="302.61"/>
    <n v="1994.3"/>
    <x v="1"/>
    <n v="1237.43"/>
    <x v="0"/>
    <x v="0"/>
    <n v="61.9"/>
    <s v="Low"/>
    <n v="0"/>
    <n v="0"/>
  </r>
  <r>
    <x v="38"/>
    <x v="36"/>
    <n v="1271"/>
    <n v="4008.54"/>
    <n v="2737.67"/>
    <n v="1270.8699999999999"/>
    <n v="0.68"/>
    <n v="0.23"/>
    <n v="2528.4"/>
    <x v="2"/>
    <n v="629"/>
    <n v="0.15"/>
    <n v="587.48"/>
    <n v="0.15"/>
    <n v="150.28"/>
    <n v="0.04"/>
    <n v="5"/>
    <n v="1254.6300000000001"/>
    <n v="62"/>
    <n v="0"/>
    <n v="730.14"/>
    <n v="2945.52"/>
    <x v="1"/>
    <n v="1646.5"/>
    <x v="6"/>
    <x v="0"/>
    <n v="6.2"/>
    <s v="Medium"/>
    <n v="1270.8699999999999"/>
    <n v="0"/>
  </r>
  <r>
    <x v="38"/>
    <x v="36"/>
    <n v="1119"/>
    <n v="4741.24"/>
    <n v="2250.81"/>
    <n v="2490.4299999999998"/>
    <n v="0.47"/>
    <n v="0.26"/>
    <n v="2820"/>
    <x v="0"/>
    <n v="769"/>
    <n v="0.56000000000000005"/>
    <n v="569.44000000000005"/>
    <n v="0.12"/>
    <n v="461.04"/>
    <n v="0.1"/>
    <n v="4"/>
    <n v="856.31"/>
    <n v="52"/>
    <n v="0"/>
    <n v="690.65"/>
    <n v="2450.71"/>
    <x v="1"/>
    <n v="1696.36"/>
    <x v="3"/>
    <x v="0"/>
    <n v="35.6"/>
    <s v="Low"/>
    <n v="2490.4299999999998"/>
    <n v="0"/>
  </r>
  <r>
    <x v="38"/>
    <x v="36"/>
    <n v="1959"/>
    <n v="3842.98"/>
    <n v="3322.65"/>
    <n v="520.33000000000004"/>
    <n v="0.86"/>
    <n v="0.28999999999999998"/>
    <n v="3413.11"/>
    <x v="1"/>
    <n v="665"/>
    <n v="0.26"/>
    <n v="433.77"/>
    <n v="0.11"/>
    <n v="336.52"/>
    <n v="0.09"/>
    <n v="6"/>
    <n v="1188.44"/>
    <n v="69"/>
    <n v="0"/>
    <n v="696.81"/>
    <n v="2758.48"/>
    <x v="1"/>
    <n v="858.11"/>
    <x v="9"/>
    <x v="2"/>
    <n v="4.4000000000000004"/>
    <s v="Medium"/>
    <n v="520.33000000000004"/>
    <n v="0"/>
  </r>
  <r>
    <x v="38"/>
    <x v="36"/>
    <n v="1796"/>
    <n v="3538.65"/>
    <n v="2538.87"/>
    <n v="999.78"/>
    <n v="0.72"/>
    <n v="0.05"/>
    <n v="3694.37"/>
    <x v="1"/>
    <n v="667"/>
    <n v="0.18"/>
    <n v="494.42"/>
    <n v="0.14000000000000001"/>
    <n v="650.53"/>
    <n v="0.18"/>
    <n v="1"/>
    <n v="1226.71"/>
    <n v="42"/>
    <n v="0"/>
    <n v="396.44"/>
    <n v="2739.96"/>
    <x v="1"/>
    <n v="1519.53"/>
    <x v="6"/>
    <x v="0"/>
    <n v="67.400000000000006"/>
    <s v="Low"/>
    <n v="999.78"/>
    <n v="0"/>
  </r>
  <r>
    <x v="38"/>
    <x v="36"/>
    <n v="1289"/>
    <n v="6760.38"/>
    <n v="3027.02"/>
    <n v="3733.36"/>
    <n v="0.45"/>
    <n v="0.15"/>
    <n v="2402.42"/>
    <x v="1"/>
    <n v="672"/>
    <n v="0.26"/>
    <n v="658.54"/>
    <n v="0.1"/>
    <n v="1020.97"/>
    <n v="0.15"/>
    <n v="4"/>
    <n v="1248.67"/>
    <n v="74"/>
    <n v="0"/>
    <n v="419.73"/>
    <n v="2098.87"/>
    <x v="1"/>
    <n v="1790.89"/>
    <x v="5"/>
    <x v="1"/>
    <n v="11.5"/>
    <s v="Low"/>
    <n v="3733.36"/>
    <n v="1"/>
  </r>
  <r>
    <x v="38"/>
    <x v="36"/>
    <n v="1649"/>
    <n v="4718.26"/>
    <n v="5019.91"/>
    <n v="-301.64999999999998"/>
    <n v="1.06"/>
    <n v="0.27"/>
    <n v="2940.14"/>
    <x v="2"/>
    <n v="672"/>
    <n v="0.16"/>
    <n v="729.14"/>
    <n v="0.15"/>
    <n v="567.32000000000005"/>
    <n v="0.12"/>
    <n v="5"/>
    <n v="1339.5"/>
    <n v="86"/>
    <n v="0"/>
    <n v="808.39"/>
    <n v="2435.91"/>
    <x v="1"/>
    <n v="1328.22"/>
    <x v="1"/>
    <x v="2"/>
    <n v="89.2"/>
    <s v="Low"/>
    <n v="0"/>
    <n v="0"/>
  </r>
  <r>
    <x v="38"/>
    <x v="36"/>
    <n v="1911"/>
    <n v="4117.59"/>
    <n v="1482.06"/>
    <n v="2635.53"/>
    <n v="0.36"/>
    <n v="0.36"/>
    <n v="3138.21"/>
    <x v="1"/>
    <n v="690"/>
    <n v="0.49"/>
    <n v="285.60000000000002"/>
    <n v="7.0000000000000007E-2"/>
    <n v="50.05"/>
    <n v="0.01"/>
    <n v="3"/>
    <n v="966.19"/>
    <n v="73"/>
    <n v="0"/>
    <n v="117.44"/>
    <n v="2153.52"/>
    <x v="2"/>
    <n v="2127.9299999999998"/>
    <x v="6"/>
    <x v="1"/>
    <n v="49.3"/>
    <s v="Low"/>
    <n v="2635.53"/>
    <n v="0"/>
  </r>
  <r>
    <x v="38"/>
    <x v="36"/>
    <n v="1538"/>
    <n v="3019.64"/>
    <n v="3008"/>
    <n v="11.64"/>
    <n v="1"/>
    <n v="0.19"/>
    <n v="2585.2199999999998"/>
    <x v="2"/>
    <n v="701"/>
    <n v="0.13"/>
    <n v="565.46"/>
    <n v="0.19"/>
    <n v="231.14"/>
    <n v="0.08"/>
    <n v="1"/>
    <n v="1600.26"/>
    <n v="26"/>
    <n v="0"/>
    <n v="630"/>
    <n v="2303.98"/>
    <x v="0"/>
    <n v="1485.58"/>
    <x v="9"/>
    <x v="2"/>
    <n v="99.5"/>
    <s v="High"/>
    <n v="11.64"/>
    <n v="0"/>
  </r>
  <r>
    <x v="38"/>
    <x v="36"/>
    <n v="1473"/>
    <n v="4040.51"/>
    <n v="2627.91"/>
    <n v="1412.6"/>
    <n v="0.65"/>
    <n v="0.23"/>
    <n v="3206.36"/>
    <x v="1"/>
    <n v="726"/>
    <n v="0.47"/>
    <n v="416.88"/>
    <n v="0.1"/>
    <n v="301.02999999999997"/>
    <n v="7.0000000000000007E-2"/>
    <n v="6"/>
    <n v="746.66"/>
    <n v="32"/>
    <n v="0"/>
    <n v="261.77999999999997"/>
    <n v="1761.81"/>
    <x v="1"/>
    <n v="2360.4899999999998"/>
    <x v="0"/>
    <x v="1"/>
    <n v="75.099999999999994"/>
    <s v="High"/>
    <n v="1412.6"/>
    <n v="0"/>
  </r>
  <r>
    <x v="38"/>
    <x v="36"/>
    <n v="1899"/>
    <n v="2432.9"/>
    <n v="3479.84"/>
    <n v="-1046.94"/>
    <n v="1.43"/>
    <n v="0.34"/>
    <n v="2906.75"/>
    <x v="1"/>
    <n v="655"/>
    <n v="0.28000000000000003"/>
    <n v="281.38"/>
    <n v="0.12"/>
    <n v="215.94"/>
    <n v="0.09"/>
    <n v="6"/>
    <n v="1921.07"/>
    <n v="65"/>
    <n v="0"/>
    <n v="245.92"/>
    <n v="2505.3200000000002"/>
    <x v="1"/>
    <n v="1213.33"/>
    <x v="2"/>
    <x v="0"/>
    <n v="22.6"/>
    <s v="Low"/>
    <n v="0"/>
    <n v="0"/>
  </r>
  <r>
    <x v="38"/>
    <x v="36"/>
    <n v="1912"/>
    <n v="4092.12"/>
    <n v="3388.07"/>
    <n v="704.05"/>
    <n v="0.83"/>
    <n v="0.1"/>
    <n v="2752.37"/>
    <x v="2"/>
    <n v="687"/>
    <n v="0.27"/>
    <n v="501.72"/>
    <n v="0.12"/>
    <n v="265.89"/>
    <n v="0.06"/>
    <n v="4"/>
    <n v="1170.45"/>
    <n v="51"/>
    <n v="0"/>
    <n v="747.78"/>
    <n v="2016.51"/>
    <x v="1"/>
    <n v="1678.29"/>
    <x v="1"/>
    <x v="0"/>
    <n v="5.3"/>
    <s v="Medium"/>
    <n v="704.05"/>
    <n v="0"/>
  </r>
  <r>
    <x v="38"/>
    <x v="36"/>
    <n v="1322"/>
    <n v="4118.3500000000004"/>
    <n v="3206.11"/>
    <n v="912.24"/>
    <n v="0.78"/>
    <n v="0.09"/>
    <n v="2967.28"/>
    <x v="1"/>
    <n v="654"/>
    <n v="0.57999999999999996"/>
    <n v="353.98"/>
    <n v="0.09"/>
    <n v="288.49"/>
    <n v="7.0000000000000007E-2"/>
    <n v="3"/>
    <n v="438.27"/>
    <n v="95"/>
    <n v="0"/>
    <n v="436.8"/>
    <n v="2524.06"/>
    <x v="1"/>
    <n v="1431.62"/>
    <x v="3"/>
    <x v="0"/>
    <n v="86.5"/>
    <s v="Low"/>
    <n v="912.24"/>
    <n v="0"/>
  </r>
  <r>
    <x v="38"/>
    <x v="36"/>
    <n v="1839"/>
    <n v="4859.54"/>
    <n v="3578.86"/>
    <n v="1280.68"/>
    <n v="0.74"/>
    <n v="0.12"/>
    <n v="2374.2800000000002"/>
    <x v="1"/>
    <n v="711"/>
    <n v="0.13"/>
    <n v="645.39"/>
    <n v="0.13"/>
    <n v="233.26"/>
    <n v="0.05"/>
    <n v="7"/>
    <n v="1010.71"/>
    <n v="44"/>
    <n v="0"/>
    <n v="491.67"/>
    <n v="2094.77"/>
    <x v="1"/>
    <n v="637.72"/>
    <x v="3"/>
    <x v="1"/>
    <n v="86.3"/>
    <s v="Medium"/>
    <n v="1280.68"/>
    <n v="0"/>
  </r>
  <r>
    <x v="38"/>
    <x v="36"/>
    <n v="1416"/>
    <n v="3495.12"/>
    <n v="3507.61"/>
    <n v="-12.49"/>
    <n v="1"/>
    <n v="0.22"/>
    <n v="1458.28"/>
    <x v="1"/>
    <n v="696"/>
    <n v="0.39"/>
    <n v="883.06"/>
    <n v="0.25"/>
    <n v="353.65"/>
    <n v="0.1"/>
    <n v="4"/>
    <n v="926.41"/>
    <n v="63"/>
    <n v="0"/>
    <n v="276.56"/>
    <n v="1936.52"/>
    <x v="1"/>
    <n v="1349.68"/>
    <x v="3"/>
    <x v="1"/>
    <n v="25.3"/>
    <s v="High"/>
    <n v="0"/>
    <n v="0"/>
  </r>
  <r>
    <x v="38"/>
    <x v="36"/>
    <n v="1047"/>
    <n v="2963.77"/>
    <n v="3715.67"/>
    <n v="-751.9"/>
    <n v="1.25"/>
    <n v="0.24"/>
    <n v="3239.8"/>
    <x v="0"/>
    <n v="631"/>
    <n v="0.45"/>
    <n v="445.48"/>
    <n v="0.15"/>
    <n v="142.13"/>
    <n v="0.05"/>
    <n v="1"/>
    <n v="659.64"/>
    <n v="34"/>
    <n v="0"/>
    <n v="129.80000000000001"/>
    <n v="1851.71"/>
    <x v="0"/>
    <n v="1325.53"/>
    <x v="6"/>
    <x v="0"/>
    <n v="37.700000000000003"/>
    <s v="Low"/>
    <n v="0"/>
    <n v="0"/>
  </r>
  <r>
    <x v="38"/>
    <x v="36"/>
    <n v="1660"/>
    <n v="5528.53"/>
    <n v="3360.99"/>
    <n v="2167.54"/>
    <n v="0.61"/>
    <n v="0.13"/>
    <n v="1913.92"/>
    <x v="1"/>
    <n v="607"/>
    <n v="0.54"/>
    <n v="567.11"/>
    <n v="0.1"/>
    <n v="0"/>
    <n v="0"/>
    <n v="2"/>
    <n v="1743.28"/>
    <n v="83"/>
    <n v="0"/>
    <n v="769.97"/>
    <n v="1317.05"/>
    <x v="1"/>
    <n v="1112.51"/>
    <x v="3"/>
    <x v="0"/>
    <n v="25.6"/>
    <s v="Medium"/>
    <n v="2167.54"/>
    <n v="1"/>
  </r>
  <r>
    <x v="38"/>
    <x v="36"/>
    <n v="1459"/>
    <n v="4147.24"/>
    <n v="3104.08"/>
    <n v="1043.1600000000001"/>
    <n v="0.75"/>
    <n v="0.25"/>
    <n v="2452.09"/>
    <x v="0"/>
    <n v="656"/>
    <n v="0.23"/>
    <n v="633.07000000000005"/>
    <n v="0.15"/>
    <n v="125.67"/>
    <n v="0.03"/>
    <n v="3"/>
    <n v="231.51"/>
    <n v="20"/>
    <n v="0"/>
    <n v="256.75"/>
    <n v="2248.77"/>
    <x v="1"/>
    <n v="916.7"/>
    <x v="1"/>
    <x v="2"/>
    <n v="44.4"/>
    <s v="Low"/>
    <n v="1043.1600000000001"/>
    <n v="0"/>
  </r>
  <r>
    <x v="38"/>
    <x v="36"/>
    <n v="1753"/>
    <n v="4795.3599999999997"/>
    <n v="3075.58"/>
    <n v="1719.78"/>
    <n v="0.64"/>
    <n v="0.22"/>
    <n v="2778.83"/>
    <x v="1"/>
    <n v="591"/>
    <n v="0.28000000000000003"/>
    <n v="722.63"/>
    <n v="0.15"/>
    <n v="6.38"/>
    <n v="0"/>
    <n v="6"/>
    <n v="1219.3"/>
    <n v="94"/>
    <n v="0"/>
    <n v="390.51"/>
    <n v="1569.27"/>
    <x v="1"/>
    <n v="1701.05"/>
    <x v="3"/>
    <x v="0"/>
    <n v="33.299999999999997"/>
    <s v="Low"/>
    <n v="1719.78"/>
    <n v="0"/>
  </r>
  <r>
    <x v="38"/>
    <x v="36"/>
    <n v="1580"/>
    <n v="3261.75"/>
    <n v="3296.65"/>
    <n v="-34.9"/>
    <n v="1.01"/>
    <n v="0.15"/>
    <n v="3692.32"/>
    <x v="1"/>
    <n v="712"/>
    <n v="0.43"/>
    <n v="346.92"/>
    <n v="0.11"/>
    <n v="608.29999999999995"/>
    <n v="0.19"/>
    <n v="2"/>
    <n v="1226.32"/>
    <n v="62"/>
    <n v="0"/>
    <n v="612.03"/>
    <n v="1480.1"/>
    <x v="1"/>
    <n v="379.36"/>
    <x v="1"/>
    <x v="0"/>
    <n v="21.2"/>
    <s v="Medium"/>
    <n v="0"/>
    <n v="0"/>
  </r>
  <r>
    <x v="38"/>
    <x v="36"/>
    <n v="1358"/>
    <n v="4117.8900000000003"/>
    <n v="3313.45"/>
    <n v="804.44"/>
    <n v="0.8"/>
    <n v="0.14000000000000001"/>
    <n v="2666.16"/>
    <x v="1"/>
    <n v="702"/>
    <n v="0.28999999999999998"/>
    <n v="762.38"/>
    <n v="0.19"/>
    <n v="493.47"/>
    <n v="0.12"/>
    <n v="2"/>
    <n v="1255.2"/>
    <n v="73"/>
    <n v="0"/>
    <n v="556.30999999999995"/>
    <n v="1035.92"/>
    <x v="1"/>
    <n v="671.68"/>
    <x v="1"/>
    <x v="1"/>
    <n v="31.4"/>
    <s v="High"/>
    <n v="804.44"/>
    <n v="0"/>
  </r>
  <r>
    <x v="38"/>
    <x v="36"/>
    <n v="1585"/>
    <n v="4133.59"/>
    <n v="3752.5"/>
    <n v="381.09"/>
    <n v="0.91"/>
    <n v="0.28000000000000003"/>
    <n v="3830.88"/>
    <x v="2"/>
    <n v="728"/>
    <n v="0.47"/>
    <n v="963.5"/>
    <n v="0.23"/>
    <n v="346.21"/>
    <n v="0.08"/>
    <n v="8"/>
    <n v="0"/>
    <n v="96"/>
    <n v="1"/>
    <n v="132.94999999999999"/>
    <n v="2705.24"/>
    <x v="1"/>
    <n v="1472.42"/>
    <x v="1"/>
    <x v="2"/>
    <n v="25.1"/>
    <s v="Medium"/>
    <n v="381.09"/>
    <n v="0"/>
  </r>
  <r>
    <x v="38"/>
    <x v="36"/>
    <n v="1297"/>
    <n v="5808.8"/>
    <n v="2941.58"/>
    <n v="2867.22"/>
    <n v="0.51"/>
    <n v="0.15"/>
    <n v="2588.56"/>
    <x v="1"/>
    <n v="695"/>
    <n v="0.25"/>
    <n v="309.47000000000003"/>
    <n v="0.05"/>
    <n v="848.44"/>
    <n v="0.15"/>
    <n v="8"/>
    <n v="1320.74"/>
    <n v="96"/>
    <n v="0"/>
    <n v="668.22"/>
    <n v="1264.3699999999999"/>
    <x v="2"/>
    <n v="1298.5899999999999"/>
    <x v="3"/>
    <x v="1"/>
    <n v="78.400000000000006"/>
    <s v="Low"/>
    <n v="2867.22"/>
    <n v="1"/>
  </r>
  <r>
    <x v="38"/>
    <x v="36"/>
    <n v="1538"/>
    <n v="5125.55"/>
    <n v="4817.68"/>
    <n v="307.87"/>
    <n v="0.94"/>
    <n v="0.2"/>
    <n v="2315.3000000000002"/>
    <x v="1"/>
    <n v="755"/>
    <n v="0.38"/>
    <n v="289.45"/>
    <n v="0.06"/>
    <n v="0"/>
    <n v="0"/>
    <n v="2"/>
    <n v="1504.74"/>
    <n v="71"/>
    <n v="0"/>
    <n v="442.83"/>
    <n v="2374.19"/>
    <x v="1"/>
    <n v="1101.75"/>
    <x v="4"/>
    <x v="1"/>
    <n v="6.7"/>
    <s v="Medium"/>
    <n v="307.87"/>
    <n v="0"/>
  </r>
  <r>
    <x v="38"/>
    <x v="36"/>
    <n v="1883"/>
    <n v="2620.15"/>
    <n v="4298.8999999999996"/>
    <n v="-1678.75"/>
    <n v="1.64"/>
    <n v="0.05"/>
    <n v="2433.38"/>
    <x v="1"/>
    <n v="659"/>
    <n v="0.43"/>
    <n v="374.14"/>
    <n v="0.14000000000000001"/>
    <n v="76.290000000000006"/>
    <n v="0.03"/>
    <n v="3"/>
    <n v="796.27"/>
    <n v="30"/>
    <n v="0"/>
    <n v="389.36"/>
    <n v="2926.15"/>
    <x v="1"/>
    <n v="1403.57"/>
    <x v="6"/>
    <x v="2"/>
    <n v="15"/>
    <s v="High"/>
    <n v="0"/>
    <n v="0"/>
  </r>
  <r>
    <x v="38"/>
    <x v="36"/>
    <n v="1084"/>
    <n v="4176.41"/>
    <n v="3269.49"/>
    <n v="906.92"/>
    <n v="0.78"/>
    <n v="0.11"/>
    <n v="3026.66"/>
    <x v="1"/>
    <n v="754"/>
    <n v="0.11"/>
    <n v="359.2"/>
    <n v="0.09"/>
    <n v="617.11"/>
    <n v="0.15"/>
    <n v="9"/>
    <n v="423.96"/>
    <n v="78"/>
    <n v="0"/>
    <n v="606.27"/>
    <n v="1049.19"/>
    <x v="0"/>
    <n v="1616.71"/>
    <x v="7"/>
    <x v="1"/>
    <n v="25.1"/>
    <s v="High"/>
    <n v="906.92"/>
    <n v="0"/>
  </r>
  <r>
    <x v="38"/>
    <x v="36"/>
    <n v="1858"/>
    <n v="3583.16"/>
    <n v="2122.85"/>
    <n v="1460.31"/>
    <n v="0.59"/>
    <n v="0.12"/>
    <n v="2385.7600000000002"/>
    <x v="1"/>
    <n v="689"/>
    <n v="0.11"/>
    <n v="226.63"/>
    <n v="0.06"/>
    <n v="614.92999999999995"/>
    <n v="0.17"/>
    <n v="5"/>
    <n v="431.69"/>
    <n v="48"/>
    <n v="0"/>
    <n v="7.49"/>
    <n v="2300.71"/>
    <x v="1"/>
    <n v="1241.98"/>
    <x v="7"/>
    <x v="0"/>
    <n v="87.6"/>
    <s v="Medium"/>
    <n v="1460.31"/>
    <n v="0"/>
  </r>
  <r>
    <x v="38"/>
    <x v="36"/>
    <n v="1153"/>
    <n v="3857.32"/>
    <n v="2987.43"/>
    <n v="869.89"/>
    <n v="0.77"/>
    <n v="0.36"/>
    <n v="1991.53"/>
    <x v="1"/>
    <n v="665"/>
    <n v="0.44"/>
    <n v="743.16"/>
    <n v="0.19"/>
    <n v="444.38"/>
    <n v="0.12"/>
    <n v="7"/>
    <n v="982.22"/>
    <n v="92"/>
    <n v="0"/>
    <n v="474.4"/>
    <n v="1547.33"/>
    <x v="1"/>
    <n v="971.23"/>
    <x v="6"/>
    <x v="1"/>
    <n v="8.9"/>
    <s v="Low"/>
    <n v="869.89"/>
    <n v="0"/>
  </r>
  <r>
    <x v="38"/>
    <x v="36"/>
    <n v="1916"/>
    <n v="5224.2700000000004"/>
    <n v="2935.97"/>
    <n v="2288.3000000000002"/>
    <n v="0.56000000000000005"/>
    <n v="0.12"/>
    <n v="2229.61"/>
    <x v="0"/>
    <n v="645"/>
    <n v="0.19"/>
    <n v="527.41"/>
    <n v="0.1"/>
    <n v="353.8"/>
    <n v="7.0000000000000007E-2"/>
    <n v="6"/>
    <n v="640.33000000000004"/>
    <n v="49"/>
    <n v="0"/>
    <n v="424.75"/>
    <n v="2231.63"/>
    <x v="1"/>
    <n v="470.65"/>
    <x v="9"/>
    <x v="0"/>
    <n v="34.299999999999997"/>
    <s v="High"/>
    <n v="2288.3000000000002"/>
    <n v="1"/>
  </r>
  <r>
    <x v="38"/>
    <x v="36"/>
    <n v="1726"/>
    <n v="5737.26"/>
    <n v="2677.31"/>
    <n v="3059.95"/>
    <n v="0.47"/>
    <n v="0.34"/>
    <n v="2440.27"/>
    <x v="0"/>
    <n v="677"/>
    <n v="0.59"/>
    <n v="404.81"/>
    <n v="7.0000000000000007E-2"/>
    <n v="0"/>
    <n v="0"/>
    <n v="8"/>
    <n v="864.43"/>
    <n v="24"/>
    <n v="0"/>
    <n v="638.19000000000005"/>
    <n v="2668.1"/>
    <x v="0"/>
    <n v="1000.29"/>
    <x v="2"/>
    <x v="0"/>
    <n v="63.5"/>
    <s v="Medium"/>
    <n v="3059.95"/>
    <n v="1"/>
  </r>
  <r>
    <x v="38"/>
    <x v="36"/>
    <n v="1995"/>
    <n v="4650.0600000000004"/>
    <n v="3652.85"/>
    <n v="997.21"/>
    <n v="0.79"/>
    <n v="0.15"/>
    <n v="3181.53"/>
    <x v="0"/>
    <n v="617"/>
    <n v="0.34"/>
    <n v="205.57"/>
    <n v="0.04"/>
    <n v="47.26"/>
    <n v="0.01"/>
    <n v="1"/>
    <n v="1317.32"/>
    <n v="43"/>
    <n v="0"/>
    <n v="470.11"/>
    <n v="2388.92"/>
    <x v="1"/>
    <n v="1189.51"/>
    <x v="0"/>
    <x v="0"/>
    <n v="31.3"/>
    <s v="Low"/>
    <n v="997.21"/>
    <n v="0"/>
  </r>
  <r>
    <x v="38"/>
    <x v="36"/>
    <n v="1934"/>
    <n v="4435.67"/>
    <n v="2745.13"/>
    <n v="1690.54"/>
    <n v="0.62"/>
    <n v="0.39"/>
    <n v="2523.33"/>
    <x v="1"/>
    <n v="657"/>
    <n v="0.26"/>
    <n v="474.31"/>
    <n v="0.11"/>
    <n v="266.20999999999998"/>
    <n v="0.06"/>
    <n v="5"/>
    <n v="347.33"/>
    <n v="66"/>
    <n v="0"/>
    <n v="474.08"/>
    <n v="1792.89"/>
    <x v="1"/>
    <n v="1687.74"/>
    <x v="1"/>
    <x v="1"/>
    <n v="26.9"/>
    <s v="High"/>
    <n v="1690.54"/>
    <n v="0"/>
  </r>
  <r>
    <x v="38"/>
    <x v="36"/>
    <n v="1534"/>
    <n v="4393.54"/>
    <n v="3511.84"/>
    <n v="881.7"/>
    <n v="0.8"/>
    <n v="0.36"/>
    <n v="2752.58"/>
    <x v="1"/>
    <n v="688"/>
    <n v="0.26"/>
    <n v="466.63"/>
    <n v="0.11"/>
    <n v="396.53"/>
    <n v="0.09"/>
    <n v="3"/>
    <n v="1939.31"/>
    <n v="47"/>
    <n v="0"/>
    <n v="197.56"/>
    <n v="2114.79"/>
    <x v="2"/>
    <n v="1498.16"/>
    <x v="9"/>
    <x v="2"/>
    <n v="41.2"/>
    <s v="High"/>
    <n v="881.7"/>
    <n v="0"/>
  </r>
  <r>
    <x v="38"/>
    <x v="36"/>
    <n v="1510"/>
    <n v="3713.15"/>
    <n v="1267.44"/>
    <n v="2445.71"/>
    <n v="0.34"/>
    <n v="0.15"/>
    <n v="2591.9299999999998"/>
    <x v="1"/>
    <n v="709"/>
    <n v="0.38"/>
    <n v="584.87"/>
    <n v="0.16"/>
    <n v="466.19"/>
    <n v="0.13"/>
    <n v="1"/>
    <n v="696.89"/>
    <n v="87"/>
    <n v="0"/>
    <n v="791.73"/>
    <n v="1649.15"/>
    <x v="1"/>
    <n v="805.59"/>
    <x v="0"/>
    <x v="1"/>
    <n v="72"/>
    <s v="Low"/>
    <n v="2445.71"/>
    <n v="0"/>
  </r>
  <r>
    <x v="38"/>
    <x v="36"/>
    <n v="1997"/>
    <n v="3484.62"/>
    <n v="1878.67"/>
    <n v="1605.95"/>
    <n v="0.54"/>
    <n v="0.35"/>
    <n v="3007.27"/>
    <x v="0"/>
    <n v="727"/>
    <n v="0.19"/>
    <n v="603.83000000000004"/>
    <n v="0.17"/>
    <n v="475.26"/>
    <n v="0.14000000000000001"/>
    <n v="2"/>
    <n v="1658.73"/>
    <n v="32"/>
    <n v="0"/>
    <n v="468.64"/>
    <n v="2826.34"/>
    <x v="1"/>
    <n v="1659.52"/>
    <x v="3"/>
    <x v="0"/>
    <n v="72.900000000000006"/>
    <s v="Low"/>
    <n v="1605.95"/>
    <n v="0"/>
  </r>
  <r>
    <x v="38"/>
    <x v="36"/>
    <n v="1924"/>
    <n v="3878.41"/>
    <n v="2047.95"/>
    <n v="1830.46"/>
    <n v="0.53"/>
    <n v="0.38"/>
    <n v="2301.6999999999998"/>
    <x v="2"/>
    <n v="768"/>
    <n v="0.46"/>
    <n v="465.39"/>
    <n v="0.12"/>
    <n v="737.6"/>
    <n v="0.19"/>
    <n v="7"/>
    <n v="465.75"/>
    <n v="98"/>
    <n v="0"/>
    <n v="400.4"/>
    <n v="1603.36"/>
    <x v="1"/>
    <n v="842.51"/>
    <x v="8"/>
    <x v="1"/>
    <n v="84.3"/>
    <s v="Low"/>
    <n v="1830.46"/>
    <n v="0"/>
  </r>
  <r>
    <x v="38"/>
    <x v="36"/>
    <n v="1964"/>
    <n v="4736.5200000000004"/>
    <n v="2417.5300000000002"/>
    <n v="2318.9899999999998"/>
    <n v="0.51"/>
    <n v="7.0000000000000007E-2"/>
    <n v="2122.13"/>
    <x v="1"/>
    <n v="608"/>
    <n v="0.55000000000000004"/>
    <n v="931.82"/>
    <n v="0.2"/>
    <n v="657.29"/>
    <n v="0.14000000000000001"/>
    <n v="7"/>
    <n v="1704.18"/>
    <n v="41"/>
    <n v="0"/>
    <n v="481.38"/>
    <n v="2958.11"/>
    <x v="1"/>
    <n v="1406.13"/>
    <x v="5"/>
    <x v="1"/>
    <n v="2.2999999999999998"/>
    <s v="Medium"/>
    <n v="2318.9899999999998"/>
    <n v="1"/>
  </r>
  <r>
    <x v="38"/>
    <x v="36"/>
    <n v="1047"/>
    <n v="4356.51"/>
    <n v="3613.41"/>
    <n v="743.1"/>
    <n v="0.83"/>
    <n v="0.38"/>
    <n v="2880.88"/>
    <x v="0"/>
    <n v="704"/>
    <n v="0.36"/>
    <n v="668.37"/>
    <n v="0.15"/>
    <n v="688.19"/>
    <n v="0.16"/>
    <n v="3"/>
    <n v="519.78"/>
    <n v="55"/>
    <n v="0"/>
    <n v="593.80999999999995"/>
    <n v="1245.93"/>
    <x v="1"/>
    <n v="1270.69"/>
    <x v="1"/>
    <x v="2"/>
    <n v="12.7"/>
    <s v="Low"/>
    <n v="743.1"/>
    <n v="0"/>
  </r>
  <r>
    <x v="38"/>
    <x v="36"/>
    <n v="1387"/>
    <n v="5179.9799999999996"/>
    <n v="3081"/>
    <n v="2098.98"/>
    <n v="0.59"/>
    <n v="0.22"/>
    <n v="2750.05"/>
    <x v="1"/>
    <n v="699"/>
    <n v="0.28999999999999998"/>
    <n v="723.93"/>
    <n v="0.14000000000000001"/>
    <n v="89.44"/>
    <n v="0.02"/>
    <n v="7"/>
    <n v="767.81"/>
    <n v="77"/>
    <n v="0"/>
    <n v="546.82000000000005"/>
    <n v="1876.39"/>
    <x v="1"/>
    <n v="1014.02"/>
    <x v="3"/>
    <x v="0"/>
    <n v="76.900000000000006"/>
    <s v="Low"/>
    <n v="2098.98"/>
    <n v="0"/>
  </r>
  <r>
    <x v="38"/>
    <x v="36"/>
    <n v="1895"/>
    <n v="5189.22"/>
    <n v="1731.26"/>
    <n v="3457.96"/>
    <n v="0.33"/>
    <n v="0.34"/>
    <n v="2264.17"/>
    <x v="0"/>
    <n v="688"/>
    <n v="0.14000000000000001"/>
    <n v="380.23"/>
    <n v="7.0000000000000007E-2"/>
    <n v="963.23"/>
    <n v="0.19"/>
    <n v="1"/>
    <n v="768.31"/>
    <n v="96"/>
    <n v="0"/>
    <n v="535.57000000000005"/>
    <n v="1579.9"/>
    <x v="1"/>
    <n v="1034.42"/>
    <x v="2"/>
    <x v="2"/>
    <n v="10.6"/>
    <s v="Low"/>
    <n v="3457.96"/>
    <n v="1"/>
  </r>
  <r>
    <x v="38"/>
    <x v="36"/>
    <n v="1607"/>
    <n v="3471.52"/>
    <n v="581.14"/>
    <n v="2890.38"/>
    <n v="0.17"/>
    <n v="0.22"/>
    <n v="2915.97"/>
    <x v="1"/>
    <n v="706"/>
    <n v="0.39"/>
    <n v="565.95000000000005"/>
    <n v="0.16"/>
    <n v="307.02"/>
    <n v="0.09"/>
    <n v="4"/>
    <n v="1370.02"/>
    <n v="53"/>
    <n v="0"/>
    <n v="380.02"/>
    <n v="3168.79"/>
    <x v="0"/>
    <n v="1577.7"/>
    <x v="4"/>
    <x v="0"/>
    <n v="24.3"/>
    <s v="High"/>
    <n v="2890.38"/>
    <n v="0"/>
  </r>
  <r>
    <x v="38"/>
    <x v="36"/>
    <n v="1572"/>
    <n v="5251.15"/>
    <n v="3146.78"/>
    <n v="2104.37"/>
    <n v="0.6"/>
    <n v="0.24"/>
    <n v="2918.64"/>
    <x v="1"/>
    <n v="702"/>
    <n v="0.44"/>
    <n v="553"/>
    <n v="0.11"/>
    <n v="607.88"/>
    <n v="0.12"/>
    <n v="9"/>
    <n v="986.26"/>
    <n v="72"/>
    <n v="0"/>
    <n v="189.89"/>
    <n v="2117.2399999999998"/>
    <x v="1"/>
    <n v="804.71"/>
    <x v="3"/>
    <x v="2"/>
    <n v="36.6"/>
    <s v="High"/>
    <n v="2104.37"/>
    <n v="0"/>
  </r>
  <r>
    <x v="38"/>
    <x v="36"/>
    <n v="1200"/>
    <n v="4064.16"/>
    <n v="2708.73"/>
    <n v="1355.43"/>
    <n v="0.67"/>
    <n v="0.28000000000000003"/>
    <n v="3720.47"/>
    <x v="1"/>
    <n v="542"/>
    <n v="0.28999999999999998"/>
    <n v="265.23"/>
    <n v="7.0000000000000007E-2"/>
    <n v="455.75"/>
    <n v="0.11"/>
    <n v="8"/>
    <n v="1138.6400000000001"/>
    <n v="91"/>
    <n v="0"/>
    <n v="442.76"/>
    <n v="1616.87"/>
    <x v="1"/>
    <n v="396.07"/>
    <x v="9"/>
    <x v="0"/>
    <n v="79.099999999999994"/>
    <s v="Medium"/>
    <n v="1355.43"/>
    <n v="0"/>
  </r>
  <r>
    <x v="38"/>
    <x v="36"/>
    <n v="1367"/>
    <n v="3721.78"/>
    <n v="3474.64"/>
    <n v="247.14"/>
    <n v="0.93"/>
    <n v="0.18"/>
    <n v="2525.5700000000002"/>
    <x v="0"/>
    <n v="688"/>
    <n v="0.36"/>
    <n v="617.54"/>
    <n v="0.17"/>
    <n v="415.47"/>
    <n v="0.11"/>
    <n v="2"/>
    <n v="520.92999999999995"/>
    <n v="55"/>
    <n v="0"/>
    <n v="366.05"/>
    <n v="2204.38"/>
    <x v="1"/>
    <n v="1225.51"/>
    <x v="8"/>
    <x v="0"/>
    <n v="92.9"/>
    <s v="Low"/>
    <n v="247.14"/>
    <n v="0"/>
  </r>
  <r>
    <x v="38"/>
    <x v="36"/>
    <n v="1769"/>
    <n v="3548.63"/>
    <n v="2946.21"/>
    <n v="602.41999999999996"/>
    <n v="0.83"/>
    <n v="0.3"/>
    <n v="3203.3"/>
    <x v="0"/>
    <n v="702"/>
    <n v="0.59"/>
    <n v="407.48"/>
    <n v="0.11"/>
    <n v="244.93"/>
    <n v="7.0000000000000007E-2"/>
    <n v="4"/>
    <n v="1070.1099999999999"/>
    <n v="83"/>
    <n v="0"/>
    <n v="432.16"/>
    <n v="1646.46"/>
    <x v="1"/>
    <n v="632.1"/>
    <x v="2"/>
    <x v="0"/>
    <n v="60.4"/>
    <s v="Medium"/>
    <n v="602.41999999999996"/>
    <n v="0"/>
  </r>
  <r>
    <x v="38"/>
    <x v="36"/>
    <n v="1580"/>
    <n v="4942.42"/>
    <n v="2770.88"/>
    <n v="2171.54"/>
    <n v="0.56000000000000005"/>
    <n v="0.08"/>
    <n v="3312.92"/>
    <x v="1"/>
    <n v="754"/>
    <n v="0.23"/>
    <n v="399.71"/>
    <n v="0.08"/>
    <n v="458.55"/>
    <n v="0.09"/>
    <n v="5"/>
    <n v="895.11"/>
    <n v="71"/>
    <n v="0"/>
    <n v="870.33"/>
    <n v="1015.29"/>
    <x v="0"/>
    <n v="1358.84"/>
    <x v="7"/>
    <x v="0"/>
    <n v="6.7"/>
    <s v="Low"/>
    <n v="2171.54"/>
    <n v="0"/>
  </r>
  <r>
    <x v="38"/>
    <x v="36"/>
    <n v="1518"/>
    <n v="4102.03"/>
    <n v="2703"/>
    <n v="1399.03"/>
    <n v="0.66"/>
    <n v="0.27"/>
    <n v="2097.5"/>
    <x v="0"/>
    <n v="733"/>
    <n v="0.31"/>
    <n v="439.8"/>
    <n v="0.11"/>
    <n v="448.72"/>
    <n v="0.11"/>
    <n v="5"/>
    <n v="150"/>
    <n v="23"/>
    <n v="0"/>
    <n v="666.59"/>
    <n v="2983.82"/>
    <x v="1"/>
    <n v="1080.98"/>
    <x v="0"/>
    <x v="2"/>
    <n v="97.2"/>
    <s v="Low"/>
    <n v="1399.03"/>
    <n v="0"/>
  </r>
  <r>
    <x v="38"/>
    <x v="36"/>
    <n v="1859"/>
    <n v="5569.24"/>
    <n v="4227.33"/>
    <n v="1341.91"/>
    <n v="0.76"/>
    <n v="0.3"/>
    <n v="1420.07"/>
    <x v="1"/>
    <n v="711"/>
    <n v="0.45"/>
    <n v="383.95"/>
    <n v="7.0000000000000007E-2"/>
    <n v="261.48"/>
    <n v="0.05"/>
    <n v="7"/>
    <n v="1218.68"/>
    <n v="56"/>
    <n v="0"/>
    <n v="704.9"/>
    <n v="2117.77"/>
    <x v="1"/>
    <n v="1354.42"/>
    <x v="7"/>
    <x v="2"/>
    <n v="1"/>
    <s v="Medium"/>
    <n v="1341.91"/>
    <n v="0"/>
  </r>
  <r>
    <x v="39"/>
    <x v="37"/>
    <n v="1482"/>
    <n v="4457.6899999999996"/>
    <n v="3522.27"/>
    <n v="935.42"/>
    <n v="0.79"/>
    <n v="0.3"/>
    <n v="2887.95"/>
    <x v="1"/>
    <n v="632"/>
    <n v="0.13"/>
    <n v="390.65"/>
    <n v="0.09"/>
    <n v="0"/>
    <n v="0"/>
    <n v="3"/>
    <n v="1154.6600000000001"/>
    <n v="35"/>
    <n v="0"/>
    <n v="469.88"/>
    <n v="2333.02"/>
    <x v="1"/>
    <n v="1607.09"/>
    <x v="9"/>
    <x v="1"/>
    <n v="51.5"/>
    <s v="Medium"/>
    <n v="935.42"/>
    <n v="0"/>
  </r>
  <r>
    <x v="39"/>
    <x v="37"/>
    <n v="1461"/>
    <n v="3152.89"/>
    <n v="1886.08"/>
    <n v="1266.81"/>
    <n v="0.6"/>
    <n v="0.13"/>
    <n v="3334.43"/>
    <x v="0"/>
    <n v="754"/>
    <n v="0.54"/>
    <n v="728.33"/>
    <n v="0.23"/>
    <n v="325.3"/>
    <n v="0.1"/>
    <n v="9"/>
    <n v="988.54"/>
    <n v="61"/>
    <n v="0"/>
    <n v="329.4"/>
    <n v="1350.44"/>
    <x v="1"/>
    <n v="642.61"/>
    <x v="1"/>
    <x v="0"/>
    <n v="57.6"/>
    <s v="Low"/>
    <n v="1266.81"/>
    <n v="0"/>
  </r>
  <r>
    <x v="39"/>
    <x v="37"/>
    <n v="1805"/>
    <n v="5599.7"/>
    <n v="2721.35"/>
    <n v="2878.35"/>
    <n v="0.49"/>
    <n v="0.34"/>
    <n v="2719.29"/>
    <x v="2"/>
    <n v="523"/>
    <n v="0.15"/>
    <n v="586.9"/>
    <n v="0.1"/>
    <n v="1049.32"/>
    <n v="0.19"/>
    <n v="5"/>
    <n v="0"/>
    <n v="81"/>
    <n v="0"/>
    <n v="547.21"/>
    <n v="1000"/>
    <x v="2"/>
    <n v="999.3"/>
    <x v="2"/>
    <x v="0"/>
    <n v="82.8"/>
    <s v="High"/>
    <n v="2878.35"/>
    <n v="1"/>
  </r>
  <r>
    <x v="39"/>
    <x v="37"/>
    <n v="1119"/>
    <n v="4018.94"/>
    <n v="2129.4899999999998"/>
    <n v="1889.45"/>
    <n v="0.53"/>
    <n v="0.26"/>
    <n v="3067.24"/>
    <x v="1"/>
    <n v="652"/>
    <n v="0.56999999999999995"/>
    <n v="727.8"/>
    <n v="0.18"/>
    <n v="709.48"/>
    <n v="0.18"/>
    <n v="7"/>
    <n v="846.47"/>
    <n v="62"/>
    <n v="0"/>
    <n v="238.98"/>
    <n v="2600.4899999999998"/>
    <x v="1"/>
    <n v="1007.75"/>
    <x v="7"/>
    <x v="0"/>
    <n v="41.6"/>
    <s v="Low"/>
    <n v="1889.45"/>
    <n v="0"/>
  </r>
  <r>
    <x v="39"/>
    <x v="37"/>
    <n v="1804"/>
    <n v="3561.44"/>
    <n v="4684.1099999999997"/>
    <n v="-1122.67"/>
    <n v="1.32"/>
    <n v="0.09"/>
    <n v="3305.09"/>
    <x v="2"/>
    <n v="765"/>
    <n v="0.37"/>
    <n v="541.53"/>
    <n v="0.15"/>
    <n v="102.87"/>
    <n v="0.03"/>
    <n v="4"/>
    <n v="849.78"/>
    <n v="69"/>
    <n v="0"/>
    <n v="731.04"/>
    <n v="2901.39"/>
    <x v="1"/>
    <n v="872.25"/>
    <x v="9"/>
    <x v="0"/>
    <n v="81.400000000000006"/>
    <s v="High"/>
    <n v="0"/>
    <n v="0"/>
  </r>
  <r>
    <x v="39"/>
    <x v="37"/>
    <n v="1279"/>
    <n v="3223.75"/>
    <n v="1694.9"/>
    <n v="1528.85"/>
    <n v="0.53"/>
    <n v="0.33"/>
    <n v="2570.46"/>
    <x v="0"/>
    <n v="655"/>
    <n v="0.11"/>
    <n v="167"/>
    <n v="0.05"/>
    <n v="567.37"/>
    <n v="0.18"/>
    <n v="5"/>
    <n v="606.59"/>
    <n v="72"/>
    <n v="0"/>
    <n v="187.17"/>
    <n v="1554.8"/>
    <x v="2"/>
    <n v="1201.1500000000001"/>
    <x v="8"/>
    <x v="2"/>
    <n v="59.9"/>
    <s v="Low"/>
    <n v="1528.85"/>
    <n v="0"/>
  </r>
  <r>
    <x v="39"/>
    <x v="37"/>
    <n v="1479"/>
    <n v="5984.12"/>
    <n v="3374.13"/>
    <n v="2609.9899999999998"/>
    <n v="0.56000000000000005"/>
    <n v="0.34"/>
    <n v="2858.98"/>
    <x v="1"/>
    <n v="676"/>
    <n v="0.14000000000000001"/>
    <n v="927.83"/>
    <n v="0.16"/>
    <n v="779.21"/>
    <n v="0.13"/>
    <n v="7"/>
    <n v="1569"/>
    <n v="87"/>
    <n v="0"/>
    <n v="16.62"/>
    <n v="3573.37"/>
    <x v="2"/>
    <n v="1165.33"/>
    <x v="1"/>
    <x v="0"/>
    <n v="74.400000000000006"/>
    <s v="Low"/>
    <n v="2609.9899999999998"/>
    <n v="0"/>
  </r>
  <r>
    <x v="39"/>
    <x v="37"/>
    <n v="1631"/>
    <n v="4919.8500000000004"/>
    <n v="3837.39"/>
    <n v="1082.46"/>
    <n v="0.78"/>
    <n v="0.12"/>
    <n v="2045.35"/>
    <x v="2"/>
    <n v="668"/>
    <n v="0.34"/>
    <n v="673.47"/>
    <n v="0.14000000000000001"/>
    <n v="521.54"/>
    <n v="0.11"/>
    <n v="9"/>
    <n v="539.1"/>
    <n v="79"/>
    <n v="0"/>
    <n v="643.24"/>
    <n v="2270.6"/>
    <x v="0"/>
    <n v="1366.15"/>
    <x v="8"/>
    <x v="2"/>
    <n v="18"/>
    <s v="Low"/>
    <n v="1082.46"/>
    <n v="0"/>
  </r>
  <r>
    <x v="39"/>
    <x v="37"/>
    <n v="1846"/>
    <n v="3873.5"/>
    <n v="4052.4"/>
    <n v="-178.9"/>
    <n v="1.05"/>
    <n v="0.16"/>
    <n v="3406.47"/>
    <x v="0"/>
    <n v="630"/>
    <n v="0.41"/>
    <n v="804.56"/>
    <n v="0.21"/>
    <n v="272.07"/>
    <n v="7.0000000000000007E-2"/>
    <n v="3"/>
    <n v="251.89"/>
    <n v="22"/>
    <n v="0"/>
    <n v="828.26"/>
    <n v="2364.3000000000002"/>
    <x v="1"/>
    <n v="725.83"/>
    <x v="4"/>
    <x v="2"/>
    <n v="27.1"/>
    <s v="Low"/>
    <n v="0"/>
    <n v="0"/>
  </r>
  <r>
    <x v="39"/>
    <x v="37"/>
    <n v="1837"/>
    <n v="4250.74"/>
    <n v="4297.49"/>
    <n v="-46.75"/>
    <n v="1.01"/>
    <n v="0.25"/>
    <n v="3063.59"/>
    <x v="1"/>
    <n v="707"/>
    <n v="0.16"/>
    <n v="405.56"/>
    <n v="0.1"/>
    <n v="684.38"/>
    <n v="0.16"/>
    <n v="7"/>
    <n v="968.16"/>
    <n v="32"/>
    <n v="0"/>
    <n v="289.02"/>
    <n v="1000"/>
    <x v="1"/>
    <n v="542.13"/>
    <x v="5"/>
    <x v="0"/>
    <n v="49.4"/>
    <s v="Medium"/>
    <n v="0"/>
    <n v="0"/>
  </r>
  <r>
    <x v="39"/>
    <x v="37"/>
    <n v="1580"/>
    <n v="2511.69"/>
    <n v="3208.66"/>
    <n v="-696.97"/>
    <n v="1.28"/>
    <n v="0.11"/>
    <n v="3096.48"/>
    <x v="1"/>
    <n v="689"/>
    <n v="0.49"/>
    <n v="682.08"/>
    <n v="0.27"/>
    <n v="307.62"/>
    <n v="0.12"/>
    <n v="9"/>
    <n v="406.54"/>
    <n v="33"/>
    <n v="0"/>
    <n v="647.83000000000004"/>
    <n v="1497.29"/>
    <x v="0"/>
    <n v="300"/>
    <x v="8"/>
    <x v="1"/>
    <n v="40.5"/>
    <s v="Medium"/>
    <n v="0"/>
    <n v="0"/>
  </r>
  <r>
    <x v="39"/>
    <x v="37"/>
    <n v="1831"/>
    <n v="3964.65"/>
    <n v="2923.91"/>
    <n v="1040.74"/>
    <n v="0.74"/>
    <n v="0.28999999999999998"/>
    <n v="3017.87"/>
    <x v="2"/>
    <n v="820"/>
    <n v="0.53"/>
    <n v="411.63"/>
    <n v="0.1"/>
    <n v="179.44"/>
    <n v="0.05"/>
    <n v="7"/>
    <n v="1573.37"/>
    <n v="96"/>
    <n v="0"/>
    <n v="556.89"/>
    <n v="1576.52"/>
    <x v="2"/>
    <n v="1707.71"/>
    <x v="8"/>
    <x v="0"/>
    <n v="80.599999999999994"/>
    <s v="Medium"/>
    <n v="1040.74"/>
    <n v="0"/>
  </r>
  <r>
    <x v="39"/>
    <x v="37"/>
    <n v="1076"/>
    <n v="2408.4499999999998"/>
    <n v="3925.75"/>
    <n v="-1517.3"/>
    <n v="1.63"/>
    <n v="0.22"/>
    <n v="2359.19"/>
    <x v="0"/>
    <n v="631"/>
    <n v="0.13"/>
    <n v="529.16999999999996"/>
    <n v="0.22"/>
    <n v="596.36"/>
    <n v="0.25"/>
    <n v="9"/>
    <n v="1366.44"/>
    <n v="52"/>
    <n v="0"/>
    <n v="646.61"/>
    <n v="2148.69"/>
    <x v="1"/>
    <n v="1968.44"/>
    <x v="3"/>
    <x v="0"/>
    <n v="14"/>
    <s v="Low"/>
    <n v="0"/>
    <n v="0"/>
  </r>
  <r>
    <x v="39"/>
    <x v="37"/>
    <n v="1810"/>
    <n v="4439.2299999999996"/>
    <n v="3228.16"/>
    <n v="1211.07"/>
    <n v="0.73"/>
    <n v="0.37"/>
    <n v="2745.61"/>
    <x v="1"/>
    <n v="698"/>
    <n v="0.56999999999999995"/>
    <n v="407.05"/>
    <n v="0.09"/>
    <n v="183.54"/>
    <n v="0.04"/>
    <n v="7"/>
    <n v="702.06"/>
    <n v="24"/>
    <n v="0"/>
    <n v="508.62"/>
    <n v="1456.06"/>
    <x v="1"/>
    <n v="877.71"/>
    <x v="7"/>
    <x v="1"/>
    <n v="60.5"/>
    <s v="Low"/>
    <n v="1211.07"/>
    <n v="0"/>
  </r>
  <r>
    <x v="39"/>
    <x v="37"/>
    <n v="1326"/>
    <n v="3493.23"/>
    <n v="2715.97"/>
    <n v="777.26"/>
    <n v="0.78"/>
    <n v="0.15"/>
    <n v="2550.46"/>
    <x v="1"/>
    <n v="686"/>
    <n v="0.28000000000000003"/>
    <n v="711.12"/>
    <n v="0.2"/>
    <n v="263.23"/>
    <n v="0.08"/>
    <n v="8"/>
    <n v="1440.77"/>
    <n v="74"/>
    <n v="0"/>
    <n v="223.33"/>
    <n v="1284.42"/>
    <x v="0"/>
    <n v="1174.82"/>
    <x v="7"/>
    <x v="0"/>
    <n v="81"/>
    <s v="Low"/>
    <n v="777.26"/>
    <n v="0"/>
  </r>
  <r>
    <x v="39"/>
    <x v="37"/>
    <n v="1626"/>
    <n v="2642.03"/>
    <n v="3856.75"/>
    <n v="-1214.72"/>
    <n v="1.46"/>
    <n v="0.15"/>
    <n v="2694.91"/>
    <x v="2"/>
    <n v="715"/>
    <n v="0.35"/>
    <n v="447.08"/>
    <n v="0.17"/>
    <n v="11.87"/>
    <n v="0"/>
    <n v="5"/>
    <n v="2286.29"/>
    <n v="50"/>
    <n v="0"/>
    <n v="361.38"/>
    <n v="2078.2800000000002"/>
    <x v="1"/>
    <n v="763.44"/>
    <x v="3"/>
    <x v="0"/>
    <n v="32.799999999999997"/>
    <s v="Medium"/>
    <n v="0"/>
    <n v="0"/>
  </r>
  <r>
    <x v="39"/>
    <x v="37"/>
    <n v="1171"/>
    <n v="4297.09"/>
    <n v="3052.68"/>
    <n v="1244.4100000000001"/>
    <n v="0.71"/>
    <n v="0.38"/>
    <n v="3429"/>
    <x v="1"/>
    <n v="666"/>
    <n v="0.4"/>
    <n v="550.85"/>
    <n v="0.13"/>
    <n v="378.06"/>
    <n v="0.09"/>
    <n v="2"/>
    <n v="1219.18"/>
    <n v="47"/>
    <n v="0"/>
    <n v="611.27"/>
    <n v="1799.55"/>
    <x v="1"/>
    <n v="982.23"/>
    <x v="4"/>
    <x v="2"/>
    <n v="87.9"/>
    <s v="Medium"/>
    <n v="1244.4100000000001"/>
    <n v="0"/>
  </r>
  <r>
    <x v="39"/>
    <x v="37"/>
    <n v="1267"/>
    <n v="2534.09"/>
    <n v="2596.83"/>
    <n v="-62.74"/>
    <n v="1.02"/>
    <n v="0.35"/>
    <n v="2561.79"/>
    <x v="2"/>
    <n v="664"/>
    <n v="0.33"/>
    <n v="799.93"/>
    <n v="0.32"/>
    <n v="364.1"/>
    <n v="0.14000000000000001"/>
    <n v="6"/>
    <n v="1427.01"/>
    <n v="88"/>
    <n v="0"/>
    <n v="429.81"/>
    <n v="1461.85"/>
    <x v="1"/>
    <n v="742.35"/>
    <x v="6"/>
    <x v="2"/>
    <n v="42"/>
    <s v="High"/>
    <n v="0"/>
    <n v="0"/>
  </r>
  <r>
    <x v="39"/>
    <x v="37"/>
    <n v="1737"/>
    <n v="4817.76"/>
    <n v="3645.15"/>
    <n v="1172.6099999999999"/>
    <n v="0.76"/>
    <n v="0.16"/>
    <n v="2243.17"/>
    <x v="2"/>
    <n v="724"/>
    <n v="0.25"/>
    <n v="688.21"/>
    <n v="0.14000000000000001"/>
    <n v="0"/>
    <n v="0"/>
    <n v="5"/>
    <n v="1679.86"/>
    <n v="53"/>
    <n v="0"/>
    <n v="504.2"/>
    <n v="1719.35"/>
    <x v="0"/>
    <n v="1687.13"/>
    <x v="0"/>
    <x v="0"/>
    <n v="20.6"/>
    <s v="Medium"/>
    <n v="1172.6099999999999"/>
    <n v="0"/>
  </r>
  <r>
    <x v="39"/>
    <x v="37"/>
    <n v="1467"/>
    <n v="5065.6099999999997"/>
    <n v="3998.17"/>
    <n v="1067.44"/>
    <n v="0.79"/>
    <n v="0.35"/>
    <n v="3671.81"/>
    <x v="0"/>
    <n v="698"/>
    <n v="0.32"/>
    <n v="612.35"/>
    <n v="0.12"/>
    <n v="36.229999999999997"/>
    <n v="0.01"/>
    <n v="7"/>
    <n v="915.39"/>
    <n v="45"/>
    <n v="0"/>
    <n v="473.78"/>
    <n v="3003.61"/>
    <x v="1"/>
    <n v="1601.17"/>
    <x v="4"/>
    <x v="0"/>
    <n v="58.7"/>
    <s v="Medium"/>
    <n v="1067.44"/>
    <n v="0"/>
  </r>
  <r>
    <x v="39"/>
    <x v="37"/>
    <n v="1483"/>
    <n v="4037.64"/>
    <n v="3110.89"/>
    <n v="926.75"/>
    <n v="0.77"/>
    <n v="0.33"/>
    <n v="3173.99"/>
    <x v="1"/>
    <n v="586"/>
    <n v="0.2"/>
    <n v="867.33"/>
    <n v="0.21"/>
    <n v="437.01"/>
    <n v="0.11"/>
    <n v="4"/>
    <n v="1192.0899999999999"/>
    <n v="37"/>
    <n v="0"/>
    <n v="556.79999999999995"/>
    <n v="3136.69"/>
    <x v="0"/>
    <n v="1334.68"/>
    <x v="0"/>
    <x v="2"/>
    <n v="65.900000000000006"/>
    <s v="Medium"/>
    <n v="926.75"/>
    <n v="0"/>
  </r>
  <r>
    <x v="39"/>
    <x v="37"/>
    <n v="1029"/>
    <n v="3933.14"/>
    <n v="2949.17"/>
    <n v="983.97"/>
    <n v="0.75"/>
    <n v="0.3"/>
    <n v="2529.63"/>
    <x v="2"/>
    <n v="706"/>
    <n v="0.35"/>
    <n v="558.03"/>
    <n v="0.14000000000000001"/>
    <n v="718.47"/>
    <n v="0.18"/>
    <n v="3"/>
    <n v="942.69"/>
    <n v="45"/>
    <n v="0"/>
    <n v="171.36"/>
    <n v="1517.5"/>
    <x v="1"/>
    <n v="684.91"/>
    <x v="1"/>
    <x v="0"/>
    <n v="7.2"/>
    <s v="Medium"/>
    <n v="983.97"/>
    <n v="0"/>
  </r>
  <r>
    <x v="39"/>
    <x v="37"/>
    <n v="1986"/>
    <n v="4672.8599999999997"/>
    <n v="1182.03"/>
    <n v="3490.83"/>
    <n v="0.25"/>
    <n v="0.36"/>
    <n v="3069.94"/>
    <x v="2"/>
    <n v="710"/>
    <n v="0.59"/>
    <n v="560.47"/>
    <n v="0.12"/>
    <n v="0"/>
    <n v="0"/>
    <n v="4"/>
    <n v="621.72"/>
    <n v="40"/>
    <n v="0"/>
    <n v="689.73"/>
    <n v="2375.34"/>
    <x v="1"/>
    <n v="793.22"/>
    <x v="9"/>
    <x v="0"/>
    <n v="2.7"/>
    <s v="High"/>
    <n v="3490.83"/>
    <n v="1"/>
  </r>
  <r>
    <x v="39"/>
    <x v="37"/>
    <n v="1734"/>
    <n v="5105.01"/>
    <n v="2992.1"/>
    <n v="2112.91"/>
    <n v="0.59"/>
    <n v="0.23"/>
    <n v="2244.41"/>
    <x v="2"/>
    <n v="660"/>
    <n v="0.15"/>
    <n v="426.18"/>
    <n v="0.08"/>
    <n v="43.01"/>
    <n v="0.01"/>
    <n v="5"/>
    <n v="527.87"/>
    <n v="97"/>
    <n v="0"/>
    <n v="782.1"/>
    <n v="2109.54"/>
    <x v="0"/>
    <n v="1285.5999999999999"/>
    <x v="8"/>
    <x v="0"/>
    <n v="3.8"/>
    <s v="High"/>
    <n v="2112.91"/>
    <n v="0"/>
  </r>
  <r>
    <x v="39"/>
    <x v="37"/>
    <n v="1362"/>
    <n v="2050.84"/>
    <n v="3514.53"/>
    <n v="-1463.69"/>
    <n v="1.71"/>
    <n v="0.1"/>
    <n v="2577.3000000000002"/>
    <x v="1"/>
    <n v="713"/>
    <n v="0.56999999999999995"/>
    <n v="571.59"/>
    <n v="0.28000000000000003"/>
    <n v="773.22"/>
    <n v="0.38"/>
    <n v="8"/>
    <n v="1154.55"/>
    <n v="58"/>
    <n v="0"/>
    <n v="601.34"/>
    <n v="1464.26"/>
    <x v="0"/>
    <n v="1463.58"/>
    <x v="3"/>
    <x v="1"/>
    <n v="33.700000000000003"/>
    <s v="Low"/>
    <n v="0"/>
    <n v="0"/>
  </r>
  <r>
    <x v="39"/>
    <x v="37"/>
    <n v="1168"/>
    <n v="2909.27"/>
    <n v="3417.82"/>
    <n v="-508.55"/>
    <n v="1.17"/>
    <n v="0.08"/>
    <n v="2575.31"/>
    <x v="1"/>
    <n v="733"/>
    <n v="0.24"/>
    <n v="286.81"/>
    <n v="0.1"/>
    <n v="335.51"/>
    <n v="0.12"/>
    <n v="1"/>
    <n v="1286.96"/>
    <n v="69"/>
    <n v="0"/>
    <n v="573.28"/>
    <n v="3741.69"/>
    <x v="2"/>
    <n v="1283.8599999999999"/>
    <x v="6"/>
    <x v="2"/>
    <n v="14.4"/>
    <s v="High"/>
    <n v="0"/>
    <n v="0"/>
  </r>
  <r>
    <x v="39"/>
    <x v="37"/>
    <n v="1390"/>
    <n v="3931.59"/>
    <n v="2936.45"/>
    <n v="995.14"/>
    <n v="0.75"/>
    <n v="0.28000000000000003"/>
    <n v="2502.89"/>
    <x v="1"/>
    <n v="737"/>
    <n v="0.15"/>
    <n v="589.30999999999995"/>
    <n v="0.15"/>
    <n v="0"/>
    <n v="0"/>
    <n v="9"/>
    <n v="1311.01"/>
    <n v="36"/>
    <n v="0"/>
    <n v="197.44"/>
    <n v="3500.06"/>
    <x v="1"/>
    <n v="1483.48"/>
    <x v="1"/>
    <x v="1"/>
    <n v="69.400000000000006"/>
    <s v="High"/>
    <n v="995.14"/>
    <n v="0"/>
  </r>
  <r>
    <x v="39"/>
    <x v="37"/>
    <n v="1372"/>
    <n v="3984.54"/>
    <n v="2371.1"/>
    <n v="1613.44"/>
    <n v="0.6"/>
    <n v="0.27"/>
    <n v="2890.87"/>
    <x v="1"/>
    <n v="679"/>
    <n v="0.35"/>
    <n v="343.75"/>
    <n v="0.09"/>
    <n v="548.55999999999995"/>
    <n v="0.14000000000000001"/>
    <n v="2"/>
    <n v="1801.51"/>
    <n v="58"/>
    <n v="0"/>
    <n v="145.22999999999999"/>
    <n v="1888.25"/>
    <x v="1"/>
    <n v="973.15"/>
    <x v="9"/>
    <x v="0"/>
    <n v="84.3"/>
    <s v="Low"/>
    <n v="1613.44"/>
    <n v="0"/>
  </r>
  <r>
    <x v="39"/>
    <x v="37"/>
    <n v="1622"/>
    <n v="4393.93"/>
    <n v="2663.01"/>
    <n v="1730.92"/>
    <n v="0.61"/>
    <n v="0.26"/>
    <n v="3347.42"/>
    <x v="1"/>
    <n v="752"/>
    <n v="0.32"/>
    <n v="252.74"/>
    <n v="0.06"/>
    <n v="595.99"/>
    <n v="0.14000000000000001"/>
    <n v="4"/>
    <n v="1687.05"/>
    <n v="63"/>
    <n v="0"/>
    <n v="419.17"/>
    <n v="2342.2199999999998"/>
    <x v="0"/>
    <n v="1178.43"/>
    <x v="4"/>
    <x v="0"/>
    <n v="85.1"/>
    <s v="Low"/>
    <n v="1730.92"/>
    <n v="0"/>
  </r>
  <r>
    <x v="39"/>
    <x v="37"/>
    <n v="1362"/>
    <n v="1762.91"/>
    <n v="2523.27"/>
    <n v="-760.36"/>
    <n v="1.43"/>
    <n v="0.17"/>
    <n v="3078.71"/>
    <x v="1"/>
    <n v="719"/>
    <n v="0.36"/>
    <n v="626.41"/>
    <n v="0.36"/>
    <n v="578.41"/>
    <n v="0.33"/>
    <n v="3"/>
    <n v="862.23"/>
    <n v="47"/>
    <n v="0"/>
    <n v="471.16"/>
    <n v="2694.49"/>
    <x v="1"/>
    <n v="467.95"/>
    <x v="2"/>
    <x v="2"/>
    <n v="67.5"/>
    <s v="Medium"/>
    <n v="0"/>
    <n v="0"/>
  </r>
  <r>
    <x v="39"/>
    <x v="37"/>
    <n v="1045"/>
    <n v="5699.57"/>
    <n v="3825.34"/>
    <n v="1874.23"/>
    <n v="0.67"/>
    <n v="0.08"/>
    <n v="2782.39"/>
    <x v="1"/>
    <n v="666"/>
    <n v="0.24"/>
    <n v="686.07"/>
    <n v="0.12"/>
    <n v="484.15"/>
    <n v="0.08"/>
    <n v="8"/>
    <n v="647.94000000000005"/>
    <n v="20"/>
    <n v="0"/>
    <n v="505.08"/>
    <n v="1389.66"/>
    <x v="1"/>
    <n v="885.31"/>
    <x v="8"/>
    <x v="1"/>
    <n v="86.2"/>
    <s v="Medium"/>
    <n v="1874.23"/>
    <n v="0"/>
  </r>
  <r>
    <x v="39"/>
    <x v="37"/>
    <n v="1555"/>
    <n v="1858.09"/>
    <n v="4503.12"/>
    <n v="-2645.03"/>
    <n v="2.42"/>
    <n v="0.06"/>
    <n v="2782.8"/>
    <x v="2"/>
    <n v="623"/>
    <n v="0.2"/>
    <n v="247.12"/>
    <n v="0.13"/>
    <n v="57.88"/>
    <n v="0.03"/>
    <n v="1"/>
    <n v="257.38"/>
    <n v="94"/>
    <n v="0"/>
    <n v="208.69"/>
    <n v="1739.83"/>
    <x v="1"/>
    <n v="1239.72"/>
    <x v="3"/>
    <x v="0"/>
    <n v="42.3"/>
    <s v="Low"/>
    <n v="0"/>
    <n v="0"/>
  </r>
  <r>
    <x v="39"/>
    <x v="37"/>
    <n v="1572"/>
    <n v="4858.6899999999996"/>
    <n v="2473.39"/>
    <n v="2385.3000000000002"/>
    <n v="0.51"/>
    <n v="0.28999999999999998"/>
    <n v="2312.35"/>
    <x v="1"/>
    <n v="671"/>
    <n v="0.25"/>
    <n v="376.61"/>
    <n v="0.08"/>
    <n v="237.36"/>
    <n v="0.05"/>
    <n v="7"/>
    <n v="1071.1099999999999"/>
    <n v="91"/>
    <n v="0"/>
    <n v="647.69000000000005"/>
    <n v="1330.85"/>
    <x v="1"/>
    <n v="1071.98"/>
    <x v="0"/>
    <x v="0"/>
    <n v="9"/>
    <s v="Low"/>
    <n v="2385.3000000000002"/>
    <n v="1"/>
  </r>
  <r>
    <x v="39"/>
    <x v="37"/>
    <n v="1422"/>
    <n v="4918.09"/>
    <n v="3302.32"/>
    <n v="1615.77"/>
    <n v="0.67"/>
    <n v="0.14000000000000001"/>
    <n v="3646.45"/>
    <x v="1"/>
    <n v="764"/>
    <n v="0.44"/>
    <n v="468.61"/>
    <n v="0.1"/>
    <n v="617.36"/>
    <n v="0.13"/>
    <n v="4"/>
    <n v="1257.01"/>
    <n v="70"/>
    <n v="0"/>
    <n v="512.04999999999995"/>
    <n v="1832.29"/>
    <x v="1"/>
    <n v="300"/>
    <x v="3"/>
    <x v="1"/>
    <n v="27.4"/>
    <s v="High"/>
    <n v="1615.77"/>
    <n v="0"/>
  </r>
  <r>
    <x v="39"/>
    <x v="37"/>
    <n v="1548"/>
    <n v="3321.07"/>
    <n v="2931.84"/>
    <n v="389.23"/>
    <n v="0.88"/>
    <n v="7.0000000000000007E-2"/>
    <n v="1921.08"/>
    <x v="1"/>
    <n v="736"/>
    <n v="0.55000000000000004"/>
    <n v="1025.3800000000001"/>
    <n v="0.31"/>
    <n v="735.92"/>
    <n v="0.22"/>
    <n v="8"/>
    <n v="1541.02"/>
    <n v="28"/>
    <n v="0"/>
    <n v="343"/>
    <n v="2416.48"/>
    <x v="1"/>
    <n v="1205.7"/>
    <x v="2"/>
    <x v="0"/>
    <n v="49.3"/>
    <s v="Low"/>
    <n v="389.23"/>
    <n v="0"/>
  </r>
  <r>
    <x v="39"/>
    <x v="37"/>
    <n v="1090"/>
    <n v="4952.95"/>
    <n v="2009.89"/>
    <n v="2943.06"/>
    <n v="0.41"/>
    <n v="0.34"/>
    <n v="2031.86"/>
    <x v="2"/>
    <n v="748"/>
    <n v="0.5"/>
    <n v="719.05"/>
    <n v="0.15"/>
    <n v="57.91"/>
    <n v="0.01"/>
    <n v="3"/>
    <n v="1463.54"/>
    <n v="25"/>
    <n v="0"/>
    <n v="378.73"/>
    <n v="2149.2600000000002"/>
    <x v="1"/>
    <n v="1214.33"/>
    <x v="2"/>
    <x v="0"/>
    <n v="10"/>
    <s v="High"/>
    <n v="2943.06"/>
    <n v="1"/>
  </r>
  <r>
    <x v="39"/>
    <x v="37"/>
    <n v="1373"/>
    <n v="5903.16"/>
    <n v="3950.83"/>
    <n v="1952.33"/>
    <n v="0.67"/>
    <n v="7.0000000000000007E-2"/>
    <n v="3177.92"/>
    <x v="2"/>
    <n v="729"/>
    <n v="0.28000000000000003"/>
    <n v="473.94"/>
    <n v="0.08"/>
    <n v="154.62"/>
    <n v="0.03"/>
    <n v="2"/>
    <n v="861.84"/>
    <n v="58"/>
    <n v="0"/>
    <n v="415.01"/>
    <n v="2607.33"/>
    <x v="1"/>
    <n v="961.07"/>
    <x v="5"/>
    <x v="1"/>
    <n v="12.5"/>
    <s v="Low"/>
    <n v="1952.33"/>
    <n v="0"/>
  </r>
  <r>
    <x v="39"/>
    <x v="37"/>
    <n v="1353"/>
    <n v="4224.28"/>
    <n v="3702.41"/>
    <n v="521.87"/>
    <n v="0.88"/>
    <n v="0.33"/>
    <n v="2943.29"/>
    <x v="1"/>
    <n v="666"/>
    <n v="0.33"/>
    <n v="383.94"/>
    <n v="0.09"/>
    <n v="435.17"/>
    <n v="0.1"/>
    <n v="2"/>
    <n v="1702.58"/>
    <n v="72"/>
    <n v="0"/>
    <n v="408.52"/>
    <n v="2123.31"/>
    <x v="0"/>
    <n v="1386.74"/>
    <x v="2"/>
    <x v="0"/>
    <n v="47"/>
    <s v="Low"/>
    <n v="521.87"/>
    <n v="0"/>
  </r>
  <r>
    <x v="39"/>
    <x v="37"/>
    <n v="1692"/>
    <n v="5223.8"/>
    <n v="3800.74"/>
    <n v="1423.06"/>
    <n v="0.73"/>
    <n v="0.26"/>
    <n v="3225.8"/>
    <x v="1"/>
    <n v="705"/>
    <n v="0.38"/>
    <n v="550.16"/>
    <n v="0.11"/>
    <n v="421.83"/>
    <n v="0.08"/>
    <n v="6"/>
    <n v="874.04"/>
    <n v="47"/>
    <n v="0"/>
    <n v="533.73"/>
    <n v="1000"/>
    <x v="2"/>
    <n v="1831.74"/>
    <x v="0"/>
    <x v="0"/>
    <n v="42"/>
    <s v="Low"/>
    <n v="1423.06"/>
    <n v="0"/>
  </r>
  <r>
    <x v="39"/>
    <x v="37"/>
    <n v="1426"/>
    <n v="2608.4"/>
    <n v="3356.88"/>
    <n v="-748.48"/>
    <n v="1.29"/>
    <n v="0.33"/>
    <n v="1956.45"/>
    <x v="2"/>
    <n v="680"/>
    <n v="0.48"/>
    <n v="573.49"/>
    <n v="0.22"/>
    <n v="297.97000000000003"/>
    <n v="0.11"/>
    <n v="3"/>
    <n v="1138.6199999999999"/>
    <n v="37"/>
    <n v="0"/>
    <n v="251.74"/>
    <n v="2403.73"/>
    <x v="1"/>
    <n v="760.39"/>
    <x v="3"/>
    <x v="1"/>
    <n v="93.9"/>
    <s v="Low"/>
    <n v="0"/>
    <n v="0"/>
  </r>
  <r>
    <x v="39"/>
    <x v="37"/>
    <n v="1237"/>
    <n v="4806.25"/>
    <n v="2769.27"/>
    <n v="2036.98"/>
    <n v="0.57999999999999996"/>
    <n v="0.19"/>
    <n v="3270.08"/>
    <x v="2"/>
    <n v="649"/>
    <n v="0.44"/>
    <n v="475.72"/>
    <n v="0.1"/>
    <n v="542.84"/>
    <n v="0.11"/>
    <n v="2"/>
    <n v="430.11"/>
    <n v="69"/>
    <n v="0"/>
    <n v="661.63"/>
    <n v="1839.33"/>
    <x v="1"/>
    <n v="1267.28"/>
    <x v="3"/>
    <x v="0"/>
    <n v="21.6"/>
    <s v="Low"/>
    <n v="2036.98"/>
    <n v="0"/>
  </r>
  <r>
    <x v="39"/>
    <x v="37"/>
    <n v="1038"/>
    <n v="3019.22"/>
    <n v="3564.12"/>
    <n v="-544.9"/>
    <n v="1.18"/>
    <n v="0.2"/>
    <n v="3178.94"/>
    <x v="1"/>
    <n v="676"/>
    <n v="0.51"/>
    <n v="945.73"/>
    <n v="0.31"/>
    <n v="283.07"/>
    <n v="0.09"/>
    <n v="8"/>
    <n v="775.77"/>
    <n v="97"/>
    <n v="0"/>
    <n v="289.51"/>
    <n v="1000"/>
    <x v="1"/>
    <n v="617.71"/>
    <x v="1"/>
    <x v="2"/>
    <n v="87.6"/>
    <s v="Medium"/>
    <n v="0"/>
    <n v="0"/>
  </r>
  <r>
    <x v="39"/>
    <x v="37"/>
    <n v="1424"/>
    <n v="2653.08"/>
    <n v="3376.93"/>
    <n v="-723.85"/>
    <n v="1.27"/>
    <n v="0.12"/>
    <n v="2898.49"/>
    <x v="1"/>
    <n v="687"/>
    <n v="0.27"/>
    <n v="163.16"/>
    <n v="0.06"/>
    <n v="0"/>
    <n v="0"/>
    <n v="5"/>
    <n v="0"/>
    <n v="42"/>
    <n v="0"/>
    <n v="676.93"/>
    <n v="1413.37"/>
    <x v="1"/>
    <n v="1124"/>
    <x v="0"/>
    <x v="2"/>
    <n v="96.7"/>
    <s v="Low"/>
    <n v="0"/>
    <n v="0"/>
  </r>
  <r>
    <x v="39"/>
    <x v="37"/>
    <n v="1491"/>
    <n v="4405.9399999999996"/>
    <n v="3244.75"/>
    <n v="1161.19"/>
    <n v="0.74"/>
    <n v="0.39"/>
    <n v="2223.09"/>
    <x v="2"/>
    <n v="694"/>
    <n v="0.18"/>
    <n v="662.79"/>
    <n v="0.15"/>
    <n v="510.18"/>
    <n v="0.12"/>
    <n v="9"/>
    <n v="541.48"/>
    <n v="70"/>
    <n v="0"/>
    <n v="39.76"/>
    <n v="1649.31"/>
    <x v="1"/>
    <n v="1163.8"/>
    <x v="7"/>
    <x v="0"/>
    <n v="45.3"/>
    <s v="Low"/>
    <n v="1161.19"/>
    <n v="0"/>
  </r>
  <r>
    <x v="39"/>
    <x v="37"/>
    <n v="1931"/>
    <n v="2309.58"/>
    <n v="2313.79"/>
    <n v="-4.21"/>
    <n v="1"/>
    <n v="0.2"/>
    <n v="2261.35"/>
    <x v="1"/>
    <n v="663"/>
    <n v="0.41"/>
    <n v="306.97000000000003"/>
    <n v="0.13"/>
    <n v="897.12"/>
    <n v="0.39"/>
    <n v="7"/>
    <n v="681.62"/>
    <n v="55"/>
    <n v="0"/>
    <n v="243.34"/>
    <n v="2065.36"/>
    <x v="1"/>
    <n v="851.49"/>
    <x v="9"/>
    <x v="2"/>
    <n v="24.8"/>
    <s v="Low"/>
    <n v="0"/>
    <n v="0"/>
  </r>
  <r>
    <x v="39"/>
    <x v="37"/>
    <n v="1975"/>
    <n v="4103.18"/>
    <n v="1429.14"/>
    <n v="2674.04"/>
    <n v="0.35"/>
    <n v="0.14000000000000001"/>
    <n v="3061.88"/>
    <x v="1"/>
    <n v="578"/>
    <n v="0.48"/>
    <n v="838.61"/>
    <n v="0.2"/>
    <n v="218.39"/>
    <n v="0.05"/>
    <n v="6"/>
    <n v="1314.01"/>
    <n v="62"/>
    <n v="0"/>
    <n v="538.49"/>
    <n v="1622.35"/>
    <x v="0"/>
    <n v="1188.24"/>
    <x v="8"/>
    <x v="0"/>
    <n v="42.2"/>
    <s v="Medium"/>
    <n v="2674.04"/>
    <n v="0"/>
  </r>
  <r>
    <x v="39"/>
    <x v="37"/>
    <n v="1750"/>
    <n v="4056.64"/>
    <n v="2764.49"/>
    <n v="1292.1500000000001"/>
    <n v="0.68"/>
    <n v="0.17"/>
    <n v="2822.13"/>
    <x v="0"/>
    <n v="649"/>
    <n v="0.25"/>
    <n v="542.19000000000005"/>
    <n v="0.13"/>
    <n v="359.37"/>
    <n v="0.09"/>
    <n v="5"/>
    <n v="1258.19"/>
    <n v="63"/>
    <n v="0"/>
    <n v="309.10000000000002"/>
    <n v="2440.89"/>
    <x v="1"/>
    <n v="1239.51"/>
    <x v="1"/>
    <x v="1"/>
    <n v="1.4"/>
    <s v="Low"/>
    <n v="1292.1500000000001"/>
    <n v="0"/>
  </r>
  <r>
    <x v="39"/>
    <x v="37"/>
    <n v="1171"/>
    <n v="4718.97"/>
    <n v="3348.12"/>
    <n v="1370.85"/>
    <n v="0.71"/>
    <n v="0.28000000000000003"/>
    <n v="3399.58"/>
    <x v="1"/>
    <n v="713"/>
    <n v="0.37"/>
    <n v="552.89"/>
    <n v="0.12"/>
    <n v="817.77"/>
    <n v="0.17"/>
    <n v="5"/>
    <n v="1403.7"/>
    <n v="86"/>
    <n v="0"/>
    <n v="514.04999999999995"/>
    <n v="1995.95"/>
    <x v="1"/>
    <n v="750.6"/>
    <x v="5"/>
    <x v="0"/>
    <n v="57.8"/>
    <s v="High"/>
    <n v="1370.85"/>
    <n v="0"/>
  </r>
  <r>
    <x v="39"/>
    <x v="37"/>
    <n v="1613"/>
    <n v="4500.8100000000004"/>
    <n v="3431.49"/>
    <n v="1069.32"/>
    <n v="0.76"/>
    <n v="0.13"/>
    <n v="2160.4"/>
    <x v="0"/>
    <n v="633"/>
    <n v="0.24"/>
    <n v="448.69"/>
    <n v="0.1"/>
    <n v="575.98"/>
    <n v="0.13"/>
    <n v="3"/>
    <n v="1454.65"/>
    <n v="27"/>
    <n v="0"/>
    <n v="389.36"/>
    <n v="1312.4"/>
    <x v="1"/>
    <n v="1051.97"/>
    <x v="1"/>
    <x v="0"/>
    <n v="20.9"/>
    <s v="Low"/>
    <n v="1069.32"/>
    <n v="0"/>
  </r>
  <r>
    <x v="39"/>
    <x v="37"/>
    <n v="1370"/>
    <n v="4280.45"/>
    <n v="3611.48"/>
    <n v="668.97"/>
    <n v="0.84"/>
    <n v="0.23"/>
    <n v="3033.93"/>
    <x v="1"/>
    <n v="621"/>
    <n v="0.24"/>
    <n v="257.52"/>
    <n v="0.06"/>
    <n v="748.77"/>
    <n v="0.17"/>
    <n v="3"/>
    <n v="1326.04"/>
    <n v="86"/>
    <n v="0"/>
    <n v="109.94"/>
    <n v="3438.13"/>
    <x v="1"/>
    <n v="1518.92"/>
    <x v="1"/>
    <x v="1"/>
    <n v="31.2"/>
    <s v="High"/>
    <n v="668.97"/>
    <n v="0"/>
  </r>
  <r>
    <x v="40"/>
    <x v="38"/>
    <n v="1913"/>
    <n v="3782.73"/>
    <n v="2241.48"/>
    <n v="1541.25"/>
    <n v="0.59"/>
    <n v="0.16"/>
    <n v="3606"/>
    <x v="1"/>
    <n v="689"/>
    <n v="0.5"/>
    <n v="564.04"/>
    <n v="0.15"/>
    <n v="278.85000000000002"/>
    <n v="7.0000000000000007E-2"/>
    <n v="9"/>
    <n v="790.98"/>
    <n v="25"/>
    <n v="0"/>
    <n v="260.49"/>
    <n v="2092.8000000000002"/>
    <x v="1"/>
    <n v="1181.67"/>
    <x v="8"/>
    <x v="2"/>
    <n v="4.2"/>
    <s v="Low"/>
    <n v="1541.25"/>
    <n v="0"/>
  </r>
  <r>
    <x v="40"/>
    <x v="38"/>
    <n v="1243"/>
    <n v="4953.7299999999996"/>
    <n v="3013.09"/>
    <n v="1940.64"/>
    <n v="0.61"/>
    <n v="0.31"/>
    <n v="2929.87"/>
    <x v="0"/>
    <n v="651"/>
    <n v="0.56000000000000005"/>
    <n v="1110.26"/>
    <n v="0.22"/>
    <n v="521.1"/>
    <n v="0.11"/>
    <n v="9"/>
    <n v="1472.05"/>
    <n v="88"/>
    <n v="0"/>
    <n v="517.53"/>
    <n v="1553.91"/>
    <x v="1"/>
    <n v="557.02"/>
    <x v="2"/>
    <x v="2"/>
    <n v="45.5"/>
    <s v="Medium"/>
    <n v="1940.64"/>
    <n v="0"/>
  </r>
  <r>
    <x v="40"/>
    <x v="38"/>
    <n v="1808"/>
    <n v="4148.47"/>
    <n v="3669.69"/>
    <n v="478.78"/>
    <n v="0.88"/>
    <n v="0.36"/>
    <n v="2487.54"/>
    <x v="0"/>
    <n v="720"/>
    <n v="0.32"/>
    <n v="369.29"/>
    <n v="0.09"/>
    <n v="45.38"/>
    <n v="0.01"/>
    <n v="8"/>
    <n v="2083.31"/>
    <n v="46"/>
    <n v="0"/>
    <n v="814.04"/>
    <n v="2672.96"/>
    <x v="1"/>
    <n v="1480.44"/>
    <x v="2"/>
    <x v="2"/>
    <n v="91.5"/>
    <s v="Low"/>
    <n v="478.78"/>
    <n v="0"/>
  </r>
  <r>
    <x v="40"/>
    <x v="38"/>
    <n v="1322"/>
    <n v="4729.29"/>
    <n v="1401.51"/>
    <n v="3327.78"/>
    <n v="0.3"/>
    <n v="0.33"/>
    <n v="2655.49"/>
    <x v="1"/>
    <n v="636"/>
    <n v="0.38"/>
    <n v="115.85"/>
    <n v="0.02"/>
    <n v="665.94"/>
    <n v="0.14000000000000001"/>
    <n v="8"/>
    <n v="996.27"/>
    <n v="76"/>
    <n v="0"/>
    <n v="286.52"/>
    <n v="2161.9299999999998"/>
    <x v="1"/>
    <n v="570.29999999999995"/>
    <x v="0"/>
    <x v="0"/>
    <n v="45.2"/>
    <s v="High"/>
    <n v="3327.78"/>
    <n v="1"/>
  </r>
  <r>
    <x v="40"/>
    <x v="38"/>
    <n v="1243"/>
    <n v="3093.65"/>
    <n v="2327.9499999999998"/>
    <n v="765.7"/>
    <n v="0.75"/>
    <n v="0.05"/>
    <n v="2794.67"/>
    <x v="1"/>
    <n v="684"/>
    <n v="0.47"/>
    <n v="639.45000000000005"/>
    <n v="0.21"/>
    <n v="760.27"/>
    <n v="0.25"/>
    <n v="9"/>
    <n v="1773.26"/>
    <n v="59"/>
    <n v="0"/>
    <n v="426.02"/>
    <n v="1599.92"/>
    <x v="0"/>
    <n v="1750.89"/>
    <x v="6"/>
    <x v="2"/>
    <n v="38.5"/>
    <s v="Low"/>
    <n v="765.7"/>
    <n v="0"/>
  </r>
  <r>
    <x v="40"/>
    <x v="38"/>
    <n v="1168"/>
    <n v="4300.2"/>
    <n v="3057.07"/>
    <n v="1243.1300000000001"/>
    <n v="0.71"/>
    <n v="0.33"/>
    <n v="2273.71"/>
    <x v="2"/>
    <n v="664"/>
    <n v="0.28999999999999998"/>
    <n v="352.09"/>
    <n v="0.08"/>
    <n v="233.49"/>
    <n v="0.05"/>
    <n v="9"/>
    <n v="1411"/>
    <n v="70"/>
    <n v="0"/>
    <n v="626.16"/>
    <n v="2154.8000000000002"/>
    <x v="1"/>
    <n v="1226.1099999999999"/>
    <x v="2"/>
    <x v="0"/>
    <n v="47.2"/>
    <s v="Low"/>
    <n v="1243.1300000000001"/>
    <n v="0"/>
  </r>
  <r>
    <x v="40"/>
    <x v="38"/>
    <n v="1553"/>
    <n v="4143.9799999999996"/>
    <n v="3935.73"/>
    <n v="208.25"/>
    <n v="0.95"/>
    <n v="0.37"/>
    <n v="2836.54"/>
    <x v="1"/>
    <n v="626"/>
    <n v="0.13"/>
    <n v="395.4"/>
    <n v="0.1"/>
    <n v="203.12"/>
    <n v="0.05"/>
    <n v="8"/>
    <n v="1151.72"/>
    <n v="55"/>
    <n v="0"/>
    <n v="451.75"/>
    <n v="2984.14"/>
    <x v="1"/>
    <n v="1143.6600000000001"/>
    <x v="9"/>
    <x v="0"/>
    <n v="35.5"/>
    <s v="High"/>
    <n v="208.25"/>
    <n v="0"/>
  </r>
  <r>
    <x v="40"/>
    <x v="38"/>
    <n v="1333"/>
    <n v="3631.22"/>
    <n v="2872.3"/>
    <n v="758.92"/>
    <n v="0.79"/>
    <n v="0.2"/>
    <n v="2567.06"/>
    <x v="0"/>
    <n v="656"/>
    <n v="0.28000000000000003"/>
    <n v="613.64"/>
    <n v="0.17"/>
    <n v="509.5"/>
    <n v="0.14000000000000001"/>
    <n v="8"/>
    <n v="464.09"/>
    <n v="20"/>
    <n v="0"/>
    <n v="305.72000000000003"/>
    <n v="2057.52"/>
    <x v="1"/>
    <n v="427.86"/>
    <x v="0"/>
    <x v="0"/>
    <n v="81.400000000000006"/>
    <s v="Medium"/>
    <n v="758.92"/>
    <n v="0"/>
  </r>
  <r>
    <x v="40"/>
    <x v="38"/>
    <n v="1060"/>
    <n v="5168.96"/>
    <n v="3784.27"/>
    <n v="1384.69"/>
    <n v="0.73"/>
    <n v="0.27"/>
    <n v="2780.42"/>
    <x v="1"/>
    <n v="696"/>
    <n v="0.36"/>
    <n v="730.33"/>
    <n v="0.14000000000000001"/>
    <n v="174.89"/>
    <n v="0.03"/>
    <n v="9"/>
    <n v="1515.8"/>
    <n v="70"/>
    <n v="0"/>
    <n v="344.39"/>
    <n v="1700.91"/>
    <x v="2"/>
    <n v="1201.44"/>
    <x v="1"/>
    <x v="0"/>
    <n v="85.3"/>
    <s v="Low"/>
    <n v="1384.69"/>
    <n v="0"/>
  </r>
  <r>
    <x v="40"/>
    <x v="38"/>
    <n v="1423"/>
    <n v="1239.94"/>
    <n v="3344.52"/>
    <n v="-2104.58"/>
    <n v="2.7"/>
    <n v="0.13"/>
    <n v="2962.44"/>
    <x v="1"/>
    <n v="744"/>
    <n v="0.22"/>
    <n v="355.18"/>
    <n v="0.28999999999999998"/>
    <n v="0"/>
    <n v="0"/>
    <n v="3"/>
    <n v="889.15"/>
    <n v="29"/>
    <n v="0"/>
    <n v="661.25"/>
    <n v="2322.84"/>
    <x v="1"/>
    <n v="1534.8"/>
    <x v="5"/>
    <x v="0"/>
    <n v="22"/>
    <s v="Low"/>
    <n v="0"/>
    <n v="0"/>
  </r>
  <r>
    <x v="40"/>
    <x v="38"/>
    <n v="1395"/>
    <n v="2747.93"/>
    <n v="3700.17"/>
    <n v="-952.24"/>
    <n v="1.35"/>
    <n v="0.28999999999999998"/>
    <n v="2585.77"/>
    <x v="1"/>
    <n v="641"/>
    <n v="0.54"/>
    <n v="608.09"/>
    <n v="0.22"/>
    <n v="240.11"/>
    <n v="0.09"/>
    <n v="1"/>
    <n v="2150.4299999999998"/>
    <n v="93"/>
    <n v="0"/>
    <n v="514.98"/>
    <n v="1912.63"/>
    <x v="1"/>
    <n v="1021.34"/>
    <x v="2"/>
    <x v="0"/>
    <n v="2.1"/>
    <s v="Low"/>
    <n v="0"/>
    <n v="0"/>
  </r>
  <r>
    <x v="40"/>
    <x v="38"/>
    <n v="1899"/>
    <n v="5559.93"/>
    <n v="4185.59"/>
    <n v="1374.34"/>
    <n v="0.75"/>
    <n v="0.24"/>
    <n v="2952.09"/>
    <x v="1"/>
    <n v="644"/>
    <n v="0.53"/>
    <n v="564.79"/>
    <n v="0.1"/>
    <n v="646.16999999999996"/>
    <n v="0.12"/>
    <n v="8"/>
    <n v="1212.0999999999999"/>
    <n v="83"/>
    <n v="0"/>
    <n v="875.29"/>
    <n v="3885.25"/>
    <x v="1"/>
    <n v="912.66"/>
    <x v="3"/>
    <x v="0"/>
    <n v="89.7"/>
    <s v="High"/>
    <n v="1374.34"/>
    <n v="0"/>
  </r>
  <r>
    <x v="40"/>
    <x v="38"/>
    <n v="1802"/>
    <n v="3230.35"/>
    <n v="3510.42"/>
    <n v="-280.07"/>
    <n v="1.0900000000000001"/>
    <n v="0.39"/>
    <n v="2900.92"/>
    <x v="0"/>
    <n v="730"/>
    <n v="0.23"/>
    <n v="187.8"/>
    <n v="0.06"/>
    <n v="457.65"/>
    <n v="0.14000000000000001"/>
    <n v="3"/>
    <n v="1363.95"/>
    <n v="99"/>
    <n v="0"/>
    <n v="619.79999999999995"/>
    <n v="3747.03"/>
    <x v="1"/>
    <n v="1518.64"/>
    <x v="0"/>
    <x v="0"/>
    <n v="0.5"/>
    <s v="High"/>
    <n v="0"/>
    <n v="0"/>
  </r>
  <r>
    <x v="40"/>
    <x v="38"/>
    <n v="1065"/>
    <n v="4274.63"/>
    <n v="2785.96"/>
    <n v="1488.67"/>
    <n v="0.65"/>
    <n v="0.06"/>
    <n v="1701.97"/>
    <x v="2"/>
    <n v="663"/>
    <n v="0.34"/>
    <n v="637.03"/>
    <n v="0.15"/>
    <n v="591.07000000000005"/>
    <n v="0.14000000000000001"/>
    <n v="8"/>
    <n v="1628.39"/>
    <n v="51"/>
    <n v="0"/>
    <n v="500.99"/>
    <n v="1516.58"/>
    <x v="1"/>
    <n v="1208.5"/>
    <x v="0"/>
    <x v="0"/>
    <n v="53.1"/>
    <s v="Low"/>
    <n v="1488.67"/>
    <n v="0"/>
  </r>
  <r>
    <x v="40"/>
    <x v="38"/>
    <n v="1790"/>
    <n v="2503.1799999999998"/>
    <n v="3240.64"/>
    <n v="-737.46"/>
    <n v="1.29"/>
    <n v="0.33"/>
    <n v="2938.38"/>
    <x v="1"/>
    <n v="645"/>
    <n v="0.52"/>
    <n v="557.29999999999995"/>
    <n v="0.22"/>
    <n v="349.59"/>
    <n v="0.14000000000000001"/>
    <n v="3"/>
    <n v="772.95"/>
    <n v="23"/>
    <n v="0"/>
    <n v="531.80999999999995"/>
    <n v="1663.52"/>
    <x v="0"/>
    <n v="1507.13"/>
    <x v="4"/>
    <x v="0"/>
    <n v="35.700000000000003"/>
    <s v="Medium"/>
    <n v="0"/>
    <n v="0"/>
  </r>
  <r>
    <x v="40"/>
    <x v="38"/>
    <n v="1671"/>
    <n v="3718.62"/>
    <n v="3287.42"/>
    <n v="431.2"/>
    <n v="0.88"/>
    <n v="0.24"/>
    <n v="2518.02"/>
    <x v="1"/>
    <n v="730"/>
    <n v="0.51"/>
    <n v="790.44"/>
    <n v="0.21"/>
    <n v="626.30999999999995"/>
    <n v="0.17"/>
    <n v="5"/>
    <n v="365.31"/>
    <n v="90"/>
    <n v="0"/>
    <n v="770.53"/>
    <n v="2762.75"/>
    <x v="1"/>
    <n v="1533.8"/>
    <x v="5"/>
    <x v="0"/>
    <n v="19.899999999999999"/>
    <s v="High"/>
    <n v="431.2"/>
    <n v="0"/>
  </r>
  <r>
    <x v="40"/>
    <x v="38"/>
    <n v="1190"/>
    <n v="2827.7"/>
    <n v="3448.11"/>
    <n v="-620.41"/>
    <n v="1.22"/>
    <n v="0.08"/>
    <n v="3213.06"/>
    <x v="1"/>
    <n v="713"/>
    <n v="0.2"/>
    <n v="1095.26"/>
    <n v="0.39"/>
    <n v="536.29999999999995"/>
    <n v="0.19"/>
    <n v="9"/>
    <n v="1142.83"/>
    <n v="35"/>
    <n v="0"/>
    <n v="580.23"/>
    <n v="1962.99"/>
    <x v="2"/>
    <n v="1227.75"/>
    <x v="0"/>
    <x v="1"/>
    <n v="27.7"/>
    <s v="Medium"/>
    <n v="0"/>
    <n v="0"/>
  </r>
  <r>
    <x v="40"/>
    <x v="38"/>
    <n v="1296"/>
    <n v="2746.43"/>
    <n v="2782.97"/>
    <n v="-36.54"/>
    <n v="1.01"/>
    <n v="0.11"/>
    <n v="3347"/>
    <x v="1"/>
    <n v="674"/>
    <n v="0.24"/>
    <n v="493.07"/>
    <n v="0.18"/>
    <n v="193.88"/>
    <n v="7.0000000000000007E-2"/>
    <n v="1"/>
    <n v="861.69"/>
    <n v="74"/>
    <n v="0"/>
    <n v="755.72"/>
    <n v="1098.1300000000001"/>
    <x v="1"/>
    <n v="465.26"/>
    <x v="9"/>
    <x v="0"/>
    <n v="67.7"/>
    <s v="Low"/>
    <n v="0"/>
    <n v="0"/>
  </r>
  <r>
    <x v="40"/>
    <x v="38"/>
    <n v="1571"/>
    <n v="3917.81"/>
    <n v="2376.96"/>
    <n v="1540.85"/>
    <n v="0.61"/>
    <n v="0.15"/>
    <n v="3277.53"/>
    <x v="2"/>
    <n v="766"/>
    <n v="0.57999999999999996"/>
    <n v="943.99"/>
    <n v="0.24"/>
    <n v="357.11"/>
    <n v="0.09"/>
    <n v="4"/>
    <n v="1101.07"/>
    <n v="31"/>
    <n v="0"/>
    <n v="621.19000000000005"/>
    <n v="1951.02"/>
    <x v="0"/>
    <n v="435.37"/>
    <x v="0"/>
    <x v="0"/>
    <n v="50.7"/>
    <s v="Low"/>
    <n v="1540.85"/>
    <n v="0"/>
  </r>
  <r>
    <x v="40"/>
    <x v="38"/>
    <n v="1328"/>
    <n v="4502.18"/>
    <n v="3928.08"/>
    <n v="574.1"/>
    <n v="0.87"/>
    <n v="0.27"/>
    <n v="2635.51"/>
    <x v="0"/>
    <n v="668"/>
    <n v="0.15"/>
    <n v="584.55999999999995"/>
    <n v="0.13"/>
    <n v="0"/>
    <n v="0"/>
    <n v="5"/>
    <n v="1021.89"/>
    <n v="22"/>
    <n v="0"/>
    <n v="593.51"/>
    <n v="1721.17"/>
    <x v="1"/>
    <n v="300"/>
    <x v="0"/>
    <x v="2"/>
    <n v="75.5"/>
    <s v="Medium"/>
    <n v="574.1"/>
    <n v="0"/>
  </r>
  <r>
    <x v="40"/>
    <x v="38"/>
    <n v="1331"/>
    <n v="4275.82"/>
    <n v="2851.95"/>
    <n v="1423.87"/>
    <n v="0.67"/>
    <n v="0.37"/>
    <n v="2554.44"/>
    <x v="0"/>
    <n v="642"/>
    <n v="0.41"/>
    <n v="344.75"/>
    <n v="0.08"/>
    <n v="196.22"/>
    <n v="0.05"/>
    <n v="4"/>
    <n v="855.83"/>
    <n v="98"/>
    <n v="0"/>
    <n v="740.56"/>
    <n v="2153.0300000000002"/>
    <x v="0"/>
    <n v="1511.58"/>
    <x v="4"/>
    <x v="1"/>
    <n v="66.2"/>
    <s v="Low"/>
    <n v="1423.87"/>
    <n v="0"/>
  </r>
  <r>
    <x v="40"/>
    <x v="38"/>
    <n v="1725"/>
    <n v="4565.62"/>
    <n v="2796.9"/>
    <n v="1768.72"/>
    <n v="0.61"/>
    <n v="0.1"/>
    <n v="3129.72"/>
    <x v="1"/>
    <n v="715"/>
    <n v="0.56000000000000005"/>
    <n v="28.88"/>
    <n v="0.01"/>
    <n v="241.49"/>
    <n v="0.05"/>
    <n v="2"/>
    <n v="368.72"/>
    <n v="70"/>
    <n v="0"/>
    <n v="367.23"/>
    <n v="2485.1999999999998"/>
    <x v="0"/>
    <n v="761.65"/>
    <x v="0"/>
    <x v="0"/>
    <n v="59.4"/>
    <s v="Low"/>
    <n v="1768.72"/>
    <n v="0"/>
  </r>
  <r>
    <x v="40"/>
    <x v="38"/>
    <n v="1216"/>
    <n v="3900.27"/>
    <n v="3431.6"/>
    <n v="468.67"/>
    <n v="0.88"/>
    <n v="0.18"/>
    <n v="3254.08"/>
    <x v="1"/>
    <n v="681"/>
    <n v="0.39"/>
    <n v="567.27"/>
    <n v="0.15"/>
    <n v="380.58"/>
    <n v="0.1"/>
    <n v="6"/>
    <n v="1415.12"/>
    <n v="52"/>
    <n v="0"/>
    <n v="315.18"/>
    <n v="3324.25"/>
    <x v="1"/>
    <n v="1472.92"/>
    <x v="6"/>
    <x v="2"/>
    <n v="80.900000000000006"/>
    <s v="Low"/>
    <n v="468.67"/>
    <n v="0"/>
  </r>
  <r>
    <x v="40"/>
    <x v="38"/>
    <n v="1069"/>
    <n v="3730.53"/>
    <n v="4765.88"/>
    <n v="-1035.3499999999999"/>
    <n v="1.28"/>
    <n v="0.14000000000000001"/>
    <n v="2893.48"/>
    <x v="1"/>
    <n v="663"/>
    <n v="0.18"/>
    <n v="717.12"/>
    <n v="0.19"/>
    <n v="591.04"/>
    <n v="0.16"/>
    <n v="9"/>
    <n v="661.11"/>
    <n v="51"/>
    <n v="0"/>
    <n v="924.02"/>
    <n v="1294.58"/>
    <x v="2"/>
    <n v="1830.5"/>
    <x v="9"/>
    <x v="1"/>
    <n v="9.5"/>
    <s v="Low"/>
    <n v="0"/>
    <n v="0"/>
  </r>
  <r>
    <x v="40"/>
    <x v="38"/>
    <n v="1426"/>
    <n v="2018.66"/>
    <n v="3057.77"/>
    <n v="-1039.1099999999999"/>
    <n v="1.51"/>
    <n v="0.12"/>
    <n v="2906.5"/>
    <x v="1"/>
    <n v="785"/>
    <n v="0.22"/>
    <n v="496.1"/>
    <n v="0.25"/>
    <n v="466.62"/>
    <n v="0.23"/>
    <n v="7"/>
    <n v="1093.0899999999999"/>
    <n v="60"/>
    <n v="0"/>
    <n v="536.28"/>
    <n v="2902.44"/>
    <x v="1"/>
    <n v="1619.35"/>
    <x v="0"/>
    <x v="0"/>
    <n v="57.5"/>
    <s v="Medium"/>
    <n v="0"/>
    <n v="0"/>
  </r>
  <r>
    <x v="40"/>
    <x v="38"/>
    <n v="1009"/>
    <n v="3590.68"/>
    <n v="2849.22"/>
    <n v="741.46"/>
    <n v="0.79"/>
    <n v="0.27"/>
    <n v="2152.56"/>
    <x v="1"/>
    <n v="749"/>
    <n v="0.24"/>
    <n v="608.84"/>
    <n v="0.17"/>
    <n v="499.89"/>
    <n v="0.14000000000000001"/>
    <n v="8"/>
    <n v="642.55999999999995"/>
    <n v="46"/>
    <n v="0"/>
    <n v="570.80999999999995"/>
    <n v="2325.4899999999998"/>
    <x v="1"/>
    <n v="1239.1400000000001"/>
    <x v="0"/>
    <x v="0"/>
    <n v="15.4"/>
    <s v="Medium"/>
    <n v="741.46"/>
    <n v="0"/>
  </r>
  <r>
    <x v="40"/>
    <x v="38"/>
    <n v="1145"/>
    <n v="5372.78"/>
    <n v="1974.89"/>
    <n v="3397.89"/>
    <n v="0.37"/>
    <n v="0.39"/>
    <n v="3299.63"/>
    <x v="2"/>
    <n v="669"/>
    <n v="0.57999999999999996"/>
    <n v="483.65"/>
    <n v="0.09"/>
    <n v="217.59"/>
    <n v="0.04"/>
    <n v="9"/>
    <n v="900.37"/>
    <n v="67"/>
    <n v="0"/>
    <n v="717.24"/>
    <n v="2496.33"/>
    <x v="1"/>
    <n v="1012.47"/>
    <x v="1"/>
    <x v="0"/>
    <n v="46.5"/>
    <s v="High"/>
    <n v="3397.89"/>
    <n v="1"/>
  </r>
  <r>
    <x v="40"/>
    <x v="38"/>
    <n v="1332"/>
    <n v="3077.62"/>
    <n v="2409.3000000000002"/>
    <n v="668.32"/>
    <n v="0.78"/>
    <n v="0.1"/>
    <n v="2064.75"/>
    <x v="1"/>
    <n v="684"/>
    <n v="0.32"/>
    <n v="652.87"/>
    <n v="0.21"/>
    <n v="560.67999999999995"/>
    <n v="0.18"/>
    <n v="4"/>
    <n v="1376.33"/>
    <n v="85"/>
    <n v="0"/>
    <n v="705.04"/>
    <n v="2279.27"/>
    <x v="0"/>
    <n v="1261.18"/>
    <x v="7"/>
    <x v="1"/>
    <n v="48.6"/>
    <s v="Low"/>
    <n v="668.32"/>
    <n v="0"/>
  </r>
  <r>
    <x v="40"/>
    <x v="38"/>
    <n v="1547"/>
    <n v="3915.09"/>
    <n v="4250.09"/>
    <n v="-335"/>
    <n v="1.0900000000000001"/>
    <n v="0.28000000000000003"/>
    <n v="2646.59"/>
    <x v="1"/>
    <n v="670"/>
    <n v="0.17"/>
    <n v="580.52"/>
    <n v="0.15"/>
    <n v="1263.27"/>
    <n v="0.32"/>
    <n v="4"/>
    <n v="204.75"/>
    <n v="52"/>
    <n v="1"/>
    <n v="622.53"/>
    <n v="3498.82"/>
    <x v="0"/>
    <n v="1418.09"/>
    <x v="1"/>
    <x v="0"/>
    <n v="37.200000000000003"/>
    <s v="Low"/>
    <n v="0"/>
    <n v="0"/>
  </r>
  <r>
    <x v="40"/>
    <x v="38"/>
    <n v="1486"/>
    <n v="4595.1400000000003"/>
    <n v="1833.89"/>
    <n v="2761.25"/>
    <n v="0.4"/>
    <n v="0.08"/>
    <n v="2525.23"/>
    <x v="1"/>
    <n v="634"/>
    <n v="0.38"/>
    <n v="436.57"/>
    <n v="0.1"/>
    <n v="209.76"/>
    <n v="0.05"/>
    <n v="2"/>
    <n v="1822.99"/>
    <n v="43"/>
    <n v="0"/>
    <n v="1049.52"/>
    <n v="3700.56"/>
    <x v="1"/>
    <n v="1568.42"/>
    <x v="4"/>
    <x v="0"/>
    <n v="38.799999999999997"/>
    <s v="High"/>
    <n v="2761.25"/>
    <n v="1"/>
  </r>
  <r>
    <x v="40"/>
    <x v="38"/>
    <n v="1589"/>
    <n v="2503.84"/>
    <n v="3968.01"/>
    <n v="-1464.17"/>
    <n v="1.58"/>
    <n v="0.14000000000000001"/>
    <n v="2682.67"/>
    <x v="0"/>
    <n v="679"/>
    <n v="0.35"/>
    <n v="622.72"/>
    <n v="0.25"/>
    <n v="507.23"/>
    <n v="0.2"/>
    <n v="9"/>
    <n v="880.14"/>
    <n v="55"/>
    <n v="0"/>
    <n v="645.57000000000005"/>
    <n v="2715.61"/>
    <x v="1"/>
    <n v="1265.3599999999999"/>
    <x v="9"/>
    <x v="0"/>
    <n v="68.7"/>
    <s v="Medium"/>
    <n v="0"/>
    <n v="0"/>
  </r>
  <r>
    <x v="40"/>
    <x v="38"/>
    <n v="1271"/>
    <n v="4997.38"/>
    <n v="2319.9699999999998"/>
    <n v="2677.41"/>
    <n v="0.46"/>
    <n v="0.18"/>
    <n v="2128.5500000000002"/>
    <x v="0"/>
    <n v="655"/>
    <n v="0.12"/>
    <n v="444.34"/>
    <n v="0.09"/>
    <n v="118.77"/>
    <n v="0.02"/>
    <n v="6"/>
    <n v="901.4"/>
    <n v="47"/>
    <n v="0"/>
    <n v="174.98"/>
    <n v="2897.18"/>
    <x v="1"/>
    <n v="636.95000000000005"/>
    <x v="7"/>
    <x v="0"/>
    <n v="44.4"/>
    <s v="Low"/>
    <n v="2677.41"/>
    <n v="1"/>
  </r>
  <r>
    <x v="40"/>
    <x v="38"/>
    <n v="1951"/>
    <n v="4883.1499999999996"/>
    <n v="1964.43"/>
    <n v="2918.72"/>
    <n v="0.4"/>
    <n v="0.33"/>
    <n v="2724.21"/>
    <x v="1"/>
    <n v="674"/>
    <n v="0.27"/>
    <n v="298.29000000000002"/>
    <n v="0.06"/>
    <n v="188.33"/>
    <n v="0.04"/>
    <n v="1"/>
    <n v="847.63"/>
    <n v="51"/>
    <n v="0"/>
    <n v="358.38"/>
    <n v="2353.5500000000002"/>
    <x v="1"/>
    <n v="1836.5"/>
    <x v="6"/>
    <x v="0"/>
    <n v="41"/>
    <s v="High"/>
    <n v="2918.72"/>
    <n v="1"/>
  </r>
  <r>
    <x v="40"/>
    <x v="38"/>
    <n v="1902"/>
    <n v="4045.61"/>
    <n v="3043.59"/>
    <n v="1002.02"/>
    <n v="0.75"/>
    <n v="0.23"/>
    <n v="2666.52"/>
    <x v="1"/>
    <n v="677"/>
    <n v="0.41"/>
    <n v="528.52"/>
    <n v="0.13"/>
    <n v="388.06"/>
    <n v="0.1"/>
    <n v="5"/>
    <n v="391.04"/>
    <n v="41"/>
    <n v="1"/>
    <n v="695.85"/>
    <n v="2185.61"/>
    <x v="1"/>
    <n v="1660.16"/>
    <x v="1"/>
    <x v="0"/>
    <n v="86"/>
    <s v="Low"/>
    <n v="1002.02"/>
    <n v="0"/>
  </r>
  <r>
    <x v="40"/>
    <x v="38"/>
    <n v="1214"/>
    <n v="4547.3100000000004"/>
    <n v="2686.17"/>
    <n v="1861.14"/>
    <n v="0.59"/>
    <n v="0.2"/>
    <n v="2776.87"/>
    <x v="0"/>
    <n v="627"/>
    <n v="0.44"/>
    <n v="266.35000000000002"/>
    <n v="0.06"/>
    <n v="317.64999999999998"/>
    <n v="7.0000000000000007E-2"/>
    <n v="5"/>
    <n v="1171.58"/>
    <n v="37"/>
    <n v="0"/>
    <n v="323.11"/>
    <n v="2267.66"/>
    <x v="1"/>
    <n v="1143.93"/>
    <x v="6"/>
    <x v="0"/>
    <n v="7.6"/>
    <s v="Low"/>
    <n v="1861.14"/>
    <n v="0"/>
  </r>
  <r>
    <x v="40"/>
    <x v="38"/>
    <n v="1064"/>
    <n v="3680.05"/>
    <n v="4142.07"/>
    <n v="-462.02"/>
    <n v="1.1299999999999999"/>
    <n v="0.22"/>
    <n v="2513.04"/>
    <x v="2"/>
    <n v="718"/>
    <n v="0.28000000000000003"/>
    <n v="671.9"/>
    <n v="0.18"/>
    <n v="536.57000000000005"/>
    <n v="0.15"/>
    <n v="8"/>
    <n v="1391.83"/>
    <n v="61"/>
    <n v="0"/>
    <n v="552.86"/>
    <n v="2082.58"/>
    <x v="1"/>
    <n v="832.71"/>
    <x v="3"/>
    <x v="1"/>
    <n v="18.2"/>
    <s v="Low"/>
    <n v="0"/>
    <n v="0"/>
  </r>
  <r>
    <x v="40"/>
    <x v="38"/>
    <n v="1833"/>
    <n v="5181.9799999999996"/>
    <n v="2570.98"/>
    <n v="2611"/>
    <n v="0.5"/>
    <n v="0.15"/>
    <n v="3424.28"/>
    <x v="1"/>
    <n v="673"/>
    <n v="0.11"/>
    <n v="617.75"/>
    <n v="0.12"/>
    <n v="328.09"/>
    <n v="0.06"/>
    <n v="4"/>
    <n v="958.09"/>
    <n v="68"/>
    <n v="0"/>
    <n v="523.82000000000005"/>
    <n v="2794.96"/>
    <x v="1"/>
    <n v="1239.92"/>
    <x v="6"/>
    <x v="0"/>
    <n v="89.7"/>
    <s v="Low"/>
    <n v="2611"/>
    <n v="0"/>
  </r>
  <r>
    <x v="40"/>
    <x v="38"/>
    <n v="1117"/>
    <n v="4464.05"/>
    <n v="2124.06"/>
    <n v="2339.9899999999998"/>
    <n v="0.48"/>
    <n v="0.28999999999999998"/>
    <n v="2588.56"/>
    <x v="0"/>
    <n v="602"/>
    <n v="0.6"/>
    <n v="628.37"/>
    <n v="0.14000000000000001"/>
    <n v="221.61"/>
    <n v="0.05"/>
    <n v="5"/>
    <n v="187.97"/>
    <n v="93"/>
    <n v="0"/>
    <n v="313.98"/>
    <n v="2489.17"/>
    <x v="1"/>
    <n v="426.65"/>
    <x v="7"/>
    <x v="0"/>
    <n v="40.6"/>
    <s v="Medium"/>
    <n v="2339.9899999999998"/>
    <n v="0"/>
  </r>
  <r>
    <x v="40"/>
    <x v="38"/>
    <n v="1977"/>
    <n v="5355.45"/>
    <n v="3311.72"/>
    <n v="2043.73"/>
    <n v="0.62"/>
    <n v="0.16"/>
    <n v="1852.48"/>
    <x v="1"/>
    <n v="673"/>
    <n v="0.51"/>
    <n v="551.55999999999995"/>
    <n v="0.1"/>
    <n v="330.08"/>
    <n v="0.06"/>
    <n v="6"/>
    <n v="740.2"/>
    <n v="87"/>
    <n v="0"/>
    <n v="262.87"/>
    <n v="1913.16"/>
    <x v="1"/>
    <n v="1551.97"/>
    <x v="2"/>
    <x v="0"/>
    <n v="60.5"/>
    <s v="Low"/>
    <n v="2043.73"/>
    <n v="1"/>
  </r>
  <r>
    <x v="40"/>
    <x v="38"/>
    <n v="1959"/>
    <n v="5249.07"/>
    <n v="3704.76"/>
    <n v="1544.31"/>
    <n v="0.71"/>
    <n v="0.22"/>
    <n v="2202.8000000000002"/>
    <x v="1"/>
    <n v="718"/>
    <n v="0.23"/>
    <n v="122.03"/>
    <n v="0.02"/>
    <n v="260.63"/>
    <n v="0.05"/>
    <n v="4"/>
    <n v="1304.6099999999999"/>
    <n v="68"/>
    <n v="0"/>
    <n v="515.11"/>
    <n v="2478.86"/>
    <x v="1"/>
    <n v="727.35"/>
    <x v="7"/>
    <x v="1"/>
    <n v="91.7"/>
    <s v="Low"/>
    <n v="1544.31"/>
    <n v="0"/>
  </r>
  <r>
    <x v="40"/>
    <x v="38"/>
    <n v="1926"/>
    <n v="3654.72"/>
    <n v="4292.3500000000004"/>
    <n v="-637.63"/>
    <n v="1.17"/>
    <n v="0.19"/>
    <n v="3112.6"/>
    <x v="1"/>
    <n v="704"/>
    <n v="0.22"/>
    <n v="335.96"/>
    <n v="0.09"/>
    <n v="596.05999999999995"/>
    <n v="0.16"/>
    <n v="9"/>
    <n v="629.96"/>
    <n v="69"/>
    <n v="0"/>
    <n v="919.34"/>
    <n v="1956.68"/>
    <x v="1"/>
    <n v="1507.88"/>
    <x v="9"/>
    <x v="0"/>
    <n v="98"/>
    <s v="Medium"/>
    <n v="0"/>
    <n v="0"/>
  </r>
  <r>
    <x v="40"/>
    <x v="38"/>
    <n v="1394"/>
    <n v="3686.26"/>
    <n v="2667.71"/>
    <n v="1018.55"/>
    <n v="0.72"/>
    <n v="0.25"/>
    <n v="2523.25"/>
    <x v="2"/>
    <n v="744"/>
    <n v="0.12"/>
    <n v="813.39"/>
    <n v="0.22"/>
    <n v="341.52"/>
    <n v="0.09"/>
    <n v="1"/>
    <n v="1317.39"/>
    <n v="62"/>
    <n v="0"/>
    <n v="114.65"/>
    <n v="2570.64"/>
    <x v="2"/>
    <n v="1068.07"/>
    <x v="6"/>
    <x v="0"/>
    <n v="89.1"/>
    <s v="Low"/>
    <n v="1018.55"/>
    <n v="0"/>
  </r>
  <r>
    <x v="40"/>
    <x v="38"/>
    <n v="1807"/>
    <n v="3857.46"/>
    <n v="2393.0700000000002"/>
    <n v="1464.39"/>
    <n v="0.62"/>
    <n v="0.15"/>
    <n v="3866.06"/>
    <x v="0"/>
    <n v="645"/>
    <n v="0.6"/>
    <n v="154.16"/>
    <n v="0.04"/>
    <n v="528.52"/>
    <n v="0.14000000000000001"/>
    <n v="5"/>
    <n v="197.4"/>
    <n v="21"/>
    <n v="0"/>
    <n v="354.15"/>
    <n v="3080.48"/>
    <x v="0"/>
    <n v="1304.8599999999999"/>
    <x v="9"/>
    <x v="0"/>
    <n v="46.2"/>
    <s v="High"/>
    <n v="1464.39"/>
    <n v="0"/>
  </r>
  <r>
    <x v="40"/>
    <x v="38"/>
    <n v="1929"/>
    <n v="2950.32"/>
    <n v="4466.05"/>
    <n v="-1515.73"/>
    <n v="1.51"/>
    <n v="0.13"/>
    <n v="2430.62"/>
    <x v="1"/>
    <n v="650"/>
    <n v="0.17"/>
    <n v="276.26"/>
    <n v="0.09"/>
    <n v="235.36"/>
    <n v="0.08"/>
    <n v="9"/>
    <n v="1287.4000000000001"/>
    <n v="46"/>
    <n v="0"/>
    <n v="508.28"/>
    <n v="3055.92"/>
    <x v="1"/>
    <n v="1984.93"/>
    <x v="2"/>
    <x v="0"/>
    <n v="1.8"/>
    <s v="Medium"/>
    <n v="0"/>
    <n v="0"/>
  </r>
  <r>
    <x v="40"/>
    <x v="38"/>
    <n v="1128"/>
    <n v="4805.37"/>
    <n v="2235.81"/>
    <n v="2569.56"/>
    <n v="0.47"/>
    <n v="0.21"/>
    <n v="2579.08"/>
    <x v="1"/>
    <n v="696"/>
    <n v="0.34"/>
    <n v="817.56"/>
    <n v="0.17"/>
    <n v="592.76"/>
    <n v="0.12"/>
    <n v="4"/>
    <n v="1086.82"/>
    <n v="59"/>
    <n v="0"/>
    <n v="368.48"/>
    <n v="1954.77"/>
    <x v="0"/>
    <n v="1202.22"/>
    <x v="6"/>
    <x v="0"/>
    <n v="34.700000000000003"/>
    <s v="Medium"/>
    <n v="2569.56"/>
    <n v="0"/>
  </r>
  <r>
    <x v="40"/>
    <x v="38"/>
    <n v="1037"/>
    <n v="3663.05"/>
    <n v="3183.98"/>
    <n v="479.07"/>
    <n v="0.87"/>
    <n v="0.2"/>
    <n v="2415.92"/>
    <x v="1"/>
    <n v="667"/>
    <n v="0.53"/>
    <n v="749.44"/>
    <n v="0.2"/>
    <n v="94.87"/>
    <n v="0.03"/>
    <n v="7"/>
    <n v="1186.3900000000001"/>
    <n v="29"/>
    <n v="0"/>
    <n v="724.99"/>
    <n v="2725.55"/>
    <x v="1"/>
    <n v="1166.44"/>
    <x v="0"/>
    <x v="0"/>
    <n v="24.5"/>
    <s v="High"/>
    <n v="479.07"/>
    <n v="0"/>
  </r>
  <r>
    <x v="40"/>
    <x v="38"/>
    <n v="1565"/>
    <n v="4879.6099999999997"/>
    <n v="3328.07"/>
    <n v="1551.54"/>
    <n v="0.68"/>
    <n v="0.17"/>
    <n v="3469.88"/>
    <x v="1"/>
    <n v="657"/>
    <n v="0.18"/>
    <n v="438.02"/>
    <n v="0.09"/>
    <n v="269.52"/>
    <n v="0.06"/>
    <n v="9"/>
    <n v="1667.98"/>
    <n v="40"/>
    <n v="0"/>
    <n v="709.07"/>
    <n v="1495.18"/>
    <x v="0"/>
    <n v="1075.97"/>
    <x v="2"/>
    <x v="0"/>
    <n v="51.3"/>
    <s v="Low"/>
    <n v="1551.54"/>
    <n v="0"/>
  </r>
  <r>
    <x v="40"/>
    <x v="38"/>
    <n v="1636"/>
    <n v="5361.83"/>
    <n v="2557.75"/>
    <n v="2804.08"/>
    <n v="0.48"/>
    <n v="0.34"/>
    <n v="2857.59"/>
    <x v="0"/>
    <n v="677"/>
    <n v="0.57999999999999996"/>
    <n v="710.04"/>
    <n v="0.13"/>
    <n v="629.21"/>
    <n v="0.12"/>
    <n v="4"/>
    <n v="849.56"/>
    <n v="86"/>
    <n v="0"/>
    <n v="465.22"/>
    <n v="1687.28"/>
    <x v="1"/>
    <n v="686.33"/>
    <x v="3"/>
    <x v="0"/>
    <n v="9.8000000000000007"/>
    <s v="Low"/>
    <n v="2804.08"/>
    <n v="0"/>
  </r>
  <r>
    <x v="40"/>
    <x v="38"/>
    <n v="1475"/>
    <n v="4827.33"/>
    <n v="2973.87"/>
    <n v="1853.46"/>
    <n v="0.62"/>
    <n v="0.24"/>
    <n v="2766.82"/>
    <x v="0"/>
    <n v="705"/>
    <n v="0.3"/>
    <n v="474.42"/>
    <n v="0.1"/>
    <n v="682.25"/>
    <n v="0.14000000000000001"/>
    <n v="8"/>
    <n v="1443.89"/>
    <n v="24"/>
    <n v="0"/>
    <n v="486.31"/>
    <n v="2505.71"/>
    <x v="1"/>
    <n v="921.62"/>
    <x v="9"/>
    <x v="0"/>
    <n v="76.7"/>
    <s v="High"/>
    <n v="1853.46"/>
    <n v="0"/>
  </r>
  <r>
    <x v="40"/>
    <x v="38"/>
    <n v="1017"/>
    <n v="4381.37"/>
    <n v="3842.65"/>
    <n v="538.72"/>
    <n v="0.88"/>
    <n v="0.08"/>
    <n v="2397.67"/>
    <x v="1"/>
    <n v="619"/>
    <n v="0.59"/>
    <n v="492.76"/>
    <n v="0.11"/>
    <n v="570.70000000000005"/>
    <n v="0.13"/>
    <n v="8"/>
    <n v="829.1"/>
    <n v="53"/>
    <n v="0"/>
    <n v="319.05"/>
    <n v="1804.62"/>
    <x v="1"/>
    <n v="860.31"/>
    <x v="5"/>
    <x v="0"/>
    <n v="67.8"/>
    <s v="Medium"/>
    <n v="538.72"/>
    <n v="0"/>
  </r>
  <r>
    <x v="41"/>
    <x v="39"/>
    <n v="1529"/>
    <n v="3933.49"/>
    <n v="4154.43"/>
    <n v="-220.94"/>
    <n v="1.06"/>
    <n v="0.37"/>
    <n v="3058.63"/>
    <x v="1"/>
    <n v="635"/>
    <n v="0.13"/>
    <n v="880.34"/>
    <n v="0.22"/>
    <n v="552.72"/>
    <n v="0.14000000000000001"/>
    <n v="3"/>
    <n v="210.08"/>
    <n v="52"/>
    <n v="0"/>
    <n v="598.5"/>
    <n v="3256.12"/>
    <x v="1"/>
    <n v="1213.3900000000001"/>
    <x v="3"/>
    <x v="2"/>
    <n v="98"/>
    <s v="Low"/>
    <n v="0"/>
    <n v="0"/>
  </r>
  <r>
    <x v="41"/>
    <x v="39"/>
    <n v="1894"/>
    <n v="5299.48"/>
    <n v="2460.7399999999998"/>
    <n v="2838.74"/>
    <n v="0.46"/>
    <n v="0.34"/>
    <n v="3367.14"/>
    <x v="2"/>
    <n v="636"/>
    <n v="0.25"/>
    <n v="496.16"/>
    <n v="0.09"/>
    <n v="264.36"/>
    <n v="0.05"/>
    <n v="4"/>
    <n v="295.52"/>
    <n v="49"/>
    <n v="0"/>
    <n v="508.35"/>
    <n v="2556.54"/>
    <x v="1"/>
    <n v="1281.9100000000001"/>
    <x v="7"/>
    <x v="1"/>
    <n v="38.1"/>
    <s v="Low"/>
    <n v="2838.74"/>
    <n v="0"/>
  </r>
  <r>
    <x v="41"/>
    <x v="39"/>
    <n v="1733"/>
    <n v="5173.72"/>
    <n v="3570.01"/>
    <n v="1603.71"/>
    <n v="0.69"/>
    <n v="0.37"/>
    <n v="2631.98"/>
    <x v="1"/>
    <n v="650"/>
    <n v="0.47"/>
    <n v="695.4"/>
    <n v="0.13"/>
    <n v="412.01"/>
    <n v="0.08"/>
    <n v="5"/>
    <n v="817.05"/>
    <n v="50"/>
    <n v="0"/>
    <n v="604.38"/>
    <n v="2388.88"/>
    <x v="1"/>
    <n v="1071.56"/>
    <x v="6"/>
    <x v="0"/>
    <n v="44.7"/>
    <s v="Low"/>
    <n v="1603.71"/>
    <n v="0"/>
  </r>
  <r>
    <x v="41"/>
    <x v="39"/>
    <n v="1863"/>
    <n v="4371.96"/>
    <n v="2455.7199999999998"/>
    <n v="1916.24"/>
    <n v="0.56000000000000005"/>
    <n v="0.36"/>
    <n v="2535.29"/>
    <x v="1"/>
    <n v="760"/>
    <n v="0.17"/>
    <n v="346.45"/>
    <n v="0.08"/>
    <n v="553.16"/>
    <n v="0.13"/>
    <n v="5"/>
    <n v="1123.53"/>
    <n v="59"/>
    <n v="0"/>
    <n v="391.69"/>
    <n v="1875.97"/>
    <x v="1"/>
    <n v="958.13"/>
    <x v="9"/>
    <x v="1"/>
    <n v="49.2"/>
    <s v="Medium"/>
    <n v="1916.24"/>
    <n v="0"/>
  </r>
  <r>
    <x v="41"/>
    <x v="39"/>
    <n v="1050"/>
    <n v="1681"/>
    <n v="3932.68"/>
    <n v="-2251.6799999999998"/>
    <n v="2.34"/>
    <n v="0.05"/>
    <n v="2806.41"/>
    <x v="1"/>
    <n v="674"/>
    <n v="0.59"/>
    <n v="952.51"/>
    <n v="0.56999999999999995"/>
    <n v="290.41000000000003"/>
    <n v="0.17"/>
    <n v="6"/>
    <n v="1079.44"/>
    <n v="73"/>
    <n v="0"/>
    <n v="517.04"/>
    <n v="1246.95"/>
    <x v="1"/>
    <n v="1570.24"/>
    <x v="2"/>
    <x v="0"/>
    <n v="12.9"/>
    <s v="Low"/>
    <n v="0"/>
    <n v="0"/>
  </r>
  <r>
    <x v="41"/>
    <x v="39"/>
    <n v="1176"/>
    <n v="4366.82"/>
    <n v="1838.24"/>
    <n v="2528.58"/>
    <n v="0.42"/>
    <n v="0.2"/>
    <n v="3144.45"/>
    <x v="0"/>
    <n v="676"/>
    <n v="0.59"/>
    <n v="395.75"/>
    <n v="0.09"/>
    <n v="666.84"/>
    <n v="0.15"/>
    <n v="1"/>
    <n v="966.18"/>
    <n v="28"/>
    <n v="0"/>
    <n v="281.61"/>
    <n v="1740.07"/>
    <x v="1"/>
    <n v="1519.98"/>
    <x v="5"/>
    <x v="2"/>
    <n v="88.4"/>
    <s v="High"/>
    <n v="2528.58"/>
    <n v="0"/>
  </r>
  <r>
    <x v="41"/>
    <x v="39"/>
    <n v="1816"/>
    <n v="3996.81"/>
    <n v="2217.87"/>
    <n v="1778.94"/>
    <n v="0.55000000000000004"/>
    <n v="0.2"/>
    <n v="2595.98"/>
    <x v="0"/>
    <n v="644"/>
    <n v="0.11"/>
    <n v="404.71"/>
    <n v="0.1"/>
    <n v="0"/>
    <n v="0"/>
    <n v="1"/>
    <n v="684.03"/>
    <n v="76"/>
    <n v="0"/>
    <n v="450.36"/>
    <n v="2312.5300000000002"/>
    <x v="1"/>
    <n v="1066.21"/>
    <x v="2"/>
    <x v="1"/>
    <n v="91.1"/>
    <s v="Low"/>
    <n v="1778.94"/>
    <n v="0"/>
  </r>
  <r>
    <x v="41"/>
    <x v="39"/>
    <n v="1399"/>
    <n v="3557.06"/>
    <n v="4233.83"/>
    <n v="-676.77"/>
    <n v="1.19"/>
    <n v="0.28000000000000003"/>
    <n v="3190.36"/>
    <x v="2"/>
    <n v="716"/>
    <n v="0.56999999999999995"/>
    <n v="526.35"/>
    <n v="0.15"/>
    <n v="386.69"/>
    <n v="0.11"/>
    <n v="9"/>
    <n v="1396.77"/>
    <n v="55"/>
    <n v="0"/>
    <n v="671.6"/>
    <n v="3143.11"/>
    <x v="1"/>
    <n v="1598.93"/>
    <x v="5"/>
    <x v="1"/>
    <n v="66"/>
    <s v="High"/>
    <n v="0"/>
    <n v="0"/>
  </r>
  <r>
    <x v="41"/>
    <x v="39"/>
    <n v="1345"/>
    <n v="4470.05"/>
    <n v="2118.36"/>
    <n v="2351.69"/>
    <n v="0.47"/>
    <n v="0.4"/>
    <n v="3281.43"/>
    <x v="0"/>
    <n v="701"/>
    <n v="0.19"/>
    <n v="438.25"/>
    <n v="0.1"/>
    <n v="667.81"/>
    <n v="0.15"/>
    <n v="7"/>
    <n v="1787.5"/>
    <n v="73"/>
    <n v="0"/>
    <n v="477.87"/>
    <n v="1808.45"/>
    <x v="0"/>
    <n v="867.58"/>
    <x v="9"/>
    <x v="1"/>
    <n v="24.6"/>
    <s v="Low"/>
    <n v="2351.69"/>
    <n v="0"/>
  </r>
  <r>
    <x v="41"/>
    <x v="39"/>
    <n v="1123"/>
    <n v="4691.21"/>
    <n v="2855.03"/>
    <n v="1836.18"/>
    <n v="0.61"/>
    <n v="0.37"/>
    <n v="3099.22"/>
    <x v="1"/>
    <n v="718"/>
    <n v="0.14000000000000001"/>
    <n v="948.03"/>
    <n v="0.2"/>
    <n v="392.01"/>
    <n v="0.08"/>
    <n v="5"/>
    <n v="1984.61"/>
    <n v="97"/>
    <n v="0"/>
    <n v="812.23"/>
    <n v="2650.24"/>
    <x v="1"/>
    <n v="1334.23"/>
    <x v="2"/>
    <x v="0"/>
    <n v="53.6"/>
    <s v="Low"/>
    <n v="1836.18"/>
    <n v="0"/>
  </r>
  <r>
    <x v="41"/>
    <x v="39"/>
    <n v="1849"/>
    <n v="3239.67"/>
    <n v="3570.34"/>
    <n v="-330.67"/>
    <n v="1.1000000000000001"/>
    <n v="0.21"/>
    <n v="2562.6799999999998"/>
    <x v="0"/>
    <n v="645"/>
    <n v="0.42"/>
    <n v="255.5"/>
    <n v="0.08"/>
    <n v="976.25"/>
    <n v="0.3"/>
    <n v="4"/>
    <n v="594.96"/>
    <n v="42"/>
    <n v="0"/>
    <n v="528.08000000000004"/>
    <n v="2350.71"/>
    <x v="1"/>
    <n v="1057.01"/>
    <x v="8"/>
    <x v="1"/>
    <n v="58.5"/>
    <s v="Medium"/>
    <n v="0"/>
    <n v="0"/>
  </r>
  <r>
    <x v="41"/>
    <x v="39"/>
    <n v="1570"/>
    <n v="3394.48"/>
    <n v="2227.33"/>
    <n v="1167.1500000000001"/>
    <n v="0.66"/>
    <n v="0.38"/>
    <n v="3560.53"/>
    <x v="1"/>
    <n v="661"/>
    <n v="0.47"/>
    <n v="446.25"/>
    <n v="0.13"/>
    <n v="196.18"/>
    <n v="0.06"/>
    <n v="8"/>
    <n v="911.22"/>
    <n v="51"/>
    <n v="0"/>
    <n v="333.02"/>
    <n v="2103.58"/>
    <x v="1"/>
    <n v="755.62"/>
    <x v="0"/>
    <x v="1"/>
    <n v="48.8"/>
    <s v="High"/>
    <n v="1167.1500000000001"/>
    <n v="0"/>
  </r>
  <r>
    <x v="41"/>
    <x v="39"/>
    <n v="1835"/>
    <n v="2929.09"/>
    <n v="4223.08"/>
    <n v="-1293.99"/>
    <n v="1.44"/>
    <n v="0.19"/>
    <n v="2222.4499999999998"/>
    <x v="1"/>
    <n v="695"/>
    <n v="0.56999999999999995"/>
    <n v="408.24"/>
    <n v="0.14000000000000001"/>
    <n v="478.22"/>
    <n v="0.16"/>
    <n v="5"/>
    <n v="735.06"/>
    <n v="82"/>
    <n v="0"/>
    <n v="499.56"/>
    <n v="1763.02"/>
    <x v="0"/>
    <n v="420.21"/>
    <x v="1"/>
    <x v="0"/>
    <n v="35.4"/>
    <s v="Low"/>
    <n v="0"/>
    <n v="0"/>
  </r>
  <r>
    <x v="41"/>
    <x v="39"/>
    <n v="1023"/>
    <n v="5338.27"/>
    <n v="3416.73"/>
    <n v="1921.54"/>
    <n v="0.64"/>
    <n v="0.09"/>
    <n v="2418.2800000000002"/>
    <x v="1"/>
    <n v="674"/>
    <n v="0.33"/>
    <n v="571.05999999999995"/>
    <n v="0.11"/>
    <n v="358.08"/>
    <n v="7.0000000000000007E-2"/>
    <n v="8"/>
    <n v="248.03"/>
    <n v="57"/>
    <n v="0"/>
    <n v="661.57"/>
    <n v="2744.28"/>
    <x v="1"/>
    <n v="728"/>
    <x v="2"/>
    <x v="2"/>
    <n v="3.9"/>
    <s v="Low"/>
    <n v="1921.54"/>
    <n v="0"/>
  </r>
  <r>
    <x v="41"/>
    <x v="39"/>
    <n v="1982"/>
    <n v="4784.25"/>
    <n v="1063.8800000000001"/>
    <n v="3720.37"/>
    <n v="0.22"/>
    <n v="0.18"/>
    <n v="2964.91"/>
    <x v="1"/>
    <n v="684"/>
    <n v="0.5"/>
    <n v="222.98"/>
    <n v="0.05"/>
    <n v="447.57"/>
    <n v="0.09"/>
    <n v="8"/>
    <n v="1033.6300000000001"/>
    <n v="57"/>
    <n v="0"/>
    <n v="580.47"/>
    <n v="2284.0500000000002"/>
    <x v="0"/>
    <n v="839.45"/>
    <x v="3"/>
    <x v="0"/>
    <n v="3"/>
    <s v="Low"/>
    <n v="3720.37"/>
    <n v="1"/>
  </r>
  <r>
    <x v="41"/>
    <x v="39"/>
    <n v="1349"/>
    <n v="3706.82"/>
    <n v="2593.66"/>
    <n v="1113.1600000000001"/>
    <n v="0.7"/>
    <n v="0.09"/>
    <n v="2217.73"/>
    <x v="1"/>
    <n v="640"/>
    <n v="0.28000000000000003"/>
    <n v="95.35"/>
    <n v="0.03"/>
    <n v="152.18"/>
    <n v="0.04"/>
    <n v="8"/>
    <n v="916.94"/>
    <n v="82"/>
    <n v="0"/>
    <n v="785.15"/>
    <n v="2777.26"/>
    <x v="1"/>
    <n v="1023.57"/>
    <x v="8"/>
    <x v="2"/>
    <n v="19.600000000000001"/>
    <s v="Low"/>
    <n v="1113.1600000000001"/>
    <n v="0"/>
  </r>
  <r>
    <x v="41"/>
    <x v="39"/>
    <n v="1622"/>
    <n v="5052.0200000000004"/>
    <n v="2074.6999999999998"/>
    <n v="2977.32"/>
    <n v="0.41"/>
    <n v="0.25"/>
    <n v="3762.22"/>
    <x v="0"/>
    <n v="701"/>
    <n v="0.54"/>
    <n v="518.4"/>
    <n v="0.1"/>
    <n v="728.55"/>
    <n v="0.14000000000000001"/>
    <n v="9"/>
    <n v="1542.49"/>
    <n v="89"/>
    <n v="0"/>
    <n v="223.21"/>
    <n v="2629.4"/>
    <x v="2"/>
    <n v="1129.1600000000001"/>
    <x v="3"/>
    <x v="0"/>
    <n v="86.9"/>
    <s v="Low"/>
    <n v="2977.32"/>
    <n v="0"/>
  </r>
  <r>
    <x v="41"/>
    <x v="39"/>
    <n v="1608"/>
    <n v="3976.21"/>
    <n v="2736.73"/>
    <n v="1239.48"/>
    <n v="0.69"/>
    <n v="0.08"/>
    <n v="2872.86"/>
    <x v="1"/>
    <n v="692"/>
    <n v="0.31"/>
    <n v="508.76"/>
    <n v="0.13"/>
    <n v="793.09"/>
    <n v="0.2"/>
    <n v="3"/>
    <n v="646.01"/>
    <n v="90"/>
    <n v="0"/>
    <n v="682.41"/>
    <n v="2494.5700000000002"/>
    <x v="0"/>
    <n v="1374.23"/>
    <x v="1"/>
    <x v="0"/>
    <n v="54"/>
    <s v="High"/>
    <n v="1239.48"/>
    <n v="0"/>
  </r>
  <r>
    <x v="41"/>
    <x v="39"/>
    <n v="1294"/>
    <n v="5141.3100000000004"/>
    <n v="4833.38"/>
    <n v="307.93"/>
    <n v="0.94"/>
    <n v="0.1"/>
    <n v="3309.57"/>
    <x v="1"/>
    <n v="673"/>
    <n v="0.3"/>
    <n v="636.96"/>
    <n v="0.12"/>
    <n v="595.16"/>
    <n v="0.12"/>
    <n v="6"/>
    <n v="1287.79"/>
    <n v="45"/>
    <n v="0"/>
    <n v="642.25"/>
    <n v="1819.11"/>
    <x v="0"/>
    <n v="1273.02"/>
    <x v="5"/>
    <x v="2"/>
    <n v="18.8"/>
    <s v="Low"/>
    <n v="307.93"/>
    <n v="0"/>
  </r>
  <r>
    <x v="41"/>
    <x v="39"/>
    <n v="1867"/>
    <n v="4023.22"/>
    <n v="2234.86"/>
    <n v="1788.36"/>
    <n v="0.56000000000000005"/>
    <n v="0.28000000000000003"/>
    <n v="2903.16"/>
    <x v="2"/>
    <n v="621"/>
    <n v="0.25"/>
    <n v="244.69"/>
    <n v="0.06"/>
    <n v="348.15"/>
    <n v="0.09"/>
    <n v="4"/>
    <n v="321.43"/>
    <n v="72"/>
    <n v="0"/>
    <n v="658.4"/>
    <n v="1698.66"/>
    <x v="0"/>
    <n v="1207.6199999999999"/>
    <x v="9"/>
    <x v="1"/>
    <n v="77.900000000000006"/>
    <s v="High"/>
    <n v="1788.36"/>
    <n v="0"/>
  </r>
  <r>
    <x v="41"/>
    <x v="39"/>
    <n v="1104"/>
    <n v="3733.2"/>
    <n v="2285.7800000000002"/>
    <n v="1447.42"/>
    <n v="0.61"/>
    <n v="0.22"/>
    <n v="3123.84"/>
    <x v="1"/>
    <n v="716"/>
    <n v="0.41"/>
    <n v="527.16999999999996"/>
    <n v="0.14000000000000001"/>
    <n v="403.82"/>
    <n v="0.11"/>
    <n v="9"/>
    <n v="1122.98"/>
    <n v="70"/>
    <n v="0"/>
    <n v="458.62"/>
    <n v="1514.72"/>
    <x v="0"/>
    <n v="1853.5"/>
    <x v="1"/>
    <x v="0"/>
    <n v="1.2"/>
    <s v="Low"/>
    <n v="1447.42"/>
    <n v="0"/>
  </r>
  <r>
    <x v="41"/>
    <x v="39"/>
    <n v="1341"/>
    <n v="4511.7299999999996"/>
    <n v="2893.87"/>
    <n v="1617.86"/>
    <n v="0.64"/>
    <n v="0.28000000000000003"/>
    <n v="3201.79"/>
    <x v="1"/>
    <n v="700"/>
    <n v="0.52"/>
    <n v="556.39"/>
    <n v="0.12"/>
    <n v="355.26"/>
    <n v="0.08"/>
    <n v="7"/>
    <n v="1312.61"/>
    <n v="38"/>
    <n v="1"/>
    <n v="735.48"/>
    <n v="2715.27"/>
    <x v="1"/>
    <n v="645.91"/>
    <x v="7"/>
    <x v="0"/>
    <n v="99.1"/>
    <s v="Low"/>
    <n v="1617.86"/>
    <n v="0"/>
  </r>
  <r>
    <x v="41"/>
    <x v="39"/>
    <n v="1737"/>
    <n v="3446.54"/>
    <n v="3169.13"/>
    <n v="277.41000000000003"/>
    <n v="0.92"/>
    <n v="0.15"/>
    <n v="3896.53"/>
    <x v="2"/>
    <n v="674"/>
    <n v="0.32"/>
    <n v="297.55"/>
    <n v="0.09"/>
    <n v="134.61000000000001"/>
    <n v="0.04"/>
    <n v="9"/>
    <n v="1416.55"/>
    <n v="44"/>
    <n v="0"/>
    <n v="684.33"/>
    <n v="1953.95"/>
    <x v="0"/>
    <n v="1344.01"/>
    <x v="7"/>
    <x v="2"/>
    <n v="48.7"/>
    <s v="Low"/>
    <n v="277.41000000000003"/>
    <n v="0"/>
  </r>
  <r>
    <x v="41"/>
    <x v="39"/>
    <n v="1210"/>
    <n v="4218.71"/>
    <n v="2879.57"/>
    <n v="1339.14"/>
    <n v="0.68"/>
    <n v="0.37"/>
    <n v="3390.88"/>
    <x v="1"/>
    <n v="723"/>
    <n v="0.31"/>
    <n v="638.26"/>
    <n v="0.15"/>
    <n v="519.85"/>
    <n v="0.12"/>
    <n v="8"/>
    <n v="527.82000000000005"/>
    <n v="31"/>
    <n v="0"/>
    <n v="569.64"/>
    <n v="1457.89"/>
    <x v="1"/>
    <n v="1144.58"/>
    <x v="7"/>
    <x v="2"/>
    <n v="16"/>
    <s v="Low"/>
    <n v="1339.14"/>
    <n v="0"/>
  </r>
  <r>
    <x v="41"/>
    <x v="39"/>
    <n v="1554"/>
    <n v="4775.72"/>
    <n v="2150.9499999999998"/>
    <n v="2624.77"/>
    <n v="0.45"/>
    <n v="0.34"/>
    <n v="2430.8000000000002"/>
    <x v="1"/>
    <n v="640"/>
    <n v="0.49"/>
    <n v="485.71"/>
    <n v="0.1"/>
    <n v="806.94"/>
    <n v="0.17"/>
    <n v="2"/>
    <n v="887.34"/>
    <n v="55"/>
    <n v="0"/>
    <n v="709.98"/>
    <n v="2417.33"/>
    <x v="1"/>
    <n v="659.29"/>
    <x v="3"/>
    <x v="0"/>
    <n v="83.3"/>
    <s v="Low"/>
    <n v="2624.77"/>
    <n v="1"/>
  </r>
  <r>
    <x v="41"/>
    <x v="39"/>
    <n v="1444"/>
    <n v="4332.24"/>
    <n v="2780.15"/>
    <n v="1552.09"/>
    <n v="0.64"/>
    <n v="0.28999999999999998"/>
    <n v="2623.59"/>
    <x v="1"/>
    <n v="644"/>
    <n v="0.46"/>
    <n v="483.52"/>
    <n v="0.11"/>
    <n v="778.61"/>
    <n v="0.18"/>
    <n v="2"/>
    <n v="1272.99"/>
    <n v="93"/>
    <n v="0"/>
    <n v="536.34"/>
    <n v="2494.98"/>
    <x v="1"/>
    <n v="300"/>
    <x v="5"/>
    <x v="0"/>
    <n v="64.7"/>
    <s v="Low"/>
    <n v="1552.09"/>
    <n v="0"/>
  </r>
  <r>
    <x v="41"/>
    <x v="39"/>
    <n v="1280"/>
    <n v="3234.55"/>
    <n v="2722.99"/>
    <n v="511.56"/>
    <n v="0.84"/>
    <n v="0.13"/>
    <n v="2028.71"/>
    <x v="2"/>
    <n v="731"/>
    <n v="0.17"/>
    <n v="100.99"/>
    <n v="0.03"/>
    <n v="0"/>
    <n v="0"/>
    <n v="5"/>
    <n v="519.67999999999995"/>
    <n v="80"/>
    <n v="0"/>
    <n v="371.76"/>
    <n v="2873.39"/>
    <x v="1"/>
    <n v="1375.56"/>
    <x v="5"/>
    <x v="0"/>
    <n v="42.8"/>
    <s v="Low"/>
    <n v="511.56"/>
    <n v="0"/>
  </r>
  <r>
    <x v="41"/>
    <x v="39"/>
    <n v="1412"/>
    <n v="2683.58"/>
    <n v="3380.14"/>
    <n v="-696.56"/>
    <n v="1.26"/>
    <n v="0.35"/>
    <n v="2636.51"/>
    <x v="0"/>
    <n v="622"/>
    <n v="0.15"/>
    <n v="548.04"/>
    <n v="0.2"/>
    <n v="597.98"/>
    <n v="0.22"/>
    <n v="4"/>
    <n v="676.94"/>
    <n v="65"/>
    <n v="0"/>
    <n v="256.54000000000002"/>
    <n v="3254.97"/>
    <x v="1"/>
    <n v="300"/>
    <x v="7"/>
    <x v="0"/>
    <n v="89.7"/>
    <s v="Medium"/>
    <n v="0"/>
    <n v="0"/>
  </r>
  <r>
    <x v="41"/>
    <x v="39"/>
    <n v="1239"/>
    <n v="3866.1"/>
    <n v="1741.07"/>
    <n v="2125.0300000000002"/>
    <n v="0.45"/>
    <n v="0.24"/>
    <n v="2710.75"/>
    <x v="1"/>
    <n v="747"/>
    <n v="0.31"/>
    <n v="959.41"/>
    <n v="0.25"/>
    <n v="257.17"/>
    <n v="7.0000000000000007E-2"/>
    <n v="8"/>
    <n v="1071.48"/>
    <n v="60"/>
    <n v="0"/>
    <n v="319.87"/>
    <n v="1967.62"/>
    <x v="1"/>
    <n v="1082.27"/>
    <x v="9"/>
    <x v="0"/>
    <n v="7.3"/>
    <s v="High"/>
    <n v="2125.0300000000002"/>
    <n v="0"/>
  </r>
  <r>
    <x v="41"/>
    <x v="39"/>
    <n v="1194"/>
    <n v="4139.34"/>
    <n v="2785.84"/>
    <n v="1353.5"/>
    <n v="0.67"/>
    <n v="7.0000000000000007E-2"/>
    <n v="3251.07"/>
    <x v="1"/>
    <n v="687"/>
    <n v="0.57999999999999996"/>
    <n v="700.75"/>
    <n v="0.17"/>
    <n v="637.71"/>
    <n v="0.15"/>
    <n v="7"/>
    <n v="98.69"/>
    <n v="67"/>
    <n v="0"/>
    <n v="212.06"/>
    <n v="1940.04"/>
    <x v="1"/>
    <n v="1460.32"/>
    <x v="2"/>
    <x v="0"/>
    <n v="54.6"/>
    <s v="Medium"/>
    <n v="1353.5"/>
    <n v="0"/>
  </r>
  <r>
    <x v="41"/>
    <x v="39"/>
    <n v="1538"/>
    <n v="3535.93"/>
    <n v="3203.36"/>
    <n v="332.57"/>
    <n v="0.91"/>
    <n v="0.39"/>
    <n v="2349.4699999999998"/>
    <x v="2"/>
    <n v="669"/>
    <n v="0.43"/>
    <n v="635.04999999999995"/>
    <n v="0.18"/>
    <n v="458.59"/>
    <n v="0.13"/>
    <n v="4"/>
    <n v="1861.44"/>
    <n v="46"/>
    <n v="0"/>
    <n v="642.54999999999995"/>
    <n v="1956.51"/>
    <x v="0"/>
    <n v="1308.04"/>
    <x v="4"/>
    <x v="0"/>
    <n v="8.6"/>
    <s v="Low"/>
    <n v="332.57"/>
    <n v="0"/>
  </r>
  <r>
    <x v="41"/>
    <x v="39"/>
    <n v="1413"/>
    <n v="2854.16"/>
    <n v="1645.38"/>
    <n v="1208.78"/>
    <n v="0.57999999999999996"/>
    <n v="0.08"/>
    <n v="2502.23"/>
    <x v="1"/>
    <n v="730"/>
    <n v="0.52"/>
    <n v="707.1"/>
    <n v="0.25"/>
    <n v="262.25"/>
    <n v="0.09"/>
    <n v="3"/>
    <n v="1589.81"/>
    <n v="67"/>
    <n v="0"/>
    <n v="670.63"/>
    <n v="2737.48"/>
    <x v="1"/>
    <n v="1346.13"/>
    <x v="6"/>
    <x v="2"/>
    <n v="18"/>
    <s v="Medium"/>
    <n v="1208.78"/>
    <n v="0"/>
  </r>
  <r>
    <x v="41"/>
    <x v="39"/>
    <n v="1700"/>
    <n v="5125.82"/>
    <n v="4054.06"/>
    <n v="1071.76"/>
    <n v="0.79"/>
    <n v="0.32"/>
    <n v="3208.68"/>
    <x v="2"/>
    <n v="707"/>
    <n v="0.37"/>
    <n v="458.39"/>
    <n v="0.09"/>
    <n v="115.83"/>
    <n v="0.02"/>
    <n v="9"/>
    <n v="1183.8599999999999"/>
    <n v="63"/>
    <n v="0"/>
    <n v="419.58"/>
    <n v="2164.34"/>
    <x v="1"/>
    <n v="791.77"/>
    <x v="2"/>
    <x v="0"/>
    <n v="74.599999999999994"/>
    <s v="Medium"/>
    <n v="1071.76"/>
    <n v="0"/>
  </r>
  <r>
    <x v="41"/>
    <x v="39"/>
    <n v="1197"/>
    <n v="3964.43"/>
    <n v="3081.87"/>
    <n v="882.56"/>
    <n v="0.78"/>
    <n v="0.16"/>
    <n v="2881.85"/>
    <x v="0"/>
    <n v="631"/>
    <n v="0.28999999999999998"/>
    <n v="564.16"/>
    <n v="0.14000000000000001"/>
    <n v="427.28"/>
    <n v="0.11"/>
    <n v="7"/>
    <n v="1152.02"/>
    <n v="32"/>
    <n v="0"/>
    <n v="177.7"/>
    <n v="1702.61"/>
    <x v="1"/>
    <n v="1186.26"/>
    <x v="4"/>
    <x v="0"/>
    <n v="8.1"/>
    <s v="Low"/>
    <n v="882.56"/>
    <n v="0"/>
  </r>
  <r>
    <x v="41"/>
    <x v="39"/>
    <n v="1424"/>
    <n v="4869.1099999999997"/>
    <n v="2647.38"/>
    <n v="2221.73"/>
    <n v="0.54"/>
    <n v="0.36"/>
    <n v="3108.02"/>
    <x v="1"/>
    <n v="693"/>
    <n v="0.3"/>
    <n v="401"/>
    <n v="0.08"/>
    <n v="386.49"/>
    <n v="0.08"/>
    <n v="2"/>
    <n v="1602.48"/>
    <n v="55"/>
    <n v="0"/>
    <n v="204.84"/>
    <n v="2596.04"/>
    <x v="1"/>
    <n v="926.08"/>
    <x v="0"/>
    <x v="2"/>
    <n v="31.2"/>
    <s v="High"/>
    <n v="2221.73"/>
    <n v="0"/>
  </r>
  <r>
    <x v="41"/>
    <x v="39"/>
    <n v="1297"/>
    <n v="4676.76"/>
    <n v="4266.38"/>
    <n v="410.38"/>
    <n v="0.91"/>
    <n v="0.38"/>
    <n v="3712.77"/>
    <x v="0"/>
    <n v="739"/>
    <n v="0.23"/>
    <n v="531.08000000000004"/>
    <n v="0.11"/>
    <n v="747.54"/>
    <n v="0.16"/>
    <n v="6"/>
    <n v="1610.98"/>
    <n v="85"/>
    <n v="0"/>
    <n v="577.82000000000005"/>
    <n v="1499.3"/>
    <x v="0"/>
    <n v="1284.21"/>
    <x v="4"/>
    <x v="0"/>
    <n v="20.6"/>
    <s v="Low"/>
    <n v="410.38"/>
    <n v="0"/>
  </r>
  <r>
    <x v="41"/>
    <x v="39"/>
    <n v="1718"/>
    <n v="6712.01"/>
    <n v="3051.14"/>
    <n v="3660.87"/>
    <n v="0.45"/>
    <n v="0.33"/>
    <n v="3049.8"/>
    <x v="0"/>
    <n v="738"/>
    <n v="0.48"/>
    <n v="663.06"/>
    <n v="0.1"/>
    <n v="177.35"/>
    <n v="0.03"/>
    <n v="3"/>
    <n v="478.09"/>
    <n v="84"/>
    <n v="0"/>
    <n v="400.17"/>
    <n v="2530.5"/>
    <x v="1"/>
    <n v="1607.09"/>
    <x v="1"/>
    <x v="1"/>
    <n v="83.2"/>
    <s v="High"/>
    <n v="3660.87"/>
    <n v="1"/>
  </r>
  <r>
    <x v="41"/>
    <x v="39"/>
    <n v="1502"/>
    <n v="4499.07"/>
    <n v="2834.68"/>
    <n v="1664.39"/>
    <n v="0.63"/>
    <n v="7.0000000000000007E-2"/>
    <n v="2230.56"/>
    <x v="2"/>
    <n v="691"/>
    <n v="0.23"/>
    <n v="179.29"/>
    <n v="0.04"/>
    <n v="188.26"/>
    <n v="0.04"/>
    <n v="9"/>
    <n v="123.89"/>
    <n v="56"/>
    <n v="0"/>
    <n v="392.34"/>
    <n v="2332.14"/>
    <x v="1"/>
    <n v="1581.66"/>
    <x v="8"/>
    <x v="0"/>
    <n v="22.7"/>
    <s v="Low"/>
    <n v="1664.39"/>
    <n v="0"/>
  </r>
  <r>
    <x v="41"/>
    <x v="39"/>
    <n v="1179"/>
    <n v="3052.14"/>
    <n v="2586.62"/>
    <n v="465.52"/>
    <n v="0.85"/>
    <n v="0.2"/>
    <n v="2530.3200000000002"/>
    <x v="0"/>
    <n v="709"/>
    <n v="0.36"/>
    <n v="405.98"/>
    <n v="0.13"/>
    <n v="85.53"/>
    <n v="0.03"/>
    <n v="6"/>
    <n v="837.85"/>
    <n v="41"/>
    <n v="0"/>
    <n v="598.99"/>
    <n v="2131.42"/>
    <x v="0"/>
    <n v="1220.8599999999999"/>
    <x v="2"/>
    <x v="0"/>
    <n v="31.9"/>
    <s v="Low"/>
    <n v="465.52"/>
    <n v="0"/>
  </r>
  <r>
    <x v="41"/>
    <x v="39"/>
    <n v="1017"/>
    <n v="2867.05"/>
    <n v="1458.15"/>
    <n v="1408.9"/>
    <n v="0.51"/>
    <n v="0.15"/>
    <n v="2886.58"/>
    <x v="1"/>
    <n v="746"/>
    <n v="0.36"/>
    <n v="881.78"/>
    <n v="0.31"/>
    <n v="249.87"/>
    <n v="0.09"/>
    <n v="4"/>
    <n v="1684.49"/>
    <n v="60"/>
    <n v="0"/>
    <n v="411.2"/>
    <n v="2178.48"/>
    <x v="2"/>
    <n v="659.55"/>
    <x v="4"/>
    <x v="0"/>
    <n v="27.2"/>
    <s v="High"/>
    <n v="1408.9"/>
    <n v="0"/>
  </r>
  <r>
    <x v="41"/>
    <x v="39"/>
    <n v="1469"/>
    <n v="2487.34"/>
    <n v="4185.8"/>
    <n v="-1698.46"/>
    <n v="1.68"/>
    <n v="0.11"/>
    <n v="2764.81"/>
    <x v="2"/>
    <n v="720"/>
    <n v="0.56000000000000005"/>
    <n v="442.28"/>
    <n v="0.18"/>
    <n v="476.08"/>
    <n v="0.19"/>
    <n v="4"/>
    <n v="1130.23"/>
    <n v="28"/>
    <n v="0"/>
    <n v="759.8"/>
    <n v="3540.13"/>
    <x v="1"/>
    <n v="1568.04"/>
    <x v="2"/>
    <x v="0"/>
    <n v="70.400000000000006"/>
    <s v="Medium"/>
    <n v="0"/>
    <n v="0"/>
  </r>
  <r>
    <x v="41"/>
    <x v="39"/>
    <n v="1884"/>
    <n v="3467.2"/>
    <n v="3449.19"/>
    <n v="18.010000000000002"/>
    <n v="0.99"/>
    <n v="0.26"/>
    <n v="2899.26"/>
    <x v="0"/>
    <n v="638"/>
    <n v="0.22"/>
    <n v="671.16"/>
    <n v="0.19"/>
    <n v="512.16"/>
    <n v="0.15"/>
    <n v="2"/>
    <n v="943.31"/>
    <n v="69"/>
    <n v="0"/>
    <n v="532.66999999999996"/>
    <n v="1877.8"/>
    <x v="1"/>
    <n v="2348.4"/>
    <x v="4"/>
    <x v="0"/>
    <n v="42.9"/>
    <s v="Low"/>
    <n v="18.010000000000002"/>
    <n v="0"/>
  </r>
  <r>
    <x v="41"/>
    <x v="39"/>
    <n v="1453"/>
    <n v="3443.27"/>
    <n v="2705.76"/>
    <n v="737.51"/>
    <n v="0.79"/>
    <n v="0.19"/>
    <n v="3225.82"/>
    <x v="0"/>
    <n v="719"/>
    <n v="0.32"/>
    <n v="629.74"/>
    <n v="0.18"/>
    <n v="241.87"/>
    <n v="7.0000000000000007E-2"/>
    <n v="9"/>
    <n v="688.1"/>
    <n v="88"/>
    <n v="0"/>
    <n v="578.67999999999995"/>
    <n v="3056.18"/>
    <x v="1"/>
    <n v="1189.81"/>
    <x v="4"/>
    <x v="0"/>
    <n v="41.5"/>
    <s v="Low"/>
    <n v="737.51"/>
    <n v="0"/>
  </r>
  <r>
    <x v="41"/>
    <x v="39"/>
    <n v="1755"/>
    <n v="4559.29"/>
    <n v="4482.47"/>
    <n v="76.819999999999993"/>
    <n v="0.98"/>
    <n v="0.37"/>
    <n v="2271.52"/>
    <x v="0"/>
    <n v="638"/>
    <n v="0.21"/>
    <n v="522.48"/>
    <n v="0.11"/>
    <n v="585.75"/>
    <n v="0.13"/>
    <n v="8"/>
    <n v="712.07"/>
    <n v="67"/>
    <n v="0"/>
    <n v="677.31"/>
    <n v="1955"/>
    <x v="1"/>
    <n v="1296.8399999999999"/>
    <x v="7"/>
    <x v="1"/>
    <n v="74.900000000000006"/>
    <s v="High"/>
    <n v="76.819999999999993"/>
    <n v="0"/>
  </r>
  <r>
    <x v="41"/>
    <x v="39"/>
    <n v="1946"/>
    <n v="2357.92"/>
    <n v="3605.77"/>
    <n v="-1247.8499999999999"/>
    <n v="1.53"/>
    <n v="0.18"/>
    <n v="2843.81"/>
    <x v="1"/>
    <n v="714"/>
    <n v="0.27"/>
    <n v="543.27"/>
    <n v="0.23"/>
    <n v="222.36"/>
    <n v="0.09"/>
    <n v="5"/>
    <n v="732.22"/>
    <n v="96"/>
    <n v="1"/>
    <n v="516.19000000000005"/>
    <n v="1524.27"/>
    <x v="1"/>
    <n v="1554.86"/>
    <x v="9"/>
    <x v="2"/>
    <n v="89.2"/>
    <s v="Medium"/>
    <n v="0"/>
    <n v="0"/>
  </r>
  <r>
    <x v="41"/>
    <x v="39"/>
    <n v="1773"/>
    <n v="3431.03"/>
    <n v="2674.01"/>
    <n v="757.02"/>
    <n v="0.78"/>
    <n v="0.09"/>
    <n v="2327.69"/>
    <x v="2"/>
    <n v="655"/>
    <n v="0.26"/>
    <n v="733.69"/>
    <n v="0.21"/>
    <n v="125.29"/>
    <n v="0.04"/>
    <n v="1"/>
    <n v="1546.97"/>
    <n v="50"/>
    <n v="0"/>
    <n v="475.35"/>
    <n v="2420.7199999999998"/>
    <x v="1"/>
    <n v="1574.76"/>
    <x v="5"/>
    <x v="0"/>
    <n v="69.900000000000006"/>
    <s v="High"/>
    <n v="757.02"/>
    <n v="0"/>
  </r>
  <r>
    <x v="41"/>
    <x v="39"/>
    <n v="1494"/>
    <n v="2506.27"/>
    <n v="2138.17"/>
    <n v="368.1"/>
    <n v="0.85"/>
    <n v="0.15"/>
    <n v="3988.36"/>
    <x v="1"/>
    <n v="700"/>
    <n v="0.36"/>
    <n v="803.75"/>
    <n v="0.32"/>
    <n v="217.53"/>
    <n v="0.09"/>
    <n v="2"/>
    <n v="1690.67"/>
    <n v="77"/>
    <n v="0"/>
    <n v="928.48"/>
    <n v="1711.83"/>
    <x v="0"/>
    <n v="843.1"/>
    <x v="5"/>
    <x v="2"/>
    <n v="54.6"/>
    <s v="Low"/>
    <n v="368.1"/>
    <n v="0"/>
  </r>
  <r>
    <x v="41"/>
    <x v="39"/>
    <n v="1730"/>
    <n v="3988.94"/>
    <n v="2043.14"/>
    <n v="1945.8"/>
    <n v="0.51"/>
    <n v="0.16"/>
    <n v="3685.66"/>
    <x v="0"/>
    <n v="626"/>
    <n v="0.17"/>
    <n v="741.49"/>
    <n v="0.19"/>
    <n v="495.19"/>
    <n v="0.12"/>
    <n v="1"/>
    <n v="631.24"/>
    <n v="70"/>
    <n v="0"/>
    <n v="285.31"/>
    <n v="2843.3"/>
    <x v="1"/>
    <n v="927.81"/>
    <x v="7"/>
    <x v="2"/>
    <n v="25.3"/>
    <s v="Low"/>
    <n v="1945.8"/>
    <n v="0"/>
  </r>
  <r>
    <x v="41"/>
    <x v="39"/>
    <n v="1992"/>
    <n v="4478.42"/>
    <n v="3134.06"/>
    <n v="1344.36"/>
    <n v="0.7"/>
    <n v="0.08"/>
    <n v="3211.82"/>
    <x v="1"/>
    <n v="720"/>
    <n v="0.43"/>
    <n v="705.09"/>
    <n v="0.16"/>
    <n v="200.03"/>
    <n v="0.04"/>
    <n v="3"/>
    <n v="134.96"/>
    <n v="45"/>
    <n v="0"/>
    <n v="768.95"/>
    <n v="1399.35"/>
    <x v="1"/>
    <n v="1055.83"/>
    <x v="1"/>
    <x v="0"/>
    <n v="6.2"/>
    <s v="Low"/>
    <n v="1344.36"/>
    <n v="0"/>
  </r>
  <r>
    <x v="41"/>
    <x v="39"/>
    <n v="1737"/>
    <n v="685.28"/>
    <n v="3747.72"/>
    <n v="-3062.44"/>
    <n v="5.47"/>
    <n v="0.39"/>
    <n v="1872"/>
    <x v="0"/>
    <n v="647"/>
    <n v="0.34"/>
    <n v="581.47"/>
    <n v="0.85"/>
    <n v="603.27"/>
    <n v="0.88"/>
    <n v="1"/>
    <n v="1113.07"/>
    <n v="22"/>
    <n v="0"/>
    <n v="283.97000000000003"/>
    <n v="1198.8900000000001"/>
    <x v="1"/>
    <n v="1472.97"/>
    <x v="5"/>
    <x v="2"/>
    <n v="97"/>
    <s v="High"/>
    <n v="0"/>
    <n v="0"/>
  </r>
  <r>
    <x v="42"/>
    <x v="40"/>
    <n v="1737"/>
    <n v="4047.29"/>
    <n v="2359.9699999999998"/>
    <n v="1687.32"/>
    <n v="0.57999999999999996"/>
    <n v="7.0000000000000007E-2"/>
    <n v="3092.41"/>
    <x v="1"/>
    <n v="599"/>
    <n v="0.4"/>
    <n v="602.41999999999996"/>
    <n v="0.15"/>
    <n v="342.41"/>
    <n v="0.08"/>
    <n v="3"/>
    <n v="857.38"/>
    <n v="21"/>
    <n v="0"/>
    <n v="662.09"/>
    <n v="1979.19"/>
    <x v="1"/>
    <n v="969.63"/>
    <x v="8"/>
    <x v="1"/>
    <n v="77.900000000000006"/>
    <s v="Low"/>
    <n v="1687.32"/>
    <n v="0"/>
  </r>
  <r>
    <x v="42"/>
    <x v="40"/>
    <n v="1446"/>
    <n v="3266.25"/>
    <n v="1380.33"/>
    <n v="1885.92"/>
    <n v="0.42"/>
    <n v="0.23"/>
    <n v="2511.9899999999998"/>
    <x v="1"/>
    <n v="708"/>
    <n v="0.19"/>
    <n v="164.61"/>
    <n v="0.05"/>
    <n v="464.44"/>
    <n v="0.14000000000000001"/>
    <n v="7"/>
    <n v="1085.0999999999999"/>
    <n v="97"/>
    <n v="0"/>
    <n v="407.98"/>
    <n v="2656.32"/>
    <x v="1"/>
    <n v="720.27"/>
    <x v="7"/>
    <x v="0"/>
    <n v="99.5"/>
    <s v="High"/>
    <n v="1885.92"/>
    <n v="0"/>
  </r>
  <r>
    <x v="42"/>
    <x v="40"/>
    <n v="1856"/>
    <n v="878.47"/>
    <n v="3711.08"/>
    <n v="-2832.61"/>
    <n v="4.22"/>
    <n v="0.12"/>
    <n v="2918.12"/>
    <x v="2"/>
    <n v="694"/>
    <n v="0.28999999999999998"/>
    <n v="766.45"/>
    <n v="0.87"/>
    <n v="451.01"/>
    <n v="0.51"/>
    <n v="4"/>
    <n v="1628.87"/>
    <n v="25"/>
    <n v="0"/>
    <n v="585.98"/>
    <n v="1678.89"/>
    <x v="1"/>
    <n v="1729.85"/>
    <x v="4"/>
    <x v="0"/>
    <n v="5.7"/>
    <s v="Low"/>
    <n v="0"/>
    <n v="0"/>
  </r>
  <r>
    <x v="42"/>
    <x v="40"/>
    <n v="1510"/>
    <n v="4552.9799999999996"/>
    <n v="3002.22"/>
    <n v="1550.76"/>
    <n v="0.66"/>
    <n v="0.1"/>
    <n v="2919.41"/>
    <x v="1"/>
    <n v="657"/>
    <n v="0.41"/>
    <n v="560.19000000000005"/>
    <n v="0.12"/>
    <n v="379.79"/>
    <n v="0.08"/>
    <n v="2"/>
    <n v="427.6"/>
    <n v="20"/>
    <n v="0"/>
    <n v="964.29"/>
    <n v="2484.2199999999998"/>
    <x v="2"/>
    <n v="1729.39"/>
    <x v="3"/>
    <x v="2"/>
    <n v="26.4"/>
    <s v="High"/>
    <n v="1550.76"/>
    <n v="0"/>
  </r>
  <r>
    <x v="42"/>
    <x v="40"/>
    <n v="1333"/>
    <n v="4274.6099999999997"/>
    <n v="1909.03"/>
    <n v="2365.58"/>
    <n v="0.45"/>
    <n v="0.31"/>
    <n v="2826.03"/>
    <x v="1"/>
    <n v="757"/>
    <n v="0.51"/>
    <n v="535.78"/>
    <n v="0.13"/>
    <n v="545.12"/>
    <n v="0.13"/>
    <n v="1"/>
    <n v="1198.51"/>
    <n v="47"/>
    <n v="0"/>
    <n v="304.68"/>
    <n v="2570.4899999999998"/>
    <x v="1"/>
    <n v="1481.57"/>
    <x v="9"/>
    <x v="0"/>
    <n v="84.7"/>
    <s v="Medium"/>
    <n v="2365.58"/>
    <n v="0"/>
  </r>
  <r>
    <x v="42"/>
    <x v="40"/>
    <n v="1949"/>
    <n v="3735.8"/>
    <n v="3957.68"/>
    <n v="-221.88"/>
    <n v="1.06"/>
    <n v="0.32"/>
    <n v="3734.75"/>
    <x v="1"/>
    <n v="690"/>
    <n v="0.28999999999999998"/>
    <n v="539.82000000000005"/>
    <n v="0.14000000000000001"/>
    <n v="114.74"/>
    <n v="0.03"/>
    <n v="5"/>
    <n v="1161.18"/>
    <n v="61"/>
    <n v="0"/>
    <n v="157.04"/>
    <n v="2274.34"/>
    <x v="0"/>
    <n v="1074.6600000000001"/>
    <x v="8"/>
    <x v="0"/>
    <n v="69.2"/>
    <s v="Low"/>
    <n v="0"/>
    <n v="0"/>
  </r>
  <r>
    <x v="42"/>
    <x v="40"/>
    <n v="1494"/>
    <n v="3925.45"/>
    <n v="2200.2800000000002"/>
    <n v="1725.17"/>
    <n v="0.56000000000000005"/>
    <n v="0.28000000000000003"/>
    <n v="3076.24"/>
    <x v="0"/>
    <n v="700"/>
    <n v="0.28999999999999998"/>
    <n v="411.02"/>
    <n v="0.1"/>
    <n v="638.75"/>
    <n v="0.16"/>
    <n v="2"/>
    <n v="700.3"/>
    <n v="83"/>
    <n v="0"/>
    <n v="370.47"/>
    <n v="3386.47"/>
    <x v="1"/>
    <n v="886.93"/>
    <x v="8"/>
    <x v="0"/>
    <n v="63.9"/>
    <s v="Low"/>
    <n v="1725.17"/>
    <n v="0"/>
  </r>
  <r>
    <x v="42"/>
    <x v="40"/>
    <n v="1293"/>
    <n v="5208.51"/>
    <n v="3282.4"/>
    <n v="1926.11"/>
    <n v="0.63"/>
    <n v="0.23"/>
    <n v="2826.45"/>
    <x v="1"/>
    <n v="681"/>
    <n v="0.45"/>
    <n v="824.91"/>
    <n v="0.16"/>
    <n v="389.28"/>
    <n v="7.0000000000000007E-2"/>
    <n v="9"/>
    <n v="776.38"/>
    <n v="23"/>
    <n v="0"/>
    <n v="553.85"/>
    <n v="2743.49"/>
    <x v="2"/>
    <n v="1162.3699999999999"/>
    <x v="5"/>
    <x v="0"/>
    <n v="15.5"/>
    <s v="Medium"/>
    <n v="1926.11"/>
    <n v="0"/>
  </r>
  <r>
    <x v="42"/>
    <x v="40"/>
    <n v="1598"/>
    <n v="4324.87"/>
    <n v="1256.24"/>
    <n v="3068.63"/>
    <n v="0.28999999999999998"/>
    <n v="0.31"/>
    <n v="2036.12"/>
    <x v="1"/>
    <n v="647"/>
    <n v="0.56000000000000005"/>
    <n v="706.14"/>
    <n v="0.16"/>
    <n v="503.79"/>
    <n v="0.12"/>
    <n v="7"/>
    <n v="311.61"/>
    <n v="49"/>
    <n v="0"/>
    <n v="870.44"/>
    <n v="1426.28"/>
    <x v="1"/>
    <n v="1494.96"/>
    <x v="1"/>
    <x v="0"/>
    <n v="37"/>
    <s v="High"/>
    <n v="3068.63"/>
    <n v="1"/>
  </r>
  <r>
    <x v="42"/>
    <x v="40"/>
    <n v="1112"/>
    <n v="2724.46"/>
    <n v="2490.4899999999998"/>
    <n v="233.97"/>
    <n v="0.91"/>
    <n v="0.16"/>
    <n v="2070.64"/>
    <x v="0"/>
    <n v="738"/>
    <n v="0.54"/>
    <n v="341.72"/>
    <n v="0.13"/>
    <n v="351.89"/>
    <n v="0.13"/>
    <n v="6"/>
    <n v="999.29"/>
    <n v="80"/>
    <n v="0"/>
    <n v="380.6"/>
    <n v="1000"/>
    <x v="1"/>
    <n v="1136.53"/>
    <x v="4"/>
    <x v="0"/>
    <n v="20.9"/>
    <s v="Low"/>
    <n v="233.97"/>
    <n v="0"/>
  </r>
  <r>
    <x v="42"/>
    <x v="40"/>
    <n v="1732"/>
    <n v="4154.97"/>
    <n v="1125.06"/>
    <n v="3029.91"/>
    <n v="0.27"/>
    <n v="0.34"/>
    <n v="2862.08"/>
    <x v="2"/>
    <n v="664"/>
    <n v="0.56000000000000005"/>
    <n v="394"/>
    <n v="0.09"/>
    <n v="638.03"/>
    <n v="0.15"/>
    <n v="7"/>
    <n v="1140.33"/>
    <n v="80"/>
    <n v="0"/>
    <n v="844.41"/>
    <n v="3038.61"/>
    <x v="0"/>
    <n v="1524.79"/>
    <x v="9"/>
    <x v="1"/>
    <n v="79.5"/>
    <s v="Low"/>
    <n v="3029.91"/>
    <n v="1"/>
  </r>
  <r>
    <x v="42"/>
    <x v="40"/>
    <n v="1826"/>
    <n v="2052.6999999999998"/>
    <n v="1888.35"/>
    <n v="164.35"/>
    <n v="0.92"/>
    <n v="0.25"/>
    <n v="1898.91"/>
    <x v="1"/>
    <n v="656"/>
    <n v="0.27"/>
    <n v="70.73"/>
    <n v="0.03"/>
    <n v="770.67"/>
    <n v="0.38"/>
    <n v="6"/>
    <n v="33.74"/>
    <n v="90"/>
    <n v="0"/>
    <n v="519.04"/>
    <n v="1908.68"/>
    <x v="1"/>
    <n v="965.66"/>
    <x v="5"/>
    <x v="0"/>
    <n v="15.1"/>
    <s v="Medium"/>
    <n v="164.35"/>
    <n v="0"/>
  </r>
  <r>
    <x v="42"/>
    <x v="40"/>
    <n v="1616"/>
    <n v="5506.03"/>
    <n v="3462.52"/>
    <n v="2043.51"/>
    <n v="0.63"/>
    <n v="0.19"/>
    <n v="3493.09"/>
    <x v="1"/>
    <n v="628"/>
    <n v="0.48"/>
    <n v="467.15"/>
    <n v="0.08"/>
    <n v="715.88"/>
    <n v="0.13"/>
    <n v="1"/>
    <n v="624.59"/>
    <n v="99"/>
    <n v="0"/>
    <n v="581.59"/>
    <n v="2217.91"/>
    <x v="1"/>
    <n v="1586.78"/>
    <x v="1"/>
    <x v="2"/>
    <n v="14"/>
    <s v="Low"/>
    <n v="2043.51"/>
    <n v="0"/>
  </r>
  <r>
    <x v="42"/>
    <x v="40"/>
    <n v="1854"/>
    <n v="5505.05"/>
    <n v="1723.48"/>
    <n v="3781.57"/>
    <n v="0.31"/>
    <n v="0.32"/>
    <n v="2494.64"/>
    <x v="1"/>
    <n v="637"/>
    <n v="0.43"/>
    <n v="437.3"/>
    <n v="0.08"/>
    <n v="526.02"/>
    <n v="0.1"/>
    <n v="3"/>
    <n v="1681.61"/>
    <n v="81"/>
    <n v="0"/>
    <n v="369.58"/>
    <n v="1805.87"/>
    <x v="1"/>
    <n v="897.77"/>
    <x v="8"/>
    <x v="0"/>
    <n v="16.7"/>
    <s v="Medium"/>
    <n v="3781.57"/>
    <n v="1"/>
  </r>
  <r>
    <x v="42"/>
    <x v="40"/>
    <n v="1177"/>
    <n v="5721.48"/>
    <n v="3148.92"/>
    <n v="2572.56"/>
    <n v="0.55000000000000004"/>
    <n v="0.4"/>
    <n v="2747.68"/>
    <x v="2"/>
    <n v="732"/>
    <n v="0.6"/>
    <n v="906.09"/>
    <n v="0.16"/>
    <n v="386.99"/>
    <n v="7.0000000000000007E-2"/>
    <n v="1"/>
    <n v="756.11"/>
    <n v="73"/>
    <n v="0"/>
    <n v="541.63"/>
    <n v="1483.51"/>
    <x v="1"/>
    <n v="1815.94"/>
    <x v="4"/>
    <x v="0"/>
    <n v="46.2"/>
    <s v="High"/>
    <n v="2572.56"/>
    <n v="0"/>
  </r>
  <r>
    <x v="42"/>
    <x v="40"/>
    <n v="1304"/>
    <n v="3478.13"/>
    <n v="4264.46"/>
    <n v="-786.33"/>
    <n v="1.23"/>
    <n v="0.16"/>
    <n v="3031.53"/>
    <x v="2"/>
    <n v="766"/>
    <n v="0.25"/>
    <n v="563.30999999999995"/>
    <n v="0.16"/>
    <n v="602.55999999999995"/>
    <n v="0.17"/>
    <n v="4"/>
    <n v="1176.73"/>
    <n v="94"/>
    <n v="0"/>
    <n v="740.75"/>
    <n v="2682.39"/>
    <x v="1"/>
    <n v="1237.79"/>
    <x v="7"/>
    <x v="1"/>
    <n v="72.2"/>
    <s v="Low"/>
    <n v="0"/>
    <n v="0"/>
  </r>
  <r>
    <x v="42"/>
    <x v="40"/>
    <n v="1017"/>
    <n v="3817.1"/>
    <n v="3217.37"/>
    <n v="599.73"/>
    <n v="0.84"/>
    <n v="0.06"/>
    <n v="2967.27"/>
    <x v="1"/>
    <n v="740"/>
    <n v="0.17"/>
    <n v="583.62"/>
    <n v="0.15"/>
    <n v="0"/>
    <n v="0"/>
    <n v="1"/>
    <n v="1611.07"/>
    <n v="84"/>
    <n v="0"/>
    <n v="710.1"/>
    <n v="2033.35"/>
    <x v="1"/>
    <n v="1039.58"/>
    <x v="9"/>
    <x v="0"/>
    <n v="63.2"/>
    <s v="High"/>
    <n v="599.73"/>
    <n v="0"/>
  </r>
  <r>
    <x v="42"/>
    <x v="40"/>
    <n v="1690"/>
    <n v="5293.22"/>
    <n v="2753.24"/>
    <n v="2539.98"/>
    <n v="0.52"/>
    <n v="0.09"/>
    <n v="2937.19"/>
    <x v="1"/>
    <n v="847"/>
    <n v="0.43"/>
    <n v="496.95"/>
    <n v="0.09"/>
    <n v="354.66"/>
    <n v="7.0000000000000007E-2"/>
    <n v="3"/>
    <n v="890.28"/>
    <n v="45"/>
    <n v="0"/>
    <n v="480.16"/>
    <n v="1226.44"/>
    <x v="1"/>
    <n v="1405.38"/>
    <x v="4"/>
    <x v="0"/>
    <n v="30.1"/>
    <s v="Low"/>
    <n v="2539.98"/>
    <n v="0"/>
  </r>
  <r>
    <x v="42"/>
    <x v="40"/>
    <n v="1949"/>
    <n v="3115.15"/>
    <n v="2762.38"/>
    <n v="352.77"/>
    <n v="0.89"/>
    <n v="7.0000000000000007E-2"/>
    <n v="2361.7800000000002"/>
    <x v="1"/>
    <n v="761"/>
    <n v="0.3"/>
    <n v="515.48"/>
    <n v="0.17"/>
    <n v="599.79"/>
    <n v="0.19"/>
    <n v="5"/>
    <n v="1199.8"/>
    <n v="24"/>
    <n v="0"/>
    <n v="576.91999999999996"/>
    <n v="1935.48"/>
    <x v="1"/>
    <n v="1595.63"/>
    <x v="2"/>
    <x v="0"/>
    <n v="9.8000000000000007"/>
    <s v="Low"/>
    <n v="352.77"/>
    <n v="0"/>
  </r>
  <r>
    <x v="42"/>
    <x v="40"/>
    <n v="1329"/>
    <n v="4218.2700000000004"/>
    <n v="820"/>
    <n v="3398.27"/>
    <n v="0.19"/>
    <n v="0.35"/>
    <n v="2965.9"/>
    <x v="2"/>
    <n v="734"/>
    <n v="0.12"/>
    <n v="810.22"/>
    <n v="0.19"/>
    <n v="494.32"/>
    <n v="0.12"/>
    <n v="2"/>
    <n v="908.43"/>
    <n v="44"/>
    <n v="0"/>
    <n v="494.03"/>
    <n v="2016.34"/>
    <x v="1"/>
    <n v="1659.82"/>
    <x v="8"/>
    <x v="0"/>
    <n v="53.5"/>
    <s v="Medium"/>
    <n v="3398.27"/>
    <n v="1"/>
  </r>
  <r>
    <x v="42"/>
    <x v="40"/>
    <n v="1809"/>
    <n v="5140.8100000000004"/>
    <n v="3352.44"/>
    <n v="1788.37"/>
    <n v="0.65"/>
    <n v="0.2"/>
    <n v="3127.71"/>
    <x v="1"/>
    <n v="763"/>
    <n v="0.34"/>
    <n v="259.2"/>
    <n v="0.05"/>
    <n v="525.39"/>
    <n v="0.1"/>
    <n v="8"/>
    <n v="1337.85"/>
    <n v="69"/>
    <n v="0"/>
    <n v="650.85"/>
    <n v="1966.65"/>
    <x v="0"/>
    <n v="1387.71"/>
    <x v="0"/>
    <x v="1"/>
    <n v="98.2"/>
    <s v="Low"/>
    <n v="1788.37"/>
    <n v="0"/>
  </r>
  <r>
    <x v="42"/>
    <x v="40"/>
    <n v="1095"/>
    <n v="5455"/>
    <n v="2716.01"/>
    <n v="2738.99"/>
    <n v="0.5"/>
    <n v="0.22"/>
    <n v="2657.49"/>
    <x v="1"/>
    <n v="654"/>
    <n v="0.52"/>
    <n v="255.8"/>
    <n v="0.05"/>
    <n v="531.59"/>
    <n v="0.1"/>
    <n v="5"/>
    <n v="1166.06"/>
    <n v="38"/>
    <n v="0"/>
    <n v="283.01"/>
    <n v="1506.27"/>
    <x v="1"/>
    <n v="1460.35"/>
    <x v="7"/>
    <x v="0"/>
    <n v="75.3"/>
    <s v="Medium"/>
    <n v="2738.99"/>
    <n v="1"/>
  </r>
  <r>
    <x v="42"/>
    <x v="40"/>
    <n v="1023"/>
    <n v="3254.13"/>
    <n v="3468.18"/>
    <n v="-214.05"/>
    <n v="1.07"/>
    <n v="0.4"/>
    <n v="2855.23"/>
    <x v="1"/>
    <n v="637"/>
    <n v="0.27"/>
    <n v="698.79"/>
    <n v="0.21"/>
    <n v="678.73"/>
    <n v="0.21"/>
    <n v="8"/>
    <n v="1283.1300000000001"/>
    <n v="85"/>
    <n v="0"/>
    <n v="409.35"/>
    <n v="2565.6999999999998"/>
    <x v="0"/>
    <n v="1167.6099999999999"/>
    <x v="7"/>
    <x v="2"/>
    <n v="58.3"/>
    <s v="Medium"/>
    <n v="0"/>
    <n v="0"/>
  </r>
  <r>
    <x v="42"/>
    <x v="40"/>
    <n v="1798"/>
    <n v="4577.3500000000004"/>
    <n v="2867.63"/>
    <n v="1709.72"/>
    <n v="0.63"/>
    <n v="0.28000000000000003"/>
    <n v="2255.23"/>
    <x v="0"/>
    <n v="688"/>
    <n v="0.46"/>
    <n v="578.83000000000004"/>
    <n v="0.13"/>
    <n v="545.59"/>
    <n v="0.12"/>
    <n v="5"/>
    <n v="1602.31"/>
    <n v="60"/>
    <n v="0"/>
    <n v="452.9"/>
    <n v="2511.5300000000002"/>
    <x v="1"/>
    <n v="1622.48"/>
    <x v="7"/>
    <x v="0"/>
    <n v="91.9"/>
    <s v="Low"/>
    <n v="1709.72"/>
    <n v="0"/>
  </r>
  <r>
    <x v="42"/>
    <x v="40"/>
    <n v="1944"/>
    <n v="2356.4899999999998"/>
    <n v="2999.27"/>
    <n v="-642.78"/>
    <n v="1.27"/>
    <n v="0.24"/>
    <n v="1823.12"/>
    <x v="2"/>
    <n v="677"/>
    <n v="0.52"/>
    <n v="480.75"/>
    <n v="0.2"/>
    <n v="564.09"/>
    <n v="0.24"/>
    <n v="7"/>
    <n v="989.68"/>
    <n v="79"/>
    <n v="0"/>
    <n v="822.23"/>
    <n v="2078.36"/>
    <x v="1"/>
    <n v="1524.33"/>
    <x v="5"/>
    <x v="1"/>
    <n v="39.299999999999997"/>
    <s v="High"/>
    <n v="0"/>
    <n v="0"/>
  </r>
  <r>
    <x v="42"/>
    <x v="40"/>
    <n v="1383"/>
    <n v="2897.67"/>
    <n v="2491.2199999999998"/>
    <n v="406.45"/>
    <n v="0.86"/>
    <n v="0.09"/>
    <n v="2609.06"/>
    <x v="2"/>
    <n v="613"/>
    <n v="0.51"/>
    <n v="642.57000000000005"/>
    <n v="0.22"/>
    <n v="243.65"/>
    <n v="0.08"/>
    <n v="4"/>
    <n v="1913.96"/>
    <n v="33"/>
    <n v="0"/>
    <n v="403.51"/>
    <n v="1901.48"/>
    <x v="1"/>
    <n v="1448.45"/>
    <x v="7"/>
    <x v="0"/>
    <n v="39"/>
    <s v="Low"/>
    <n v="406.45"/>
    <n v="0"/>
  </r>
  <r>
    <x v="42"/>
    <x v="40"/>
    <n v="1545"/>
    <n v="5440.42"/>
    <n v="3301.02"/>
    <n v="2139.4"/>
    <n v="0.61"/>
    <n v="0.38"/>
    <n v="2916.43"/>
    <x v="1"/>
    <n v="746"/>
    <n v="0.34"/>
    <n v="466.68"/>
    <n v="0.09"/>
    <n v="292.61"/>
    <n v="0.05"/>
    <n v="5"/>
    <n v="795.3"/>
    <n v="71"/>
    <n v="0"/>
    <n v="417.48"/>
    <n v="3003.69"/>
    <x v="2"/>
    <n v="616.1"/>
    <x v="0"/>
    <x v="0"/>
    <n v="1.5"/>
    <s v="High"/>
    <n v="2139.4"/>
    <n v="0"/>
  </r>
  <r>
    <x v="42"/>
    <x v="40"/>
    <n v="1625"/>
    <n v="3719.15"/>
    <n v="2676.47"/>
    <n v="1042.68"/>
    <n v="0.72"/>
    <n v="0.34"/>
    <n v="2824.62"/>
    <x v="1"/>
    <n v="670"/>
    <n v="0.36"/>
    <n v="671.42"/>
    <n v="0.18"/>
    <n v="592.66999999999996"/>
    <n v="0.16"/>
    <n v="5"/>
    <n v="1306.6600000000001"/>
    <n v="21"/>
    <n v="0"/>
    <n v="531.96"/>
    <n v="1079.72"/>
    <x v="1"/>
    <n v="1714.84"/>
    <x v="3"/>
    <x v="1"/>
    <n v="12.5"/>
    <s v="Low"/>
    <n v="1042.68"/>
    <n v="0"/>
  </r>
  <r>
    <x v="42"/>
    <x v="40"/>
    <n v="1247"/>
    <n v="3898.21"/>
    <n v="2392.11"/>
    <n v="1506.1"/>
    <n v="0.61"/>
    <n v="0.14000000000000001"/>
    <n v="2767.35"/>
    <x v="1"/>
    <n v="744"/>
    <n v="0.56999999999999995"/>
    <n v="788.09"/>
    <n v="0.2"/>
    <n v="274.69"/>
    <n v="7.0000000000000007E-2"/>
    <n v="9"/>
    <n v="1988.35"/>
    <n v="39"/>
    <n v="0"/>
    <n v="423.46"/>
    <n v="2125.0500000000002"/>
    <x v="0"/>
    <n v="1161.74"/>
    <x v="2"/>
    <x v="0"/>
    <n v="64.3"/>
    <s v="Low"/>
    <n v="1506.1"/>
    <n v="0"/>
  </r>
  <r>
    <x v="42"/>
    <x v="40"/>
    <n v="1227"/>
    <n v="4572.3500000000004"/>
    <n v="2275.15"/>
    <n v="2297.1999999999998"/>
    <n v="0.5"/>
    <n v="0.33"/>
    <n v="2277.3200000000002"/>
    <x v="1"/>
    <n v="730"/>
    <n v="0.5"/>
    <n v="555.66999999999996"/>
    <n v="0.12"/>
    <n v="546.91999999999996"/>
    <n v="0.12"/>
    <n v="2"/>
    <n v="1677.19"/>
    <n v="55"/>
    <n v="0"/>
    <n v="422.44"/>
    <n v="3333.4"/>
    <x v="1"/>
    <n v="1227.5999999999999"/>
    <x v="3"/>
    <x v="2"/>
    <n v="39.9"/>
    <s v="High"/>
    <n v="2297.1999999999998"/>
    <n v="1"/>
  </r>
  <r>
    <x v="42"/>
    <x v="40"/>
    <n v="1275"/>
    <n v="3948.8"/>
    <n v="3374.23"/>
    <n v="574.57000000000005"/>
    <n v="0.85"/>
    <n v="0.18"/>
    <n v="3002.57"/>
    <x v="1"/>
    <n v="709"/>
    <n v="0.27"/>
    <n v="627.71"/>
    <n v="0.16"/>
    <n v="196.33"/>
    <n v="0.05"/>
    <n v="4"/>
    <n v="733.66"/>
    <n v="29"/>
    <n v="0"/>
    <n v="666.32"/>
    <n v="1283.49"/>
    <x v="2"/>
    <n v="1395.35"/>
    <x v="3"/>
    <x v="2"/>
    <n v="21.8"/>
    <s v="High"/>
    <n v="574.57000000000005"/>
    <n v="0"/>
  </r>
  <r>
    <x v="42"/>
    <x v="40"/>
    <n v="1673"/>
    <n v="3782.21"/>
    <n v="2551.4899999999998"/>
    <n v="1230.72"/>
    <n v="0.67"/>
    <n v="0.36"/>
    <n v="2287.92"/>
    <x v="1"/>
    <n v="750"/>
    <n v="0.14000000000000001"/>
    <n v="807.98"/>
    <n v="0.21"/>
    <n v="250.77"/>
    <n v="7.0000000000000007E-2"/>
    <n v="9"/>
    <n v="1213.58"/>
    <n v="82"/>
    <n v="0"/>
    <n v="600.04999999999995"/>
    <n v="2790.46"/>
    <x v="1"/>
    <n v="935.81"/>
    <x v="7"/>
    <x v="2"/>
    <n v="61.4"/>
    <s v="Low"/>
    <n v="1230.72"/>
    <n v="0"/>
  </r>
  <r>
    <x v="42"/>
    <x v="40"/>
    <n v="1126"/>
    <n v="5081.45"/>
    <n v="2971.76"/>
    <n v="2109.69"/>
    <n v="0.57999999999999996"/>
    <n v="0.31"/>
    <n v="2869.91"/>
    <x v="2"/>
    <n v="729"/>
    <n v="0.34"/>
    <n v="494.49"/>
    <n v="0.1"/>
    <n v="295.8"/>
    <n v="0.06"/>
    <n v="6"/>
    <n v="1660.96"/>
    <n v="99"/>
    <n v="0"/>
    <n v="428.96"/>
    <n v="1843.75"/>
    <x v="0"/>
    <n v="1526.15"/>
    <x v="5"/>
    <x v="0"/>
    <n v="1.9"/>
    <s v="Low"/>
    <n v="2109.69"/>
    <n v="0"/>
  </r>
  <r>
    <x v="42"/>
    <x v="40"/>
    <n v="1659"/>
    <n v="5408.16"/>
    <n v="3639.44"/>
    <n v="1768.72"/>
    <n v="0.67"/>
    <n v="0.32"/>
    <n v="2893.05"/>
    <x v="1"/>
    <n v="621"/>
    <n v="0.51"/>
    <n v="527.64"/>
    <n v="0.1"/>
    <n v="337.35"/>
    <n v="0.06"/>
    <n v="2"/>
    <n v="1117.8"/>
    <n v="76"/>
    <n v="0"/>
    <n v="444.05"/>
    <n v="1292.95"/>
    <x v="1"/>
    <n v="1819.46"/>
    <x v="5"/>
    <x v="0"/>
    <n v="87.1"/>
    <s v="Medium"/>
    <n v="1768.72"/>
    <n v="0"/>
  </r>
  <r>
    <x v="42"/>
    <x v="40"/>
    <n v="1706"/>
    <n v="3299.52"/>
    <n v="2882.71"/>
    <n v="416.81"/>
    <n v="0.87"/>
    <n v="0.08"/>
    <n v="4087.78"/>
    <x v="2"/>
    <n v="664"/>
    <n v="0.56000000000000005"/>
    <n v="904.95"/>
    <n v="0.27"/>
    <n v="561.30999999999995"/>
    <n v="0.17"/>
    <n v="6"/>
    <n v="1015.65"/>
    <n v="32"/>
    <n v="0"/>
    <n v="535.33000000000004"/>
    <n v="2975.76"/>
    <x v="1"/>
    <n v="992.51"/>
    <x v="7"/>
    <x v="1"/>
    <n v="67.099999999999994"/>
    <s v="High"/>
    <n v="416.81"/>
    <n v="0"/>
  </r>
  <r>
    <x v="42"/>
    <x v="40"/>
    <n v="1938"/>
    <n v="4482.67"/>
    <n v="1895.59"/>
    <n v="2587.08"/>
    <n v="0.42"/>
    <n v="0.32"/>
    <n v="1964.54"/>
    <x v="1"/>
    <n v="615"/>
    <n v="0.59"/>
    <n v="208.76"/>
    <n v="0.05"/>
    <n v="490.81"/>
    <n v="0.11"/>
    <n v="9"/>
    <n v="1252.3"/>
    <n v="81"/>
    <n v="0"/>
    <n v="514.88"/>
    <n v="1870.53"/>
    <x v="0"/>
    <n v="1238.6099999999999"/>
    <x v="5"/>
    <x v="1"/>
    <n v="8"/>
    <s v="Low"/>
    <n v="2587.08"/>
    <n v="1"/>
  </r>
  <r>
    <x v="42"/>
    <x v="40"/>
    <n v="1784"/>
    <n v="2743.5"/>
    <n v="3528.19"/>
    <n v="-784.69"/>
    <n v="1.29"/>
    <n v="0.38"/>
    <n v="3256.78"/>
    <x v="2"/>
    <n v="718"/>
    <n v="0.24"/>
    <n v="815.83"/>
    <n v="0.3"/>
    <n v="383.06"/>
    <n v="0.14000000000000001"/>
    <n v="4"/>
    <n v="1081.6099999999999"/>
    <n v="70"/>
    <n v="0"/>
    <n v="312.33"/>
    <n v="1722.86"/>
    <x v="2"/>
    <n v="1018.42"/>
    <x v="4"/>
    <x v="0"/>
    <n v="5.8"/>
    <s v="Low"/>
    <n v="0"/>
    <n v="0"/>
  </r>
  <r>
    <x v="42"/>
    <x v="40"/>
    <n v="1251"/>
    <n v="4082.03"/>
    <n v="2842.12"/>
    <n v="1239.9100000000001"/>
    <n v="0.7"/>
    <n v="0.36"/>
    <n v="2462.4699999999998"/>
    <x v="1"/>
    <n v="665"/>
    <n v="0.42"/>
    <n v="458.68"/>
    <n v="0.11"/>
    <n v="0"/>
    <n v="0"/>
    <n v="5"/>
    <n v="1273.22"/>
    <n v="41"/>
    <n v="0"/>
    <n v="508.05"/>
    <n v="1432.87"/>
    <x v="1"/>
    <n v="1135.22"/>
    <x v="9"/>
    <x v="2"/>
    <n v="95.8"/>
    <s v="Low"/>
    <n v="1239.9100000000001"/>
    <n v="0"/>
  </r>
  <r>
    <x v="42"/>
    <x v="40"/>
    <n v="1019"/>
    <n v="4741.53"/>
    <n v="1856.36"/>
    <n v="2885.17"/>
    <n v="0.39"/>
    <n v="0.2"/>
    <n v="3381.87"/>
    <x v="2"/>
    <n v="702"/>
    <n v="0.4"/>
    <n v="329.26"/>
    <n v="7.0000000000000007E-2"/>
    <n v="593.16"/>
    <n v="0.13"/>
    <n v="1"/>
    <n v="839.81"/>
    <n v="81"/>
    <n v="0"/>
    <n v="472.39"/>
    <n v="1894.11"/>
    <x v="1"/>
    <n v="733.9"/>
    <x v="0"/>
    <x v="2"/>
    <n v="53"/>
    <s v="Low"/>
    <n v="2885.17"/>
    <n v="0"/>
  </r>
  <r>
    <x v="42"/>
    <x v="40"/>
    <n v="1089"/>
    <n v="3070.6"/>
    <n v="1927.12"/>
    <n v="1143.48"/>
    <n v="0.63"/>
    <n v="0.34"/>
    <n v="2938.17"/>
    <x v="1"/>
    <n v="713"/>
    <n v="0.38"/>
    <n v="734.5"/>
    <n v="0.24"/>
    <n v="0"/>
    <n v="0"/>
    <n v="4"/>
    <n v="1193.8"/>
    <n v="55"/>
    <n v="0"/>
    <n v="675.76"/>
    <n v="1645.61"/>
    <x v="1"/>
    <n v="1399.4"/>
    <x v="4"/>
    <x v="1"/>
    <n v="42.4"/>
    <s v="Medium"/>
    <n v="1143.48"/>
    <n v="0"/>
  </r>
  <r>
    <x v="42"/>
    <x v="40"/>
    <n v="1484"/>
    <n v="3969.53"/>
    <n v="4137.8599999999997"/>
    <n v="-168.33"/>
    <n v="1.04"/>
    <n v="0.2"/>
    <n v="2581.5500000000002"/>
    <x v="2"/>
    <n v="637"/>
    <n v="0.52"/>
    <n v="421.39"/>
    <n v="0.11"/>
    <n v="729.71"/>
    <n v="0.18"/>
    <n v="7"/>
    <n v="979.68"/>
    <n v="85"/>
    <n v="0"/>
    <n v="618.80999999999995"/>
    <n v="3444.24"/>
    <x v="1"/>
    <n v="1333.51"/>
    <x v="2"/>
    <x v="0"/>
    <n v="48.2"/>
    <s v="Medium"/>
    <n v="0"/>
    <n v="0"/>
  </r>
  <r>
    <x v="42"/>
    <x v="40"/>
    <n v="1685"/>
    <n v="3782.02"/>
    <n v="3344.12"/>
    <n v="437.9"/>
    <n v="0.88"/>
    <n v="0.15"/>
    <n v="2385.5500000000002"/>
    <x v="1"/>
    <n v="594"/>
    <n v="0.5"/>
    <n v="218.3"/>
    <n v="0.06"/>
    <n v="135.52000000000001"/>
    <n v="0.04"/>
    <n v="7"/>
    <n v="210.88"/>
    <n v="29"/>
    <n v="0"/>
    <n v="546.66999999999996"/>
    <n v="2079.81"/>
    <x v="1"/>
    <n v="724.76"/>
    <x v="8"/>
    <x v="2"/>
    <n v="88.8"/>
    <s v="Low"/>
    <n v="437.9"/>
    <n v="0"/>
  </r>
  <r>
    <x v="42"/>
    <x v="40"/>
    <n v="1303"/>
    <n v="3434.44"/>
    <n v="2700.14"/>
    <n v="734.3"/>
    <n v="0.79"/>
    <n v="0.16"/>
    <n v="3125.6"/>
    <x v="1"/>
    <n v="706"/>
    <n v="0.23"/>
    <n v="584.24"/>
    <n v="0.17"/>
    <n v="130.47999999999999"/>
    <n v="0.04"/>
    <n v="9"/>
    <n v="430.07"/>
    <n v="98"/>
    <n v="0"/>
    <n v="277.06"/>
    <n v="1804.5"/>
    <x v="1"/>
    <n v="300"/>
    <x v="4"/>
    <x v="0"/>
    <n v="90"/>
    <s v="Medium"/>
    <n v="734.3"/>
    <n v="0"/>
  </r>
  <r>
    <x v="42"/>
    <x v="40"/>
    <n v="1180"/>
    <n v="3659.5"/>
    <n v="3344.1"/>
    <n v="315.39999999999998"/>
    <n v="0.91"/>
    <n v="0.06"/>
    <n v="3616.31"/>
    <x v="2"/>
    <n v="673"/>
    <n v="0.51"/>
    <n v="200.84"/>
    <n v="0.05"/>
    <n v="494.03"/>
    <n v="0.13"/>
    <n v="7"/>
    <n v="1742.31"/>
    <n v="87"/>
    <n v="0"/>
    <n v="541.14"/>
    <n v="1660.11"/>
    <x v="1"/>
    <n v="1052.77"/>
    <x v="0"/>
    <x v="0"/>
    <n v="70.8"/>
    <s v="Low"/>
    <n v="315.39999999999998"/>
    <n v="0"/>
  </r>
  <r>
    <x v="42"/>
    <x v="40"/>
    <n v="1855"/>
    <n v="4655.62"/>
    <n v="3910.49"/>
    <n v="745.13"/>
    <n v="0.84"/>
    <n v="0.08"/>
    <n v="2272.65"/>
    <x v="1"/>
    <n v="706"/>
    <n v="0.56000000000000005"/>
    <n v="659.7"/>
    <n v="0.14000000000000001"/>
    <n v="282.68"/>
    <n v="0.06"/>
    <n v="8"/>
    <n v="2071.4899999999998"/>
    <n v="34"/>
    <n v="0"/>
    <n v="519.47"/>
    <n v="2762.89"/>
    <x v="0"/>
    <n v="1683.77"/>
    <x v="3"/>
    <x v="0"/>
    <n v="18.7"/>
    <s v="Low"/>
    <n v="745.13"/>
    <n v="0"/>
  </r>
  <r>
    <x v="42"/>
    <x v="40"/>
    <n v="1359"/>
    <n v="4564.72"/>
    <n v="3822.91"/>
    <n v="741.81"/>
    <n v="0.84"/>
    <n v="0.13"/>
    <n v="2096.04"/>
    <x v="0"/>
    <n v="771"/>
    <n v="0.26"/>
    <n v="307.19"/>
    <n v="7.0000000000000007E-2"/>
    <n v="440.57"/>
    <n v="0.1"/>
    <n v="6"/>
    <n v="878.29"/>
    <n v="86"/>
    <n v="0"/>
    <n v="475.14"/>
    <n v="2673.79"/>
    <x v="1"/>
    <n v="2331.12"/>
    <x v="4"/>
    <x v="2"/>
    <n v="92.9"/>
    <s v="Low"/>
    <n v="741.81"/>
    <n v="0"/>
  </r>
  <r>
    <x v="42"/>
    <x v="40"/>
    <n v="1589"/>
    <n v="2791.96"/>
    <n v="3511.49"/>
    <n v="-719.53"/>
    <n v="1.26"/>
    <n v="0.05"/>
    <n v="3029.16"/>
    <x v="0"/>
    <n v="661"/>
    <n v="0.15"/>
    <n v="177.3"/>
    <n v="0.06"/>
    <n v="50.42"/>
    <n v="0.02"/>
    <n v="1"/>
    <n v="499.52"/>
    <n v="59"/>
    <n v="0"/>
    <n v="578.30999999999995"/>
    <n v="1469.67"/>
    <x v="1"/>
    <n v="1022.63"/>
    <x v="5"/>
    <x v="1"/>
    <n v="82.3"/>
    <s v="Low"/>
    <n v="0"/>
    <n v="0"/>
  </r>
  <r>
    <x v="42"/>
    <x v="40"/>
    <n v="1813"/>
    <n v="3149.46"/>
    <n v="3665.56"/>
    <n v="-516.1"/>
    <n v="1.1599999999999999"/>
    <n v="0.18"/>
    <n v="3175.2"/>
    <x v="1"/>
    <n v="708"/>
    <n v="0.55000000000000004"/>
    <n v="356.67"/>
    <n v="0.11"/>
    <n v="718.61"/>
    <n v="0.23"/>
    <n v="2"/>
    <n v="1600.42"/>
    <n v="99"/>
    <n v="0"/>
    <n v="614.59"/>
    <n v="1943"/>
    <x v="2"/>
    <n v="1642.13"/>
    <x v="7"/>
    <x v="0"/>
    <n v="66.5"/>
    <s v="Low"/>
    <n v="0"/>
    <n v="0"/>
  </r>
  <r>
    <x v="42"/>
    <x v="40"/>
    <n v="1980"/>
    <n v="2832.07"/>
    <n v="1557.11"/>
    <n v="1274.96"/>
    <n v="0.55000000000000004"/>
    <n v="0.19"/>
    <n v="1714.11"/>
    <x v="0"/>
    <n v="647"/>
    <n v="0.49"/>
    <n v="395.16"/>
    <n v="0.14000000000000001"/>
    <n v="553.13"/>
    <n v="0.2"/>
    <n v="8"/>
    <n v="935.26"/>
    <n v="30"/>
    <n v="0"/>
    <n v="385.27"/>
    <n v="3419.11"/>
    <x v="1"/>
    <n v="916.87"/>
    <x v="5"/>
    <x v="0"/>
    <n v="55.1"/>
    <s v="Low"/>
    <n v="1274.96"/>
    <n v="0"/>
  </r>
  <r>
    <x v="42"/>
    <x v="40"/>
    <n v="1422"/>
    <n v="3784.62"/>
    <n v="2236.96"/>
    <n v="1547.66"/>
    <n v="0.59"/>
    <n v="0.31"/>
    <n v="2850.61"/>
    <x v="0"/>
    <n v="762"/>
    <n v="0.33"/>
    <n v="768.76"/>
    <n v="0.2"/>
    <n v="291.93"/>
    <n v="0.08"/>
    <n v="8"/>
    <n v="1328.51"/>
    <n v="25"/>
    <n v="0"/>
    <n v="721.39"/>
    <n v="2739.56"/>
    <x v="0"/>
    <n v="782.44"/>
    <x v="4"/>
    <x v="2"/>
    <n v="88.3"/>
    <s v="Low"/>
    <n v="1547.66"/>
    <n v="0"/>
  </r>
  <r>
    <x v="43"/>
    <x v="41"/>
    <n v="1205"/>
    <n v="4076.19"/>
    <n v="3117.55"/>
    <n v="958.64"/>
    <n v="0.76"/>
    <n v="0.32"/>
    <n v="2422.02"/>
    <x v="1"/>
    <n v="728"/>
    <n v="0.59"/>
    <n v="358.86"/>
    <n v="0.09"/>
    <n v="160.08000000000001"/>
    <n v="0.04"/>
    <n v="5"/>
    <n v="471.82"/>
    <n v="70"/>
    <n v="0"/>
    <n v="482.28"/>
    <n v="2970.22"/>
    <x v="1"/>
    <n v="519.16999999999996"/>
    <x v="5"/>
    <x v="2"/>
    <n v="4.2"/>
    <s v="High"/>
    <n v="958.64"/>
    <n v="0"/>
  </r>
  <r>
    <x v="43"/>
    <x v="41"/>
    <n v="1827"/>
    <n v="3805.09"/>
    <n v="2046.66"/>
    <n v="1758.43"/>
    <n v="0.54"/>
    <n v="0.38"/>
    <n v="2905.7"/>
    <x v="1"/>
    <n v="741"/>
    <n v="0.27"/>
    <n v="232.36"/>
    <n v="0.06"/>
    <n v="306.77"/>
    <n v="0.08"/>
    <n v="8"/>
    <n v="980.8"/>
    <n v="75"/>
    <n v="0"/>
    <n v="505.06"/>
    <n v="2657.53"/>
    <x v="1"/>
    <n v="818.8"/>
    <x v="9"/>
    <x v="0"/>
    <n v="76.2"/>
    <s v="Low"/>
    <n v="1758.43"/>
    <n v="0"/>
  </r>
  <r>
    <x v="43"/>
    <x v="41"/>
    <n v="1317"/>
    <n v="5784.09"/>
    <n v="3430.15"/>
    <n v="2353.94"/>
    <n v="0.59"/>
    <n v="0.17"/>
    <n v="3111.91"/>
    <x v="1"/>
    <n v="721"/>
    <n v="0.39"/>
    <n v="708.76"/>
    <n v="0.12"/>
    <n v="773.55"/>
    <n v="0.13"/>
    <n v="1"/>
    <n v="1764.62"/>
    <n v="74"/>
    <n v="0"/>
    <n v="609.4"/>
    <n v="2013.63"/>
    <x v="1"/>
    <n v="1291.04"/>
    <x v="6"/>
    <x v="1"/>
    <n v="78.2"/>
    <s v="Low"/>
    <n v="2353.94"/>
    <n v="0"/>
  </r>
  <r>
    <x v="43"/>
    <x v="41"/>
    <n v="1199"/>
    <n v="4745.46"/>
    <n v="2585.6999999999998"/>
    <n v="2159.7600000000002"/>
    <n v="0.54"/>
    <n v="0.2"/>
    <n v="2623.14"/>
    <x v="2"/>
    <n v="682"/>
    <n v="0.42"/>
    <n v="654.38"/>
    <n v="0.14000000000000001"/>
    <n v="863.13"/>
    <n v="0.18"/>
    <n v="3"/>
    <n v="296.47000000000003"/>
    <n v="76"/>
    <n v="0"/>
    <n v="152.44999999999999"/>
    <n v="1263.81"/>
    <x v="1"/>
    <n v="1237.81"/>
    <x v="2"/>
    <x v="0"/>
    <n v="37.4"/>
    <s v="Medium"/>
    <n v="2159.7600000000002"/>
    <n v="0"/>
  </r>
  <r>
    <x v="43"/>
    <x v="41"/>
    <n v="1122"/>
    <n v="3443.99"/>
    <n v="1600.36"/>
    <n v="1843.63"/>
    <n v="0.46"/>
    <n v="0.17"/>
    <n v="2361.89"/>
    <x v="2"/>
    <n v="704"/>
    <n v="0.54"/>
    <n v="694.32"/>
    <n v="0.2"/>
    <n v="544.91999999999996"/>
    <n v="0.16"/>
    <n v="2"/>
    <n v="1039.25"/>
    <n v="33"/>
    <n v="0"/>
    <n v="205.16"/>
    <n v="2248.27"/>
    <x v="1"/>
    <n v="786.4"/>
    <x v="9"/>
    <x v="2"/>
    <n v="14.2"/>
    <s v="Low"/>
    <n v="1843.63"/>
    <n v="0"/>
  </r>
  <r>
    <x v="43"/>
    <x v="41"/>
    <n v="1171"/>
    <n v="3072.24"/>
    <n v="3338.23"/>
    <n v="-265.99"/>
    <n v="1.0900000000000001"/>
    <n v="0.36"/>
    <n v="2300.1"/>
    <x v="1"/>
    <n v="640"/>
    <n v="0.31"/>
    <n v="330.12"/>
    <n v="0.11"/>
    <n v="499.46"/>
    <n v="0.16"/>
    <n v="2"/>
    <n v="1015.73"/>
    <n v="93"/>
    <n v="0"/>
    <n v="624.75"/>
    <n v="2535.46"/>
    <x v="1"/>
    <n v="884.05"/>
    <x v="0"/>
    <x v="0"/>
    <n v="49.2"/>
    <s v="Low"/>
    <n v="0"/>
    <n v="0"/>
  </r>
  <r>
    <x v="43"/>
    <x v="41"/>
    <n v="1980"/>
    <n v="2415.69"/>
    <n v="3040.38"/>
    <n v="-624.69000000000005"/>
    <n v="1.26"/>
    <n v="0.31"/>
    <n v="2877.84"/>
    <x v="0"/>
    <n v="738"/>
    <n v="0.12"/>
    <n v="425.88"/>
    <n v="0.18"/>
    <n v="454.91"/>
    <n v="0.19"/>
    <n v="2"/>
    <n v="345.8"/>
    <n v="71"/>
    <n v="0"/>
    <n v="562.29999999999995"/>
    <n v="1710.66"/>
    <x v="1"/>
    <n v="1355.4"/>
    <x v="9"/>
    <x v="0"/>
    <n v="78.400000000000006"/>
    <s v="High"/>
    <n v="0"/>
    <n v="0"/>
  </r>
  <r>
    <x v="43"/>
    <x v="41"/>
    <n v="1175"/>
    <n v="2562.91"/>
    <n v="3346.14"/>
    <n v="-783.23"/>
    <n v="1.31"/>
    <n v="0.17"/>
    <n v="2508.6999999999998"/>
    <x v="1"/>
    <n v="718"/>
    <n v="0.34"/>
    <n v="604.48"/>
    <n v="0.24"/>
    <n v="101.87"/>
    <n v="0.04"/>
    <n v="1"/>
    <n v="876.18"/>
    <n v="67"/>
    <n v="0"/>
    <n v="213.1"/>
    <n v="2898.74"/>
    <x v="1"/>
    <n v="1311.67"/>
    <x v="9"/>
    <x v="0"/>
    <n v="12.5"/>
    <s v="Low"/>
    <n v="0"/>
    <n v="0"/>
  </r>
  <r>
    <x v="43"/>
    <x v="41"/>
    <n v="1374"/>
    <n v="5713.69"/>
    <n v="2053.9"/>
    <n v="3659.79"/>
    <n v="0.36"/>
    <n v="0.18"/>
    <n v="3266.72"/>
    <x v="1"/>
    <n v="669"/>
    <n v="0.32"/>
    <n v="582.42999999999995"/>
    <n v="0.1"/>
    <n v="294.45999999999998"/>
    <n v="0.05"/>
    <n v="9"/>
    <n v="0"/>
    <n v="63"/>
    <n v="0"/>
    <n v="667.07"/>
    <n v="1674.28"/>
    <x v="0"/>
    <n v="1193.1199999999999"/>
    <x v="3"/>
    <x v="1"/>
    <n v="99.3"/>
    <s v="Low"/>
    <n v="3659.79"/>
    <n v="1"/>
  </r>
  <r>
    <x v="43"/>
    <x v="41"/>
    <n v="1023"/>
    <n v="3247.65"/>
    <n v="3321.05"/>
    <n v="-73.400000000000006"/>
    <n v="1.02"/>
    <n v="0.28000000000000003"/>
    <n v="2939.23"/>
    <x v="1"/>
    <n v="765"/>
    <n v="0.18"/>
    <n v="167.87"/>
    <n v="0.05"/>
    <n v="321.76"/>
    <n v="0.1"/>
    <n v="3"/>
    <n v="921.71"/>
    <n v="44"/>
    <n v="1"/>
    <n v="101.02"/>
    <n v="2546.98"/>
    <x v="1"/>
    <n v="1698.37"/>
    <x v="8"/>
    <x v="0"/>
    <n v="7.8"/>
    <s v="Low"/>
    <n v="0"/>
    <n v="0"/>
  </r>
  <r>
    <x v="43"/>
    <x v="41"/>
    <n v="1787"/>
    <n v="3757.38"/>
    <n v="2898.81"/>
    <n v="858.57"/>
    <n v="0.77"/>
    <n v="0.09"/>
    <n v="2216.65"/>
    <x v="1"/>
    <n v="701"/>
    <n v="0.15"/>
    <n v="383.93"/>
    <n v="0.1"/>
    <n v="666.64"/>
    <n v="0.18"/>
    <n v="4"/>
    <n v="1024.3800000000001"/>
    <n v="38"/>
    <n v="0"/>
    <n v="767.68"/>
    <n v="1860.65"/>
    <x v="0"/>
    <n v="1057.3699999999999"/>
    <x v="1"/>
    <x v="1"/>
    <n v="69.400000000000006"/>
    <s v="Low"/>
    <n v="858.57"/>
    <n v="0"/>
  </r>
  <r>
    <x v="43"/>
    <x v="41"/>
    <n v="1484"/>
    <n v="3812.68"/>
    <n v="2777.01"/>
    <n v="1035.67"/>
    <n v="0.73"/>
    <n v="0.37"/>
    <n v="1808.35"/>
    <x v="1"/>
    <n v="708"/>
    <n v="0.25"/>
    <n v="419.17"/>
    <n v="0.11"/>
    <n v="531.29"/>
    <n v="0.14000000000000001"/>
    <n v="1"/>
    <n v="984.48"/>
    <n v="33"/>
    <n v="0"/>
    <n v="711.01"/>
    <n v="2347.3200000000002"/>
    <x v="2"/>
    <n v="1152.6500000000001"/>
    <x v="7"/>
    <x v="1"/>
    <n v="23.7"/>
    <s v="Medium"/>
    <n v="1035.67"/>
    <n v="0"/>
  </r>
  <r>
    <x v="43"/>
    <x v="41"/>
    <n v="1594"/>
    <n v="3039.13"/>
    <n v="3242.61"/>
    <n v="-203.48"/>
    <n v="1.07"/>
    <n v="0.14000000000000001"/>
    <n v="2722.67"/>
    <x v="1"/>
    <n v="694"/>
    <n v="0.38"/>
    <n v="684.11"/>
    <n v="0.23"/>
    <n v="469.24"/>
    <n v="0.15"/>
    <n v="6"/>
    <n v="1124.47"/>
    <n v="20"/>
    <n v="0"/>
    <n v="978.5"/>
    <n v="1148.4100000000001"/>
    <x v="1"/>
    <n v="1801.38"/>
    <x v="7"/>
    <x v="0"/>
    <n v="61"/>
    <s v="Low"/>
    <n v="0"/>
    <n v="0"/>
  </r>
  <r>
    <x v="43"/>
    <x v="41"/>
    <n v="1827"/>
    <n v="4090.24"/>
    <n v="3799.29"/>
    <n v="290.95"/>
    <n v="0.93"/>
    <n v="0.32"/>
    <n v="2928.88"/>
    <x v="1"/>
    <n v="768"/>
    <n v="0.2"/>
    <n v="474.35"/>
    <n v="0.12"/>
    <n v="65.92"/>
    <n v="0.02"/>
    <n v="4"/>
    <n v="1684.55"/>
    <n v="94"/>
    <n v="0"/>
    <n v="403.24"/>
    <n v="1292.68"/>
    <x v="0"/>
    <n v="1324.53"/>
    <x v="6"/>
    <x v="0"/>
    <n v="97.4"/>
    <s v="Low"/>
    <n v="290.95"/>
    <n v="0"/>
  </r>
  <r>
    <x v="43"/>
    <x v="41"/>
    <n v="1379"/>
    <n v="5641.88"/>
    <n v="2571.85"/>
    <n v="3070.03"/>
    <n v="0.46"/>
    <n v="0.28000000000000003"/>
    <n v="2926.18"/>
    <x v="0"/>
    <n v="765"/>
    <n v="0.25"/>
    <n v="748.64"/>
    <n v="0.13"/>
    <n v="0"/>
    <n v="0"/>
    <n v="7"/>
    <n v="2020.27"/>
    <n v="90"/>
    <n v="0"/>
    <n v="333.13"/>
    <n v="2304.5"/>
    <x v="1"/>
    <n v="1199.28"/>
    <x v="5"/>
    <x v="0"/>
    <n v="76.099999999999994"/>
    <s v="Low"/>
    <n v="3070.03"/>
    <n v="1"/>
  </r>
  <r>
    <x v="43"/>
    <x v="41"/>
    <n v="1934"/>
    <n v="2812.22"/>
    <n v="2208.34"/>
    <n v="603.88"/>
    <n v="0.79"/>
    <n v="0.32"/>
    <n v="3365.43"/>
    <x v="1"/>
    <n v="716"/>
    <n v="0.14000000000000001"/>
    <n v="393.46"/>
    <n v="0.14000000000000001"/>
    <n v="384.95"/>
    <n v="0.14000000000000001"/>
    <n v="9"/>
    <n v="624.13"/>
    <n v="26"/>
    <n v="0"/>
    <n v="644.62"/>
    <n v="1834.42"/>
    <x v="1"/>
    <n v="1534.98"/>
    <x v="7"/>
    <x v="0"/>
    <n v="14.3"/>
    <s v="Medium"/>
    <n v="603.88"/>
    <n v="0"/>
  </r>
  <r>
    <x v="43"/>
    <x v="41"/>
    <n v="1550"/>
    <n v="3275.11"/>
    <n v="3754.08"/>
    <n v="-478.97"/>
    <n v="1.1499999999999999"/>
    <n v="0.38"/>
    <n v="1802.11"/>
    <x v="2"/>
    <n v="711"/>
    <n v="0.41"/>
    <n v="393.83"/>
    <n v="0.12"/>
    <n v="233.59"/>
    <n v="7.0000000000000007E-2"/>
    <n v="8"/>
    <n v="804.64"/>
    <n v="59"/>
    <n v="0"/>
    <n v="474.3"/>
    <n v="1856.35"/>
    <x v="0"/>
    <n v="1065.33"/>
    <x v="0"/>
    <x v="2"/>
    <n v="59.8"/>
    <s v="Low"/>
    <n v="0"/>
    <n v="0"/>
  </r>
  <r>
    <x v="43"/>
    <x v="41"/>
    <n v="1046"/>
    <n v="4848.26"/>
    <n v="3714.85"/>
    <n v="1133.4100000000001"/>
    <n v="0.77"/>
    <n v="0.19"/>
    <n v="2898.64"/>
    <x v="2"/>
    <n v="777"/>
    <n v="0.57999999999999996"/>
    <n v="607.89"/>
    <n v="0.13"/>
    <n v="368.71"/>
    <n v="0.08"/>
    <n v="5"/>
    <n v="64.08"/>
    <n v="46"/>
    <n v="0"/>
    <n v="400.05"/>
    <n v="2770.88"/>
    <x v="1"/>
    <n v="1308.1600000000001"/>
    <x v="3"/>
    <x v="0"/>
    <n v="1.6"/>
    <s v="Medium"/>
    <n v="1133.4100000000001"/>
    <n v="0"/>
  </r>
  <r>
    <x v="43"/>
    <x v="41"/>
    <n v="1779"/>
    <n v="4666.8900000000003"/>
    <n v="1994.19"/>
    <n v="2672.7"/>
    <n v="0.43"/>
    <n v="0.31"/>
    <n v="3632.74"/>
    <x v="0"/>
    <n v="567"/>
    <n v="0.59"/>
    <n v="491.25"/>
    <n v="0.11"/>
    <n v="86.43"/>
    <n v="0.02"/>
    <n v="7"/>
    <n v="709.47"/>
    <n v="40"/>
    <n v="0"/>
    <n v="588.72"/>
    <n v="2368.7600000000002"/>
    <x v="0"/>
    <n v="801.39"/>
    <x v="5"/>
    <x v="0"/>
    <n v="81.5"/>
    <s v="Low"/>
    <n v="2672.7"/>
    <n v="0"/>
  </r>
  <r>
    <x v="43"/>
    <x v="41"/>
    <n v="1268"/>
    <n v="3935.86"/>
    <n v="2877.91"/>
    <n v="1057.95"/>
    <n v="0.73"/>
    <n v="0.27"/>
    <n v="3840.85"/>
    <x v="1"/>
    <n v="666"/>
    <n v="0.47"/>
    <n v="579.74"/>
    <n v="0.15"/>
    <n v="362.51"/>
    <n v="0.09"/>
    <n v="8"/>
    <n v="1250.72"/>
    <n v="48"/>
    <n v="1"/>
    <n v="601.12"/>
    <n v="2460.2800000000002"/>
    <x v="1"/>
    <n v="1387.53"/>
    <x v="8"/>
    <x v="2"/>
    <n v="25.1"/>
    <s v="High"/>
    <n v="1057.95"/>
    <n v="0"/>
  </r>
  <r>
    <x v="43"/>
    <x v="41"/>
    <n v="1421"/>
    <n v="4445.3"/>
    <n v="3861.94"/>
    <n v="583.36"/>
    <n v="0.87"/>
    <n v="0.36"/>
    <n v="3003.68"/>
    <x v="2"/>
    <n v="710"/>
    <n v="0.22"/>
    <n v="284.58999999999997"/>
    <n v="0.06"/>
    <n v="127.49"/>
    <n v="0.03"/>
    <n v="9"/>
    <n v="1038.4100000000001"/>
    <n v="86"/>
    <n v="0"/>
    <n v="883.33"/>
    <n v="2525.25"/>
    <x v="0"/>
    <n v="1507.02"/>
    <x v="4"/>
    <x v="1"/>
    <n v="53.4"/>
    <s v="Low"/>
    <n v="583.36"/>
    <n v="0"/>
  </r>
  <r>
    <x v="43"/>
    <x v="41"/>
    <n v="1124"/>
    <n v="3846.7"/>
    <n v="3412.7"/>
    <n v="434"/>
    <n v="0.89"/>
    <n v="0.39"/>
    <n v="3527.49"/>
    <x v="1"/>
    <n v="578"/>
    <n v="0.2"/>
    <n v="671.13"/>
    <n v="0.17"/>
    <n v="0"/>
    <n v="0"/>
    <n v="1"/>
    <n v="1064.46"/>
    <n v="66"/>
    <n v="0"/>
    <n v="479.72"/>
    <n v="2924.72"/>
    <x v="2"/>
    <n v="818.4"/>
    <x v="7"/>
    <x v="0"/>
    <n v="93.3"/>
    <s v="Low"/>
    <n v="434"/>
    <n v="0"/>
  </r>
  <r>
    <x v="43"/>
    <x v="41"/>
    <n v="1382"/>
    <n v="2970.13"/>
    <n v="3628.07"/>
    <n v="-657.94"/>
    <n v="1.22"/>
    <n v="0.2"/>
    <n v="2087.04"/>
    <x v="2"/>
    <n v="699"/>
    <n v="0.28000000000000003"/>
    <n v="283"/>
    <n v="0.1"/>
    <n v="379.94"/>
    <n v="0.13"/>
    <n v="7"/>
    <n v="1115.6500000000001"/>
    <n v="41"/>
    <n v="0"/>
    <n v="591.44000000000005"/>
    <n v="2393.5500000000002"/>
    <x v="0"/>
    <n v="1376.23"/>
    <x v="1"/>
    <x v="0"/>
    <n v="51.3"/>
    <s v="Medium"/>
    <n v="0"/>
    <n v="0"/>
  </r>
  <r>
    <x v="43"/>
    <x v="41"/>
    <n v="1977"/>
    <n v="5422.04"/>
    <n v="2759.95"/>
    <n v="2662.09"/>
    <n v="0.51"/>
    <n v="0.24"/>
    <n v="2357.81"/>
    <x v="0"/>
    <n v="742"/>
    <n v="0.5"/>
    <n v="537.29"/>
    <n v="0.1"/>
    <n v="428.83"/>
    <n v="0.08"/>
    <n v="3"/>
    <n v="992.05"/>
    <n v="24"/>
    <n v="0"/>
    <n v="388.92"/>
    <n v="2284.7199999999998"/>
    <x v="2"/>
    <n v="1285.1500000000001"/>
    <x v="9"/>
    <x v="2"/>
    <n v="43.4"/>
    <s v="Medium"/>
    <n v="2662.09"/>
    <n v="1"/>
  </r>
  <r>
    <x v="43"/>
    <x v="41"/>
    <n v="1284"/>
    <n v="2833.68"/>
    <n v="3269.74"/>
    <n v="-436.06"/>
    <n v="1.1499999999999999"/>
    <n v="0.06"/>
    <n v="2883.34"/>
    <x v="0"/>
    <n v="648"/>
    <n v="0.43"/>
    <n v="573.89"/>
    <n v="0.2"/>
    <n v="201.44"/>
    <n v="7.0000000000000007E-2"/>
    <n v="7"/>
    <n v="1529.41"/>
    <n v="22"/>
    <n v="0"/>
    <n v="488.99"/>
    <n v="2912.98"/>
    <x v="2"/>
    <n v="1512.29"/>
    <x v="0"/>
    <x v="2"/>
    <n v="56.8"/>
    <s v="Medium"/>
    <n v="0"/>
    <n v="0"/>
  </r>
  <r>
    <x v="43"/>
    <x v="41"/>
    <n v="1103"/>
    <n v="3335.38"/>
    <n v="2443.64"/>
    <n v="891.74"/>
    <n v="0.73"/>
    <n v="0.32"/>
    <n v="3538.52"/>
    <x v="0"/>
    <n v="744"/>
    <n v="0.27"/>
    <n v="538.72"/>
    <n v="0.16"/>
    <n v="663.61"/>
    <n v="0.2"/>
    <n v="2"/>
    <n v="772.17"/>
    <n v="75"/>
    <n v="0"/>
    <n v="440.12"/>
    <n v="1681.17"/>
    <x v="1"/>
    <n v="1621.11"/>
    <x v="2"/>
    <x v="2"/>
    <n v="83.7"/>
    <s v="Medium"/>
    <n v="891.74"/>
    <n v="0"/>
  </r>
  <r>
    <x v="43"/>
    <x v="41"/>
    <n v="1809"/>
    <n v="4484.71"/>
    <n v="3651.18"/>
    <n v="833.53"/>
    <n v="0.81"/>
    <n v="0.1"/>
    <n v="2963.63"/>
    <x v="2"/>
    <n v="713"/>
    <n v="0.15"/>
    <n v="229.95"/>
    <n v="0.05"/>
    <n v="152.82"/>
    <n v="0.03"/>
    <n v="3"/>
    <n v="1571.91"/>
    <n v="61"/>
    <n v="0"/>
    <n v="752.06"/>
    <n v="2318.77"/>
    <x v="2"/>
    <n v="945.4"/>
    <x v="2"/>
    <x v="0"/>
    <n v="94.3"/>
    <s v="Low"/>
    <n v="833.53"/>
    <n v="0"/>
  </r>
  <r>
    <x v="43"/>
    <x v="41"/>
    <n v="1035"/>
    <n v="3362.89"/>
    <n v="3047.81"/>
    <n v="315.08"/>
    <n v="0.91"/>
    <n v="0.35"/>
    <n v="2841.72"/>
    <x v="0"/>
    <n v="686"/>
    <n v="0.52"/>
    <n v="510.8"/>
    <n v="0.15"/>
    <n v="523.82000000000005"/>
    <n v="0.16"/>
    <n v="6"/>
    <n v="424.17"/>
    <n v="72"/>
    <n v="0"/>
    <n v="332.89"/>
    <n v="3136.8"/>
    <x v="1"/>
    <n v="1143.05"/>
    <x v="3"/>
    <x v="0"/>
    <n v="16.2"/>
    <s v="Low"/>
    <n v="315.08"/>
    <n v="0"/>
  </r>
  <r>
    <x v="43"/>
    <x v="41"/>
    <n v="1140"/>
    <n v="2307.3200000000002"/>
    <n v="3430.4"/>
    <n v="-1123.08"/>
    <n v="1.49"/>
    <n v="0.39"/>
    <n v="2694.47"/>
    <x v="1"/>
    <n v="660"/>
    <n v="0.39"/>
    <n v="169.25"/>
    <n v="7.0000000000000007E-2"/>
    <n v="376.81"/>
    <n v="0.16"/>
    <n v="8"/>
    <n v="52.14"/>
    <n v="24"/>
    <n v="0"/>
    <n v="468.83"/>
    <n v="1967.33"/>
    <x v="1"/>
    <n v="1999.95"/>
    <x v="2"/>
    <x v="0"/>
    <n v="46.6"/>
    <s v="Low"/>
    <n v="0"/>
    <n v="0"/>
  </r>
  <r>
    <x v="43"/>
    <x v="41"/>
    <n v="1514"/>
    <n v="5238.6000000000004"/>
    <n v="3181.18"/>
    <n v="2057.42"/>
    <n v="0.61"/>
    <n v="0.19"/>
    <n v="2859.72"/>
    <x v="1"/>
    <n v="714"/>
    <n v="0.53"/>
    <n v="210.34"/>
    <n v="0.04"/>
    <n v="232.09"/>
    <n v="0.04"/>
    <n v="6"/>
    <n v="653.61"/>
    <n v="91"/>
    <n v="0"/>
    <n v="360.5"/>
    <n v="2024.95"/>
    <x v="1"/>
    <n v="1343.61"/>
    <x v="5"/>
    <x v="0"/>
    <n v="62.5"/>
    <s v="Low"/>
    <n v="2057.42"/>
    <n v="0"/>
  </r>
  <r>
    <x v="43"/>
    <x v="41"/>
    <n v="1938"/>
    <n v="3410.99"/>
    <n v="1755.22"/>
    <n v="1655.77"/>
    <n v="0.51"/>
    <n v="0.13"/>
    <n v="3381.34"/>
    <x v="2"/>
    <n v="780"/>
    <n v="0.1"/>
    <n v="211.96"/>
    <n v="0.06"/>
    <n v="495.09"/>
    <n v="0.15"/>
    <n v="3"/>
    <n v="621.89"/>
    <n v="37"/>
    <n v="0"/>
    <n v="613.14"/>
    <n v="1206.58"/>
    <x v="1"/>
    <n v="1221.58"/>
    <x v="2"/>
    <x v="2"/>
    <n v="62.8"/>
    <s v="Low"/>
    <n v="1655.77"/>
    <n v="0"/>
  </r>
  <r>
    <x v="43"/>
    <x v="41"/>
    <n v="1730"/>
    <n v="3818.92"/>
    <n v="3635.17"/>
    <n v="183.75"/>
    <n v="0.95"/>
    <n v="0.26"/>
    <n v="3330.9"/>
    <x v="1"/>
    <n v="726"/>
    <n v="0.49"/>
    <n v="640.65"/>
    <n v="0.17"/>
    <n v="381.22"/>
    <n v="0.1"/>
    <n v="5"/>
    <n v="1958.3"/>
    <n v="55"/>
    <n v="0"/>
    <n v="619.17999999999995"/>
    <n v="3534.5"/>
    <x v="1"/>
    <n v="1542.16"/>
    <x v="9"/>
    <x v="1"/>
    <n v="85.3"/>
    <s v="High"/>
    <n v="183.75"/>
    <n v="0"/>
  </r>
  <r>
    <x v="43"/>
    <x v="41"/>
    <n v="1557"/>
    <n v="2919.48"/>
    <n v="2922.42"/>
    <n v="-2.94"/>
    <n v="1"/>
    <n v="0.1"/>
    <n v="3109.74"/>
    <x v="1"/>
    <n v="657"/>
    <n v="0.13"/>
    <n v="556.99"/>
    <n v="0.19"/>
    <n v="72.58"/>
    <n v="0.02"/>
    <n v="2"/>
    <n v="838.24"/>
    <n v="84"/>
    <n v="0"/>
    <n v="277.95999999999998"/>
    <n v="3019.35"/>
    <x v="1"/>
    <n v="994.71"/>
    <x v="7"/>
    <x v="0"/>
    <n v="31.3"/>
    <s v="Medium"/>
    <n v="0"/>
    <n v="0"/>
  </r>
  <r>
    <x v="43"/>
    <x v="41"/>
    <n v="1279"/>
    <n v="4214.7299999999996"/>
    <n v="2630.2"/>
    <n v="1584.53"/>
    <n v="0.62"/>
    <n v="0.35"/>
    <n v="3148.72"/>
    <x v="1"/>
    <n v="736"/>
    <n v="0.32"/>
    <n v="289.08999999999997"/>
    <n v="7.0000000000000007E-2"/>
    <n v="257.43"/>
    <n v="0.06"/>
    <n v="8"/>
    <n v="782.28"/>
    <n v="37"/>
    <n v="0"/>
    <n v="728.23"/>
    <n v="2262.2800000000002"/>
    <x v="1"/>
    <n v="1473.49"/>
    <x v="6"/>
    <x v="0"/>
    <n v="26.2"/>
    <s v="Medium"/>
    <n v="1584.53"/>
    <n v="0"/>
  </r>
  <r>
    <x v="43"/>
    <x v="41"/>
    <n v="1770"/>
    <n v="4031.76"/>
    <n v="2825.62"/>
    <n v="1206.1400000000001"/>
    <n v="0.7"/>
    <n v="0.1"/>
    <n v="3122.18"/>
    <x v="1"/>
    <n v="690"/>
    <n v="0.14000000000000001"/>
    <n v="555.72"/>
    <n v="0.14000000000000001"/>
    <n v="690.22"/>
    <n v="0.17"/>
    <n v="9"/>
    <n v="453.8"/>
    <n v="45"/>
    <n v="0"/>
    <n v="432.86"/>
    <n v="2346.52"/>
    <x v="1"/>
    <n v="1112.6199999999999"/>
    <x v="9"/>
    <x v="1"/>
    <n v="46.7"/>
    <s v="Low"/>
    <n v="1206.1400000000001"/>
    <n v="0"/>
  </r>
  <r>
    <x v="43"/>
    <x v="41"/>
    <n v="1173"/>
    <n v="3508.02"/>
    <n v="3608.42"/>
    <n v="-100.4"/>
    <n v="1.03"/>
    <n v="0.24"/>
    <n v="2936.41"/>
    <x v="1"/>
    <n v="687"/>
    <n v="0.18"/>
    <n v="237.86"/>
    <n v="7.0000000000000007E-2"/>
    <n v="265.16000000000003"/>
    <n v="0.08"/>
    <n v="5"/>
    <n v="206.29"/>
    <n v="32"/>
    <n v="0"/>
    <n v="502.46"/>
    <n v="3094.33"/>
    <x v="1"/>
    <n v="1143.7"/>
    <x v="4"/>
    <x v="0"/>
    <n v="77.7"/>
    <s v="High"/>
    <n v="0"/>
    <n v="0"/>
  </r>
  <r>
    <x v="43"/>
    <x v="41"/>
    <n v="1764"/>
    <n v="4796.91"/>
    <n v="2050.75"/>
    <n v="2746.16"/>
    <n v="0.43"/>
    <n v="0.17"/>
    <n v="2328.15"/>
    <x v="2"/>
    <n v="674"/>
    <n v="0.45"/>
    <n v="399.45"/>
    <n v="0.08"/>
    <n v="538.89"/>
    <n v="0.11"/>
    <n v="2"/>
    <n v="610.58000000000004"/>
    <n v="36"/>
    <n v="0"/>
    <n v="627.72"/>
    <n v="2213.04"/>
    <x v="1"/>
    <n v="1986.16"/>
    <x v="3"/>
    <x v="0"/>
    <n v="58.1"/>
    <s v="Medium"/>
    <n v="2746.16"/>
    <n v="1"/>
  </r>
  <r>
    <x v="43"/>
    <x v="41"/>
    <n v="1975"/>
    <n v="3506.1"/>
    <n v="1785.56"/>
    <n v="1720.54"/>
    <n v="0.51"/>
    <n v="0.31"/>
    <n v="3100.33"/>
    <x v="0"/>
    <n v="643"/>
    <n v="0.34"/>
    <n v="481"/>
    <n v="0.14000000000000001"/>
    <n v="292.54000000000002"/>
    <n v="0.08"/>
    <n v="8"/>
    <n v="1186.76"/>
    <n v="28"/>
    <n v="0"/>
    <n v="876.53"/>
    <n v="3021.2"/>
    <x v="1"/>
    <n v="1451.27"/>
    <x v="2"/>
    <x v="0"/>
    <n v="73.5"/>
    <s v="Low"/>
    <n v="1720.54"/>
    <n v="0"/>
  </r>
  <r>
    <x v="43"/>
    <x v="41"/>
    <n v="1202"/>
    <n v="5149.0600000000004"/>
    <n v="2468.15"/>
    <n v="2680.91"/>
    <n v="0.48"/>
    <n v="0.28999999999999998"/>
    <n v="3702.48"/>
    <x v="1"/>
    <n v="642"/>
    <n v="0.22"/>
    <n v="194.01"/>
    <n v="0.04"/>
    <n v="572.51"/>
    <n v="0.11"/>
    <n v="3"/>
    <n v="1474.59"/>
    <n v="66"/>
    <n v="0"/>
    <n v="599.05999999999995"/>
    <n v="2590.4699999999998"/>
    <x v="2"/>
    <n v="770.55"/>
    <x v="9"/>
    <x v="1"/>
    <n v="62.8"/>
    <s v="Medium"/>
    <n v="2680.91"/>
    <n v="0"/>
  </r>
  <r>
    <x v="43"/>
    <x v="41"/>
    <n v="1566"/>
    <n v="3684.26"/>
    <n v="4741.72"/>
    <n v="-1057.46"/>
    <n v="1.29"/>
    <n v="0.2"/>
    <n v="1949.74"/>
    <x v="1"/>
    <n v="673"/>
    <n v="0.3"/>
    <n v="146.32"/>
    <n v="0.04"/>
    <n v="94.38"/>
    <n v="0.03"/>
    <n v="9"/>
    <n v="843.4"/>
    <n v="60"/>
    <n v="0"/>
    <n v="498.44"/>
    <n v="2632.08"/>
    <x v="1"/>
    <n v="933.22"/>
    <x v="0"/>
    <x v="0"/>
    <n v="56.5"/>
    <s v="Low"/>
    <n v="0"/>
    <n v="0"/>
  </r>
  <r>
    <x v="43"/>
    <x v="41"/>
    <n v="1088"/>
    <n v="5067.08"/>
    <n v="3680.16"/>
    <n v="1386.92"/>
    <n v="0.73"/>
    <n v="0.09"/>
    <n v="2633.27"/>
    <x v="2"/>
    <n v="737"/>
    <n v="0.51"/>
    <n v="450.41"/>
    <n v="0.09"/>
    <n v="165.89"/>
    <n v="0.03"/>
    <n v="2"/>
    <n v="389.59"/>
    <n v="83"/>
    <n v="0"/>
    <n v="451.16"/>
    <n v="2501.6"/>
    <x v="1"/>
    <n v="808.6"/>
    <x v="4"/>
    <x v="0"/>
    <n v="4.0999999999999996"/>
    <s v="Medium"/>
    <n v="1386.92"/>
    <n v="0"/>
  </r>
  <r>
    <x v="43"/>
    <x v="41"/>
    <n v="1427"/>
    <n v="3410.52"/>
    <n v="2290.39"/>
    <n v="1120.1300000000001"/>
    <n v="0.67"/>
    <n v="0.09"/>
    <n v="2518.6"/>
    <x v="2"/>
    <n v="753"/>
    <n v="0.52"/>
    <n v="730.3"/>
    <n v="0.21"/>
    <n v="591.32000000000005"/>
    <n v="0.17"/>
    <n v="8"/>
    <n v="621.05999999999995"/>
    <n v="53"/>
    <n v="0"/>
    <n v="548.66999999999996"/>
    <n v="1116.46"/>
    <x v="1"/>
    <n v="944.59"/>
    <x v="3"/>
    <x v="0"/>
    <n v="80.900000000000006"/>
    <s v="Medium"/>
    <n v="1120.1300000000001"/>
    <n v="0"/>
  </r>
  <r>
    <x v="43"/>
    <x v="41"/>
    <n v="1177"/>
    <n v="4176.62"/>
    <n v="3215.97"/>
    <n v="960.65"/>
    <n v="0.77"/>
    <n v="0.21"/>
    <n v="2350.36"/>
    <x v="0"/>
    <n v="792"/>
    <n v="0.56000000000000005"/>
    <n v="473.08"/>
    <n v="0.11"/>
    <n v="0"/>
    <n v="0"/>
    <n v="9"/>
    <n v="1132.6300000000001"/>
    <n v="29"/>
    <n v="1"/>
    <n v="412.53"/>
    <n v="2369.3000000000002"/>
    <x v="1"/>
    <n v="1213.03"/>
    <x v="4"/>
    <x v="0"/>
    <n v="98.1"/>
    <s v="High"/>
    <n v="960.65"/>
    <n v="0"/>
  </r>
  <r>
    <x v="43"/>
    <x v="41"/>
    <n v="1325"/>
    <n v="5191.6400000000003"/>
    <n v="3392.09"/>
    <n v="1799.55"/>
    <n v="0.65"/>
    <n v="0.37"/>
    <n v="3237.67"/>
    <x v="1"/>
    <n v="661"/>
    <n v="0.22"/>
    <n v="600.41999999999996"/>
    <n v="0.12"/>
    <n v="0"/>
    <n v="0"/>
    <n v="6"/>
    <n v="1124.8399999999999"/>
    <n v="36"/>
    <n v="0"/>
    <n v="470.56"/>
    <n v="2666.06"/>
    <x v="1"/>
    <n v="764.61"/>
    <x v="5"/>
    <x v="1"/>
    <n v="25.9"/>
    <s v="High"/>
    <n v="1799.55"/>
    <n v="0"/>
  </r>
  <r>
    <x v="43"/>
    <x v="41"/>
    <n v="1498"/>
    <n v="4990.51"/>
    <n v="1485.77"/>
    <n v="3504.74"/>
    <n v="0.3"/>
    <n v="0.22"/>
    <n v="2862.51"/>
    <x v="1"/>
    <n v="746"/>
    <n v="0.44"/>
    <n v="721.56"/>
    <n v="0.14000000000000001"/>
    <n v="370.61"/>
    <n v="7.0000000000000007E-2"/>
    <n v="6"/>
    <n v="1200.48"/>
    <n v="51"/>
    <n v="0"/>
    <n v="461.23"/>
    <n v="2265.71"/>
    <x v="0"/>
    <n v="1121.1400000000001"/>
    <x v="7"/>
    <x v="0"/>
    <n v="9.9"/>
    <s v="Medium"/>
    <n v="3504.74"/>
    <n v="1"/>
  </r>
  <r>
    <x v="43"/>
    <x v="41"/>
    <n v="1703"/>
    <n v="4530.16"/>
    <n v="2588.87"/>
    <n v="1941.29"/>
    <n v="0.56999999999999995"/>
    <n v="0.08"/>
    <n v="3093.13"/>
    <x v="1"/>
    <n v="758"/>
    <n v="0.38"/>
    <n v="799.1"/>
    <n v="0.18"/>
    <n v="570.77"/>
    <n v="0.13"/>
    <n v="3"/>
    <n v="1041.48"/>
    <n v="70"/>
    <n v="0"/>
    <n v="772.5"/>
    <n v="1455.77"/>
    <x v="0"/>
    <n v="1026.23"/>
    <x v="4"/>
    <x v="1"/>
    <n v="50.2"/>
    <s v="Low"/>
    <n v="1941.29"/>
    <n v="0"/>
  </r>
  <r>
    <x v="43"/>
    <x v="41"/>
    <n v="1678"/>
    <n v="2367.41"/>
    <n v="2366.94"/>
    <n v="0.47"/>
    <n v="1"/>
    <n v="0.27"/>
    <n v="2532.2800000000002"/>
    <x v="1"/>
    <n v="668"/>
    <n v="0.22"/>
    <n v="669.72"/>
    <n v="0.28000000000000003"/>
    <n v="485.37"/>
    <n v="0.21"/>
    <n v="7"/>
    <n v="196.47"/>
    <n v="55"/>
    <n v="1"/>
    <n v="412.89"/>
    <n v="1121.21"/>
    <x v="1"/>
    <n v="1331.47"/>
    <x v="6"/>
    <x v="0"/>
    <n v="80.099999999999994"/>
    <s v="Low"/>
    <n v="0.47"/>
    <n v="0"/>
  </r>
  <r>
    <x v="43"/>
    <x v="41"/>
    <n v="1704"/>
    <n v="3737.92"/>
    <n v="2977.82"/>
    <n v="760.1"/>
    <n v="0.8"/>
    <n v="0.33"/>
    <n v="4194.51"/>
    <x v="2"/>
    <n v="773"/>
    <n v="0.57999999999999996"/>
    <n v="300.87"/>
    <n v="0.08"/>
    <n v="0"/>
    <n v="0"/>
    <n v="3"/>
    <n v="653.66999999999996"/>
    <n v="63"/>
    <n v="0"/>
    <n v="635.26"/>
    <n v="2365.06"/>
    <x v="1"/>
    <n v="1040.5899999999999"/>
    <x v="5"/>
    <x v="1"/>
    <n v="38.799999999999997"/>
    <s v="Low"/>
    <n v="760.1"/>
    <n v="0"/>
  </r>
  <r>
    <x v="43"/>
    <x v="41"/>
    <n v="1565"/>
    <n v="4891.76"/>
    <n v="3210.39"/>
    <n v="1681.37"/>
    <n v="0.66"/>
    <n v="0.28000000000000003"/>
    <n v="1825.61"/>
    <x v="2"/>
    <n v="643"/>
    <n v="0.17"/>
    <n v="608.48"/>
    <n v="0.12"/>
    <n v="0"/>
    <n v="0"/>
    <n v="8"/>
    <n v="1564.69"/>
    <n v="99"/>
    <n v="0"/>
    <n v="355.87"/>
    <n v="2069.3200000000002"/>
    <x v="1"/>
    <n v="1728.01"/>
    <x v="0"/>
    <x v="0"/>
    <n v="33.700000000000003"/>
    <s v="Low"/>
    <n v="1681.37"/>
    <n v="0"/>
  </r>
  <r>
    <x v="43"/>
    <x v="41"/>
    <n v="1047"/>
    <n v="3530.64"/>
    <n v="2391.7800000000002"/>
    <n v="1138.8599999999999"/>
    <n v="0.68"/>
    <n v="0.39"/>
    <n v="3044.65"/>
    <x v="2"/>
    <n v="706"/>
    <n v="0.17"/>
    <n v="278.87"/>
    <n v="0.08"/>
    <n v="154.1"/>
    <n v="0.04"/>
    <n v="8"/>
    <n v="1476.66"/>
    <n v="30"/>
    <n v="0"/>
    <n v="557.45000000000005"/>
    <n v="1014.29"/>
    <x v="1"/>
    <n v="803.78"/>
    <x v="9"/>
    <x v="0"/>
    <n v="10.8"/>
    <s v="Medium"/>
    <n v="1138.8599999999999"/>
    <n v="0"/>
  </r>
  <r>
    <x v="44"/>
    <x v="42"/>
    <n v="1756"/>
    <n v="4155.26"/>
    <n v="3157.23"/>
    <n v="998.03"/>
    <n v="0.76"/>
    <n v="0.17"/>
    <n v="2270.44"/>
    <x v="1"/>
    <n v="720"/>
    <n v="0.27"/>
    <n v="743.05"/>
    <n v="0.18"/>
    <n v="245.03"/>
    <n v="0.06"/>
    <n v="2"/>
    <n v="1347.98"/>
    <n v="27"/>
    <n v="0"/>
    <n v="697.79"/>
    <n v="2778.93"/>
    <x v="1"/>
    <n v="1396.85"/>
    <x v="1"/>
    <x v="0"/>
    <n v="11.9"/>
    <s v="Low"/>
    <n v="998.03"/>
    <n v="0"/>
  </r>
  <r>
    <x v="44"/>
    <x v="42"/>
    <n v="1063"/>
    <n v="4695.21"/>
    <n v="4526.43"/>
    <n v="168.78"/>
    <n v="0.96"/>
    <n v="0.2"/>
    <n v="2232.9299999999998"/>
    <x v="1"/>
    <n v="746"/>
    <n v="0.52"/>
    <n v="149.62"/>
    <n v="0.03"/>
    <n v="1114.32"/>
    <n v="0.24"/>
    <n v="1"/>
    <n v="1174.05"/>
    <n v="86"/>
    <n v="0"/>
    <n v="721.25"/>
    <n v="1585.08"/>
    <x v="1"/>
    <n v="1277.5899999999999"/>
    <x v="0"/>
    <x v="0"/>
    <n v="4.4000000000000004"/>
    <s v="Medium"/>
    <n v="168.78"/>
    <n v="0"/>
  </r>
  <r>
    <x v="44"/>
    <x v="42"/>
    <n v="1491"/>
    <n v="3598.39"/>
    <n v="3003.42"/>
    <n v="594.97"/>
    <n v="0.83"/>
    <n v="0.14000000000000001"/>
    <n v="2793.03"/>
    <x v="1"/>
    <n v="652"/>
    <n v="0.5"/>
    <n v="594.12"/>
    <n v="0.17"/>
    <n v="602.97"/>
    <n v="0.17"/>
    <n v="3"/>
    <n v="920.91"/>
    <n v="44"/>
    <n v="0"/>
    <n v="397.14"/>
    <n v="1625.5"/>
    <x v="2"/>
    <n v="1770.26"/>
    <x v="2"/>
    <x v="0"/>
    <n v="50.4"/>
    <s v="Low"/>
    <n v="594.97"/>
    <n v="0"/>
  </r>
  <r>
    <x v="44"/>
    <x v="42"/>
    <n v="1260"/>
    <n v="4820.37"/>
    <n v="2712.34"/>
    <n v="2108.0300000000002"/>
    <n v="0.56000000000000005"/>
    <n v="7.0000000000000007E-2"/>
    <n v="2917.38"/>
    <x v="1"/>
    <n v="724"/>
    <n v="0.48"/>
    <n v="340.47"/>
    <n v="7.0000000000000007E-2"/>
    <n v="221.39"/>
    <n v="0.05"/>
    <n v="8"/>
    <n v="1462.83"/>
    <n v="67"/>
    <n v="0"/>
    <n v="211.92"/>
    <n v="1714.96"/>
    <x v="1"/>
    <n v="1695.02"/>
    <x v="2"/>
    <x v="2"/>
    <n v="77.2"/>
    <s v="Low"/>
    <n v="2108.0300000000002"/>
    <n v="0"/>
  </r>
  <r>
    <x v="44"/>
    <x v="42"/>
    <n v="1223"/>
    <n v="2990.7"/>
    <n v="1765.16"/>
    <n v="1225.54"/>
    <n v="0.59"/>
    <n v="0.19"/>
    <n v="2513.36"/>
    <x v="0"/>
    <n v="651"/>
    <n v="0.22"/>
    <n v="617.52"/>
    <n v="0.21"/>
    <n v="816.62"/>
    <n v="0.27"/>
    <n v="3"/>
    <n v="1103.98"/>
    <n v="93"/>
    <n v="0"/>
    <n v="673.85"/>
    <n v="1965.37"/>
    <x v="2"/>
    <n v="420.06"/>
    <x v="3"/>
    <x v="2"/>
    <n v="24"/>
    <s v="Medium"/>
    <n v="1225.54"/>
    <n v="0"/>
  </r>
  <r>
    <x v="44"/>
    <x v="42"/>
    <n v="1714"/>
    <n v="3742.93"/>
    <n v="2513.37"/>
    <n v="1229.56"/>
    <n v="0.67"/>
    <n v="0.26"/>
    <n v="3179.15"/>
    <x v="0"/>
    <n v="643"/>
    <n v="0.52"/>
    <n v="318.37"/>
    <n v="0.09"/>
    <n v="38.54"/>
    <n v="0.01"/>
    <n v="5"/>
    <n v="1347.49"/>
    <n v="70"/>
    <n v="1"/>
    <n v="893.09"/>
    <n v="1517.47"/>
    <x v="0"/>
    <n v="761.16"/>
    <x v="9"/>
    <x v="0"/>
    <n v="84.8"/>
    <s v="Low"/>
    <n v="1229.56"/>
    <n v="0"/>
  </r>
  <r>
    <x v="44"/>
    <x v="42"/>
    <n v="1812"/>
    <n v="4345.8599999999997"/>
    <n v="4226.75"/>
    <n v="119.11"/>
    <n v="0.97"/>
    <n v="0.37"/>
    <n v="2943.24"/>
    <x v="2"/>
    <n v="666"/>
    <n v="0.45"/>
    <n v="648.88"/>
    <n v="0.15"/>
    <n v="822.4"/>
    <n v="0.19"/>
    <n v="3"/>
    <n v="628.29999999999995"/>
    <n v="90"/>
    <n v="0"/>
    <n v="438.31"/>
    <n v="1893.08"/>
    <x v="0"/>
    <n v="657.1"/>
    <x v="7"/>
    <x v="0"/>
    <n v="44.6"/>
    <s v="Low"/>
    <n v="119.11"/>
    <n v="0"/>
  </r>
  <r>
    <x v="44"/>
    <x v="42"/>
    <n v="1520"/>
    <n v="3658.63"/>
    <n v="2078.66"/>
    <n v="1579.97"/>
    <n v="0.56999999999999995"/>
    <n v="0.24"/>
    <n v="2830.27"/>
    <x v="1"/>
    <n v="756"/>
    <n v="0.46"/>
    <n v="295.20999999999998"/>
    <n v="0.08"/>
    <n v="296.35000000000002"/>
    <n v="0.08"/>
    <n v="8"/>
    <n v="1023.08"/>
    <n v="84"/>
    <n v="0"/>
    <n v="637.29999999999995"/>
    <n v="2973.46"/>
    <x v="2"/>
    <n v="1312.88"/>
    <x v="5"/>
    <x v="1"/>
    <n v="48.3"/>
    <s v="Low"/>
    <n v="1579.97"/>
    <n v="0"/>
  </r>
  <r>
    <x v="44"/>
    <x v="42"/>
    <n v="1910"/>
    <n v="3271.42"/>
    <n v="2694.31"/>
    <n v="577.11"/>
    <n v="0.82"/>
    <n v="0.3"/>
    <n v="2077.23"/>
    <x v="1"/>
    <n v="687"/>
    <n v="0.42"/>
    <n v="388.6"/>
    <n v="0.12"/>
    <n v="612.66999999999996"/>
    <n v="0.19"/>
    <n v="2"/>
    <n v="1594.2"/>
    <n v="61"/>
    <n v="0"/>
    <n v="448.33"/>
    <n v="1374.72"/>
    <x v="1"/>
    <n v="1060.46"/>
    <x v="8"/>
    <x v="0"/>
    <n v="2.9"/>
    <s v="Low"/>
    <n v="577.11"/>
    <n v="0"/>
  </r>
  <r>
    <x v="44"/>
    <x v="42"/>
    <n v="1572"/>
    <n v="3501.27"/>
    <n v="4486.83"/>
    <n v="-985.56"/>
    <n v="1.28"/>
    <n v="0.1"/>
    <n v="2648.14"/>
    <x v="2"/>
    <n v="711"/>
    <n v="0.5"/>
    <n v="71.92"/>
    <n v="0.02"/>
    <n v="293.7"/>
    <n v="0.08"/>
    <n v="7"/>
    <n v="1870.16"/>
    <n v="92"/>
    <n v="0"/>
    <n v="496.29"/>
    <n v="3215.26"/>
    <x v="1"/>
    <n v="1676.58"/>
    <x v="3"/>
    <x v="0"/>
    <n v="83.9"/>
    <s v="Low"/>
    <n v="0"/>
    <n v="0"/>
  </r>
  <r>
    <x v="44"/>
    <x v="42"/>
    <n v="1803"/>
    <n v="5842.25"/>
    <n v="2002.82"/>
    <n v="3839.43"/>
    <n v="0.34"/>
    <n v="0.08"/>
    <n v="2721.32"/>
    <x v="0"/>
    <n v="709"/>
    <n v="0.56999999999999995"/>
    <n v="341.44"/>
    <n v="0.06"/>
    <n v="0"/>
    <n v="0"/>
    <n v="7"/>
    <n v="1072.42"/>
    <n v="55"/>
    <n v="0"/>
    <n v="363.81"/>
    <n v="1348.8"/>
    <x v="1"/>
    <n v="403.94"/>
    <x v="8"/>
    <x v="1"/>
    <n v="70.2"/>
    <s v="Medium"/>
    <n v="3839.43"/>
    <n v="1"/>
  </r>
  <r>
    <x v="44"/>
    <x v="42"/>
    <n v="1154"/>
    <n v="2949.03"/>
    <n v="2416.23"/>
    <n v="532.79999999999995"/>
    <n v="0.82"/>
    <n v="0.17"/>
    <n v="1932.28"/>
    <x v="1"/>
    <n v="664"/>
    <n v="0.46"/>
    <n v="656.97"/>
    <n v="0.22"/>
    <n v="351.19"/>
    <n v="0.12"/>
    <n v="8"/>
    <n v="1023.27"/>
    <n v="49"/>
    <n v="0"/>
    <n v="628.23"/>
    <n v="2801.16"/>
    <x v="1"/>
    <n v="1641.57"/>
    <x v="7"/>
    <x v="2"/>
    <n v="70.599999999999994"/>
    <s v="Medium"/>
    <n v="532.79999999999995"/>
    <n v="0"/>
  </r>
  <r>
    <x v="44"/>
    <x v="42"/>
    <n v="1812"/>
    <n v="4447.1899999999996"/>
    <n v="3332.54"/>
    <n v="1114.6500000000001"/>
    <n v="0.75"/>
    <n v="0.27"/>
    <n v="3204.24"/>
    <x v="0"/>
    <n v="700"/>
    <n v="0.56000000000000005"/>
    <n v="454.22"/>
    <n v="0.1"/>
    <n v="114.05"/>
    <n v="0.03"/>
    <n v="1"/>
    <n v="479.52"/>
    <n v="79"/>
    <n v="0"/>
    <n v="444.38"/>
    <n v="2825.77"/>
    <x v="1"/>
    <n v="834.39"/>
    <x v="1"/>
    <x v="2"/>
    <n v="78.7"/>
    <s v="Medium"/>
    <n v="1114.6500000000001"/>
    <n v="0"/>
  </r>
  <r>
    <x v="44"/>
    <x v="42"/>
    <n v="1369"/>
    <n v="4148.09"/>
    <n v="3089.74"/>
    <n v="1058.3499999999999"/>
    <n v="0.74"/>
    <n v="0.24"/>
    <n v="2770.29"/>
    <x v="0"/>
    <n v="632"/>
    <n v="0.44"/>
    <n v="594.67999999999995"/>
    <n v="0.14000000000000001"/>
    <n v="589.72"/>
    <n v="0.14000000000000001"/>
    <n v="5"/>
    <n v="650.97"/>
    <n v="91"/>
    <n v="0"/>
    <n v="240.29"/>
    <n v="1659.95"/>
    <x v="1"/>
    <n v="1133.75"/>
    <x v="4"/>
    <x v="0"/>
    <n v="64.5"/>
    <s v="Low"/>
    <n v="1058.3499999999999"/>
    <n v="0"/>
  </r>
  <r>
    <x v="44"/>
    <x v="42"/>
    <n v="1142"/>
    <n v="4171.99"/>
    <n v="2191.17"/>
    <n v="1980.82"/>
    <n v="0.53"/>
    <n v="0.33"/>
    <n v="3599.57"/>
    <x v="2"/>
    <n v="641"/>
    <n v="0.53"/>
    <n v="521.78"/>
    <n v="0.13"/>
    <n v="476.34"/>
    <n v="0.11"/>
    <n v="4"/>
    <n v="1454.54"/>
    <n v="57"/>
    <n v="0"/>
    <n v="794.79"/>
    <n v="1713.31"/>
    <x v="2"/>
    <n v="773.68"/>
    <x v="6"/>
    <x v="0"/>
    <n v="36.299999999999997"/>
    <s v="Low"/>
    <n v="1980.82"/>
    <n v="0"/>
  </r>
  <r>
    <x v="44"/>
    <x v="42"/>
    <n v="1447"/>
    <n v="4206.6099999999997"/>
    <n v="4421.55"/>
    <n v="-214.94"/>
    <n v="1.05"/>
    <n v="0.09"/>
    <n v="2468.9"/>
    <x v="2"/>
    <n v="744"/>
    <n v="0.56999999999999995"/>
    <n v="459.62"/>
    <n v="0.11"/>
    <n v="576.26"/>
    <n v="0.14000000000000001"/>
    <n v="2"/>
    <n v="1074.25"/>
    <n v="38"/>
    <n v="0"/>
    <n v="609.39"/>
    <n v="1000"/>
    <x v="1"/>
    <n v="865.5"/>
    <x v="7"/>
    <x v="2"/>
    <n v="87.8"/>
    <s v="Medium"/>
    <n v="0"/>
    <n v="0"/>
  </r>
  <r>
    <x v="44"/>
    <x v="42"/>
    <n v="1581"/>
    <n v="3998.27"/>
    <n v="1418.84"/>
    <n v="2579.4299999999998"/>
    <n v="0.35"/>
    <n v="0.19"/>
    <n v="2897.41"/>
    <x v="0"/>
    <n v="713"/>
    <n v="0.56999999999999995"/>
    <n v="665.39"/>
    <n v="0.17"/>
    <n v="247.12"/>
    <n v="0.06"/>
    <n v="1"/>
    <n v="581.46"/>
    <n v="27"/>
    <n v="0"/>
    <n v="155.41"/>
    <n v="2350.64"/>
    <x v="2"/>
    <n v="1158.21"/>
    <x v="2"/>
    <x v="1"/>
    <n v="33.4"/>
    <s v="High"/>
    <n v="2579.4299999999998"/>
    <n v="0"/>
  </r>
  <r>
    <x v="44"/>
    <x v="42"/>
    <n v="1723"/>
    <n v="2878.18"/>
    <n v="3645.56"/>
    <n v="-767.38"/>
    <n v="1.27"/>
    <n v="0.37"/>
    <n v="1598.06"/>
    <x v="1"/>
    <n v="656"/>
    <n v="0.23"/>
    <n v="519.37"/>
    <n v="0.18"/>
    <n v="131.94"/>
    <n v="0.05"/>
    <n v="1"/>
    <n v="1607.37"/>
    <n v="27"/>
    <n v="0"/>
    <n v="340.74"/>
    <n v="1385.69"/>
    <x v="1"/>
    <n v="1506.68"/>
    <x v="4"/>
    <x v="2"/>
    <n v="31"/>
    <s v="Low"/>
    <n v="0"/>
    <n v="0"/>
  </r>
  <r>
    <x v="44"/>
    <x v="42"/>
    <n v="1192"/>
    <n v="3248.15"/>
    <n v="3728.25"/>
    <n v="-480.1"/>
    <n v="1.1499999999999999"/>
    <n v="0.15"/>
    <n v="2812.04"/>
    <x v="1"/>
    <n v="655"/>
    <n v="0.17"/>
    <n v="364.76"/>
    <n v="0.11"/>
    <n v="386.87"/>
    <n v="0.12"/>
    <n v="9"/>
    <n v="1414.08"/>
    <n v="67"/>
    <n v="0"/>
    <n v="707.22"/>
    <n v="2015.12"/>
    <x v="1"/>
    <n v="957.34"/>
    <x v="0"/>
    <x v="2"/>
    <n v="57.1"/>
    <s v="High"/>
    <n v="0"/>
    <n v="0"/>
  </r>
  <r>
    <x v="44"/>
    <x v="42"/>
    <n v="1571"/>
    <n v="3959.13"/>
    <n v="2506.9699999999998"/>
    <n v="1452.16"/>
    <n v="0.63"/>
    <n v="0.37"/>
    <n v="2989.43"/>
    <x v="2"/>
    <n v="626"/>
    <n v="0.31"/>
    <n v="704.35"/>
    <n v="0.18"/>
    <n v="0"/>
    <n v="0"/>
    <n v="5"/>
    <n v="0"/>
    <n v="55"/>
    <n v="0"/>
    <n v="239.78"/>
    <n v="1229.24"/>
    <x v="1"/>
    <n v="1314.05"/>
    <x v="0"/>
    <x v="2"/>
    <n v="26.6"/>
    <s v="High"/>
    <n v="1452.16"/>
    <n v="0"/>
  </r>
  <r>
    <x v="44"/>
    <x v="42"/>
    <n v="1731"/>
    <n v="5532.98"/>
    <n v="4479.33"/>
    <n v="1053.6500000000001"/>
    <n v="0.81"/>
    <n v="0.06"/>
    <n v="3041.13"/>
    <x v="1"/>
    <n v="683"/>
    <n v="0.56000000000000005"/>
    <n v="645.67999999999995"/>
    <n v="0.12"/>
    <n v="404.19"/>
    <n v="7.0000000000000007E-2"/>
    <n v="2"/>
    <n v="1006.9"/>
    <n v="98"/>
    <n v="0"/>
    <n v="144.91999999999999"/>
    <n v="2688.19"/>
    <x v="1"/>
    <n v="1288.18"/>
    <x v="5"/>
    <x v="1"/>
    <n v="7.9"/>
    <s v="Low"/>
    <n v="1053.6500000000001"/>
    <n v="0"/>
  </r>
  <r>
    <x v="44"/>
    <x v="42"/>
    <n v="1679"/>
    <n v="3261.17"/>
    <n v="2863.51"/>
    <n v="397.66"/>
    <n v="0.88"/>
    <n v="0.34"/>
    <n v="2810.08"/>
    <x v="0"/>
    <n v="756"/>
    <n v="0.38"/>
    <n v="759.72"/>
    <n v="0.23"/>
    <n v="524.1"/>
    <n v="0.16"/>
    <n v="7"/>
    <n v="971.53"/>
    <n v="83"/>
    <n v="0"/>
    <n v="603.22"/>
    <n v="3038.57"/>
    <x v="2"/>
    <n v="1436.52"/>
    <x v="5"/>
    <x v="0"/>
    <n v="61.5"/>
    <s v="Medium"/>
    <n v="397.66"/>
    <n v="0"/>
  </r>
  <r>
    <x v="44"/>
    <x v="42"/>
    <n v="1540"/>
    <n v="3646.28"/>
    <n v="2177.5100000000002"/>
    <n v="1468.77"/>
    <n v="0.6"/>
    <n v="0.24"/>
    <n v="2663.91"/>
    <x v="2"/>
    <n v="644"/>
    <n v="0.16"/>
    <n v="597.75"/>
    <n v="0.16"/>
    <n v="350"/>
    <n v="0.1"/>
    <n v="6"/>
    <n v="406.97"/>
    <n v="35"/>
    <n v="0"/>
    <n v="425.49"/>
    <n v="2570.58"/>
    <x v="0"/>
    <n v="1565.82"/>
    <x v="3"/>
    <x v="1"/>
    <n v="44"/>
    <s v="Medium"/>
    <n v="1468.77"/>
    <n v="0"/>
  </r>
  <r>
    <x v="44"/>
    <x v="42"/>
    <n v="1978"/>
    <n v="3415.34"/>
    <n v="3037.18"/>
    <n v="378.16"/>
    <n v="0.89"/>
    <n v="0.06"/>
    <n v="2433.5300000000002"/>
    <x v="1"/>
    <n v="688"/>
    <n v="0.59"/>
    <n v="466.93"/>
    <n v="0.14000000000000001"/>
    <n v="0"/>
    <n v="0"/>
    <n v="2"/>
    <n v="452.12"/>
    <n v="64"/>
    <n v="0"/>
    <n v="359.4"/>
    <n v="2941.18"/>
    <x v="1"/>
    <n v="1223.8599999999999"/>
    <x v="7"/>
    <x v="2"/>
    <n v="71"/>
    <s v="High"/>
    <n v="378.16"/>
    <n v="0"/>
  </r>
  <r>
    <x v="44"/>
    <x v="42"/>
    <n v="1350"/>
    <n v="5685.03"/>
    <n v="1805.44"/>
    <n v="3879.59"/>
    <n v="0.32"/>
    <n v="0.22"/>
    <n v="2889.77"/>
    <x v="1"/>
    <n v="772"/>
    <n v="0.55000000000000004"/>
    <n v="651.5"/>
    <n v="0.11"/>
    <n v="377.81"/>
    <n v="7.0000000000000007E-2"/>
    <n v="2"/>
    <n v="833.04"/>
    <n v="54"/>
    <n v="0"/>
    <n v="787"/>
    <n v="2444.94"/>
    <x v="1"/>
    <n v="1637.76"/>
    <x v="8"/>
    <x v="0"/>
    <n v="44.9"/>
    <s v="Low"/>
    <n v="3879.59"/>
    <n v="1"/>
  </r>
  <r>
    <x v="44"/>
    <x v="42"/>
    <n v="1202"/>
    <n v="3294.03"/>
    <n v="3372.6"/>
    <n v="-78.569999999999993"/>
    <n v="1.02"/>
    <n v="0.27"/>
    <n v="2572.96"/>
    <x v="1"/>
    <n v="634"/>
    <n v="0.13"/>
    <n v="122.44"/>
    <n v="0.04"/>
    <n v="340.74"/>
    <n v="0.1"/>
    <n v="5"/>
    <n v="1391.67"/>
    <n v="50"/>
    <n v="0"/>
    <n v="424.34"/>
    <n v="2605.7199999999998"/>
    <x v="1"/>
    <n v="1346.28"/>
    <x v="6"/>
    <x v="1"/>
    <n v="1.6"/>
    <s v="High"/>
    <n v="0"/>
    <n v="0"/>
  </r>
  <r>
    <x v="44"/>
    <x v="42"/>
    <n v="1312"/>
    <n v="3362.56"/>
    <n v="3815.77"/>
    <n v="-453.21"/>
    <n v="1.1299999999999999"/>
    <n v="0.24"/>
    <n v="1918.74"/>
    <x v="1"/>
    <n v="738"/>
    <n v="0.34"/>
    <n v="138.93"/>
    <n v="0.04"/>
    <n v="81.05"/>
    <n v="0.02"/>
    <n v="8"/>
    <n v="621.04"/>
    <n v="64"/>
    <n v="0"/>
    <n v="487.1"/>
    <n v="2588.2800000000002"/>
    <x v="2"/>
    <n v="1126.21"/>
    <x v="4"/>
    <x v="2"/>
    <n v="21.1"/>
    <s v="Medium"/>
    <n v="0"/>
    <n v="0"/>
  </r>
  <r>
    <x v="44"/>
    <x v="42"/>
    <n v="1653"/>
    <n v="3722.49"/>
    <n v="2286.35"/>
    <n v="1436.14"/>
    <n v="0.61"/>
    <n v="0.28000000000000003"/>
    <n v="2814.53"/>
    <x v="1"/>
    <n v="662"/>
    <n v="0.27"/>
    <n v="452.87"/>
    <n v="0.12"/>
    <n v="110.15"/>
    <n v="0.03"/>
    <n v="7"/>
    <n v="1156.5"/>
    <n v="31"/>
    <n v="0"/>
    <n v="423.23"/>
    <n v="2648.21"/>
    <x v="1"/>
    <n v="750.69"/>
    <x v="2"/>
    <x v="0"/>
    <n v="34.6"/>
    <s v="Low"/>
    <n v="1436.14"/>
    <n v="0"/>
  </r>
  <r>
    <x v="44"/>
    <x v="42"/>
    <n v="1976"/>
    <n v="3740.2"/>
    <n v="3819.23"/>
    <n v="-79.03"/>
    <n v="1.02"/>
    <n v="0.19"/>
    <n v="2758.61"/>
    <x v="1"/>
    <n v="708"/>
    <n v="0.55000000000000004"/>
    <n v="236.61"/>
    <n v="0.06"/>
    <n v="193.93"/>
    <n v="0.05"/>
    <n v="4"/>
    <n v="99.32"/>
    <n v="99"/>
    <n v="0"/>
    <n v="540.78"/>
    <n v="2196.7199999999998"/>
    <x v="1"/>
    <n v="1521.5"/>
    <x v="2"/>
    <x v="0"/>
    <n v="96.8"/>
    <s v="Low"/>
    <n v="0"/>
    <n v="0"/>
  </r>
  <r>
    <x v="44"/>
    <x v="42"/>
    <n v="1751"/>
    <n v="3818.35"/>
    <n v="2061.48"/>
    <n v="1756.87"/>
    <n v="0.54"/>
    <n v="0.19"/>
    <n v="3270.15"/>
    <x v="2"/>
    <n v="741"/>
    <n v="0.22"/>
    <n v="606.91999999999996"/>
    <n v="0.16"/>
    <n v="426.53"/>
    <n v="0.11"/>
    <n v="8"/>
    <n v="1018.47"/>
    <n v="60"/>
    <n v="0"/>
    <n v="802.26"/>
    <n v="2039.84"/>
    <x v="1"/>
    <n v="1649.89"/>
    <x v="5"/>
    <x v="1"/>
    <n v="68.599999999999994"/>
    <s v="Medium"/>
    <n v="1756.87"/>
    <n v="0"/>
  </r>
  <r>
    <x v="44"/>
    <x v="42"/>
    <n v="1832"/>
    <n v="4483.12"/>
    <n v="4319.03"/>
    <n v="164.09"/>
    <n v="0.96"/>
    <n v="0.13"/>
    <n v="2457.66"/>
    <x v="1"/>
    <n v="715"/>
    <n v="0.13"/>
    <n v="449.08"/>
    <n v="0.1"/>
    <n v="429.64"/>
    <n v="0.1"/>
    <n v="6"/>
    <n v="951.52"/>
    <n v="84"/>
    <n v="0"/>
    <n v="853.55"/>
    <n v="2198.8000000000002"/>
    <x v="1"/>
    <n v="1366.47"/>
    <x v="4"/>
    <x v="0"/>
    <n v="60.4"/>
    <s v="Low"/>
    <n v="164.09"/>
    <n v="0"/>
  </r>
  <r>
    <x v="44"/>
    <x v="42"/>
    <n v="1293"/>
    <n v="2700.91"/>
    <n v="4011.93"/>
    <n v="-1311.02"/>
    <n v="1.49"/>
    <n v="0.13"/>
    <n v="2679.08"/>
    <x v="2"/>
    <n v="683"/>
    <n v="0.52"/>
    <n v="668.94"/>
    <n v="0.25"/>
    <n v="537.73"/>
    <n v="0.2"/>
    <n v="1"/>
    <n v="1114.8399999999999"/>
    <n v="72"/>
    <n v="0"/>
    <n v="483.02"/>
    <n v="2990.74"/>
    <x v="1"/>
    <n v="1219.0899999999999"/>
    <x v="7"/>
    <x v="0"/>
    <n v="39.4"/>
    <s v="Medium"/>
    <n v="0"/>
    <n v="0"/>
  </r>
  <r>
    <x v="44"/>
    <x v="42"/>
    <n v="1666"/>
    <n v="6090.97"/>
    <n v="3400.06"/>
    <n v="2690.91"/>
    <n v="0.56000000000000005"/>
    <n v="0.13"/>
    <n v="2199.4499999999998"/>
    <x v="1"/>
    <n v="627"/>
    <n v="0.44"/>
    <n v="522.38"/>
    <n v="0.09"/>
    <n v="629.30999999999995"/>
    <n v="0.1"/>
    <n v="6"/>
    <n v="810"/>
    <n v="41"/>
    <n v="0"/>
    <n v="388.33"/>
    <n v="1626.65"/>
    <x v="0"/>
    <n v="844.15"/>
    <x v="3"/>
    <x v="2"/>
    <n v="92.1"/>
    <s v="Low"/>
    <n v="2690.91"/>
    <n v="1"/>
  </r>
  <r>
    <x v="44"/>
    <x v="42"/>
    <n v="1969"/>
    <n v="2854.76"/>
    <n v="3294.04"/>
    <n v="-439.28"/>
    <n v="1.1499999999999999"/>
    <n v="0.31"/>
    <n v="3307.17"/>
    <x v="0"/>
    <n v="796"/>
    <n v="0.51"/>
    <n v="143.91999999999999"/>
    <n v="0.05"/>
    <n v="173.38"/>
    <n v="0.06"/>
    <n v="5"/>
    <n v="0"/>
    <n v="52"/>
    <n v="1"/>
    <n v="768.8"/>
    <n v="2605.5700000000002"/>
    <x v="0"/>
    <n v="1936.37"/>
    <x v="5"/>
    <x v="0"/>
    <n v="50"/>
    <s v="Low"/>
    <n v="0"/>
    <n v="0"/>
  </r>
  <r>
    <x v="44"/>
    <x v="42"/>
    <n v="1222"/>
    <n v="2298.5300000000002"/>
    <n v="2825.75"/>
    <n v="-527.22"/>
    <n v="1.23"/>
    <n v="0.25"/>
    <n v="2289.9899999999998"/>
    <x v="2"/>
    <n v="702"/>
    <n v="0.1"/>
    <n v="702.36"/>
    <n v="0.31"/>
    <n v="186.38"/>
    <n v="0.08"/>
    <n v="3"/>
    <n v="994.07"/>
    <n v="52"/>
    <n v="0"/>
    <n v="383.82"/>
    <n v="2342.4899999999998"/>
    <x v="1"/>
    <n v="1354.94"/>
    <x v="5"/>
    <x v="0"/>
    <n v="44.1"/>
    <s v="Medium"/>
    <n v="0"/>
    <n v="0"/>
  </r>
  <r>
    <x v="44"/>
    <x v="42"/>
    <n v="1703"/>
    <n v="3705.5"/>
    <n v="2522.48"/>
    <n v="1183.02"/>
    <n v="0.68"/>
    <n v="0.16"/>
    <n v="2522.69"/>
    <x v="1"/>
    <n v="696"/>
    <n v="0.3"/>
    <n v="52.17"/>
    <n v="0.01"/>
    <n v="906.99"/>
    <n v="0.24"/>
    <n v="4"/>
    <n v="166.82"/>
    <n v="91"/>
    <n v="0"/>
    <n v="458.16"/>
    <n v="1923.77"/>
    <x v="1"/>
    <n v="1372.15"/>
    <x v="3"/>
    <x v="0"/>
    <n v="35.700000000000003"/>
    <s v="High"/>
    <n v="1183.02"/>
    <n v="0"/>
  </r>
  <r>
    <x v="44"/>
    <x v="42"/>
    <n v="1479"/>
    <n v="4268.5200000000004"/>
    <n v="1838.84"/>
    <n v="2429.6799999999998"/>
    <n v="0.43"/>
    <n v="0.31"/>
    <n v="3406.41"/>
    <x v="1"/>
    <n v="580"/>
    <n v="0.46"/>
    <n v="248.24"/>
    <n v="0.06"/>
    <n v="357.15"/>
    <n v="0.08"/>
    <n v="4"/>
    <n v="910.69"/>
    <n v="63"/>
    <n v="0"/>
    <n v="422.13"/>
    <n v="1928.92"/>
    <x v="1"/>
    <n v="1229.73"/>
    <x v="3"/>
    <x v="0"/>
    <n v="0.7"/>
    <s v="High"/>
    <n v="2429.6799999999998"/>
    <n v="0"/>
  </r>
  <r>
    <x v="44"/>
    <x v="42"/>
    <n v="1602"/>
    <n v="5791.8"/>
    <n v="2095.54"/>
    <n v="3696.26"/>
    <n v="0.36"/>
    <n v="0.1"/>
    <n v="2531.15"/>
    <x v="0"/>
    <n v="634"/>
    <n v="0.53"/>
    <n v="578.9"/>
    <n v="0.1"/>
    <n v="400.11"/>
    <n v="7.0000000000000007E-2"/>
    <n v="2"/>
    <n v="1295.6199999999999"/>
    <n v="46"/>
    <n v="0"/>
    <n v="500.96"/>
    <n v="1446.29"/>
    <x v="1"/>
    <n v="1471.42"/>
    <x v="1"/>
    <x v="1"/>
    <n v="0.1"/>
    <s v="Low"/>
    <n v="3696.26"/>
    <n v="1"/>
  </r>
  <r>
    <x v="44"/>
    <x v="42"/>
    <n v="1474"/>
    <n v="4056.19"/>
    <n v="3141.52"/>
    <n v="914.67"/>
    <n v="0.77"/>
    <n v="0.35"/>
    <n v="2682.86"/>
    <x v="1"/>
    <n v="711"/>
    <n v="0.34"/>
    <n v="492.86"/>
    <n v="0.12"/>
    <n v="463.65"/>
    <n v="0.11"/>
    <n v="4"/>
    <n v="1560.78"/>
    <n v="28"/>
    <n v="0"/>
    <n v="645.66"/>
    <n v="2701.24"/>
    <x v="0"/>
    <n v="1033.96"/>
    <x v="7"/>
    <x v="0"/>
    <n v="36.9"/>
    <s v="Low"/>
    <n v="914.67"/>
    <n v="0"/>
  </r>
  <r>
    <x v="44"/>
    <x v="42"/>
    <n v="1655"/>
    <n v="4411.6899999999996"/>
    <n v="2921.08"/>
    <n v="1490.61"/>
    <n v="0.66"/>
    <n v="0.39"/>
    <n v="2702.22"/>
    <x v="0"/>
    <n v="629"/>
    <n v="0.42"/>
    <n v="800.1"/>
    <n v="0.18"/>
    <n v="391.09"/>
    <n v="0.09"/>
    <n v="3"/>
    <n v="1538.68"/>
    <n v="24"/>
    <n v="0"/>
    <n v="346.55"/>
    <n v="2361.7600000000002"/>
    <x v="1"/>
    <n v="1306.6300000000001"/>
    <x v="7"/>
    <x v="0"/>
    <n v="98.9"/>
    <s v="High"/>
    <n v="1490.61"/>
    <n v="0"/>
  </r>
  <r>
    <x v="44"/>
    <x v="42"/>
    <n v="1279"/>
    <n v="4398.3900000000003"/>
    <n v="2229.6"/>
    <n v="2168.79"/>
    <n v="0.51"/>
    <n v="0.32"/>
    <n v="2899.53"/>
    <x v="1"/>
    <n v="727"/>
    <n v="0.25"/>
    <n v="334.13"/>
    <n v="0.08"/>
    <n v="464.69"/>
    <n v="0.11"/>
    <n v="5"/>
    <n v="1389.12"/>
    <n v="82"/>
    <n v="0"/>
    <n v="459.42"/>
    <n v="1350.72"/>
    <x v="1"/>
    <n v="1154.53"/>
    <x v="8"/>
    <x v="0"/>
    <n v="49.5"/>
    <s v="Medium"/>
    <n v="2168.79"/>
    <n v="0"/>
  </r>
  <r>
    <x v="44"/>
    <x v="42"/>
    <n v="1949"/>
    <n v="3414.17"/>
    <n v="2806.78"/>
    <n v="607.39"/>
    <n v="0.82"/>
    <n v="0.28999999999999998"/>
    <n v="1734.43"/>
    <x v="0"/>
    <n v="749"/>
    <n v="0.53"/>
    <n v="917.82"/>
    <n v="0.27"/>
    <n v="438.75"/>
    <n v="0.13"/>
    <n v="5"/>
    <n v="1061.82"/>
    <n v="69"/>
    <n v="0"/>
    <n v="153.80000000000001"/>
    <n v="2223.35"/>
    <x v="1"/>
    <n v="1484.99"/>
    <x v="3"/>
    <x v="0"/>
    <n v="74.099999999999994"/>
    <s v="Low"/>
    <n v="607.39"/>
    <n v="0"/>
  </r>
  <r>
    <x v="44"/>
    <x v="42"/>
    <n v="1560"/>
    <n v="4082.93"/>
    <n v="3438.61"/>
    <n v="644.32000000000005"/>
    <n v="0.84"/>
    <n v="0.16"/>
    <n v="2727.08"/>
    <x v="0"/>
    <n v="676"/>
    <n v="0.54"/>
    <n v="620.24"/>
    <n v="0.15"/>
    <n v="687.19"/>
    <n v="0.17"/>
    <n v="8"/>
    <n v="1156.5999999999999"/>
    <n v="49"/>
    <n v="0"/>
    <n v="415.21"/>
    <n v="2571.39"/>
    <x v="1"/>
    <n v="1240.75"/>
    <x v="3"/>
    <x v="0"/>
    <n v="88.6"/>
    <s v="High"/>
    <n v="644.32000000000005"/>
    <n v="0"/>
  </r>
  <r>
    <x v="44"/>
    <x v="42"/>
    <n v="1615"/>
    <n v="4252.3900000000003"/>
    <n v="4533.3900000000003"/>
    <n v="-281"/>
    <n v="1.07"/>
    <n v="0.05"/>
    <n v="2815.98"/>
    <x v="1"/>
    <n v="632"/>
    <n v="0.28999999999999998"/>
    <n v="499.31"/>
    <n v="0.12"/>
    <n v="423.77"/>
    <n v="0.1"/>
    <n v="7"/>
    <n v="986.2"/>
    <n v="41"/>
    <n v="1"/>
    <n v="217.59"/>
    <n v="2445.7600000000002"/>
    <x v="1"/>
    <n v="903.47"/>
    <x v="0"/>
    <x v="0"/>
    <n v="32.700000000000003"/>
    <s v="Medium"/>
    <n v="0"/>
    <n v="0"/>
  </r>
  <r>
    <x v="44"/>
    <x v="42"/>
    <n v="1927"/>
    <n v="6737.39"/>
    <n v="2520.88"/>
    <n v="4216.51"/>
    <n v="0.37"/>
    <n v="0.33"/>
    <n v="2706.73"/>
    <x v="0"/>
    <n v="633"/>
    <n v="0.2"/>
    <n v="997.38"/>
    <n v="0.15"/>
    <n v="362.73"/>
    <n v="0.05"/>
    <n v="3"/>
    <n v="966.75"/>
    <n v="42"/>
    <n v="0"/>
    <n v="529.83000000000004"/>
    <n v="1313.8"/>
    <x v="2"/>
    <n v="814.94"/>
    <x v="9"/>
    <x v="2"/>
    <n v="76.8"/>
    <s v="High"/>
    <n v="4216.51"/>
    <n v="1"/>
  </r>
  <r>
    <x v="44"/>
    <x v="42"/>
    <n v="1514"/>
    <n v="3337.61"/>
    <n v="3491.33"/>
    <n v="-153.72"/>
    <n v="1.05"/>
    <n v="0.27"/>
    <n v="2247.4699999999998"/>
    <x v="1"/>
    <n v="590"/>
    <n v="0.4"/>
    <n v="542.22"/>
    <n v="0.16"/>
    <n v="288.37"/>
    <n v="0.09"/>
    <n v="8"/>
    <n v="941.54"/>
    <n v="37"/>
    <n v="0"/>
    <n v="550.48"/>
    <n v="1924.02"/>
    <x v="2"/>
    <n v="699.54"/>
    <x v="7"/>
    <x v="1"/>
    <n v="38.5"/>
    <s v="Low"/>
    <n v="0"/>
    <n v="0"/>
  </r>
  <r>
    <x v="44"/>
    <x v="42"/>
    <n v="1079"/>
    <n v="3674.29"/>
    <n v="2291.63"/>
    <n v="1382.66"/>
    <n v="0.62"/>
    <n v="7.0000000000000007E-2"/>
    <n v="2325.5100000000002"/>
    <x v="1"/>
    <n v="812"/>
    <n v="0.49"/>
    <n v="337.69"/>
    <n v="0.09"/>
    <n v="317.35000000000002"/>
    <n v="0.09"/>
    <n v="7"/>
    <n v="992.21"/>
    <n v="84"/>
    <n v="0"/>
    <n v="428.84"/>
    <n v="2250.66"/>
    <x v="1"/>
    <n v="1400.5"/>
    <x v="5"/>
    <x v="0"/>
    <n v="48.3"/>
    <s v="Medium"/>
    <n v="1382.66"/>
    <n v="0"/>
  </r>
  <r>
    <x v="44"/>
    <x v="42"/>
    <n v="1519"/>
    <n v="5455.07"/>
    <n v="2837.07"/>
    <n v="2618"/>
    <n v="0.52"/>
    <n v="0.2"/>
    <n v="2297.2199999999998"/>
    <x v="1"/>
    <n v="754"/>
    <n v="0.14000000000000001"/>
    <n v="233.27"/>
    <n v="0.04"/>
    <n v="532.26"/>
    <n v="0.1"/>
    <n v="5"/>
    <n v="1470.04"/>
    <n v="42"/>
    <n v="0"/>
    <n v="470.47"/>
    <n v="2678.14"/>
    <x v="0"/>
    <n v="1122.42"/>
    <x v="3"/>
    <x v="2"/>
    <n v="40.299999999999997"/>
    <s v="Low"/>
    <n v="2618"/>
    <n v="1"/>
  </r>
  <r>
    <x v="44"/>
    <x v="42"/>
    <n v="1265"/>
    <n v="1980.37"/>
    <n v="3628.76"/>
    <n v="-1648.39"/>
    <n v="1.83"/>
    <n v="0.2"/>
    <n v="2585.87"/>
    <x v="1"/>
    <n v="615"/>
    <n v="0.41"/>
    <n v="549.92999999999995"/>
    <n v="0.28000000000000003"/>
    <n v="370.39"/>
    <n v="0.19"/>
    <n v="1"/>
    <n v="1308.53"/>
    <n v="76"/>
    <n v="0"/>
    <n v="339.73"/>
    <n v="1931.89"/>
    <x v="1"/>
    <n v="980.77"/>
    <x v="6"/>
    <x v="1"/>
    <n v="57.2"/>
    <s v="Medium"/>
    <n v="0"/>
    <n v="0"/>
  </r>
  <r>
    <x v="44"/>
    <x v="42"/>
    <n v="1505"/>
    <n v="4102.74"/>
    <n v="2539.84"/>
    <n v="1562.9"/>
    <n v="0.62"/>
    <n v="0.27"/>
    <n v="2763.23"/>
    <x v="2"/>
    <n v="655"/>
    <n v="0.54"/>
    <n v="354.77"/>
    <n v="0.09"/>
    <n v="124.01"/>
    <n v="0.03"/>
    <n v="2"/>
    <n v="901.13"/>
    <n v="84"/>
    <n v="0"/>
    <n v="891.01"/>
    <n v="2263.92"/>
    <x v="1"/>
    <n v="1139.67"/>
    <x v="9"/>
    <x v="0"/>
    <n v="30.3"/>
    <s v="Medium"/>
    <n v="1562.9"/>
    <n v="0"/>
  </r>
  <r>
    <x v="45"/>
    <x v="43"/>
    <n v="1957"/>
    <n v="1900.97"/>
    <n v="3577.86"/>
    <n v="-1676.89"/>
    <n v="1.88"/>
    <n v="0.4"/>
    <n v="3450.97"/>
    <x v="2"/>
    <n v="744"/>
    <n v="0.31"/>
    <n v="548.82000000000005"/>
    <n v="0.28999999999999998"/>
    <n v="237.28"/>
    <n v="0.12"/>
    <n v="9"/>
    <n v="1398.07"/>
    <n v="35"/>
    <n v="0"/>
    <n v="719.91"/>
    <n v="2969.82"/>
    <x v="1"/>
    <n v="1418.73"/>
    <x v="5"/>
    <x v="0"/>
    <n v="5.2"/>
    <s v="Low"/>
    <n v="0"/>
    <n v="0"/>
  </r>
  <r>
    <x v="45"/>
    <x v="43"/>
    <n v="1579"/>
    <n v="3062.59"/>
    <n v="2374.1799999999998"/>
    <n v="688.41"/>
    <n v="0.78"/>
    <n v="0.37"/>
    <n v="2715.38"/>
    <x v="1"/>
    <n v="691"/>
    <n v="0.28000000000000003"/>
    <n v="492.44"/>
    <n v="0.16"/>
    <n v="312.52999999999997"/>
    <n v="0.1"/>
    <n v="6"/>
    <n v="1952.76"/>
    <n v="49"/>
    <n v="0"/>
    <n v="799.8"/>
    <n v="2231.37"/>
    <x v="0"/>
    <n v="1034.3699999999999"/>
    <x v="0"/>
    <x v="1"/>
    <n v="33.299999999999997"/>
    <s v="Medium"/>
    <n v="688.41"/>
    <n v="0"/>
  </r>
  <r>
    <x v="45"/>
    <x v="43"/>
    <n v="1643"/>
    <n v="3751.22"/>
    <n v="4491.63"/>
    <n v="-740.41"/>
    <n v="1.2"/>
    <n v="0.14000000000000001"/>
    <n v="3562.7"/>
    <x v="1"/>
    <n v="672"/>
    <n v="0.48"/>
    <n v="210.01"/>
    <n v="0.06"/>
    <n v="391.71"/>
    <n v="0.1"/>
    <n v="5"/>
    <n v="1726.02"/>
    <n v="25"/>
    <n v="0"/>
    <n v="357.57"/>
    <n v="1613.11"/>
    <x v="1"/>
    <n v="583.67999999999995"/>
    <x v="7"/>
    <x v="2"/>
    <n v="78.400000000000006"/>
    <s v="Low"/>
    <n v="0"/>
    <n v="0"/>
  </r>
  <r>
    <x v="45"/>
    <x v="43"/>
    <n v="1005"/>
    <n v="5907.23"/>
    <n v="2670.07"/>
    <n v="3237.16"/>
    <n v="0.45"/>
    <n v="0.31"/>
    <n v="2905.78"/>
    <x v="1"/>
    <n v="688"/>
    <n v="0.15"/>
    <n v="558.97"/>
    <n v="0.09"/>
    <n v="398.13"/>
    <n v="7.0000000000000007E-2"/>
    <n v="5"/>
    <n v="1354.07"/>
    <n v="64"/>
    <n v="0"/>
    <n v="658.11"/>
    <n v="2295.59"/>
    <x v="1"/>
    <n v="1208.49"/>
    <x v="0"/>
    <x v="2"/>
    <n v="25.3"/>
    <s v="Low"/>
    <n v="3237.16"/>
    <n v="1"/>
  </r>
  <r>
    <x v="45"/>
    <x v="43"/>
    <n v="1568"/>
    <n v="3688.35"/>
    <n v="3530.27"/>
    <n v="158.08000000000001"/>
    <n v="0.96"/>
    <n v="0.24"/>
    <n v="2616.1999999999998"/>
    <x v="2"/>
    <n v="643"/>
    <n v="0.27"/>
    <n v="386.02"/>
    <n v="0.1"/>
    <n v="513.42999999999995"/>
    <n v="0.14000000000000001"/>
    <n v="4"/>
    <n v="1373.92"/>
    <n v="25"/>
    <n v="0"/>
    <n v="612.91"/>
    <n v="2005.82"/>
    <x v="1"/>
    <n v="993.77"/>
    <x v="9"/>
    <x v="0"/>
    <n v="42.3"/>
    <s v="High"/>
    <n v="158.08000000000001"/>
    <n v="0"/>
  </r>
  <r>
    <x v="45"/>
    <x v="43"/>
    <n v="1654"/>
    <n v="2418.64"/>
    <n v="2258.62"/>
    <n v="160.02000000000001"/>
    <n v="0.93"/>
    <n v="0.32"/>
    <n v="2679.51"/>
    <x v="2"/>
    <n v="614"/>
    <n v="0.1"/>
    <n v="424.5"/>
    <n v="0.18"/>
    <n v="444.16"/>
    <n v="0.18"/>
    <n v="7"/>
    <n v="653.59"/>
    <n v="58"/>
    <n v="0"/>
    <n v="432.82"/>
    <n v="3255.69"/>
    <x v="0"/>
    <n v="781.41"/>
    <x v="7"/>
    <x v="2"/>
    <n v="48"/>
    <s v="Low"/>
    <n v="160.02000000000001"/>
    <n v="0"/>
  </r>
  <r>
    <x v="45"/>
    <x v="43"/>
    <n v="1626"/>
    <n v="3167.23"/>
    <n v="4907.5"/>
    <n v="-1740.27"/>
    <n v="1.55"/>
    <n v="0.17"/>
    <n v="3214.17"/>
    <x v="0"/>
    <n v="705"/>
    <n v="0.19"/>
    <n v="331.45"/>
    <n v="0.1"/>
    <n v="225.88"/>
    <n v="7.0000000000000007E-2"/>
    <n v="7"/>
    <n v="1117.3499999999999"/>
    <n v="56"/>
    <n v="0"/>
    <n v="280.83999999999997"/>
    <n v="2712.07"/>
    <x v="1"/>
    <n v="792.28"/>
    <x v="4"/>
    <x v="2"/>
    <n v="76.2"/>
    <s v="Low"/>
    <n v="0"/>
    <n v="0"/>
  </r>
  <r>
    <x v="45"/>
    <x v="43"/>
    <n v="1392"/>
    <n v="5198.04"/>
    <n v="4072.54"/>
    <n v="1125.5"/>
    <n v="0.78"/>
    <n v="0.12"/>
    <n v="3192.61"/>
    <x v="2"/>
    <n v="708"/>
    <n v="0.14000000000000001"/>
    <n v="323.62"/>
    <n v="0.06"/>
    <n v="61.64"/>
    <n v="0.01"/>
    <n v="9"/>
    <n v="1114.1600000000001"/>
    <n v="32"/>
    <n v="0"/>
    <n v="428.78"/>
    <n v="1966.94"/>
    <x v="1"/>
    <n v="1346.04"/>
    <x v="3"/>
    <x v="2"/>
    <n v="33.200000000000003"/>
    <s v="Low"/>
    <n v="1125.5"/>
    <n v="0"/>
  </r>
  <r>
    <x v="45"/>
    <x v="43"/>
    <n v="1833"/>
    <n v="6285.31"/>
    <n v="2453.77"/>
    <n v="3831.54"/>
    <n v="0.39"/>
    <n v="0.25"/>
    <n v="2848.22"/>
    <x v="1"/>
    <n v="671"/>
    <n v="0.35"/>
    <n v="480.79"/>
    <n v="0.08"/>
    <n v="192.97"/>
    <n v="0.03"/>
    <n v="7"/>
    <n v="1136"/>
    <n v="41"/>
    <n v="0"/>
    <n v="468.34"/>
    <n v="3114.21"/>
    <x v="0"/>
    <n v="1805.69"/>
    <x v="0"/>
    <x v="0"/>
    <n v="51.4"/>
    <s v="Low"/>
    <n v="3831.54"/>
    <n v="1"/>
  </r>
  <r>
    <x v="45"/>
    <x v="43"/>
    <n v="1885"/>
    <n v="5065.2700000000004"/>
    <n v="3075.08"/>
    <n v="1990.19"/>
    <n v="0.61"/>
    <n v="0.14000000000000001"/>
    <n v="2044.48"/>
    <x v="1"/>
    <n v="585"/>
    <n v="0.5"/>
    <n v="676.05"/>
    <n v="0.13"/>
    <n v="273.97000000000003"/>
    <n v="0.05"/>
    <n v="4"/>
    <n v="1571.9"/>
    <n v="87"/>
    <n v="0"/>
    <n v="895.88"/>
    <n v="1786.58"/>
    <x v="1"/>
    <n v="1661.15"/>
    <x v="1"/>
    <x v="0"/>
    <n v="20.8"/>
    <s v="High"/>
    <n v="1990.19"/>
    <n v="0"/>
  </r>
  <r>
    <x v="45"/>
    <x v="43"/>
    <n v="1121"/>
    <n v="4226.28"/>
    <n v="3012.43"/>
    <n v="1213.8499999999999"/>
    <n v="0.71"/>
    <n v="0.09"/>
    <n v="2664.69"/>
    <x v="2"/>
    <n v="761"/>
    <n v="0.56999999999999995"/>
    <n v="303.42"/>
    <n v="7.0000000000000007E-2"/>
    <n v="454.08"/>
    <n v="0.11"/>
    <n v="9"/>
    <n v="716.32"/>
    <n v="94"/>
    <n v="0"/>
    <n v="705.69"/>
    <n v="2348.36"/>
    <x v="1"/>
    <n v="602.84"/>
    <x v="8"/>
    <x v="0"/>
    <n v="45.6"/>
    <s v="Low"/>
    <n v="1213.8499999999999"/>
    <n v="0"/>
  </r>
  <r>
    <x v="45"/>
    <x v="43"/>
    <n v="1338"/>
    <n v="4814.8999999999996"/>
    <n v="4007.09"/>
    <n v="807.81"/>
    <n v="0.83"/>
    <n v="0.25"/>
    <n v="2679.18"/>
    <x v="1"/>
    <n v="554"/>
    <n v="0.41"/>
    <n v="337.23"/>
    <n v="7.0000000000000007E-2"/>
    <n v="358.33"/>
    <n v="7.0000000000000007E-2"/>
    <n v="3"/>
    <n v="579.73"/>
    <n v="32"/>
    <n v="0"/>
    <n v="486.58"/>
    <n v="2061.25"/>
    <x v="1"/>
    <n v="359.29"/>
    <x v="0"/>
    <x v="0"/>
    <n v="52.7"/>
    <s v="High"/>
    <n v="807.81"/>
    <n v="0"/>
  </r>
  <r>
    <x v="45"/>
    <x v="43"/>
    <n v="1404"/>
    <n v="3436.35"/>
    <n v="3471.92"/>
    <n v="-35.57"/>
    <n v="1.01"/>
    <n v="0.14000000000000001"/>
    <n v="2674.16"/>
    <x v="1"/>
    <n v="668"/>
    <n v="0.25"/>
    <n v="355.3"/>
    <n v="0.1"/>
    <n v="363.18"/>
    <n v="0.11"/>
    <n v="7"/>
    <n v="687.46"/>
    <n v="77"/>
    <n v="0"/>
    <n v="507.33"/>
    <n v="3301.4"/>
    <x v="1"/>
    <n v="1472.01"/>
    <x v="1"/>
    <x v="2"/>
    <n v="97.2"/>
    <s v="Low"/>
    <n v="0"/>
    <n v="0"/>
  </r>
  <r>
    <x v="45"/>
    <x v="43"/>
    <n v="1198"/>
    <n v="3540.78"/>
    <n v="3251.17"/>
    <n v="289.61"/>
    <n v="0.92"/>
    <n v="0.17"/>
    <n v="2669.13"/>
    <x v="2"/>
    <n v="727"/>
    <n v="0.15"/>
    <n v="672.33"/>
    <n v="0.19"/>
    <n v="494.59"/>
    <n v="0.14000000000000001"/>
    <n v="4"/>
    <n v="1483.74"/>
    <n v="60"/>
    <n v="0"/>
    <n v="383.33"/>
    <n v="3120.46"/>
    <x v="1"/>
    <n v="1194.79"/>
    <x v="4"/>
    <x v="2"/>
    <n v="46.2"/>
    <s v="Low"/>
    <n v="289.61"/>
    <n v="0"/>
  </r>
  <r>
    <x v="45"/>
    <x v="43"/>
    <n v="1448"/>
    <n v="3585.61"/>
    <n v="2389.7600000000002"/>
    <n v="1195.8499999999999"/>
    <n v="0.67"/>
    <n v="0.32"/>
    <n v="1942.21"/>
    <x v="1"/>
    <n v="782"/>
    <n v="0.52"/>
    <n v="480.07"/>
    <n v="0.13"/>
    <n v="258.27999999999997"/>
    <n v="7.0000000000000007E-2"/>
    <n v="4"/>
    <n v="1580.71"/>
    <n v="43"/>
    <n v="0"/>
    <n v="541.54999999999995"/>
    <n v="2745.99"/>
    <x v="1"/>
    <n v="1034.73"/>
    <x v="1"/>
    <x v="2"/>
    <n v="86"/>
    <s v="Medium"/>
    <n v="1195.8499999999999"/>
    <n v="0"/>
  </r>
  <r>
    <x v="45"/>
    <x v="43"/>
    <n v="1107"/>
    <n v="3885.65"/>
    <n v="2998.3"/>
    <n v="887.35"/>
    <n v="0.77"/>
    <n v="0.19"/>
    <n v="2168.56"/>
    <x v="1"/>
    <n v="628"/>
    <n v="0.12"/>
    <n v="654.25"/>
    <n v="0.17"/>
    <n v="295.70999999999998"/>
    <n v="0.08"/>
    <n v="6"/>
    <n v="172.79"/>
    <n v="92"/>
    <n v="0"/>
    <n v="736.21"/>
    <n v="3096.29"/>
    <x v="1"/>
    <n v="1475.46"/>
    <x v="9"/>
    <x v="0"/>
    <n v="93.8"/>
    <s v="Medium"/>
    <n v="887.35"/>
    <n v="0"/>
  </r>
  <r>
    <x v="45"/>
    <x v="43"/>
    <n v="1374"/>
    <n v="3173.08"/>
    <n v="2490.5500000000002"/>
    <n v="682.53"/>
    <n v="0.78"/>
    <n v="0.38"/>
    <n v="2572.2800000000002"/>
    <x v="2"/>
    <n v="658"/>
    <n v="0.27"/>
    <n v="686.61"/>
    <n v="0.22"/>
    <n v="344.78"/>
    <n v="0.11"/>
    <n v="8"/>
    <n v="579.54999999999995"/>
    <n v="30"/>
    <n v="0"/>
    <n v="725.91"/>
    <n v="1558.51"/>
    <x v="1"/>
    <n v="1757.89"/>
    <x v="8"/>
    <x v="0"/>
    <n v="26.5"/>
    <s v="Low"/>
    <n v="682.53"/>
    <n v="0"/>
  </r>
  <r>
    <x v="45"/>
    <x v="43"/>
    <n v="1692"/>
    <n v="3067.71"/>
    <n v="3713.18"/>
    <n v="-645.47"/>
    <n v="1.21"/>
    <n v="0.24"/>
    <n v="2657.7"/>
    <x v="1"/>
    <n v="666"/>
    <n v="0.35"/>
    <n v="718.05"/>
    <n v="0.23"/>
    <n v="475.5"/>
    <n v="0.16"/>
    <n v="2"/>
    <n v="1129.23"/>
    <n v="22"/>
    <n v="0"/>
    <n v="475.02"/>
    <n v="1512.35"/>
    <x v="1"/>
    <n v="1579.1"/>
    <x v="2"/>
    <x v="1"/>
    <n v="3.2"/>
    <s v="Low"/>
    <n v="0"/>
    <n v="0"/>
  </r>
  <r>
    <x v="45"/>
    <x v="43"/>
    <n v="1383"/>
    <n v="3731.59"/>
    <n v="2505.9499999999998"/>
    <n v="1225.6400000000001"/>
    <n v="0.67"/>
    <n v="0.09"/>
    <n v="2322.42"/>
    <x v="2"/>
    <n v="605"/>
    <n v="0.49"/>
    <n v="233.63"/>
    <n v="0.06"/>
    <n v="116.68"/>
    <n v="0.03"/>
    <n v="9"/>
    <n v="100.43"/>
    <n v="28"/>
    <n v="0"/>
    <n v="484.73"/>
    <n v="2603.96"/>
    <x v="1"/>
    <n v="1135.19"/>
    <x v="8"/>
    <x v="1"/>
    <n v="9.6"/>
    <s v="Low"/>
    <n v="1225.6400000000001"/>
    <n v="0"/>
  </r>
  <r>
    <x v="45"/>
    <x v="43"/>
    <n v="1355"/>
    <n v="3810.97"/>
    <n v="2585.3200000000002"/>
    <n v="1225.6500000000001"/>
    <n v="0.68"/>
    <n v="0.14000000000000001"/>
    <n v="3269.94"/>
    <x v="2"/>
    <n v="592"/>
    <n v="0.46"/>
    <n v="319.61"/>
    <n v="0.08"/>
    <n v="98.37"/>
    <n v="0.03"/>
    <n v="1"/>
    <n v="1553.85"/>
    <n v="33"/>
    <n v="0"/>
    <n v="557.61"/>
    <n v="2161.35"/>
    <x v="1"/>
    <n v="1600.71"/>
    <x v="8"/>
    <x v="0"/>
    <n v="65.400000000000006"/>
    <s v="Low"/>
    <n v="1225.6500000000001"/>
    <n v="0"/>
  </r>
  <r>
    <x v="45"/>
    <x v="43"/>
    <n v="1990"/>
    <n v="3429.75"/>
    <n v="2948.37"/>
    <n v="481.38"/>
    <n v="0.86"/>
    <n v="0.19"/>
    <n v="2480.7800000000002"/>
    <x v="2"/>
    <n v="759"/>
    <n v="0.24"/>
    <n v="400.34"/>
    <n v="0.12"/>
    <n v="260.87"/>
    <n v="0.08"/>
    <n v="5"/>
    <n v="974.42"/>
    <n v="91"/>
    <n v="0"/>
    <n v="458.76"/>
    <n v="2030.46"/>
    <x v="0"/>
    <n v="1145.03"/>
    <x v="5"/>
    <x v="0"/>
    <n v="70.900000000000006"/>
    <s v="Medium"/>
    <n v="481.38"/>
    <n v="0"/>
  </r>
  <r>
    <x v="45"/>
    <x v="43"/>
    <n v="1818"/>
    <n v="2585.77"/>
    <n v="2851.3"/>
    <n v="-265.52999999999997"/>
    <n v="1.1000000000000001"/>
    <n v="0.36"/>
    <n v="2959.83"/>
    <x v="1"/>
    <n v="744"/>
    <n v="0.25"/>
    <n v="211.14"/>
    <n v="0.08"/>
    <n v="690.87"/>
    <n v="0.27"/>
    <n v="9"/>
    <n v="76.36"/>
    <n v="37"/>
    <n v="0"/>
    <n v="1158.74"/>
    <n v="2420.9699999999998"/>
    <x v="2"/>
    <n v="1306.3900000000001"/>
    <x v="6"/>
    <x v="0"/>
    <n v="63.3"/>
    <s v="High"/>
    <n v="0"/>
    <n v="0"/>
  </r>
  <r>
    <x v="45"/>
    <x v="43"/>
    <n v="1542"/>
    <n v="5110.75"/>
    <n v="2475.6799999999998"/>
    <n v="2635.07"/>
    <n v="0.48"/>
    <n v="0.3"/>
    <n v="2457.73"/>
    <x v="1"/>
    <n v="634"/>
    <n v="0.46"/>
    <n v="912.36"/>
    <n v="0.18"/>
    <n v="402.85"/>
    <n v="0.08"/>
    <n v="7"/>
    <n v="1524.87"/>
    <n v="71"/>
    <n v="0"/>
    <n v="766.86"/>
    <n v="2425.3200000000002"/>
    <x v="1"/>
    <n v="362.54"/>
    <x v="3"/>
    <x v="2"/>
    <n v="5.0999999999999996"/>
    <s v="High"/>
    <n v="2635.07"/>
    <n v="1"/>
  </r>
  <r>
    <x v="45"/>
    <x v="43"/>
    <n v="1467"/>
    <n v="5880.03"/>
    <n v="3695.58"/>
    <n v="2184.4499999999998"/>
    <n v="0.63"/>
    <n v="0.06"/>
    <n v="3058.81"/>
    <x v="2"/>
    <n v="632"/>
    <n v="0.54"/>
    <n v="705.83"/>
    <n v="0.12"/>
    <n v="730.27"/>
    <n v="0.12"/>
    <n v="6"/>
    <n v="876.43"/>
    <n v="22"/>
    <n v="0"/>
    <n v="126.65"/>
    <n v="1786.58"/>
    <x v="1"/>
    <n v="1452.68"/>
    <x v="2"/>
    <x v="0"/>
    <n v="47.2"/>
    <s v="High"/>
    <n v="2184.4499999999998"/>
    <n v="0"/>
  </r>
  <r>
    <x v="45"/>
    <x v="43"/>
    <n v="1726"/>
    <n v="5058.25"/>
    <n v="1650"/>
    <n v="3408.25"/>
    <n v="0.33"/>
    <n v="0.17"/>
    <n v="2381.75"/>
    <x v="2"/>
    <n v="612"/>
    <n v="0.15"/>
    <n v="504.12"/>
    <n v="0.1"/>
    <n v="466.06"/>
    <n v="0.09"/>
    <n v="7"/>
    <n v="1395.15"/>
    <n v="24"/>
    <n v="0"/>
    <n v="145.29"/>
    <n v="1473.88"/>
    <x v="0"/>
    <n v="938.98"/>
    <x v="0"/>
    <x v="0"/>
    <n v="6.1"/>
    <s v="High"/>
    <n v="3408.25"/>
    <n v="1"/>
  </r>
  <r>
    <x v="45"/>
    <x v="43"/>
    <n v="1153"/>
    <n v="4839.76"/>
    <n v="2516.88"/>
    <n v="2322.88"/>
    <n v="0.52"/>
    <n v="0.23"/>
    <n v="3283.88"/>
    <x v="0"/>
    <n v="657"/>
    <n v="0.22"/>
    <n v="443.67"/>
    <n v="0.09"/>
    <n v="614.24"/>
    <n v="0.13"/>
    <n v="2"/>
    <n v="604.23"/>
    <n v="28"/>
    <n v="0"/>
    <n v="900.06"/>
    <n v="1070.96"/>
    <x v="1"/>
    <n v="1084.68"/>
    <x v="1"/>
    <x v="0"/>
    <n v="3.7"/>
    <s v="Low"/>
    <n v="2322.88"/>
    <n v="0"/>
  </r>
  <r>
    <x v="45"/>
    <x v="43"/>
    <n v="1377"/>
    <n v="3773.76"/>
    <n v="2722.33"/>
    <n v="1051.43"/>
    <n v="0.72"/>
    <n v="0.16"/>
    <n v="2631.65"/>
    <x v="0"/>
    <n v="727"/>
    <n v="0.12"/>
    <n v="418.51"/>
    <n v="0.11"/>
    <n v="363.66"/>
    <n v="0.1"/>
    <n v="1"/>
    <n v="1044.75"/>
    <n v="77"/>
    <n v="0"/>
    <n v="473.65"/>
    <n v="1270.8800000000001"/>
    <x v="1"/>
    <n v="918.15"/>
    <x v="4"/>
    <x v="0"/>
    <n v="28.1"/>
    <s v="Low"/>
    <n v="1051.43"/>
    <n v="0"/>
  </r>
  <r>
    <x v="45"/>
    <x v="43"/>
    <n v="1478"/>
    <n v="3933.67"/>
    <n v="2765.44"/>
    <n v="1168.23"/>
    <n v="0.7"/>
    <n v="0.35"/>
    <n v="2398.0100000000002"/>
    <x v="0"/>
    <n v="701"/>
    <n v="0.47"/>
    <n v="630.75"/>
    <n v="0.16"/>
    <n v="404.94"/>
    <n v="0.1"/>
    <n v="9"/>
    <n v="1190.81"/>
    <n v="83"/>
    <n v="0"/>
    <n v="203.72"/>
    <n v="2116.08"/>
    <x v="1"/>
    <n v="1644.56"/>
    <x v="7"/>
    <x v="0"/>
    <n v="75"/>
    <s v="Low"/>
    <n v="1168.23"/>
    <n v="0"/>
  </r>
  <r>
    <x v="45"/>
    <x v="43"/>
    <n v="1144"/>
    <n v="4462.25"/>
    <n v="2370.17"/>
    <n v="2092.08"/>
    <n v="0.53"/>
    <n v="0.31"/>
    <n v="2807.24"/>
    <x v="0"/>
    <n v="719"/>
    <n v="0.55000000000000004"/>
    <n v="588.98"/>
    <n v="0.13"/>
    <n v="418.5"/>
    <n v="0.09"/>
    <n v="7"/>
    <n v="1304.48"/>
    <n v="62"/>
    <n v="0"/>
    <n v="215.77"/>
    <n v="1000"/>
    <x v="0"/>
    <n v="1241.8"/>
    <x v="0"/>
    <x v="2"/>
    <n v="60.2"/>
    <s v="Low"/>
    <n v="2092.08"/>
    <n v="0"/>
  </r>
  <r>
    <x v="45"/>
    <x v="43"/>
    <n v="1732"/>
    <n v="4353.8"/>
    <n v="1791.33"/>
    <n v="2562.4699999999998"/>
    <n v="0.41"/>
    <n v="0.1"/>
    <n v="2447.5300000000002"/>
    <x v="2"/>
    <n v="707"/>
    <n v="0.37"/>
    <n v="279.39999999999998"/>
    <n v="0.06"/>
    <n v="77.12"/>
    <n v="0.02"/>
    <n v="5"/>
    <n v="1492.63"/>
    <n v="61"/>
    <n v="0"/>
    <n v="849.96"/>
    <n v="2377.79"/>
    <x v="1"/>
    <n v="504.54"/>
    <x v="4"/>
    <x v="1"/>
    <n v="63.8"/>
    <s v="Low"/>
    <n v="2562.4699999999998"/>
    <n v="1"/>
  </r>
  <r>
    <x v="45"/>
    <x v="43"/>
    <n v="1795"/>
    <n v="3890.97"/>
    <n v="3430.6"/>
    <n v="460.37"/>
    <n v="0.88"/>
    <n v="0.32"/>
    <n v="3024.77"/>
    <x v="1"/>
    <n v="689"/>
    <n v="0.39"/>
    <n v="210.47"/>
    <n v="0.05"/>
    <n v="601.84"/>
    <n v="0.15"/>
    <n v="8"/>
    <n v="163.80000000000001"/>
    <n v="63"/>
    <n v="0"/>
    <n v="292.75"/>
    <n v="2349.0300000000002"/>
    <x v="1"/>
    <n v="1283.4100000000001"/>
    <x v="9"/>
    <x v="0"/>
    <n v="66.099999999999994"/>
    <s v="Medium"/>
    <n v="460.37"/>
    <n v="0"/>
  </r>
  <r>
    <x v="45"/>
    <x v="43"/>
    <n v="1798"/>
    <n v="3786.2"/>
    <n v="2024.35"/>
    <n v="1761.85"/>
    <n v="0.53"/>
    <n v="0.3"/>
    <n v="3090.69"/>
    <x v="2"/>
    <n v="710"/>
    <n v="0.59"/>
    <n v="352.4"/>
    <n v="0.09"/>
    <n v="0"/>
    <n v="0"/>
    <n v="5"/>
    <n v="1536.06"/>
    <n v="74"/>
    <n v="0"/>
    <n v="589.80999999999995"/>
    <n v="1743.09"/>
    <x v="1"/>
    <n v="1417.56"/>
    <x v="9"/>
    <x v="0"/>
    <n v="56.2"/>
    <s v="High"/>
    <n v="1761.85"/>
    <n v="0"/>
  </r>
  <r>
    <x v="45"/>
    <x v="43"/>
    <n v="1000"/>
    <n v="2532.54"/>
    <n v="2400.73"/>
    <n v="131.81"/>
    <n v="0.95"/>
    <n v="0.14000000000000001"/>
    <n v="2374.16"/>
    <x v="1"/>
    <n v="580"/>
    <n v="0.43"/>
    <n v="599.29999999999995"/>
    <n v="0.24"/>
    <n v="759.65"/>
    <n v="0.3"/>
    <n v="6"/>
    <n v="1115.43"/>
    <n v="91"/>
    <n v="0"/>
    <n v="500.86"/>
    <n v="1689.52"/>
    <x v="0"/>
    <n v="1632.85"/>
    <x v="1"/>
    <x v="0"/>
    <n v="84.4"/>
    <s v="Low"/>
    <n v="131.81"/>
    <n v="0"/>
  </r>
  <r>
    <x v="45"/>
    <x v="43"/>
    <n v="1302"/>
    <n v="3529"/>
    <n v="3043.81"/>
    <n v="485.19"/>
    <n v="0.86"/>
    <n v="0.37"/>
    <n v="3252.49"/>
    <x v="2"/>
    <n v="647"/>
    <n v="0.3"/>
    <n v="525.47"/>
    <n v="0.15"/>
    <n v="162.99"/>
    <n v="0.05"/>
    <n v="5"/>
    <n v="1190.8399999999999"/>
    <n v="22"/>
    <n v="0"/>
    <n v="676.86"/>
    <n v="2367.4899999999998"/>
    <x v="1"/>
    <n v="1240.1300000000001"/>
    <x v="9"/>
    <x v="1"/>
    <n v="76.7"/>
    <s v="Low"/>
    <n v="485.19"/>
    <n v="0"/>
  </r>
  <r>
    <x v="45"/>
    <x v="43"/>
    <n v="1871"/>
    <n v="4004.11"/>
    <n v="1019.39"/>
    <n v="2984.72"/>
    <n v="0.25"/>
    <n v="0.16"/>
    <n v="3657.2"/>
    <x v="0"/>
    <n v="656"/>
    <n v="0.43"/>
    <n v="502.85"/>
    <n v="0.13"/>
    <n v="49.35"/>
    <n v="0.01"/>
    <n v="9"/>
    <n v="1517.19"/>
    <n v="99"/>
    <n v="0"/>
    <n v="481.27"/>
    <n v="2480.79"/>
    <x v="1"/>
    <n v="1688.1"/>
    <x v="2"/>
    <x v="1"/>
    <n v="76.2"/>
    <s v="Medium"/>
    <n v="2984.72"/>
    <n v="0"/>
  </r>
  <r>
    <x v="45"/>
    <x v="43"/>
    <n v="1751"/>
    <n v="4442.6000000000004"/>
    <n v="2505.46"/>
    <n v="1937.14"/>
    <n v="0.56000000000000005"/>
    <n v="0.39"/>
    <n v="2313.12"/>
    <x v="1"/>
    <n v="652"/>
    <n v="0.26"/>
    <n v="213.09"/>
    <n v="0.05"/>
    <n v="584.41999999999996"/>
    <n v="0.13"/>
    <n v="7"/>
    <n v="1005.76"/>
    <n v="99"/>
    <n v="0"/>
    <n v="952.07"/>
    <n v="3124.05"/>
    <x v="1"/>
    <n v="646.58000000000004"/>
    <x v="9"/>
    <x v="0"/>
    <n v="25.7"/>
    <s v="Low"/>
    <n v="1937.14"/>
    <n v="0"/>
  </r>
  <r>
    <x v="45"/>
    <x v="43"/>
    <n v="1868"/>
    <n v="5117.3100000000004"/>
    <n v="4416.0200000000004"/>
    <n v="701.29"/>
    <n v="0.86"/>
    <n v="0.36"/>
    <n v="3283.95"/>
    <x v="1"/>
    <n v="672"/>
    <n v="0.17"/>
    <n v="508.74"/>
    <n v="0.1"/>
    <n v="540.66"/>
    <n v="0.11"/>
    <n v="1"/>
    <n v="0"/>
    <n v="81"/>
    <n v="0"/>
    <n v="666.53"/>
    <n v="2387.15"/>
    <x v="1"/>
    <n v="1944.15"/>
    <x v="7"/>
    <x v="0"/>
    <n v="9.1"/>
    <s v="Medium"/>
    <n v="701.29"/>
    <n v="0"/>
  </r>
  <r>
    <x v="45"/>
    <x v="43"/>
    <n v="1336"/>
    <n v="4594.62"/>
    <n v="3771.01"/>
    <n v="823.61"/>
    <n v="0.82"/>
    <n v="0.34"/>
    <n v="2378.0500000000002"/>
    <x v="2"/>
    <n v="689"/>
    <n v="0.1"/>
    <n v="357.54"/>
    <n v="0.08"/>
    <n v="218.58"/>
    <n v="0.05"/>
    <n v="2"/>
    <n v="2152.83"/>
    <n v="29"/>
    <n v="0"/>
    <n v="689.36"/>
    <n v="2960.52"/>
    <x v="1"/>
    <n v="751.3"/>
    <x v="5"/>
    <x v="0"/>
    <n v="83.2"/>
    <s v="Low"/>
    <n v="823.61"/>
    <n v="0"/>
  </r>
  <r>
    <x v="45"/>
    <x v="43"/>
    <n v="1965"/>
    <n v="4811.3999999999996"/>
    <n v="3982.71"/>
    <n v="828.69"/>
    <n v="0.83"/>
    <n v="0.19"/>
    <n v="2707.33"/>
    <x v="1"/>
    <n v="605"/>
    <n v="0.39"/>
    <n v="537.05999999999995"/>
    <n v="0.11"/>
    <n v="337.75"/>
    <n v="7.0000000000000007E-2"/>
    <n v="8"/>
    <n v="1764.95"/>
    <n v="94"/>
    <n v="0"/>
    <n v="253.62"/>
    <n v="2071.88"/>
    <x v="2"/>
    <n v="1122.9000000000001"/>
    <x v="6"/>
    <x v="0"/>
    <n v="77.3"/>
    <s v="Low"/>
    <n v="828.69"/>
    <n v="0"/>
  </r>
  <r>
    <x v="45"/>
    <x v="43"/>
    <n v="1472"/>
    <n v="4295.6099999999997"/>
    <n v="3373.02"/>
    <n v="922.59"/>
    <n v="0.79"/>
    <n v="0.16"/>
    <n v="3986.5"/>
    <x v="2"/>
    <n v="716"/>
    <n v="0.39"/>
    <n v="773.56"/>
    <n v="0.18"/>
    <n v="0"/>
    <n v="0"/>
    <n v="7"/>
    <n v="1332.02"/>
    <n v="59"/>
    <n v="0"/>
    <n v="358.32"/>
    <n v="2212.73"/>
    <x v="1"/>
    <n v="1051.8499999999999"/>
    <x v="5"/>
    <x v="2"/>
    <n v="71.099999999999994"/>
    <s v="Medium"/>
    <n v="922.59"/>
    <n v="0"/>
  </r>
  <r>
    <x v="45"/>
    <x v="43"/>
    <n v="1916"/>
    <n v="4384.75"/>
    <n v="2273.5700000000002"/>
    <n v="2111.1799999999998"/>
    <n v="0.52"/>
    <n v="0.27"/>
    <n v="3330.21"/>
    <x v="2"/>
    <n v="754"/>
    <n v="0.15"/>
    <n v="531.35"/>
    <n v="0.12"/>
    <n v="495.52"/>
    <n v="0.11"/>
    <n v="3"/>
    <n v="1276.6600000000001"/>
    <n v="61"/>
    <n v="0"/>
    <n v="765.61"/>
    <n v="2376.96"/>
    <x v="1"/>
    <n v="888.85"/>
    <x v="3"/>
    <x v="0"/>
    <n v="77.400000000000006"/>
    <s v="Medium"/>
    <n v="2111.1799999999998"/>
    <n v="0"/>
  </r>
  <r>
    <x v="45"/>
    <x v="43"/>
    <n v="1178"/>
    <n v="4339.83"/>
    <n v="2955.24"/>
    <n v="1384.59"/>
    <n v="0.68"/>
    <n v="0.08"/>
    <n v="2582.8200000000002"/>
    <x v="1"/>
    <n v="617"/>
    <n v="0.24"/>
    <n v="239.71"/>
    <n v="0.06"/>
    <n v="396.24"/>
    <n v="0.09"/>
    <n v="5"/>
    <n v="599.38"/>
    <n v="96"/>
    <n v="0"/>
    <n v="397.03"/>
    <n v="2384.13"/>
    <x v="1"/>
    <n v="1260.07"/>
    <x v="8"/>
    <x v="0"/>
    <n v="95"/>
    <s v="Low"/>
    <n v="1384.59"/>
    <n v="0"/>
  </r>
  <r>
    <x v="45"/>
    <x v="43"/>
    <n v="1150"/>
    <n v="4149.05"/>
    <n v="879.94"/>
    <n v="3269.11"/>
    <n v="0.21"/>
    <n v="0.16"/>
    <n v="2799.44"/>
    <x v="1"/>
    <n v="656"/>
    <n v="0.2"/>
    <n v="973.69"/>
    <n v="0.23"/>
    <n v="409.42"/>
    <n v="0.1"/>
    <n v="5"/>
    <n v="1510.46"/>
    <n v="23"/>
    <n v="0"/>
    <n v="686.7"/>
    <n v="1860.2"/>
    <x v="0"/>
    <n v="657.92"/>
    <x v="1"/>
    <x v="0"/>
    <n v="82.4"/>
    <s v="Low"/>
    <n v="3269.11"/>
    <n v="1"/>
  </r>
  <r>
    <x v="45"/>
    <x v="43"/>
    <n v="1947"/>
    <n v="3170.92"/>
    <n v="4245.07"/>
    <n v="-1074.1500000000001"/>
    <n v="1.34"/>
    <n v="0.06"/>
    <n v="3367.66"/>
    <x v="1"/>
    <n v="716"/>
    <n v="0.32"/>
    <n v="296.10000000000002"/>
    <n v="0.09"/>
    <n v="186.74"/>
    <n v="0.06"/>
    <n v="9"/>
    <n v="0"/>
    <n v="89"/>
    <n v="0"/>
    <n v="512.26"/>
    <n v="3578.13"/>
    <x v="1"/>
    <n v="1739.09"/>
    <x v="1"/>
    <x v="2"/>
    <n v="6.7"/>
    <s v="Medium"/>
    <n v="0"/>
    <n v="0"/>
  </r>
  <r>
    <x v="45"/>
    <x v="43"/>
    <n v="1753"/>
    <n v="4427.1899999999996"/>
    <n v="2731.95"/>
    <n v="1695.24"/>
    <n v="0.62"/>
    <n v="0.18"/>
    <n v="3372.03"/>
    <x v="1"/>
    <n v="700"/>
    <n v="0.34"/>
    <n v="546.58000000000004"/>
    <n v="0.12"/>
    <n v="251.78"/>
    <n v="0.06"/>
    <n v="3"/>
    <n v="822.3"/>
    <n v="99"/>
    <n v="0"/>
    <n v="512.35"/>
    <n v="2092.7600000000002"/>
    <x v="1"/>
    <n v="1743.16"/>
    <x v="5"/>
    <x v="0"/>
    <n v="19.7"/>
    <s v="Low"/>
    <n v="1695.24"/>
    <n v="0"/>
  </r>
  <r>
    <x v="45"/>
    <x v="43"/>
    <n v="1499"/>
    <n v="4950.53"/>
    <n v="2660.23"/>
    <n v="2290.3000000000002"/>
    <n v="0.54"/>
    <n v="0.1"/>
    <n v="2722.77"/>
    <x v="2"/>
    <n v="697"/>
    <n v="0.13"/>
    <n v="355.31"/>
    <n v="7.0000000000000007E-2"/>
    <n v="626.49"/>
    <n v="0.13"/>
    <n v="6"/>
    <n v="1294.31"/>
    <n v="23"/>
    <n v="0"/>
    <n v="191.95"/>
    <n v="2894.7"/>
    <x v="2"/>
    <n v="2070.84"/>
    <x v="9"/>
    <x v="1"/>
    <n v="76.5"/>
    <s v="Low"/>
    <n v="2290.3000000000002"/>
    <n v="0"/>
  </r>
  <r>
    <x v="45"/>
    <x v="43"/>
    <n v="1998"/>
    <n v="4997.92"/>
    <n v="4692.49"/>
    <n v="305.43"/>
    <n v="0.94"/>
    <n v="0.16"/>
    <n v="2001.26"/>
    <x v="0"/>
    <n v="772"/>
    <n v="0.45"/>
    <n v="252.7"/>
    <n v="0.05"/>
    <n v="237.12"/>
    <n v="0.05"/>
    <n v="1"/>
    <n v="0"/>
    <n v="23"/>
    <n v="0"/>
    <n v="892.63"/>
    <n v="2629.39"/>
    <x v="0"/>
    <n v="729.93"/>
    <x v="3"/>
    <x v="1"/>
    <n v="32.4"/>
    <s v="Low"/>
    <n v="305.43"/>
    <n v="0"/>
  </r>
  <r>
    <x v="45"/>
    <x v="43"/>
    <n v="1553"/>
    <n v="5558.89"/>
    <n v="1461.78"/>
    <n v="4097.1099999999997"/>
    <n v="0.26"/>
    <n v="0.16"/>
    <n v="3851.46"/>
    <x v="1"/>
    <n v="593"/>
    <n v="0.56999999999999995"/>
    <n v="224.51"/>
    <n v="0.04"/>
    <n v="166.73"/>
    <n v="0.03"/>
    <n v="1"/>
    <n v="1234.22"/>
    <n v="35"/>
    <n v="0"/>
    <n v="409.61"/>
    <n v="2376.2600000000002"/>
    <x v="0"/>
    <n v="1331.74"/>
    <x v="2"/>
    <x v="1"/>
    <n v="98.6"/>
    <s v="Medium"/>
    <n v="4097.1099999999997"/>
    <n v="1"/>
  </r>
  <r>
    <x v="45"/>
    <x v="43"/>
    <n v="1749"/>
    <n v="4545.67"/>
    <n v="2386.48"/>
    <n v="2159.19"/>
    <n v="0.53"/>
    <n v="0.23"/>
    <n v="3041.63"/>
    <x v="1"/>
    <n v="729"/>
    <n v="0.28999999999999998"/>
    <n v="680.71"/>
    <n v="0.15"/>
    <n v="403.78"/>
    <n v="0.09"/>
    <n v="7"/>
    <n v="704.44"/>
    <n v="84"/>
    <n v="0"/>
    <n v="614.35"/>
    <n v="2331.66"/>
    <x v="1"/>
    <n v="1574.01"/>
    <x v="9"/>
    <x v="0"/>
    <n v="40.9"/>
    <s v="Medium"/>
    <n v="2159.19"/>
    <n v="0"/>
  </r>
  <r>
    <x v="45"/>
    <x v="43"/>
    <n v="1065"/>
    <n v="3443.28"/>
    <n v="4650.25"/>
    <n v="-1206.97"/>
    <n v="1.35"/>
    <n v="0.26"/>
    <n v="2628.64"/>
    <x v="2"/>
    <n v="718"/>
    <n v="0.49"/>
    <n v="235.5"/>
    <n v="7.0000000000000007E-2"/>
    <n v="424.02"/>
    <n v="0.12"/>
    <n v="1"/>
    <n v="1179.8699999999999"/>
    <n v="46"/>
    <n v="0"/>
    <n v="545.94000000000005"/>
    <n v="2720.59"/>
    <x v="1"/>
    <n v="1157.9000000000001"/>
    <x v="0"/>
    <x v="1"/>
    <n v="31.6"/>
    <s v="Low"/>
    <n v="0"/>
    <n v="0"/>
  </r>
  <r>
    <x v="46"/>
    <x v="44"/>
    <n v="1983"/>
    <n v="2402.19"/>
    <n v="2901.92"/>
    <n v="-499.73"/>
    <n v="1.21"/>
    <n v="0.06"/>
    <n v="2919.87"/>
    <x v="1"/>
    <n v="705"/>
    <n v="0.18"/>
    <n v="686.61"/>
    <n v="0.28999999999999998"/>
    <n v="461.51"/>
    <n v="0.19"/>
    <n v="6"/>
    <n v="1569.13"/>
    <n v="54"/>
    <n v="0"/>
    <n v="702.66"/>
    <n v="2610.4"/>
    <x v="1"/>
    <n v="1762.45"/>
    <x v="1"/>
    <x v="0"/>
    <n v="39.9"/>
    <s v="Low"/>
    <n v="0"/>
    <n v="0"/>
  </r>
  <r>
    <x v="46"/>
    <x v="44"/>
    <n v="1866"/>
    <n v="2567.88"/>
    <n v="2611.6999999999998"/>
    <n v="-43.82"/>
    <n v="1.02"/>
    <n v="0.22"/>
    <n v="3408.13"/>
    <x v="1"/>
    <n v="663"/>
    <n v="0.41"/>
    <n v="505.42"/>
    <n v="0.2"/>
    <n v="0"/>
    <n v="0"/>
    <n v="1"/>
    <n v="397.39"/>
    <n v="32"/>
    <n v="0"/>
    <n v="399.37"/>
    <n v="1913.29"/>
    <x v="0"/>
    <n v="1856.11"/>
    <x v="0"/>
    <x v="0"/>
    <n v="4.9000000000000004"/>
    <s v="High"/>
    <n v="0"/>
    <n v="0"/>
  </r>
  <r>
    <x v="46"/>
    <x v="44"/>
    <n v="1865"/>
    <n v="4018.19"/>
    <n v="2347.54"/>
    <n v="1670.65"/>
    <n v="0.57999999999999996"/>
    <n v="0.36"/>
    <n v="3538.24"/>
    <x v="0"/>
    <n v="723"/>
    <n v="0.44"/>
    <n v="321.20999999999998"/>
    <n v="0.08"/>
    <n v="559.82000000000005"/>
    <n v="0.14000000000000001"/>
    <n v="5"/>
    <n v="811.69"/>
    <n v="20"/>
    <n v="0"/>
    <n v="792.24"/>
    <n v="2164.37"/>
    <x v="0"/>
    <n v="300"/>
    <x v="9"/>
    <x v="0"/>
    <n v="39.6"/>
    <s v="Low"/>
    <n v="1670.65"/>
    <n v="0"/>
  </r>
  <r>
    <x v="46"/>
    <x v="44"/>
    <n v="1145"/>
    <n v="5196.78"/>
    <n v="3775.28"/>
    <n v="1421.5"/>
    <n v="0.73"/>
    <n v="0.05"/>
    <n v="2880"/>
    <x v="0"/>
    <n v="704"/>
    <n v="0.21"/>
    <n v="634.59"/>
    <n v="0.12"/>
    <n v="433.45"/>
    <n v="0.08"/>
    <n v="4"/>
    <n v="1068.71"/>
    <n v="63"/>
    <n v="0"/>
    <n v="799.53"/>
    <n v="2485.54"/>
    <x v="1"/>
    <n v="361.49"/>
    <x v="2"/>
    <x v="0"/>
    <n v="32.200000000000003"/>
    <s v="Low"/>
    <n v="1421.5"/>
    <n v="0"/>
  </r>
  <r>
    <x v="46"/>
    <x v="44"/>
    <n v="1683"/>
    <n v="4431.8"/>
    <n v="2816.37"/>
    <n v="1615.43"/>
    <n v="0.64"/>
    <n v="0.25"/>
    <n v="2584.6"/>
    <x v="1"/>
    <n v="607"/>
    <n v="0.49"/>
    <n v="908.21"/>
    <n v="0.2"/>
    <n v="1089.9100000000001"/>
    <n v="0.25"/>
    <n v="9"/>
    <n v="831.46"/>
    <n v="55"/>
    <n v="0"/>
    <n v="774.05"/>
    <n v="2509.19"/>
    <x v="1"/>
    <n v="1433.18"/>
    <x v="4"/>
    <x v="0"/>
    <n v="7.5"/>
    <s v="Low"/>
    <n v="1615.43"/>
    <n v="0"/>
  </r>
  <r>
    <x v="46"/>
    <x v="44"/>
    <n v="1082"/>
    <n v="3989.81"/>
    <n v="2400.21"/>
    <n v="1589.6"/>
    <n v="0.6"/>
    <n v="0.35"/>
    <n v="3080.67"/>
    <x v="1"/>
    <n v="741"/>
    <n v="0.27"/>
    <n v="586.66"/>
    <n v="0.15"/>
    <n v="170.9"/>
    <n v="0.04"/>
    <n v="5"/>
    <n v="0"/>
    <n v="47"/>
    <n v="0"/>
    <n v="271.39999999999998"/>
    <n v="2072.3000000000002"/>
    <x v="1"/>
    <n v="1401.76"/>
    <x v="3"/>
    <x v="0"/>
    <n v="37.299999999999997"/>
    <s v="Low"/>
    <n v="1589.6"/>
    <n v="0"/>
  </r>
  <r>
    <x v="46"/>
    <x v="44"/>
    <n v="1426"/>
    <n v="3667.84"/>
    <n v="3268.22"/>
    <n v="399.62"/>
    <n v="0.89"/>
    <n v="0.33"/>
    <n v="2887.99"/>
    <x v="0"/>
    <n v="636"/>
    <n v="0.51"/>
    <n v="1006.86"/>
    <n v="0.27"/>
    <n v="792.51"/>
    <n v="0.22"/>
    <n v="3"/>
    <n v="1662.67"/>
    <n v="59"/>
    <n v="0"/>
    <n v="276.95999999999998"/>
    <n v="2914.63"/>
    <x v="1"/>
    <n v="1625.68"/>
    <x v="2"/>
    <x v="1"/>
    <n v="34.6"/>
    <s v="Low"/>
    <n v="399.62"/>
    <n v="0"/>
  </r>
  <r>
    <x v="46"/>
    <x v="44"/>
    <n v="1373"/>
    <n v="4764.91"/>
    <n v="3517.07"/>
    <n v="1247.8399999999999"/>
    <n v="0.74"/>
    <n v="0.33"/>
    <n v="2818.2"/>
    <x v="0"/>
    <n v="671"/>
    <n v="0.26"/>
    <n v="553.46"/>
    <n v="0.12"/>
    <n v="257.39999999999998"/>
    <n v="0.05"/>
    <n v="8"/>
    <n v="916.49"/>
    <n v="51"/>
    <n v="0"/>
    <n v="361.91"/>
    <n v="2737.54"/>
    <x v="2"/>
    <n v="300"/>
    <x v="4"/>
    <x v="0"/>
    <n v="17.5"/>
    <s v="Low"/>
    <n v="1247.8399999999999"/>
    <n v="0"/>
  </r>
  <r>
    <x v="46"/>
    <x v="44"/>
    <n v="1464"/>
    <n v="3278.96"/>
    <n v="4461.07"/>
    <n v="-1182.1099999999999"/>
    <n v="1.36"/>
    <n v="0.32"/>
    <n v="1875.27"/>
    <x v="1"/>
    <n v="679"/>
    <n v="0.18"/>
    <n v="211.22"/>
    <n v="0.06"/>
    <n v="293.14"/>
    <n v="0.09"/>
    <n v="9"/>
    <n v="552.95000000000005"/>
    <n v="39"/>
    <n v="0"/>
    <n v="856.29"/>
    <n v="2166.17"/>
    <x v="1"/>
    <n v="300"/>
    <x v="3"/>
    <x v="0"/>
    <n v="88.5"/>
    <s v="Medium"/>
    <n v="0"/>
    <n v="0"/>
  </r>
  <r>
    <x v="46"/>
    <x v="44"/>
    <n v="1553"/>
    <n v="3830.87"/>
    <n v="2175.19"/>
    <n v="1655.68"/>
    <n v="0.56999999999999995"/>
    <n v="0.17"/>
    <n v="4386.5"/>
    <x v="2"/>
    <n v="649"/>
    <n v="0.46"/>
    <n v="479.31"/>
    <n v="0.13"/>
    <n v="675.47"/>
    <n v="0.18"/>
    <n v="7"/>
    <n v="204.87"/>
    <n v="72"/>
    <n v="0"/>
    <n v="985.9"/>
    <n v="1890.72"/>
    <x v="1"/>
    <n v="1055.1600000000001"/>
    <x v="3"/>
    <x v="0"/>
    <n v="0.4"/>
    <s v="Low"/>
    <n v="1655.68"/>
    <n v="0"/>
  </r>
  <r>
    <x v="46"/>
    <x v="44"/>
    <n v="1751"/>
    <n v="4241.91"/>
    <n v="2455.2199999999998"/>
    <n v="1786.69"/>
    <n v="0.57999999999999996"/>
    <n v="0.4"/>
    <n v="2132.46"/>
    <x v="0"/>
    <n v="700"/>
    <n v="0.57999999999999996"/>
    <n v="419.5"/>
    <n v="0.1"/>
    <n v="370.62"/>
    <n v="0.09"/>
    <n v="5"/>
    <n v="2045.64"/>
    <n v="40"/>
    <n v="0"/>
    <n v="823.05"/>
    <n v="2871.61"/>
    <x v="2"/>
    <n v="644.23"/>
    <x v="5"/>
    <x v="0"/>
    <n v="30.4"/>
    <s v="Low"/>
    <n v="1786.69"/>
    <n v="0"/>
  </r>
  <r>
    <x v="46"/>
    <x v="44"/>
    <n v="1027"/>
    <n v="3291.11"/>
    <n v="3327.54"/>
    <n v="-36.43"/>
    <n v="1.01"/>
    <n v="0.15"/>
    <n v="2957.58"/>
    <x v="1"/>
    <n v="674"/>
    <n v="0.55000000000000004"/>
    <n v="368.21"/>
    <n v="0.11"/>
    <n v="786.48"/>
    <n v="0.24"/>
    <n v="9"/>
    <n v="1434.91"/>
    <n v="66"/>
    <n v="0"/>
    <n v="442.54"/>
    <n v="2909.5"/>
    <x v="1"/>
    <n v="1015.46"/>
    <x v="8"/>
    <x v="0"/>
    <n v="27.5"/>
    <s v="High"/>
    <n v="0"/>
    <n v="0"/>
  </r>
  <r>
    <x v="46"/>
    <x v="44"/>
    <n v="1654"/>
    <n v="4709.47"/>
    <n v="3255.54"/>
    <n v="1453.93"/>
    <n v="0.69"/>
    <n v="0.22"/>
    <n v="2715.4"/>
    <x v="1"/>
    <n v="736"/>
    <n v="0.42"/>
    <n v="529.29"/>
    <n v="0.11"/>
    <n v="309.68"/>
    <n v="7.0000000000000007E-2"/>
    <n v="9"/>
    <n v="933.11"/>
    <n v="53"/>
    <n v="0"/>
    <n v="151.66"/>
    <n v="1870.61"/>
    <x v="2"/>
    <n v="829.45"/>
    <x v="7"/>
    <x v="0"/>
    <n v="9.8000000000000007"/>
    <s v="Low"/>
    <n v="1453.93"/>
    <n v="0"/>
  </r>
  <r>
    <x v="46"/>
    <x v="44"/>
    <n v="1339"/>
    <n v="3344.13"/>
    <n v="3264.27"/>
    <n v="79.86"/>
    <n v="0.98"/>
    <n v="0.1"/>
    <n v="2244.59"/>
    <x v="0"/>
    <n v="610"/>
    <n v="0.22"/>
    <n v="277.99"/>
    <n v="0.08"/>
    <n v="0"/>
    <n v="0"/>
    <n v="6"/>
    <n v="1079.6400000000001"/>
    <n v="27"/>
    <n v="0"/>
    <n v="387"/>
    <n v="2750.07"/>
    <x v="1"/>
    <n v="1111.73"/>
    <x v="6"/>
    <x v="1"/>
    <n v="85.5"/>
    <s v="Medium"/>
    <n v="79.86"/>
    <n v="0"/>
  </r>
  <r>
    <x v="46"/>
    <x v="44"/>
    <n v="1746"/>
    <n v="3688.36"/>
    <n v="1658.22"/>
    <n v="2030.14"/>
    <n v="0.45"/>
    <n v="0.22"/>
    <n v="2400.09"/>
    <x v="0"/>
    <n v="734"/>
    <n v="0.34"/>
    <n v="525.41999999999996"/>
    <n v="0.14000000000000001"/>
    <n v="442.05"/>
    <n v="0.12"/>
    <n v="7"/>
    <n v="1381.41"/>
    <n v="72"/>
    <n v="0"/>
    <n v="390.35"/>
    <n v="2343.4"/>
    <x v="1"/>
    <n v="954.35"/>
    <x v="3"/>
    <x v="0"/>
    <n v="82.7"/>
    <s v="Low"/>
    <n v="2030.14"/>
    <n v="0"/>
  </r>
  <r>
    <x v="46"/>
    <x v="44"/>
    <n v="1096"/>
    <n v="3667.15"/>
    <n v="2130.2399999999998"/>
    <n v="1536.91"/>
    <n v="0.57999999999999996"/>
    <n v="0.25"/>
    <n v="2491.29"/>
    <x v="0"/>
    <n v="709"/>
    <n v="0.27"/>
    <n v="173.04"/>
    <n v="0.05"/>
    <n v="396.02"/>
    <n v="0.11"/>
    <n v="8"/>
    <n v="722.03"/>
    <n v="73"/>
    <n v="0"/>
    <n v="706.99"/>
    <n v="2469.13"/>
    <x v="1"/>
    <n v="972.99"/>
    <x v="4"/>
    <x v="0"/>
    <n v="97.1"/>
    <s v="High"/>
    <n v="1536.91"/>
    <n v="0"/>
  </r>
  <r>
    <x v="46"/>
    <x v="44"/>
    <n v="1603"/>
    <n v="3845.92"/>
    <n v="4105.88"/>
    <n v="-259.95999999999998"/>
    <n v="1.07"/>
    <n v="0.08"/>
    <n v="3590.66"/>
    <x v="0"/>
    <n v="665"/>
    <n v="0.23"/>
    <n v="521.66"/>
    <n v="0.14000000000000001"/>
    <n v="552.87"/>
    <n v="0.14000000000000001"/>
    <n v="2"/>
    <n v="427.29"/>
    <n v="76"/>
    <n v="0"/>
    <n v="257.64"/>
    <n v="2859.74"/>
    <x v="1"/>
    <n v="1404.06"/>
    <x v="6"/>
    <x v="1"/>
    <n v="61.4"/>
    <s v="Low"/>
    <n v="0"/>
    <n v="0"/>
  </r>
  <r>
    <x v="46"/>
    <x v="44"/>
    <n v="1741"/>
    <n v="6707.56"/>
    <n v="1816.45"/>
    <n v="4891.1099999999997"/>
    <n v="0.27"/>
    <n v="0.1"/>
    <n v="1706.52"/>
    <x v="1"/>
    <n v="699"/>
    <n v="0.25"/>
    <n v="675.57"/>
    <n v="0.1"/>
    <n v="429.94"/>
    <n v="0.06"/>
    <n v="7"/>
    <n v="694.08"/>
    <n v="36"/>
    <n v="0"/>
    <n v="341.93"/>
    <n v="1120.1199999999999"/>
    <x v="0"/>
    <n v="1776.29"/>
    <x v="8"/>
    <x v="2"/>
    <n v="80.2"/>
    <s v="Low"/>
    <n v="4891.1099999999997"/>
    <n v="1"/>
  </r>
  <r>
    <x v="46"/>
    <x v="44"/>
    <n v="1518"/>
    <n v="3263.77"/>
    <n v="3183.38"/>
    <n v="80.39"/>
    <n v="0.98"/>
    <n v="0.12"/>
    <n v="2350.2800000000002"/>
    <x v="1"/>
    <n v="631"/>
    <n v="0.56000000000000005"/>
    <n v="497.82"/>
    <n v="0.15"/>
    <n v="454.9"/>
    <n v="0.14000000000000001"/>
    <n v="3"/>
    <n v="935.68"/>
    <n v="20"/>
    <n v="1"/>
    <n v="503.22"/>
    <n v="3331.16"/>
    <x v="1"/>
    <n v="1190.5"/>
    <x v="6"/>
    <x v="0"/>
    <n v="90.9"/>
    <s v="Medium"/>
    <n v="80.39"/>
    <n v="0"/>
  </r>
  <r>
    <x v="46"/>
    <x v="44"/>
    <n v="1681"/>
    <n v="5005.0600000000004"/>
    <n v="2421.1799999999998"/>
    <n v="2583.88"/>
    <n v="0.48"/>
    <n v="0.3"/>
    <n v="1916.07"/>
    <x v="1"/>
    <n v="654"/>
    <n v="0.16"/>
    <n v="513.19000000000005"/>
    <n v="0.1"/>
    <n v="502.21"/>
    <n v="0.1"/>
    <n v="4"/>
    <n v="1184.3800000000001"/>
    <n v="70"/>
    <n v="0"/>
    <n v="319.64999999999998"/>
    <n v="2027.77"/>
    <x v="2"/>
    <n v="1642.5"/>
    <x v="1"/>
    <x v="0"/>
    <n v="69.5"/>
    <s v="Low"/>
    <n v="2583.88"/>
    <n v="1"/>
  </r>
  <r>
    <x v="46"/>
    <x v="44"/>
    <n v="1347"/>
    <n v="2513.6799999999998"/>
    <n v="3305.56"/>
    <n v="-791.88"/>
    <n v="1.32"/>
    <n v="0.34"/>
    <n v="3146.13"/>
    <x v="2"/>
    <n v="615"/>
    <n v="0.44"/>
    <n v="244.78"/>
    <n v="0.1"/>
    <n v="704.38"/>
    <n v="0.28000000000000003"/>
    <n v="7"/>
    <n v="1213.18"/>
    <n v="37"/>
    <n v="0"/>
    <n v="610.16"/>
    <n v="1051.3599999999999"/>
    <x v="1"/>
    <n v="2410.29"/>
    <x v="7"/>
    <x v="1"/>
    <n v="45.3"/>
    <s v="Low"/>
    <n v="0"/>
    <n v="0"/>
  </r>
  <r>
    <x v="46"/>
    <x v="44"/>
    <n v="1052"/>
    <n v="2401.62"/>
    <n v="3662.26"/>
    <n v="-1260.6400000000001"/>
    <n v="1.52"/>
    <n v="0.2"/>
    <n v="3215.26"/>
    <x v="2"/>
    <n v="648"/>
    <n v="0.56999999999999995"/>
    <n v="647.5"/>
    <n v="0.27"/>
    <n v="920.38"/>
    <n v="0.38"/>
    <n v="6"/>
    <n v="1620.24"/>
    <n v="53"/>
    <n v="1"/>
    <n v="567.29999999999995"/>
    <n v="1856.06"/>
    <x v="2"/>
    <n v="1150.76"/>
    <x v="6"/>
    <x v="2"/>
    <n v="43"/>
    <s v="High"/>
    <n v="0"/>
    <n v="0"/>
  </r>
  <r>
    <x v="46"/>
    <x v="44"/>
    <n v="1175"/>
    <n v="4445.3"/>
    <n v="3458.44"/>
    <n v="986.86"/>
    <n v="0.78"/>
    <n v="0.38"/>
    <n v="2913.05"/>
    <x v="1"/>
    <n v="603"/>
    <n v="0.32"/>
    <n v="564.07000000000005"/>
    <n v="0.13"/>
    <n v="403.67"/>
    <n v="0.09"/>
    <n v="7"/>
    <n v="1631.16"/>
    <n v="41"/>
    <n v="0"/>
    <n v="529.09"/>
    <n v="1942.57"/>
    <x v="0"/>
    <n v="1061.05"/>
    <x v="6"/>
    <x v="2"/>
    <n v="73.7"/>
    <s v="Low"/>
    <n v="986.86"/>
    <n v="0"/>
  </r>
  <r>
    <x v="46"/>
    <x v="44"/>
    <n v="1563"/>
    <n v="4973.72"/>
    <n v="3652.49"/>
    <n v="1321.23"/>
    <n v="0.73"/>
    <n v="0.31"/>
    <n v="2820.11"/>
    <x v="2"/>
    <n v="649"/>
    <n v="0.12"/>
    <n v="561.6"/>
    <n v="0.11"/>
    <n v="447.26"/>
    <n v="0.09"/>
    <n v="2"/>
    <n v="2082.9299999999998"/>
    <n v="94"/>
    <n v="0"/>
    <n v="372.59"/>
    <n v="2231.0700000000002"/>
    <x v="1"/>
    <n v="1664.58"/>
    <x v="3"/>
    <x v="0"/>
    <n v="62.5"/>
    <s v="Low"/>
    <n v="1321.23"/>
    <n v="0"/>
  </r>
  <r>
    <x v="46"/>
    <x v="44"/>
    <n v="1733"/>
    <n v="4598.99"/>
    <n v="4585.55"/>
    <n v="13.44"/>
    <n v="1"/>
    <n v="0.34"/>
    <n v="2286.21"/>
    <x v="0"/>
    <n v="662"/>
    <n v="0.25"/>
    <n v="834.16"/>
    <n v="0.18"/>
    <n v="503.72"/>
    <n v="0.11"/>
    <n v="3"/>
    <n v="858.3"/>
    <n v="40"/>
    <n v="0"/>
    <n v="507.65"/>
    <n v="2302.62"/>
    <x v="1"/>
    <n v="1101.72"/>
    <x v="7"/>
    <x v="1"/>
    <n v="58.7"/>
    <s v="Low"/>
    <n v="13.44"/>
    <n v="0"/>
  </r>
  <r>
    <x v="46"/>
    <x v="44"/>
    <n v="1101"/>
    <n v="4910.43"/>
    <n v="3607.76"/>
    <n v="1302.67"/>
    <n v="0.73"/>
    <n v="0.23"/>
    <n v="2669.79"/>
    <x v="1"/>
    <n v="703"/>
    <n v="0.53"/>
    <n v="358.36"/>
    <n v="7.0000000000000007E-2"/>
    <n v="376.48"/>
    <n v="0.08"/>
    <n v="2"/>
    <n v="508.14"/>
    <n v="93"/>
    <n v="0"/>
    <n v="384.72"/>
    <n v="1467.39"/>
    <x v="2"/>
    <n v="511.58"/>
    <x v="6"/>
    <x v="2"/>
    <n v="80.2"/>
    <s v="Medium"/>
    <n v="1302.67"/>
    <n v="0"/>
  </r>
  <r>
    <x v="46"/>
    <x v="44"/>
    <n v="1290"/>
    <n v="3574.91"/>
    <n v="3462.02"/>
    <n v="112.89"/>
    <n v="0.97"/>
    <n v="0.39"/>
    <n v="3199.02"/>
    <x v="1"/>
    <n v="641"/>
    <n v="0.34"/>
    <n v="428.94"/>
    <n v="0.12"/>
    <n v="527.66"/>
    <n v="0.15"/>
    <n v="6"/>
    <n v="0"/>
    <n v="69"/>
    <n v="0"/>
    <n v="479.37"/>
    <n v="2878.42"/>
    <x v="0"/>
    <n v="1054.46"/>
    <x v="8"/>
    <x v="0"/>
    <n v="47.9"/>
    <s v="Low"/>
    <n v="112.89"/>
    <n v="0"/>
  </r>
  <r>
    <x v="46"/>
    <x v="44"/>
    <n v="1076"/>
    <n v="4370.7299999999996"/>
    <n v="3079.32"/>
    <n v="1291.4100000000001"/>
    <n v="0.7"/>
    <n v="7.0000000000000007E-2"/>
    <n v="2727.35"/>
    <x v="0"/>
    <n v="666"/>
    <n v="0.41"/>
    <n v="514.49"/>
    <n v="0.12"/>
    <n v="384.74"/>
    <n v="0.09"/>
    <n v="1"/>
    <n v="578.11"/>
    <n v="56"/>
    <n v="0"/>
    <n v="461.07"/>
    <n v="1670.01"/>
    <x v="2"/>
    <n v="1388.1"/>
    <x v="7"/>
    <x v="0"/>
    <n v="96.1"/>
    <s v="Medium"/>
    <n v="1291.4100000000001"/>
    <n v="0"/>
  </r>
  <r>
    <x v="46"/>
    <x v="44"/>
    <n v="1169"/>
    <n v="3837.53"/>
    <n v="3323.27"/>
    <n v="514.26"/>
    <n v="0.87"/>
    <n v="0.14000000000000001"/>
    <n v="2631.73"/>
    <x v="2"/>
    <n v="713"/>
    <n v="0.54"/>
    <n v="223.62"/>
    <n v="0.06"/>
    <n v="882.07"/>
    <n v="0.23"/>
    <n v="3"/>
    <n v="490.95"/>
    <n v="57"/>
    <n v="0"/>
    <n v="740.68"/>
    <n v="1901.04"/>
    <x v="1"/>
    <n v="822.84"/>
    <x v="4"/>
    <x v="0"/>
    <n v="32.299999999999997"/>
    <s v="Medium"/>
    <n v="514.26"/>
    <n v="0"/>
  </r>
  <r>
    <x v="46"/>
    <x v="44"/>
    <n v="1036"/>
    <n v="4033.62"/>
    <n v="2011.96"/>
    <n v="2021.66"/>
    <n v="0.5"/>
    <n v="0.16"/>
    <n v="2974.18"/>
    <x v="1"/>
    <n v="670"/>
    <n v="0.44"/>
    <n v="656.94"/>
    <n v="0.16"/>
    <n v="389.49"/>
    <n v="0.1"/>
    <n v="6"/>
    <n v="1021.55"/>
    <n v="72"/>
    <n v="0"/>
    <n v="364.46"/>
    <n v="2860.72"/>
    <x v="1"/>
    <n v="991.98"/>
    <x v="4"/>
    <x v="1"/>
    <n v="16.899999999999999"/>
    <s v="Low"/>
    <n v="2021.66"/>
    <n v="0"/>
  </r>
  <r>
    <x v="46"/>
    <x v="44"/>
    <n v="1925"/>
    <n v="3813.72"/>
    <n v="3462.34"/>
    <n v="351.38"/>
    <n v="0.91"/>
    <n v="0.37"/>
    <n v="2863.75"/>
    <x v="1"/>
    <n v="733"/>
    <n v="0.48"/>
    <n v="589.42999999999995"/>
    <n v="0.15"/>
    <n v="905.64"/>
    <n v="0.24"/>
    <n v="1"/>
    <n v="617.73"/>
    <n v="72"/>
    <n v="0"/>
    <n v="854.01"/>
    <n v="2268.94"/>
    <x v="2"/>
    <n v="1237.97"/>
    <x v="7"/>
    <x v="0"/>
    <n v="76.2"/>
    <s v="Low"/>
    <n v="351.38"/>
    <n v="0"/>
  </r>
  <r>
    <x v="46"/>
    <x v="44"/>
    <n v="1009"/>
    <n v="3964.49"/>
    <n v="2834.72"/>
    <n v="1129.77"/>
    <n v="0.72"/>
    <n v="0.11"/>
    <n v="2030.89"/>
    <x v="1"/>
    <n v="692"/>
    <n v="0.54"/>
    <n v="411.44"/>
    <n v="0.1"/>
    <n v="415.3"/>
    <n v="0.1"/>
    <n v="7"/>
    <n v="709.75"/>
    <n v="32"/>
    <n v="0"/>
    <n v="270.06"/>
    <n v="2844.87"/>
    <x v="1"/>
    <n v="1131.6099999999999"/>
    <x v="2"/>
    <x v="2"/>
    <n v="18.2"/>
    <s v="Low"/>
    <n v="1129.77"/>
    <n v="0"/>
  </r>
  <r>
    <x v="46"/>
    <x v="44"/>
    <n v="1224"/>
    <n v="3550.25"/>
    <n v="3313.66"/>
    <n v="236.59"/>
    <n v="0.93"/>
    <n v="0.12"/>
    <n v="2045.98"/>
    <x v="0"/>
    <n v="673"/>
    <n v="0.59"/>
    <n v="639.13"/>
    <n v="0.18"/>
    <n v="0"/>
    <n v="0"/>
    <n v="4"/>
    <n v="688.51"/>
    <n v="74"/>
    <n v="0"/>
    <n v="442.26"/>
    <n v="2363.54"/>
    <x v="1"/>
    <n v="1338.92"/>
    <x v="8"/>
    <x v="1"/>
    <n v="86.8"/>
    <s v="High"/>
    <n v="236.59"/>
    <n v="0"/>
  </r>
  <r>
    <x v="46"/>
    <x v="44"/>
    <n v="1328"/>
    <n v="3584.76"/>
    <n v="2356.4"/>
    <n v="1228.3599999999999"/>
    <n v="0.66"/>
    <n v="0.3"/>
    <n v="2264.52"/>
    <x v="1"/>
    <n v="706"/>
    <n v="0.15"/>
    <n v="111.79"/>
    <n v="0.03"/>
    <n v="859.12"/>
    <n v="0.24"/>
    <n v="3"/>
    <n v="927.99"/>
    <n v="89"/>
    <n v="0"/>
    <n v="440.92"/>
    <n v="1729.53"/>
    <x v="2"/>
    <n v="1368.42"/>
    <x v="1"/>
    <x v="0"/>
    <n v="32.1"/>
    <s v="Medium"/>
    <n v="1228.3599999999999"/>
    <n v="0"/>
  </r>
  <r>
    <x v="46"/>
    <x v="44"/>
    <n v="1567"/>
    <n v="3289.02"/>
    <n v="1487.46"/>
    <n v="1801.56"/>
    <n v="0.45"/>
    <n v="0.09"/>
    <n v="2761.13"/>
    <x v="1"/>
    <n v="590"/>
    <n v="0.48"/>
    <n v="850.49"/>
    <n v="0.26"/>
    <n v="370.35"/>
    <n v="0.11"/>
    <n v="8"/>
    <n v="771.09"/>
    <n v="62"/>
    <n v="0"/>
    <n v="622.87"/>
    <n v="1747.67"/>
    <x v="2"/>
    <n v="496.87"/>
    <x v="3"/>
    <x v="0"/>
    <n v="78.7"/>
    <s v="Medium"/>
    <n v="1801.56"/>
    <n v="0"/>
  </r>
  <r>
    <x v="46"/>
    <x v="44"/>
    <n v="1458"/>
    <n v="2642.24"/>
    <n v="2988.1"/>
    <n v="-345.86"/>
    <n v="1.1299999999999999"/>
    <n v="0.22"/>
    <n v="2160.65"/>
    <x v="0"/>
    <n v="653"/>
    <n v="0.4"/>
    <n v="646.15"/>
    <n v="0.24"/>
    <n v="278.95"/>
    <n v="0.11"/>
    <n v="6"/>
    <n v="118.51"/>
    <n v="45"/>
    <n v="0"/>
    <n v="332.49"/>
    <n v="2270.21"/>
    <x v="0"/>
    <n v="1172.69"/>
    <x v="8"/>
    <x v="0"/>
    <n v="9.5"/>
    <s v="Low"/>
    <n v="0"/>
    <n v="0"/>
  </r>
  <r>
    <x v="46"/>
    <x v="44"/>
    <n v="1888"/>
    <n v="4105.57"/>
    <n v="2607.75"/>
    <n v="1497.82"/>
    <n v="0.64"/>
    <n v="0.33"/>
    <n v="2529.4699999999998"/>
    <x v="1"/>
    <n v="698"/>
    <n v="0.4"/>
    <n v="61.39"/>
    <n v="0.01"/>
    <n v="459.11"/>
    <n v="0.11"/>
    <n v="4"/>
    <n v="1228.18"/>
    <n v="87"/>
    <n v="0"/>
    <n v="490.37"/>
    <n v="2615.9499999999998"/>
    <x v="1"/>
    <n v="702.63"/>
    <x v="9"/>
    <x v="1"/>
    <n v="48.8"/>
    <s v="Low"/>
    <n v="1497.82"/>
    <n v="0"/>
  </r>
  <r>
    <x v="46"/>
    <x v="44"/>
    <n v="1641"/>
    <n v="4460.6099999999997"/>
    <n v="2793.19"/>
    <n v="1667.42"/>
    <n v="0.63"/>
    <n v="0.24"/>
    <n v="2424.4299999999998"/>
    <x v="2"/>
    <n v="678"/>
    <n v="0.53"/>
    <n v="637.20000000000005"/>
    <n v="0.14000000000000001"/>
    <n v="978.79"/>
    <n v="0.22"/>
    <n v="2"/>
    <n v="21.26"/>
    <n v="34"/>
    <n v="0"/>
    <n v="640.12"/>
    <n v="1509.18"/>
    <x v="1"/>
    <n v="685.73"/>
    <x v="4"/>
    <x v="0"/>
    <n v="90"/>
    <s v="Low"/>
    <n v="1667.42"/>
    <n v="0"/>
  </r>
  <r>
    <x v="46"/>
    <x v="44"/>
    <n v="1314"/>
    <n v="4734.04"/>
    <n v="3175.1"/>
    <n v="1558.94"/>
    <n v="0.67"/>
    <n v="0.2"/>
    <n v="3004.97"/>
    <x v="1"/>
    <n v="582"/>
    <n v="0.47"/>
    <n v="522.23"/>
    <n v="0.11"/>
    <n v="156.51"/>
    <n v="0.03"/>
    <n v="5"/>
    <n v="673.57"/>
    <n v="56"/>
    <n v="0"/>
    <n v="513.04"/>
    <n v="1000"/>
    <x v="1"/>
    <n v="980.23"/>
    <x v="4"/>
    <x v="0"/>
    <n v="47.7"/>
    <s v="Medium"/>
    <n v="1558.94"/>
    <n v="0"/>
  </r>
  <r>
    <x v="46"/>
    <x v="44"/>
    <n v="1312"/>
    <n v="4059.88"/>
    <n v="4273.1499999999996"/>
    <n v="-213.27"/>
    <n v="1.05"/>
    <n v="0.06"/>
    <n v="2692.4"/>
    <x v="1"/>
    <n v="638"/>
    <n v="0.35"/>
    <n v="656.68"/>
    <n v="0.16"/>
    <n v="297.14"/>
    <n v="7.0000000000000007E-2"/>
    <n v="1"/>
    <n v="613.67999999999995"/>
    <n v="81"/>
    <n v="0"/>
    <n v="606.30999999999995"/>
    <n v="1428.63"/>
    <x v="1"/>
    <n v="1022.24"/>
    <x v="9"/>
    <x v="1"/>
    <n v="71"/>
    <s v="High"/>
    <n v="0"/>
    <n v="0"/>
  </r>
  <r>
    <x v="46"/>
    <x v="44"/>
    <n v="1460"/>
    <n v="4214.59"/>
    <n v="2935.05"/>
    <n v="1279.54"/>
    <n v="0.7"/>
    <n v="0.34"/>
    <n v="3561.01"/>
    <x v="1"/>
    <n v="716"/>
    <n v="0.21"/>
    <n v="145.65"/>
    <n v="0.03"/>
    <n v="749.6"/>
    <n v="0.18"/>
    <n v="8"/>
    <n v="1480.97"/>
    <n v="25"/>
    <n v="0"/>
    <n v="512.89"/>
    <n v="1520.38"/>
    <x v="2"/>
    <n v="1507.2"/>
    <x v="4"/>
    <x v="0"/>
    <n v="56.7"/>
    <s v="Low"/>
    <n v="1279.54"/>
    <n v="0"/>
  </r>
  <r>
    <x v="46"/>
    <x v="44"/>
    <n v="1131"/>
    <n v="5362.52"/>
    <n v="2620.39"/>
    <n v="2742.13"/>
    <n v="0.49"/>
    <n v="0.3"/>
    <n v="2221.5700000000002"/>
    <x v="2"/>
    <n v="668"/>
    <n v="0.16"/>
    <n v="371.56"/>
    <n v="7.0000000000000007E-2"/>
    <n v="349.05"/>
    <n v="7.0000000000000007E-2"/>
    <n v="6"/>
    <n v="601.49"/>
    <n v="47"/>
    <n v="0"/>
    <n v="203.03"/>
    <n v="2676.7"/>
    <x v="1"/>
    <n v="1828.14"/>
    <x v="5"/>
    <x v="1"/>
    <n v="69.900000000000006"/>
    <s v="Medium"/>
    <n v="2742.13"/>
    <n v="1"/>
  </r>
  <r>
    <x v="46"/>
    <x v="44"/>
    <n v="1649"/>
    <n v="3474.62"/>
    <n v="3989.72"/>
    <n v="-515.1"/>
    <n v="1.1499999999999999"/>
    <n v="0.15"/>
    <n v="2315.2199999999998"/>
    <x v="0"/>
    <n v="812"/>
    <n v="0.19"/>
    <n v="736.69"/>
    <n v="0.21"/>
    <n v="727.95"/>
    <n v="0.21"/>
    <n v="3"/>
    <n v="88.84"/>
    <n v="65"/>
    <n v="0"/>
    <n v="671.23"/>
    <n v="2511.4299999999998"/>
    <x v="0"/>
    <n v="2126.91"/>
    <x v="1"/>
    <x v="0"/>
    <n v="19.3"/>
    <s v="Low"/>
    <n v="0"/>
    <n v="0"/>
  </r>
  <r>
    <x v="46"/>
    <x v="44"/>
    <n v="1740"/>
    <n v="1147.83"/>
    <n v="3373.13"/>
    <n v="-2225.3000000000002"/>
    <n v="2.94"/>
    <n v="0.22"/>
    <n v="3110.87"/>
    <x v="1"/>
    <n v="663"/>
    <n v="0.41"/>
    <n v="891.92"/>
    <n v="0.78"/>
    <n v="12.52"/>
    <n v="0.01"/>
    <n v="8"/>
    <n v="1451.49"/>
    <n v="66"/>
    <n v="0"/>
    <n v="672.85"/>
    <n v="2003.59"/>
    <x v="0"/>
    <n v="474.7"/>
    <x v="9"/>
    <x v="0"/>
    <n v="32.9"/>
    <s v="Low"/>
    <n v="0"/>
    <n v="0"/>
  </r>
  <r>
    <x v="46"/>
    <x v="44"/>
    <n v="1272"/>
    <n v="5710.41"/>
    <n v="3616.83"/>
    <n v="2093.58"/>
    <n v="0.63"/>
    <n v="0.31"/>
    <n v="3079.28"/>
    <x v="0"/>
    <n v="663"/>
    <n v="0.41"/>
    <n v="424.15"/>
    <n v="7.0000000000000007E-2"/>
    <n v="582.80999999999995"/>
    <n v="0.1"/>
    <n v="9"/>
    <n v="1713.24"/>
    <n v="70"/>
    <n v="0"/>
    <n v="921.32"/>
    <n v="1525.48"/>
    <x v="1"/>
    <n v="1539.99"/>
    <x v="9"/>
    <x v="0"/>
    <n v="59.5"/>
    <s v="Medium"/>
    <n v="2093.58"/>
    <n v="0"/>
  </r>
  <r>
    <x v="46"/>
    <x v="44"/>
    <n v="1074"/>
    <n v="3604.93"/>
    <n v="3988.9"/>
    <n v="-383.97"/>
    <n v="1.1100000000000001"/>
    <n v="0.31"/>
    <n v="2924.95"/>
    <x v="1"/>
    <n v="723"/>
    <n v="0.33"/>
    <n v="899.1"/>
    <n v="0.25"/>
    <n v="37.24"/>
    <n v="0.01"/>
    <n v="4"/>
    <n v="620.92999999999995"/>
    <n v="23"/>
    <n v="0"/>
    <n v="463.33"/>
    <n v="2238.2600000000002"/>
    <x v="1"/>
    <n v="863.76"/>
    <x v="7"/>
    <x v="1"/>
    <n v="88.3"/>
    <s v="Low"/>
    <n v="0"/>
    <n v="0"/>
  </r>
  <r>
    <x v="46"/>
    <x v="44"/>
    <n v="1813"/>
    <n v="5782.05"/>
    <n v="3674.54"/>
    <n v="2107.5100000000002"/>
    <n v="0.64"/>
    <n v="0.37"/>
    <n v="3226.92"/>
    <x v="0"/>
    <n v="696"/>
    <n v="0.24"/>
    <n v="395.89"/>
    <n v="7.0000000000000007E-2"/>
    <n v="298.8"/>
    <n v="0.05"/>
    <n v="3"/>
    <n v="849.83"/>
    <n v="94"/>
    <n v="0"/>
    <n v="0"/>
    <n v="2276.15"/>
    <x v="1"/>
    <n v="1018.62"/>
    <x v="7"/>
    <x v="0"/>
    <n v="42.2"/>
    <s v="Medium"/>
    <n v="2107.5100000000002"/>
    <n v="0"/>
  </r>
  <r>
    <x v="46"/>
    <x v="44"/>
    <n v="1050"/>
    <n v="5144.68"/>
    <n v="2707.01"/>
    <n v="2437.67"/>
    <n v="0.53"/>
    <n v="0.19"/>
    <n v="2709.53"/>
    <x v="1"/>
    <n v="646"/>
    <n v="0.32"/>
    <n v="827.5"/>
    <n v="0.16"/>
    <n v="545.91999999999996"/>
    <n v="0.11"/>
    <n v="4"/>
    <n v="1328.28"/>
    <n v="99"/>
    <n v="0"/>
    <n v="663.84"/>
    <n v="1903.01"/>
    <x v="0"/>
    <n v="1341.3"/>
    <x v="0"/>
    <x v="1"/>
    <n v="8.1"/>
    <s v="Low"/>
    <n v="2437.67"/>
    <n v="0"/>
  </r>
  <r>
    <x v="46"/>
    <x v="44"/>
    <n v="1932"/>
    <n v="4779.21"/>
    <n v="3920.42"/>
    <n v="858.79"/>
    <n v="0.82"/>
    <n v="0.05"/>
    <n v="3225.64"/>
    <x v="1"/>
    <n v="688"/>
    <n v="0.18"/>
    <n v="499.08"/>
    <n v="0.1"/>
    <n v="462.01"/>
    <n v="0.1"/>
    <n v="3"/>
    <n v="1125.1099999999999"/>
    <n v="80"/>
    <n v="0"/>
    <n v="423.15"/>
    <n v="1623.55"/>
    <x v="1"/>
    <n v="1456.12"/>
    <x v="1"/>
    <x v="0"/>
    <n v="11.1"/>
    <s v="Low"/>
    <n v="858.79"/>
    <n v="0"/>
  </r>
  <r>
    <x v="46"/>
    <x v="44"/>
    <n v="1421"/>
    <n v="4415.51"/>
    <n v="2821.05"/>
    <n v="1594.46"/>
    <n v="0.64"/>
    <n v="0.22"/>
    <n v="3232.88"/>
    <x v="0"/>
    <n v="685"/>
    <n v="0.55000000000000004"/>
    <n v="468.13"/>
    <n v="0.11"/>
    <n v="0"/>
    <n v="0"/>
    <n v="5"/>
    <n v="1482.55"/>
    <n v="33"/>
    <n v="0"/>
    <n v="531.76"/>
    <n v="2225.2600000000002"/>
    <x v="1"/>
    <n v="1530.83"/>
    <x v="4"/>
    <x v="0"/>
    <n v="17.399999999999999"/>
    <s v="Medium"/>
    <n v="1594.46"/>
    <n v="0"/>
  </r>
  <r>
    <x v="47"/>
    <x v="45"/>
    <n v="1206"/>
    <n v="3764.31"/>
    <n v="2918.07"/>
    <n v="846.24"/>
    <n v="0.78"/>
    <n v="0.22"/>
    <n v="2831.01"/>
    <x v="1"/>
    <n v="662"/>
    <n v="0.44"/>
    <n v="671.29"/>
    <n v="0.18"/>
    <n v="0"/>
    <n v="0"/>
    <n v="4"/>
    <n v="789.59"/>
    <n v="96"/>
    <n v="0"/>
    <n v="619.13"/>
    <n v="2275.19"/>
    <x v="1"/>
    <n v="1127.83"/>
    <x v="7"/>
    <x v="0"/>
    <n v="66"/>
    <s v="Low"/>
    <n v="846.24"/>
    <n v="0"/>
  </r>
  <r>
    <x v="47"/>
    <x v="45"/>
    <n v="1737"/>
    <n v="3564.15"/>
    <n v="2364.9699999999998"/>
    <n v="1199.18"/>
    <n v="0.66"/>
    <n v="0.26"/>
    <n v="2846.31"/>
    <x v="0"/>
    <n v="711"/>
    <n v="0.14000000000000001"/>
    <n v="544.1"/>
    <n v="0.15"/>
    <n v="48.06"/>
    <n v="0.01"/>
    <n v="4"/>
    <n v="397.5"/>
    <n v="68"/>
    <n v="0"/>
    <n v="285.79000000000002"/>
    <n v="2412.89"/>
    <x v="1"/>
    <n v="930.95"/>
    <x v="1"/>
    <x v="2"/>
    <n v="53.1"/>
    <s v="Medium"/>
    <n v="1199.18"/>
    <n v="0"/>
  </r>
  <r>
    <x v="47"/>
    <x v="45"/>
    <n v="1194"/>
    <n v="4405.6000000000004"/>
    <n v="2086.7399999999998"/>
    <n v="2318.86"/>
    <n v="0.47"/>
    <n v="0.25"/>
    <n v="3067.48"/>
    <x v="0"/>
    <n v="667"/>
    <n v="0.31"/>
    <n v="690.36"/>
    <n v="0.16"/>
    <n v="291.7"/>
    <n v="7.0000000000000007E-2"/>
    <n v="2"/>
    <n v="1254.99"/>
    <n v="78"/>
    <n v="0"/>
    <n v="604.26"/>
    <n v="1317.03"/>
    <x v="0"/>
    <n v="1402.39"/>
    <x v="3"/>
    <x v="2"/>
    <n v="42.6"/>
    <s v="Low"/>
    <n v="2318.86"/>
    <n v="0"/>
  </r>
  <r>
    <x v="47"/>
    <x v="45"/>
    <n v="1391"/>
    <n v="3008.33"/>
    <n v="2707.59"/>
    <n v="300.74"/>
    <n v="0.9"/>
    <n v="0.16"/>
    <n v="2970.39"/>
    <x v="2"/>
    <n v="662"/>
    <n v="0.52"/>
    <n v="331.77"/>
    <n v="0.11"/>
    <n v="393.5"/>
    <n v="0.13"/>
    <n v="4"/>
    <n v="573.03"/>
    <n v="27"/>
    <n v="0"/>
    <n v="528.58000000000004"/>
    <n v="2332.52"/>
    <x v="1"/>
    <n v="1616.83"/>
    <x v="6"/>
    <x v="2"/>
    <n v="78.2"/>
    <s v="Low"/>
    <n v="300.74"/>
    <n v="0"/>
  </r>
  <r>
    <x v="47"/>
    <x v="45"/>
    <n v="1875"/>
    <n v="2482.7399999999998"/>
    <n v="2494.31"/>
    <n v="-11.57"/>
    <n v="1"/>
    <n v="0.08"/>
    <n v="2043.34"/>
    <x v="1"/>
    <n v="656"/>
    <n v="0.21"/>
    <n v="642.08000000000004"/>
    <n v="0.26"/>
    <n v="354.87"/>
    <n v="0.14000000000000001"/>
    <n v="4"/>
    <n v="779.65"/>
    <n v="24"/>
    <n v="0"/>
    <n v="472.08"/>
    <n v="3925.17"/>
    <x v="2"/>
    <n v="908.01"/>
    <x v="2"/>
    <x v="0"/>
    <n v="39"/>
    <s v="Medium"/>
    <n v="0"/>
    <n v="0"/>
  </r>
  <r>
    <x v="47"/>
    <x v="45"/>
    <n v="1997"/>
    <n v="4196.79"/>
    <n v="3668.42"/>
    <n v="528.37"/>
    <n v="0.87"/>
    <n v="0.27"/>
    <n v="2891.74"/>
    <x v="2"/>
    <n v="729"/>
    <n v="0.57999999999999996"/>
    <n v="49.07"/>
    <n v="0.01"/>
    <n v="588.88"/>
    <n v="0.14000000000000001"/>
    <n v="6"/>
    <n v="939.47"/>
    <n v="78"/>
    <n v="0"/>
    <n v="490.08"/>
    <n v="1398.86"/>
    <x v="1"/>
    <n v="1820.12"/>
    <x v="6"/>
    <x v="0"/>
    <n v="56.7"/>
    <s v="Medium"/>
    <n v="528.37"/>
    <n v="0"/>
  </r>
  <r>
    <x v="47"/>
    <x v="45"/>
    <n v="1526"/>
    <n v="4691.3500000000004"/>
    <n v="2418.36"/>
    <n v="2272.9899999999998"/>
    <n v="0.52"/>
    <n v="0.3"/>
    <n v="2610.73"/>
    <x v="0"/>
    <n v="718"/>
    <n v="0.55000000000000004"/>
    <n v="381.63"/>
    <n v="0.08"/>
    <n v="533.70000000000005"/>
    <n v="0.11"/>
    <n v="5"/>
    <n v="1054.18"/>
    <n v="21"/>
    <n v="0"/>
    <n v="702.55"/>
    <n v="1311.71"/>
    <x v="1"/>
    <n v="726.94"/>
    <x v="6"/>
    <x v="0"/>
    <n v="79.5"/>
    <s v="Low"/>
    <n v="2272.9899999999998"/>
    <n v="0"/>
  </r>
  <r>
    <x v="47"/>
    <x v="45"/>
    <n v="1493"/>
    <n v="4903.91"/>
    <n v="4430.9799999999996"/>
    <n v="472.93"/>
    <n v="0.9"/>
    <n v="0.15"/>
    <n v="2181.0100000000002"/>
    <x v="2"/>
    <n v="658"/>
    <n v="0.12"/>
    <n v="353.86"/>
    <n v="7.0000000000000007E-2"/>
    <n v="310.92"/>
    <n v="0.06"/>
    <n v="6"/>
    <n v="1028.1600000000001"/>
    <n v="71"/>
    <n v="0"/>
    <n v="619.22"/>
    <n v="1816.74"/>
    <x v="0"/>
    <n v="1067.29"/>
    <x v="0"/>
    <x v="0"/>
    <n v="68.5"/>
    <s v="Low"/>
    <n v="472.93"/>
    <n v="0"/>
  </r>
  <r>
    <x v="47"/>
    <x v="45"/>
    <n v="1158"/>
    <n v="3633.85"/>
    <n v="3215.2"/>
    <n v="418.65"/>
    <n v="0.88"/>
    <n v="0.35"/>
    <n v="2864.14"/>
    <x v="1"/>
    <n v="678"/>
    <n v="0.28999999999999998"/>
    <n v="491.23"/>
    <n v="0.14000000000000001"/>
    <n v="363.41"/>
    <n v="0.1"/>
    <n v="9"/>
    <n v="405.86"/>
    <n v="88"/>
    <n v="0"/>
    <n v="293.17"/>
    <n v="3402.98"/>
    <x v="1"/>
    <n v="1455.86"/>
    <x v="0"/>
    <x v="0"/>
    <n v="59"/>
    <s v="Low"/>
    <n v="418.65"/>
    <n v="0"/>
  </r>
  <r>
    <x v="47"/>
    <x v="45"/>
    <n v="1950"/>
    <n v="6575.88"/>
    <n v="2749.9"/>
    <n v="3825.98"/>
    <n v="0.42"/>
    <n v="0.06"/>
    <n v="2244.91"/>
    <x v="1"/>
    <n v="712"/>
    <n v="0.53"/>
    <n v="573.89"/>
    <n v="0.09"/>
    <n v="443.84"/>
    <n v="7.0000000000000007E-2"/>
    <n v="2"/>
    <n v="1760.12"/>
    <n v="63"/>
    <n v="0"/>
    <n v="639.52"/>
    <n v="2563.9899999999998"/>
    <x v="1"/>
    <n v="1422.68"/>
    <x v="1"/>
    <x v="1"/>
    <n v="10.7"/>
    <s v="Low"/>
    <n v="3825.98"/>
    <n v="1"/>
  </r>
  <r>
    <x v="47"/>
    <x v="45"/>
    <n v="1572"/>
    <n v="3360.59"/>
    <n v="2987.21"/>
    <n v="373.38"/>
    <n v="0.89"/>
    <n v="0.39"/>
    <n v="1992.49"/>
    <x v="1"/>
    <n v="678"/>
    <n v="0.5"/>
    <n v="495.91"/>
    <n v="0.15"/>
    <n v="291.60000000000002"/>
    <n v="0.09"/>
    <n v="4"/>
    <n v="1114.26"/>
    <n v="64"/>
    <n v="0"/>
    <n v="883.94"/>
    <n v="1833.94"/>
    <x v="1"/>
    <n v="1646.15"/>
    <x v="2"/>
    <x v="2"/>
    <n v="87"/>
    <s v="Low"/>
    <n v="373.38"/>
    <n v="0"/>
  </r>
  <r>
    <x v="47"/>
    <x v="45"/>
    <n v="1864"/>
    <n v="5261.41"/>
    <n v="2880.23"/>
    <n v="2381.1799999999998"/>
    <n v="0.55000000000000004"/>
    <n v="0.06"/>
    <n v="3180.42"/>
    <x v="2"/>
    <n v="571"/>
    <n v="0.15"/>
    <n v="0"/>
    <n v="0"/>
    <n v="366.4"/>
    <n v="7.0000000000000007E-2"/>
    <n v="3"/>
    <n v="902.25"/>
    <n v="75"/>
    <n v="0"/>
    <n v="509.47"/>
    <n v="1672.65"/>
    <x v="1"/>
    <n v="1666.5"/>
    <x v="5"/>
    <x v="1"/>
    <n v="70.900000000000006"/>
    <s v="Low"/>
    <n v="2381.1799999999998"/>
    <n v="0"/>
  </r>
  <r>
    <x v="47"/>
    <x v="45"/>
    <n v="1449"/>
    <n v="5146.83"/>
    <n v="3076.56"/>
    <n v="2070.27"/>
    <n v="0.6"/>
    <n v="0.27"/>
    <n v="2449.4299999999998"/>
    <x v="2"/>
    <n v="624"/>
    <n v="0.28999999999999998"/>
    <n v="701.73"/>
    <n v="0.14000000000000001"/>
    <n v="574.23"/>
    <n v="0.11"/>
    <n v="3"/>
    <n v="1481.68"/>
    <n v="75"/>
    <n v="0"/>
    <n v="465.31"/>
    <n v="1259.02"/>
    <x v="1"/>
    <n v="1549.63"/>
    <x v="3"/>
    <x v="2"/>
    <n v="49.2"/>
    <s v="Low"/>
    <n v="2070.27"/>
    <n v="0"/>
  </r>
  <r>
    <x v="47"/>
    <x v="45"/>
    <n v="1411"/>
    <n v="3879.76"/>
    <n v="1873.07"/>
    <n v="2006.69"/>
    <n v="0.48"/>
    <n v="0.06"/>
    <n v="2399.13"/>
    <x v="0"/>
    <n v="744"/>
    <n v="0.15"/>
    <n v="210.98"/>
    <n v="0.05"/>
    <n v="233.22"/>
    <n v="0.06"/>
    <n v="3"/>
    <n v="572.47"/>
    <n v="43"/>
    <n v="0"/>
    <n v="577.82000000000005"/>
    <n v="1561.96"/>
    <x v="2"/>
    <n v="1532.44"/>
    <x v="2"/>
    <x v="0"/>
    <n v="9.1"/>
    <s v="Medium"/>
    <n v="2006.69"/>
    <n v="0"/>
  </r>
  <r>
    <x v="47"/>
    <x v="45"/>
    <n v="1027"/>
    <n v="3856.87"/>
    <n v="2783.08"/>
    <n v="1073.79"/>
    <n v="0.72"/>
    <n v="0.4"/>
    <n v="2847.61"/>
    <x v="1"/>
    <n v="705"/>
    <n v="0.39"/>
    <n v="412.18"/>
    <n v="0.11"/>
    <n v="531.27"/>
    <n v="0.14000000000000001"/>
    <n v="8"/>
    <n v="1292.6500000000001"/>
    <n v="68"/>
    <n v="0"/>
    <n v="665.78"/>
    <n v="2063.71"/>
    <x v="1"/>
    <n v="1718.92"/>
    <x v="1"/>
    <x v="0"/>
    <n v="34.6"/>
    <s v="Medium"/>
    <n v="1073.79"/>
    <n v="0"/>
  </r>
  <r>
    <x v="47"/>
    <x v="45"/>
    <n v="1199"/>
    <n v="3450.7"/>
    <n v="2302.19"/>
    <n v="1148.51"/>
    <n v="0.67"/>
    <n v="0.16"/>
    <n v="2957.13"/>
    <x v="1"/>
    <n v="657"/>
    <n v="0.42"/>
    <n v="436.23"/>
    <n v="0.13"/>
    <n v="608.75"/>
    <n v="0.18"/>
    <n v="1"/>
    <n v="1398.63"/>
    <n v="45"/>
    <n v="0"/>
    <n v="430.86"/>
    <n v="2232.4699999999998"/>
    <x v="1"/>
    <n v="1398.47"/>
    <x v="5"/>
    <x v="1"/>
    <n v="37.700000000000003"/>
    <s v="Low"/>
    <n v="1148.51"/>
    <n v="0"/>
  </r>
  <r>
    <x v="47"/>
    <x v="45"/>
    <n v="1219"/>
    <n v="4139.21"/>
    <n v="2260.29"/>
    <n v="1878.92"/>
    <n v="0.55000000000000004"/>
    <n v="0.31"/>
    <n v="3141.57"/>
    <x v="1"/>
    <n v="706"/>
    <n v="0.22"/>
    <n v="20.53"/>
    <n v="0"/>
    <n v="77.3"/>
    <n v="0.02"/>
    <n v="8"/>
    <n v="1817.67"/>
    <n v="64"/>
    <n v="0"/>
    <n v="645.41999999999996"/>
    <n v="2843.36"/>
    <x v="1"/>
    <n v="1687.51"/>
    <x v="5"/>
    <x v="0"/>
    <n v="19.7"/>
    <s v="High"/>
    <n v="1878.92"/>
    <n v="0"/>
  </r>
  <r>
    <x v="47"/>
    <x v="45"/>
    <n v="1012"/>
    <n v="5047.92"/>
    <n v="2324.62"/>
    <n v="2723.3"/>
    <n v="0.46"/>
    <n v="0.05"/>
    <n v="1805.49"/>
    <x v="0"/>
    <n v="699"/>
    <n v="0.43"/>
    <n v="130.35"/>
    <n v="0.03"/>
    <n v="496.63"/>
    <n v="0.1"/>
    <n v="7"/>
    <n v="694.46"/>
    <n v="61"/>
    <n v="0"/>
    <n v="445.59"/>
    <n v="2599.11"/>
    <x v="1"/>
    <n v="1128.1500000000001"/>
    <x v="0"/>
    <x v="0"/>
    <n v="77"/>
    <s v="Low"/>
    <n v="2723.3"/>
    <n v="1"/>
  </r>
  <r>
    <x v="47"/>
    <x v="45"/>
    <n v="1901"/>
    <n v="4607.72"/>
    <n v="2172.89"/>
    <n v="2434.83"/>
    <n v="0.47"/>
    <n v="0.19"/>
    <n v="2606.41"/>
    <x v="0"/>
    <n v="734"/>
    <n v="0.56000000000000005"/>
    <n v="418.91"/>
    <n v="0.09"/>
    <n v="505.64"/>
    <n v="0.11"/>
    <n v="2"/>
    <n v="2037.83"/>
    <n v="69"/>
    <n v="0"/>
    <n v="466.98"/>
    <n v="1883.69"/>
    <x v="1"/>
    <n v="1130.6600000000001"/>
    <x v="5"/>
    <x v="0"/>
    <n v="77.599999999999994"/>
    <s v="Low"/>
    <n v="2434.83"/>
    <n v="0"/>
  </r>
  <r>
    <x v="47"/>
    <x v="45"/>
    <n v="1470"/>
    <n v="5019.59"/>
    <n v="4036"/>
    <n v="983.59"/>
    <n v="0.8"/>
    <n v="0.16"/>
    <n v="3032.5"/>
    <x v="1"/>
    <n v="675"/>
    <n v="0.35"/>
    <n v="567.52"/>
    <n v="0.11"/>
    <n v="294.08"/>
    <n v="0.06"/>
    <n v="1"/>
    <n v="1576.67"/>
    <n v="85"/>
    <n v="0"/>
    <n v="822.54"/>
    <n v="2471.86"/>
    <x v="1"/>
    <n v="1564.72"/>
    <x v="8"/>
    <x v="0"/>
    <n v="34.6"/>
    <s v="Medium"/>
    <n v="983.59"/>
    <n v="0"/>
  </r>
  <r>
    <x v="47"/>
    <x v="45"/>
    <n v="1959"/>
    <n v="4359.38"/>
    <n v="3964.36"/>
    <n v="395.02"/>
    <n v="0.91"/>
    <n v="0.25"/>
    <n v="3010.92"/>
    <x v="1"/>
    <n v="668"/>
    <n v="0.39"/>
    <n v="604.30999999999995"/>
    <n v="0.14000000000000001"/>
    <n v="482.33"/>
    <n v="0.11"/>
    <n v="5"/>
    <n v="905.58"/>
    <n v="38"/>
    <n v="0"/>
    <n v="494.94"/>
    <n v="2548.91"/>
    <x v="0"/>
    <n v="1140.56"/>
    <x v="8"/>
    <x v="2"/>
    <n v="22.3"/>
    <s v="Medium"/>
    <n v="395.02"/>
    <n v="0"/>
  </r>
  <r>
    <x v="47"/>
    <x v="45"/>
    <n v="1161"/>
    <n v="4043.99"/>
    <n v="3735.51"/>
    <n v="308.48"/>
    <n v="0.92"/>
    <n v="0.19"/>
    <n v="1540.17"/>
    <x v="2"/>
    <n v="813"/>
    <n v="0.4"/>
    <n v="576.85"/>
    <n v="0.14000000000000001"/>
    <n v="0"/>
    <n v="0"/>
    <n v="8"/>
    <n v="1656.52"/>
    <n v="49"/>
    <n v="0"/>
    <n v="650.48"/>
    <n v="2863.29"/>
    <x v="1"/>
    <n v="848.09"/>
    <x v="1"/>
    <x v="1"/>
    <n v="87.3"/>
    <s v="Medium"/>
    <n v="308.48"/>
    <n v="0"/>
  </r>
  <r>
    <x v="47"/>
    <x v="45"/>
    <n v="1187"/>
    <n v="3250.29"/>
    <n v="2500.34"/>
    <n v="749.95"/>
    <n v="0.77"/>
    <n v="0.27"/>
    <n v="2844"/>
    <x v="0"/>
    <n v="640"/>
    <n v="0.43"/>
    <n v="827.72"/>
    <n v="0.25"/>
    <n v="544.49"/>
    <n v="0.17"/>
    <n v="6"/>
    <n v="702.68"/>
    <n v="69"/>
    <n v="0"/>
    <n v="498.21"/>
    <n v="1000"/>
    <x v="2"/>
    <n v="1358.19"/>
    <x v="6"/>
    <x v="2"/>
    <n v="44.5"/>
    <s v="Low"/>
    <n v="749.95"/>
    <n v="0"/>
  </r>
  <r>
    <x v="47"/>
    <x v="45"/>
    <n v="1287"/>
    <n v="4669.17"/>
    <n v="2316.4899999999998"/>
    <n v="2352.6799999999998"/>
    <n v="0.5"/>
    <n v="0.27"/>
    <n v="3174.65"/>
    <x v="1"/>
    <n v="749"/>
    <n v="0.21"/>
    <n v="893.09"/>
    <n v="0.19"/>
    <n v="167.75"/>
    <n v="0.04"/>
    <n v="3"/>
    <n v="2204.29"/>
    <n v="64"/>
    <n v="0"/>
    <n v="647.33000000000004"/>
    <n v="1799.14"/>
    <x v="1"/>
    <n v="1619.31"/>
    <x v="5"/>
    <x v="0"/>
    <n v="90.5"/>
    <s v="Medium"/>
    <n v="2352.6799999999998"/>
    <n v="0"/>
  </r>
  <r>
    <x v="47"/>
    <x v="45"/>
    <n v="1014"/>
    <n v="5567.2"/>
    <n v="3655.79"/>
    <n v="1911.41"/>
    <n v="0.66"/>
    <n v="0.34"/>
    <n v="2593.4"/>
    <x v="2"/>
    <n v="614"/>
    <n v="0.23"/>
    <n v="571.04999999999995"/>
    <n v="0.1"/>
    <n v="317.69"/>
    <n v="0.06"/>
    <n v="2"/>
    <n v="1628.62"/>
    <n v="27"/>
    <n v="0"/>
    <n v="612.04999999999995"/>
    <n v="1646.79"/>
    <x v="1"/>
    <n v="1658.45"/>
    <x v="4"/>
    <x v="2"/>
    <n v="72.7"/>
    <s v="Low"/>
    <n v="1911.41"/>
    <n v="0"/>
  </r>
  <r>
    <x v="47"/>
    <x v="45"/>
    <n v="1516"/>
    <n v="4185.6899999999996"/>
    <n v="3291.93"/>
    <n v="893.76"/>
    <n v="0.79"/>
    <n v="0.31"/>
    <n v="2665.39"/>
    <x v="0"/>
    <n v="636"/>
    <n v="0.3"/>
    <n v="791.34"/>
    <n v="0.19"/>
    <n v="389.57"/>
    <n v="0.09"/>
    <n v="4"/>
    <n v="959.75"/>
    <n v="78"/>
    <n v="0"/>
    <n v="372.64"/>
    <n v="3316.95"/>
    <x v="1"/>
    <n v="1066.45"/>
    <x v="8"/>
    <x v="1"/>
    <n v="4.8"/>
    <s v="Low"/>
    <n v="893.76"/>
    <n v="0"/>
  </r>
  <r>
    <x v="47"/>
    <x v="45"/>
    <n v="1841"/>
    <n v="4866.8500000000004"/>
    <n v="2570.8200000000002"/>
    <n v="2296.0300000000002"/>
    <n v="0.53"/>
    <n v="0.17"/>
    <n v="2763.03"/>
    <x v="1"/>
    <n v="825"/>
    <n v="0.15"/>
    <n v="505.62"/>
    <n v="0.1"/>
    <n v="45.06"/>
    <n v="0.01"/>
    <n v="3"/>
    <n v="240.49"/>
    <n v="97"/>
    <n v="0"/>
    <n v="655.74"/>
    <n v="1988.59"/>
    <x v="1"/>
    <n v="1064.44"/>
    <x v="0"/>
    <x v="2"/>
    <n v="85.4"/>
    <s v="High"/>
    <n v="2296.0300000000002"/>
    <n v="0"/>
  </r>
  <r>
    <x v="47"/>
    <x v="45"/>
    <n v="1320"/>
    <n v="3540.69"/>
    <n v="3548.21"/>
    <n v="-7.52"/>
    <n v="1"/>
    <n v="0.24"/>
    <n v="3392.41"/>
    <x v="1"/>
    <n v="659"/>
    <n v="0.57999999999999996"/>
    <n v="371.17"/>
    <n v="0.1"/>
    <n v="777.61"/>
    <n v="0.22"/>
    <n v="4"/>
    <n v="1229.07"/>
    <n v="47"/>
    <n v="0"/>
    <n v="658.15"/>
    <n v="2571.65"/>
    <x v="1"/>
    <n v="1147.27"/>
    <x v="2"/>
    <x v="0"/>
    <n v="52.2"/>
    <s v="Low"/>
    <n v="0"/>
    <n v="0"/>
  </r>
  <r>
    <x v="47"/>
    <x v="45"/>
    <n v="1634"/>
    <n v="3618.52"/>
    <n v="2967.77"/>
    <n v="650.75"/>
    <n v="0.82"/>
    <n v="0.22"/>
    <n v="2755.62"/>
    <x v="1"/>
    <n v="628"/>
    <n v="0.52"/>
    <n v="343.49"/>
    <n v="0.09"/>
    <n v="566.83000000000004"/>
    <n v="0.16"/>
    <n v="3"/>
    <n v="1138.3900000000001"/>
    <n v="97"/>
    <n v="0"/>
    <n v="107.12"/>
    <n v="2406.85"/>
    <x v="1"/>
    <n v="1811.99"/>
    <x v="0"/>
    <x v="1"/>
    <n v="54.2"/>
    <s v="Low"/>
    <n v="650.75"/>
    <n v="0"/>
  </r>
  <r>
    <x v="47"/>
    <x v="45"/>
    <n v="1353"/>
    <n v="3698.63"/>
    <n v="2624.57"/>
    <n v="1074.06"/>
    <n v="0.71"/>
    <n v="0.32"/>
    <n v="2752.33"/>
    <x v="2"/>
    <n v="706"/>
    <n v="0.23"/>
    <n v="408.45"/>
    <n v="0.11"/>
    <n v="111.48"/>
    <n v="0.03"/>
    <n v="6"/>
    <n v="1044.17"/>
    <n v="68"/>
    <n v="0"/>
    <n v="449.06"/>
    <n v="2378.6799999999998"/>
    <x v="1"/>
    <n v="1432.05"/>
    <x v="2"/>
    <x v="2"/>
    <n v="25.6"/>
    <s v="Low"/>
    <n v="1074.06"/>
    <n v="0"/>
  </r>
  <r>
    <x v="47"/>
    <x v="45"/>
    <n v="1555"/>
    <n v="2321.86"/>
    <n v="4290.8900000000003"/>
    <n v="-1969.03"/>
    <n v="1.85"/>
    <n v="0.37"/>
    <n v="2907.94"/>
    <x v="1"/>
    <n v="682"/>
    <n v="0.33"/>
    <n v="821.64"/>
    <n v="0.35"/>
    <n v="289.22000000000003"/>
    <n v="0.12"/>
    <n v="4"/>
    <n v="0"/>
    <n v="24"/>
    <n v="0"/>
    <n v="346.17"/>
    <n v="2657.93"/>
    <x v="0"/>
    <n v="802.27"/>
    <x v="7"/>
    <x v="2"/>
    <n v="24.1"/>
    <s v="Low"/>
    <n v="0"/>
    <n v="0"/>
  </r>
  <r>
    <x v="47"/>
    <x v="45"/>
    <n v="1602"/>
    <n v="2405.71"/>
    <n v="4562.28"/>
    <n v="-2156.5700000000002"/>
    <n v="1.9"/>
    <n v="0.13"/>
    <n v="2952.5"/>
    <x v="2"/>
    <n v="741"/>
    <n v="0.57999999999999996"/>
    <n v="584.54"/>
    <n v="0.24"/>
    <n v="483.62"/>
    <n v="0.2"/>
    <n v="2"/>
    <n v="0"/>
    <n v="65"/>
    <n v="0"/>
    <n v="823.89"/>
    <n v="2617.8200000000002"/>
    <x v="2"/>
    <n v="1571.02"/>
    <x v="9"/>
    <x v="0"/>
    <n v="45.9"/>
    <s v="Low"/>
    <n v="0"/>
    <n v="0"/>
  </r>
  <r>
    <x v="47"/>
    <x v="45"/>
    <n v="1551"/>
    <n v="3188.44"/>
    <n v="1373.62"/>
    <n v="1814.82"/>
    <n v="0.43"/>
    <n v="0.21"/>
    <n v="3168.85"/>
    <x v="1"/>
    <n v="539"/>
    <n v="0.17"/>
    <n v="464.12"/>
    <n v="0.15"/>
    <n v="287.32"/>
    <n v="0.09"/>
    <n v="6"/>
    <n v="493.11"/>
    <n v="48"/>
    <n v="0"/>
    <n v="499.78"/>
    <n v="1707.82"/>
    <x v="1"/>
    <n v="1662.84"/>
    <x v="8"/>
    <x v="1"/>
    <n v="66.400000000000006"/>
    <s v="Medium"/>
    <n v="1814.82"/>
    <n v="0"/>
  </r>
  <r>
    <x v="47"/>
    <x v="45"/>
    <n v="1219"/>
    <n v="5665.27"/>
    <n v="2858.91"/>
    <n v="2806.36"/>
    <n v="0.5"/>
    <n v="0.1"/>
    <n v="2586.39"/>
    <x v="0"/>
    <n v="565"/>
    <n v="0.21"/>
    <n v="573.33000000000004"/>
    <n v="0.1"/>
    <n v="302.2"/>
    <n v="0.05"/>
    <n v="7"/>
    <n v="751.16"/>
    <n v="88"/>
    <n v="0"/>
    <n v="164.85"/>
    <n v="1000"/>
    <x v="1"/>
    <n v="794.15"/>
    <x v="4"/>
    <x v="2"/>
    <n v="39.6"/>
    <s v="Medium"/>
    <n v="2806.36"/>
    <n v="1"/>
  </r>
  <r>
    <x v="47"/>
    <x v="45"/>
    <n v="1785"/>
    <n v="3254.07"/>
    <n v="2865"/>
    <n v="389.07"/>
    <n v="0.88"/>
    <n v="0.24"/>
    <n v="2681.88"/>
    <x v="2"/>
    <n v="690"/>
    <n v="0.3"/>
    <n v="230.91"/>
    <n v="7.0000000000000007E-2"/>
    <n v="0"/>
    <n v="0"/>
    <n v="1"/>
    <n v="1037.01"/>
    <n v="71"/>
    <n v="1"/>
    <n v="617.58000000000004"/>
    <n v="1856.42"/>
    <x v="1"/>
    <n v="1089.5999999999999"/>
    <x v="3"/>
    <x v="0"/>
    <n v="86.4"/>
    <s v="Low"/>
    <n v="389.07"/>
    <n v="0"/>
  </r>
  <r>
    <x v="47"/>
    <x v="45"/>
    <n v="1907"/>
    <n v="5292.79"/>
    <n v="3055.96"/>
    <n v="2236.83"/>
    <n v="0.57999999999999996"/>
    <n v="0.19"/>
    <n v="3496.25"/>
    <x v="1"/>
    <n v="648"/>
    <n v="0.57999999999999996"/>
    <n v="989.67"/>
    <n v="0.19"/>
    <n v="427.84"/>
    <n v="0.08"/>
    <n v="3"/>
    <n v="1315.72"/>
    <n v="62"/>
    <n v="0"/>
    <n v="496.26"/>
    <n v="2529.0500000000002"/>
    <x v="1"/>
    <n v="863.2"/>
    <x v="2"/>
    <x v="0"/>
    <n v="31.5"/>
    <s v="Low"/>
    <n v="2236.83"/>
    <n v="0"/>
  </r>
  <r>
    <x v="47"/>
    <x v="45"/>
    <n v="1072"/>
    <n v="4602.1099999999997"/>
    <n v="4009.33"/>
    <n v="592.78"/>
    <n v="0.87"/>
    <n v="0.06"/>
    <n v="3575.51"/>
    <x v="2"/>
    <n v="720"/>
    <n v="0.15"/>
    <n v="70.27"/>
    <n v="0.02"/>
    <n v="580.62"/>
    <n v="0.13"/>
    <n v="3"/>
    <n v="899.79"/>
    <n v="52"/>
    <n v="0"/>
    <n v="701.75"/>
    <n v="1253.46"/>
    <x v="1"/>
    <n v="1642.09"/>
    <x v="9"/>
    <x v="0"/>
    <n v="27.5"/>
    <s v="Medium"/>
    <n v="592.78"/>
    <n v="0"/>
  </r>
  <r>
    <x v="47"/>
    <x v="45"/>
    <n v="1550"/>
    <n v="2687.96"/>
    <n v="3789.69"/>
    <n v="-1101.73"/>
    <n v="1.41"/>
    <n v="0.2"/>
    <n v="3631.85"/>
    <x v="1"/>
    <n v="625"/>
    <n v="0.36"/>
    <n v="476.73"/>
    <n v="0.18"/>
    <n v="554.51"/>
    <n v="0.21"/>
    <n v="2"/>
    <n v="1289.46"/>
    <n v="92"/>
    <n v="0"/>
    <n v="559.46"/>
    <n v="1003.98"/>
    <x v="1"/>
    <n v="1134.0899999999999"/>
    <x v="0"/>
    <x v="1"/>
    <n v="37.6"/>
    <s v="High"/>
    <n v="0"/>
    <n v="0"/>
  </r>
  <r>
    <x v="47"/>
    <x v="45"/>
    <n v="1723"/>
    <n v="3402.86"/>
    <n v="4083.54"/>
    <n v="-680.68"/>
    <n v="1.2"/>
    <n v="0.11"/>
    <n v="2831.13"/>
    <x v="0"/>
    <n v="700"/>
    <n v="0.27"/>
    <n v="793.68"/>
    <n v="0.23"/>
    <n v="885.55"/>
    <n v="0.26"/>
    <n v="3"/>
    <n v="1054.6099999999999"/>
    <n v="70"/>
    <n v="0"/>
    <n v="512.20000000000005"/>
    <n v="1548.21"/>
    <x v="1"/>
    <n v="1440.2"/>
    <x v="7"/>
    <x v="0"/>
    <n v="11.5"/>
    <s v="Low"/>
    <n v="0"/>
    <n v="0"/>
  </r>
  <r>
    <x v="47"/>
    <x v="45"/>
    <n v="1034"/>
    <n v="3911.2"/>
    <n v="3136.87"/>
    <n v="774.33"/>
    <n v="0.8"/>
    <n v="0.36"/>
    <n v="3648.78"/>
    <x v="0"/>
    <n v="624"/>
    <n v="0.16"/>
    <n v="347.2"/>
    <n v="0.09"/>
    <n v="275.60000000000002"/>
    <n v="7.0000000000000007E-2"/>
    <n v="6"/>
    <n v="1160.4000000000001"/>
    <n v="29"/>
    <n v="0"/>
    <n v="562.36"/>
    <n v="1748.16"/>
    <x v="1"/>
    <n v="2108.19"/>
    <x v="6"/>
    <x v="1"/>
    <n v="6"/>
    <s v="Low"/>
    <n v="774.33"/>
    <n v="0"/>
  </r>
  <r>
    <x v="47"/>
    <x v="45"/>
    <n v="1753"/>
    <n v="3356.03"/>
    <n v="3909.6"/>
    <n v="-553.57000000000005"/>
    <n v="1.1599999999999999"/>
    <n v="0.1"/>
    <n v="2722.37"/>
    <x v="0"/>
    <n v="710"/>
    <n v="0.56999999999999995"/>
    <n v="188.45"/>
    <n v="0.06"/>
    <n v="21.28"/>
    <n v="0.01"/>
    <n v="7"/>
    <n v="1544.29"/>
    <n v="38"/>
    <n v="0"/>
    <n v="492.75"/>
    <n v="3499"/>
    <x v="0"/>
    <n v="1305.98"/>
    <x v="7"/>
    <x v="0"/>
    <n v="13.3"/>
    <s v="Low"/>
    <n v="0"/>
    <n v="0"/>
  </r>
  <r>
    <x v="47"/>
    <x v="45"/>
    <n v="1874"/>
    <n v="3030.58"/>
    <n v="2997.62"/>
    <n v="32.96"/>
    <n v="0.99"/>
    <n v="0.35"/>
    <n v="2788.29"/>
    <x v="2"/>
    <n v="648"/>
    <n v="0.21"/>
    <n v="452.72"/>
    <n v="0.15"/>
    <n v="692.94"/>
    <n v="0.23"/>
    <n v="5"/>
    <n v="0"/>
    <n v="60"/>
    <n v="0"/>
    <n v="433.04"/>
    <n v="1634.03"/>
    <x v="0"/>
    <n v="916.83"/>
    <x v="9"/>
    <x v="0"/>
    <n v="99"/>
    <s v="Low"/>
    <n v="32.96"/>
    <n v="0"/>
  </r>
  <r>
    <x v="47"/>
    <x v="45"/>
    <n v="1595"/>
    <n v="5707.28"/>
    <n v="2239.11"/>
    <n v="3468.17"/>
    <n v="0.39"/>
    <n v="0.39"/>
    <n v="2923.4"/>
    <x v="2"/>
    <n v="664"/>
    <n v="0.3"/>
    <n v="263.12"/>
    <n v="0.05"/>
    <n v="0"/>
    <n v="0"/>
    <n v="7"/>
    <n v="1205.1300000000001"/>
    <n v="61"/>
    <n v="0"/>
    <n v="314.47000000000003"/>
    <n v="2034.51"/>
    <x v="1"/>
    <n v="1574.51"/>
    <x v="5"/>
    <x v="1"/>
    <n v="59.6"/>
    <s v="High"/>
    <n v="3468.17"/>
    <n v="1"/>
  </r>
  <r>
    <x v="47"/>
    <x v="45"/>
    <n v="1044"/>
    <n v="2721.83"/>
    <n v="2296.9899999999998"/>
    <n v="424.84"/>
    <n v="0.84"/>
    <n v="0.22"/>
    <n v="3346.71"/>
    <x v="1"/>
    <n v="668"/>
    <n v="0.41"/>
    <n v="655.49"/>
    <n v="0.24"/>
    <n v="746.71"/>
    <n v="0.27"/>
    <n v="1"/>
    <n v="403.28"/>
    <n v="26"/>
    <n v="0"/>
    <n v="650.63"/>
    <n v="1748.83"/>
    <x v="0"/>
    <n v="1424.74"/>
    <x v="7"/>
    <x v="0"/>
    <n v="22.1"/>
    <s v="Low"/>
    <n v="424.84"/>
    <n v="0"/>
  </r>
  <r>
    <x v="47"/>
    <x v="45"/>
    <n v="1406"/>
    <n v="4150.82"/>
    <n v="2735.75"/>
    <n v="1415.07"/>
    <n v="0.66"/>
    <n v="0.14000000000000001"/>
    <n v="3025.26"/>
    <x v="1"/>
    <n v="603"/>
    <n v="0.25"/>
    <n v="664.43"/>
    <n v="0.16"/>
    <n v="338.87"/>
    <n v="0.08"/>
    <n v="8"/>
    <n v="1379.04"/>
    <n v="73"/>
    <n v="0"/>
    <n v="804.24"/>
    <n v="1913.24"/>
    <x v="1"/>
    <n v="1680.86"/>
    <x v="6"/>
    <x v="0"/>
    <n v="92.1"/>
    <s v="High"/>
    <n v="1415.07"/>
    <n v="0"/>
  </r>
  <r>
    <x v="47"/>
    <x v="45"/>
    <n v="1695"/>
    <n v="3333.42"/>
    <n v="2866.01"/>
    <n v="467.41"/>
    <n v="0.86"/>
    <n v="0.28000000000000003"/>
    <n v="3242.65"/>
    <x v="2"/>
    <n v="656"/>
    <n v="0.45"/>
    <n v="764.27"/>
    <n v="0.23"/>
    <n v="0"/>
    <n v="0"/>
    <n v="4"/>
    <n v="1440.17"/>
    <n v="54"/>
    <n v="0"/>
    <n v="463.89"/>
    <n v="2456.9499999999998"/>
    <x v="1"/>
    <n v="1392.13"/>
    <x v="6"/>
    <x v="0"/>
    <n v="83.5"/>
    <s v="Low"/>
    <n v="467.41"/>
    <n v="0"/>
  </r>
  <r>
    <x v="47"/>
    <x v="45"/>
    <n v="1212"/>
    <n v="5144.22"/>
    <n v="1162.32"/>
    <n v="3981.9"/>
    <n v="0.23"/>
    <n v="0.4"/>
    <n v="2116.16"/>
    <x v="0"/>
    <n v="752"/>
    <n v="0.26"/>
    <n v="394.54"/>
    <n v="0.08"/>
    <n v="680.59"/>
    <n v="0.13"/>
    <n v="2"/>
    <n v="1278.67"/>
    <n v="26"/>
    <n v="0"/>
    <n v="165.74"/>
    <n v="1999.85"/>
    <x v="1"/>
    <n v="1420.82"/>
    <x v="0"/>
    <x v="0"/>
    <n v="32.1"/>
    <s v="Low"/>
    <n v="3981.9"/>
    <n v="1"/>
  </r>
  <r>
    <x v="47"/>
    <x v="45"/>
    <n v="1497"/>
    <n v="4408.5"/>
    <n v="3183.57"/>
    <n v="1224.93"/>
    <n v="0.72"/>
    <n v="0.1"/>
    <n v="2607.66"/>
    <x v="1"/>
    <n v="761"/>
    <n v="0.31"/>
    <n v="548.66999999999996"/>
    <n v="0.12"/>
    <n v="1014.45"/>
    <n v="0.23"/>
    <n v="9"/>
    <n v="1825.57"/>
    <n v="77"/>
    <n v="0"/>
    <n v="165.53"/>
    <n v="2021.6"/>
    <x v="1"/>
    <n v="888.01"/>
    <x v="9"/>
    <x v="2"/>
    <n v="66.3"/>
    <s v="High"/>
    <n v="1224.93"/>
    <n v="0"/>
  </r>
  <r>
    <x v="47"/>
    <x v="45"/>
    <n v="1763"/>
    <n v="4194.95"/>
    <n v="2869.99"/>
    <n v="1324.96"/>
    <n v="0.68"/>
    <n v="0.32"/>
    <n v="3338.56"/>
    <x v="2"/>
    <n v="682"/>
    <n v="0.57999999999999996"/>
    <n v="125.12"/>
    <n v="0.03"/>
    <n v="220.85"/>
    <n v="0.05"/>
    <n v="1"/>
    <n v="1045.5899999999999"/>
    <n v="32"/>
    <n v="0"/>
    <n v="376.22"/>
    <n v="1945.68"/>
    <x v="0"/>
    <n v="1724.73"/>
    <x v="8"/>
    <x v="0"/>
    <n v="29.3"/>
    <s v="Low"/>
    <n v="1324.96"/>
    <n v="0"/>
  </r>
  <r>
    <x v="47"/>
    <x v="45"/>
    <n v="1744"/>
    <n v="4106.8900000000003"/>
    <n v="2535.23"/>
    <n v="1571.66"/>
    <n v="0.62"/>
    <n v="0.31"/>
    <n v="2805.5"/>
    <x v="1"/>
    <n v="639"/>
    <n v="0.26"/>
    <n v="554.53"/>
    <n v="0.14000000000000001"/>
    <n v="712.04"/>
    <n v="0.17"/>
    <n v="7"/>
    <n v="628.71"/>
    <n v="36"/>
    <n v="0"/>
    <n v="298.07"/>
    <n v="2327.02"/>
    <x v="1"/>
    <n v="1249.31"/>
    <x v="3"/>
    <x v="2"/>
    <n v="18.899999999999999"/>
    <s v="Medium"/>
    <n v="1571.66"/>
    <n v="0"/>
  </r>
  <r>
    <x v="48"/>
    <x v="46"/>
    <n v="1983"/>
    <n v="3549.62"/>
    <n v="2797.15"/>
    <n v="752.47"/>
    <n v="0.79"/>
    <n v="7.0000000000000007E-2"/>
    <n v="2304.84"/>
    <x v="1"/>
    <n v="690"/>
    <n v="0.16"/>
    <n v="639.79"/>
    <n v="0.18"/>
    <n v="313.85000000000002"/>
    <n v="0.09"/>
    <n v="7"/>
    <n v="713.24"/>
    <n v="94"/>
    <n v="0"/>
    <n v="722.47"/>
    <n v="2522.92"/>
    <x v="1"/>
    <n v="906.81"/>
    <x v="1"/>
    <x v="0"/>
    <n v="71.599999999999994"/>
    <s v="High"/>
    <n v="752.47"/>
    <n v="0"/>
  </r>
  <r>
    <x v="48"/>
    <x v="46"/>
    <n v="1370"/>
    <n v="3018.3"/>
    <n v="2843.89"/>
    <n v="174.41"/>
    <n v="0.94"/>
    <n v="0.18"/>
    <n v="2417.0100000000002"/>
    <x v="1"/>
    <n v="635"/>
    <n v="0.36"/>
    <n v="722.82"/>
    <n v="0.24"/>
    <n v="438.22"/>
    <n v="0.15"/>
    <n v="3"/>
    <n v="997.38"/>
    <n v="71"/>
    <n v="0"/>
    <n v="687.59"/>
    <n v="2514.67"/>
    <x v="0"/>
    <n v="1535.2"/>
    <x v="4"/>
    <x v="0"/>
    <n v="7.1"/>
    <s v="High"/>
    <n v="174.41"/>
    <n v="0"/>
  </r>
  <r>
    <x v="48"/>
    <x v="46"/>
    <n v="1889"/>
    <n v="3988.46"/>
    <n v="4850.38"/>
    <n v="-861.92"/>
    <n v="1.22"/>
    <n v="0.23"/>
    <n v="3107.88"/>
    <x v="1"/>
    <n v="726"/>
    <n v="0.39"/>
    <n v="503.97"/>
    <n v="0.13"/>
    <n v="513.48"/>
    <n v="0.13"/>
    <n v="2"/>
    <n v="997.14"/>
    <n v="38"/>
    <n v="0"/>
    <n v="98.36"/>
    <n v="2494.41"/>
    <x v="1"/>
    <n v="962.58"/>
    <x v="6"/>
    <x v="2"/>
    <n v="43.7"/>
    <s v="Low"/>
    <n v="0"/>
    <n v="0"/>
  </r>
  <r>
    <x v="48"/>
    <x v="46"/>
    <n v="1829"/>
    <n v="4589.2"/>
    <n v="2140.7600000000002"/>
    <n v="2448.44"/>
    <n v="0.47"/>
    <n v="0.36"/>
    <n v="2019.69"/>
    <x v="0"/>
    <n v="682"/>
    <n v="0.46"/>
    <n v="245.8"/>
    <n v="0.05"/>
    <n v="285.51"/>
    <n v="0.06"/>
    <n v="2"/>
    <n v="921.04"/>
    <n v="58"/>
    <n v="0"/>
    <n v="666.19"/>
    <n v="2528.63"/>
    <x v="0"/>
    <n v="1411.3"/>
    <x v="1"/>
    <x v="1"/>
    <n v="60.2"/>
    <s v="Low"/>
    <n v="2448.44"/>
    <n v="1"/>
  </r>
  <r>
    <x v="48"/>
    <x v="46"/>
    <n v="1867"/>
    <n v="3893.7"/>
    <n v="4059.59"/>
    <n v="-165.89"/>
    <n v="1.04"/>
    <n v="0.36"/>
    <n v="2105.37"/>
    <x v="0"/>
    <n v="720"/>
    <n v="0.52"/>
    <n v="548.55999999999995"/>
    <n v="0.14000000000000001"/>
    <n v="270.79000000000002"/>
    <n v="7.0000000000000007E-2"/>
    <n v="1"/>
    <n v="617.51"/>
    <n v="36"/>
    <n v="0"/>
    <n v="666.82"/>
    <n v="1463.57"/>
    <x v="1"/>
    <n v="709.16"/>
    <x v="7"/>
    <x v="0"/>
    <n v="28.1"/>
    <s v="Medium"/>
    <n v="0"/>
    <n v="0"/>
  </r>
  <r>
    <x v="48"/>
    <x v="46"/>
    <n v="1169"/>
    <n v="4290.13"/>
    <n v="3487.21"/>
    <n v="802.92"/>
    <n v="0.81"/>
    <n v="0.05"/>
    <n v="2711.37"/>
    <x v="0"/>
    <n v="663"/>
    <n v="0.59"/>
    <n v="458.92"/>
    <n v="0.11"/>
    <n v="729.89"/>
    <n v="0.17"/>
    <n v="4"/>
    <n v="1550.91"/>
    <n v="26"/>
    <n v="0"/>
    <n v="793.93"/>
    <n v="1666.23"/>
    <x v="1"/>
    <n v="822.24"/>
    <x v="8"/>
    <x v="1"/>
    <n v="0.2"/>
    <s v="Low"/>
    <n v="802.92"/>
    <n v="0"/>
  </r>
  <r>
    <x v="48"/>
    <x v="46"/>
    <n v="1701"/>
    <n v="3408.84"/>
    <n v="3743.66"/>
    <n v="-334.82"/>
    <n v="1.1000000000000001"/>
    <n v="0.38"/>
    <n v="3649.06"/>
    <x v="1"/>
    <n v="676"/>
    <n v="0.19"/>
    <n v="618.17999999999995"/>
    <n v="0.18"/>
    <n v="287.7"/>
    <n v="0.08"/>
    <n v="3"/>
    <n v="1439.19"/>
    <n v="81"/>
    <n v="0"/>
    <n v="532.17999999999995"/>
    <n v="2387.9899999999998"/>
    <x v="2"/>
    <n v="1537.6"/>
    <x v="9"/>
    <x v="0"/>
    <n v="62.3"/>
    <s v="Low"/>
    <n v="0"/>
    <n v="0"/>
  </r>
  <r>
    <x v="48"/>
    <x v="46"/>
    <n v="1134"/>
    <n v="4813.4399999999996"/>
    <n v="4016"/>
    <n v="797.44"/>
    <n v="0.83"/>
    <n v="0.16"/>
    <n v="2977.31"/>
    <x v="1"/>
    <n v="656"/>
    <n v="0.43"/>
    <n v="562.97"/>
    <n v="0.12"/>
    <n v="234.33"/>
    <n v="0.05"/>
    <n v="6"/>
    <n v="486.95"/>
    <n v="58"/>
    <n v="0"/>
    <n v="593.19000000000005"/>
    <n v="2363.81"/>
    <x v="1"/>
    <n v="698.64"/>
    <x v="5"/>
    <x v="0"/>
    <n v="80.599999999999994"/>
    <s v="Low"/>
    <n v="797.44"/>
    <n v="0"/>
  </r>
  <r>
    <x v="48"/>
    <x v="46"/>
    <n v="1388"/>
    <n v="4308.4399999999996"/>
    <n v="3195.17"/>
    <n v="1113.27"/>
    <n v="0.74"/>
    <n v="0.28000000000000003"/>
    <n v="2411.4499999999998"/>
    <x v="1"/>
    <n v="696"/>
    <n v="0.51"/>
    <n v="616.57000000000005"/>
    <n v="0.14000000000000001"/>
    <n v="142.16"/>
    <n v="0.03"/>
    <n v="1"/>
    <n v="766.1"/>
    <n v="37"/>
    <n v="0"/>
    <n v="274.68"/>
    <n v="1453.02"/>
    <x v="1"/>
    <n v="1609.43"/>
    <x v="1"/>
    <x v="2"/>
    <n v="62.6"/>
    <s v="High"/>
    <n v="1113.27"/>
    <n v="0"/>
  </r>
  <r>
    <x v="48"/>
    <x v="46"/>
    <n v="1438"/>
    <n v="4833.5200000000004"/>
    <n v="4217.3"/>
    <n v="616.22"/>
    <n v="0.87"/>
    <n v="0.19"/>
    <n v="2641.02"/>
    <x v="2"/>
    <n v="680"/>
    <n v="0.59"/>
    <n v="549.16999999999996"/>
    <n v="0.11"/>
    <n v="0"/>
    <n v="0"/>
    <n v="5"/>
    <n v="628.85"/>
    <n v="85"/>
    <n v="0"/>
    <n v="493.39"/>
    <n v="3065.21"/>
    <x v="1"/>
    <n v="1301.49"/>
    <x v="0"/>
    <x v="2"/>
    <n v="92"/>
    <s v="Medium"/>
    <n v="616.22"/>
    <n v="0"/>
  </r>
  <r>
    <x v="48"/>
    <x v="46"/>
    <n v="1925"/>
    <n v="4397.2"/>
    <n v="3052.77"/>
    <n v="1344.43"/>
    <n v="0.69"/>
    <n v="0.09"/>
    <n v="2611.9"/>
    <x v="0"/>
    <n v="649"/>
    <n v="0.23"/>
    <n v="378.74"/>
    <n v="0.09"/>
    <n v="603.35"/>
    <n v="0.14000000000000001"/>
    <n v="9"/>
    <n v="1277.8699999999999"/>
    <n v="80"/>
    <n v="0"/>
    <n v="648.20000000000005"/>
    <n v="2494.39"/>
    <x v="1"/>
    <n v="1128.6300000000001"/>
    <x v="4"/>
    <x v="1"/>
    <n v="12.1"/>
    <s v="Low"/>
    <n v="1344.43"/>
    <n v="0"/>
  </r>
  <r>
    <x v="48"/>
    <x v="46"/>
    <n v="1389"/>
    <n v="4529.38"/>
    <n v="4001.78"/>
    <n v="527.6"/>
    <n v="0.88"/>
    <n v="0.25"/>
    <n v="3568.74"/>
    <x v="2"/>
    <n v="657"/>
    <n v="0.44"/>
    <n v="491.76"/>
    <n v="0.11"/>
    <n v="294.75"/>
    <n v="7.0000000000000007E-2"/>
    <n v="4"/>
    <n v="364.74"/>
    <n v="41"/>
    <n v="0"/>
    <n v="439.57"/>
    <n v="1458.89"/>
    <x v="1"/>
    <n v="1070.32"/>
    <x v="3"/>
    <x v="0"/>
    <n v="42.7"/>
    <s v="Low"/>
    <n v="527.6"/>
    <n v="0"/>
  </r>
  <r>
    <x v="48"/>
    <x v="46"/>
    <n v="1258"/>
    <n v="5989.19"/>
    <n v="2687.49"/>
    <n v="3301.7"/>
    <n v="0.45"/>
    <n v="0.3"/>
    <n v="3194.39"/>
    <x v="1"/>
    <n v="611"/>
    <n v="0.12"/>
    <n v="223.1"/>
    <n v="0.04"/>
    <n v="504.72"/>
    <n v="0.08"/>
    <n v="2"/>
    <n v="457.28"/>
    <n v="44"/>
    <n v="0"/>
    <n v="660.01"/>
    <n v="1630.53"/>
    <x v="1"/>
    <n v="717.67"/>
    <x v="1"/>
    <x v="0"/>
    <n v="39.700000000000003"/>
    <s v="Medium"/>
    <n v="3301.7"/>
    <n v="1"/>
  </r>
  <r>
    <x v="48"/>
    <x v="46"/>
    <n v="1851"/>
    <n v="2905.1"/>
    <n v="3345.67"/>
    <n v="-440.57"/>
    <n v="1.1499999999999999"/>
    <n v="0.36"/>
    <n v="2199.02"/>
    <x v="0"/>
    <n v="668"/>
    <n v="0.35"/>
    <n v="450.09"/>
    <n v="0.15"/>
    <n v="446.8"/>
    <n v="0.15"/>
    <n v="3"/>
    <n v="1171.3900000000001"/>
    <n v="33"/>
    <n v="0"/>
    <n v="337.25"/>
    <n v="2633.49"/>
    <x v="0"/>
    <n v="1426.97"/>
    <x v="3"/>
    <x v="0"/>
    <n v="78.5"/>
    <s v="Medium"/>
    <n v="0"/>
    <n v="0"/>
  </r>
  <r>
    <x v="48"/>
    <x v="46"/>
    <n v="1395"/>
    <n v="3536.81"/>
    <n v="2556.6799999999998"/>
    <n v="980.13"/>
    <n v="0.72"/>
    <n v="0.26"/>
    <n v="2937.86"/>
    <x v="2"/>
    <n v="641"/>
    <n v="0.28999999999999998"/>
    <n v="845.54"/>
    <n v="0.24"/>
    <n v="445.26"/>
    <n v="0.13"/>
    <n v="8"/>
    <n v="1745.01"/>
    <n v="68"/>
    <n v="0"/>
    <n v="304.83"/>
    <n v="1357.46"/>
    <x v="1"/>
    <n v="1473.56"/>
    <x v="6"/>
    <x v="0"/>
    <n v="72.400000000000006"/>
    <s v="Low"/>
    <n v="980.13"/>
    <n v="0"/>
  </r>
  <r>
    <x v="48"/>
    <x v="46"/>
    <n v="1203"/>
    <n v="3502.85"/>
    <n v="3047.54"/>
    <n v="455.31"/>
    <n v="0.87"/>
    <n v="0.23"/>
    <n v="3270.76"/>
    <x v="0"/>
    <n v="638"/>
    <n v="0.56999999999999995"/>
    <n v="439.59"/>
    <n v="0.13"/>
    <n v="538.46"/>
    <n v="0.15"/>
    <n v="3"/>
    <n v="254.01"/>
    <n v="85"/>
    <n v="1"/>
    <n v="406.01"/>
    <n v="1580.54"/>
    <x v="1"/>
    <n v="1111.26"/>
    <x v="3"/>
    <x v="0"/>
    <n v="58.9"/>
    <s v="Low"/>
    <n v="455.31"/>
    <n v="0"/>
  </r>
  <r>
    <x v="48"/>
    <x v="46"/>
    <n v="1024"/>
    <n v="3469.67"/>
    <n v="3110.26"/>
    <n v="359.41"/>
    <n v="0.9"/>
    <n v="0.14000000000000001"/>
    <n v="2803.45"/>
    <x v="2"/>
    <n v="682"/>
    <n v="0.37"/>
    <n v="324.11"/>
    <n v="0.09"/>
    <n v="411.23"/>
    <n v="0.12"/>
    <n v="4"/>
    <n v="1141.4000000000001"/>
    <n v="79"/>
    <n v="0"/>
    <n v="140.9"/>
    <n v="1609.63"/>
    <x v="1"/>
    <n v="311.42"/>
    <x v="9"/>
    <x v="0"/>
    <n v="16.7"/>
    <s v="High"/>
    <n v="359.41"/>
    <n v="0"/>
  </r>
  <r>
    <x v="48"/>
    <x v="46"/>
    <n v="1044"/>
    <n v="2851.45"/>
    <n v="1496.69"/>
    <n v="1354.76"/>
    <n v="0.52"/>
    <n v="0.08"/>
    <n v="3386.92"/>
    <x v="1"/>
    <n v="645"/>
    <n v="0.41"/>
    <n v="770.34"/>
    <n v="0.27"/>
    <n v="727.74"/>
    <n v="0.26"/>
    <n v="6"/>
    <n v="924.65"/>
    <n v="28"/>
    <n v="1"/>
    <n v="550"/>
    <n v="1246.02"/>
    <x v="1"/>
    <n v="1138.71"/>
    <x v="6"/>
    <x v="0"/>
    <n v="23.2"/>
    <s v="Medium"/>
    <n v="1354.76"/>
    <n v="0"/>
  </r>
  <r>
    <x v="48"/>
    <x v="46"/>
    <n v="1664"/>
    <n v="4826.8"/>
    <n v="3189.31"/>
    <n v="1637.49"/>
    <n v="0.66"/>
    <n v="0.27"/>
    <n v="2901.75"/>
    <x v="1"/>
    <n v="656"/>
    <n v="0.5"/>
    <n v="458.44"/>
    <n v="0.09"/>
    <n v="419.12"/>
    <n v="0.09"/>
    <n v="6"/>
    <n v="1357.43"/>
    <n v="50"/>
    <n v="0"/>
    <n v="289.16000000000003"/>
    <n v="3618.23"/>
    <x v="1"/>
    <n v="1980.84"/>
    <x v="1"/>
    <x v="0"/>
    <n v="23.1"/>
    <s v="High"/>
    <n v="1637.49"/>
    <n v="0"/>
  </r>
  <r>
    <x v="48"/>
    <x v="46"/>
    <n v="1511"/>
    <n v="5058.46"/>
    <n v="3863.76"/>
    <n v="1194.7"/>
    <n v="0.76"/>
    <n v="0.25"/>
    <n v="2981.48"/>
    <x v="1"/>
    <n v="546"/>
    <n v="0.2"/>
    <n v="423.16"/>
    <n v="0.08"/>
    <n v="726.31"/>
    <n v="0.14000000000000001"/>
    <n v="7"/>
    <n v="1255.74"/>
    <n v="85"/>
    <n v="0"/>
    <n v="556.03"/>
    <n v="1753.13"/>
    <x v="1"/>
    <n v="1341.4"/>
    <x v="3"/>
    <x v="2"/>
    <n v="67.2"/>
    <s v="Low"/>
    <n v="1194.7"/>
    <n v="0"/>
  </r>
  <r>
    <x v="48"/>
    <x v="46"/>
    <n v="1957"/>
    <n v="4650.45"/>
    <n v="1850.84"/>
    <n v="2799.61"/>
    <n v="0.4"/>
    <n v="0.19"/>
    <n v="2768.65"/>
    <x v="1"/>
    <n v="643"/>
    <n v="0.4"/>
    <n v="399.72"/>
    <n v="0.09"/>
    <n v="81.37"/>
    <n v="0.02"/>
    <n v="7"/>
    <n v="1013.23"/>
    <n v="30"/>
    <n v="0"/>
    <n v="566.25"/>
    <n v="1960.48"/>
    <x v="1"/>
    <n v="2026.44"/>
    <x v="5"/>
    <x v="1"/>
    <n v="30.9"/>
    <s v="Low"/>
    <n v="2799.61"/>
    <n v="1"/>
  </r>
  <r>
    <x v="48"/>
    <x v="46"/>
    <n v="1116"/>
    <n v="3308.49"/>
    <n v="3599.39"/>
    <n v="-290.89999999999998"/>
    <n v="1.0900000000000001"/>
    <n v="0.32"/>
    <n v="2512.59"/>
    <x v="1"/>
    <n v="726"/>
    <n v="0.51"/>
    <n v="599.51"/>
    <n v="0.18"/>
    <n v="268.22000000000003"/>
    <n v="0.08"/>
    <n v="7"/>
    <n v="1550.77"/>
    <n v="69"/>
    <n v="0"/>
    <n v="600.84"/>
    <n v="1857.74"/>
    <x v="0"/>
    <n v="800.99"/>
    <x v="8"/>
    <x v="0"/>
    <n v="90.1"/>
    <s v="Low"/>
    <n v="0"/>
    <n v="0"/>
  </r>
  <r>
    <x v="48"/>
    <x v="46"/>
    <n v="1378"/>
    <n v="5215.62"/>
    <n v="3384.18"/>
    <n v="1831.44"/>
    <n v="0.65"/>
    <n v="0.05"/>
    <n v="2655.32"/>
    <x v="1"/>
    <n v="592"/>
    <n v="0.21"/>
    <n v="411.32"/>
    <n v="0.08"/>
    <n v="517.67999999999995"/>
    <n v="0.1"/>
    <n v="9"/>
    <n v="1486.85"/>
    <n v="38"/>
    <n v="0"/>
    <n v="357.73"/>
    <n v="2086.98"/>
    <x v="1"/>
    <n v="1733.29"/>
    <x v="0"/>
    <x v="0"/>
    <n v="91.1"/>
    <s v="Low"/>
    <n v="1831.44"/>
    <n v="0"/>
  </r>
  <r>
    <x v="48"/>
    <x v="46"/>
    <n v="1446"/>
    <n v="4815.01"/>
    <n v="1977.16"/>
    <n v="2837.85"/>
    <n v="0.41"/>
    <n v="0.28999999999999998"/>
    <n v="2452.9899999999998"/>
    <x v="1"/>
    <n v="662"/>
    <n v="0.59"/>
    <n v="521.33000000000004"/>
    <n v="0.11"/>
    <n v="256.37"/>
    <n v="0.05"/>
    <n v="1"/>
    <n v="1340.96"/>
    <n v="75"/>
    <n v="0"/>
    <n v="594.44000000000005"/>
    <n v="3402.08"/>
    <x v="1"/>
    <n v="1883.07"/>
    <x v="5"/>
    <x v="0"/>
    <n v="81.8"/>
    <s v="Medium"/>
    <n v="2837.85"/>
    <n v="1"/>
  </r>
  <r>
    <x v="48"/>
    <x v="46"/>
    <n v="1912"/>
    <n v="3316.71"/>
    <n v="3070.05"/>
    <n v="246.66"/>
    <n v="0.93"/>
    <n v="0.34"/>
    <n v="3329.33"/>
    <x v="2"/>
    <n v="631"/>
    <n v="0.56999999999999995"/>
    <n v="712.89"/>
    <n v="0.21"/>
    <n v="631.70000000000005"/>
    <n v="0.19"/>
    <n v="4"/>
    <n v="1392.2"/>
    <n v="69"/>
    <n v="0"/>
    <n v="444.09"/>
    <n v="2139.5300000000002"/>
    <x v="1"/>
    <n v="1282.22"/>
    <x v="2"/>
    <x v="1"/>
    <n v="41.3"/>
    <s v="Low"/>
    <n v="246.66"/>
    <n v="0"/>
  </r>
  <r>
    <x v="48"/>
    <x v="46"/>
    <n v="1227"/>
    <n v="3996.62"/>
    <n v="3481.53"/>
    <n v="515.09"/>
    <n v="0.87"/>
    <n v="0.25"/>
    <n v="3488.47"/>
    <x v="1"/>
    <n v="702"/>
    <n v="0.16"/>
    <n v="601.1"/>
    <n v="0.15"/>
    <n v="370.59"/>
    <n v="0.09"/>
    <n v="9"/>
    <n v="726.06"/>
    <n v="58"/>
    <n v="0"/>
    <n v="293.25"/>
    <n v="2072.35"/>
    <x v="2"/>
    <n v="1201.78"/>
    <x v="7"/>
    <x v="0"/>
    <n v="53.1"/>
    <s v="Low"/>
    <n v="515.09"/>
    <n v="0"/>
  </r>
  <r>
    <x v="48"/>
    <x v="46"/>
    <n v="1454"/>
    <n v="5597.8"/>
    <n v="3625.7"/>
    <n v="1972.1"/>
    <n v="0.65"/>
    <n v="0.15"/>
    <n v="2834.22"/>
    <x v="1"/>
    <n v="725"/>
    <n v="0.41"/>
    <n v="400.79"/>
    <n v="7.0000000000000007E-2"/>
    <n v="282.10000000000002"/>
    <n v="0.05"/>
    <n v="5"/>
    <n v="915.93"/>
    <n v="72"/>
    <n v="0"/>
    <n v="636.49"/>
    <n v="2955.68"/>
    <x v="1"/>
    <n v="1378.87"/>
    <x v="1"/>
    <x v="1"/>
    <n v="84.2"/>
    <s v="Low"/>
    <n v="1972.1"/>
    <n v="0"/>
  </r>
  <r>
    <x v="48"/>
    <x v="46"/>
    <n v="1770"/>
    <n v="3817"/>
    <n v="2548.79"/>
    <n v="1268.21"/>
    <n v="0.67"/>
    <n v="0.3"/>
    <n v="3031.17"/>
    <x v="1"/>
    <n v="633"/>
    <n v="0.48"/>
    <n v="595.15"/>
    <n v="0.16"/>
    <n v="479.36"/>
    <n v="0.13"/>
    <n v="6"/>
    <n v="740.18"/>
    <n v="76"/>
    <n v="0"/>
    <n v="420.69"/>
    <n v="2180.73"/>
    <x v="1"/>
    <n v="1504.34"/>
    <x v="0"/>
    <x v="0"/>
    <n v="76.900000000000006"/>
    <s v="Low"/>
    <n v="1268.21"/>
    <n v="0"/>
  </r>
  <r>
    <x v="48"/>
    <x v="46"/>
    <n v="1955"/>
    <n v="3965.61"/>
    <n v="3553.64"/>
    <n v="411.97"/>
    <n v="0.9"/>
    <n v="0.24"/>
    <n v="1842.76"/>
    <x v="1"/>
    <n v="712"/>
    <n v="0.48"/>
    <n v="776.36"/>
    <n v="0.2"/>
    <n v="348.41"/>
    <n v="0.09"/>
    <n v="1"/>
    <n v="1315.35"/>
    <n v="93"/>
    <n v="0"/>
    <n v="257.14"/>
    <n v="1768.1"/>
    <x v="1"/>
    <n v="801.22"/>
    <x v="8"/>
    <x v="2"/>
    <n v="99.7"/>
    <s v="Medium"/>
    <n v="411.97"/>
    <n v="0"/>
  </r>
  <r>
    <x v="48"/>
    <x v="46"/>
    <n v="1959"/>
    <n v="4272.22"/>
    <n v="3129.66"/>
    <n v="1142.56"/>
    <n v="0.73"/>
    <n v="0.09"/>
    <n v="2256.9899999999998"/>
    <x v="2"/>
    <n v="675"/>
    <n v="0.52"/>
    <n v="600.79"/>
    <n v="0.14000000000000001"/>
    <n v="297.99"/>
    <n v="7.0000000000000007E-2"/>
    <n v="7"/>
    <n v="588.72"/>
    <n v="71"/>
    <n v="0"/>
    <n v="392.68"/>
    <n v="1334.51"/>
    <x v="1"/>
    <n v="1050.93"/>
    <x v="9"/>
    <x v="0"/>
    <n v="86.9"/>
    <s v="High"/>
    <n v="1142.56"/>
    <n v="0"/>
  </r>
  <r>
    <x v="48"/>
    <x v="46"/>
    <n v="1877"/>
    <n v="4203.83"/>
    <n v="5119.4799999999996"/>
    <n v="-915.65"/>
    <n v="1.22"/>
    <n v="0.34"/>
    <n v="3269.85"/>
    <x v="2"/>
    <n v="753"/>
    <n v="0.56000000000000005"/>
    <n v="434.34"/>
    <n v="0.1"/>
    <n v="50.09"/>
    <n v="0.01"/>
    <n v="3"/>
    <n v="467.21"/>
    <n v="92"/>
    <n v="0"/>
    <n v="727.21"/>
    <n v="2484.92"/>
    <x v="1"/>
    <n v="1721.19"/>
    <x v="4"/>
    <x v="0"/>
    <n v="47.9"/>
    <s v="High"/>
    <n v="0"/>
    <n v="0"/>
  </r>
  <r>
    <x v="48"/>
    <x v="46"/>
    <n v="1638"/>
    <n v="2893.05"/>
    <n v="3359.5"/>
    <n v="-466.45"/>
    <n v="1.1599999999999999"/>
    <n v="0.37"/>
    <n v="2817.27"/>
    <x v="1"/>
    <n v="630"/>
    <n v="0.44"/>
    <n v="419.05"/>
    <n v="0.14000000000000001"/>
    <n v="248.32"/>
    <n v="0.09"/>
    <n v="2"/>
    <n v="1374.7"/>
    <n v="98"/>
    <n v="0"/>
    <n v="554.53"/>
    <n v="1978.6"/>
    <x v="1"/>
    <n v="1698.36"/>
    <x v="4"/>
    <x v="2"/>
    <n v="93.5"/>
    <s v="High"/>
    <n v="0"/>
    <n v="0"/>
  </r>
  <r>
    <x v="48"/>
    <x v="46"/>
    <n v="1473"/>
    <n v="4802.07"/>
    <n v="2515.4699999999998"/>
    <n v="2286.6"/>
    <n v="0.52"/>
    <n v="0.39"/>
    <n v="2934.91"/>
    <x v="1"/>
    <n v="658"/>
    <n v="0.45"/>
    <n v="381.82"/>
    <n v="0.08"/>
    <n v="483.27"/>
    <n v="0.1"/>
    <n v="9"/>
    <n v="1364.88"/>
    <n v="50"/>
    <n v="0"/>
    <n v="797.62"/>
    <n v="2228.62"/>
    <x v="1"/>
    <n v="2006.15"/>
    <x v="6"/>
    <x v="0"/>
    <n v="38.9"/>
    <s v="Low"/>
    <n v="2286.6"/>
    <n v="0"/>
  </r>
  <r>
    <x v="48"/>
    <x v="46"/>
    <n v="1658"/>
    <n v="3920.2"/>
    <n v="3895.1"/>
    <n v="25.1"/>
    <n v="0.99"/>
    <n v="0.32"/>
    <n v="2050.64"/>
    <x v="1"/>
    <n v="643"/>
    <n v="0.1"/>
    <n v="396.79"/>
    <n v="0.1"/>
    <n v="268.89"/>
    <n v="7.0000000000000007E-2"/>
    <n v="9"/>
    <n v="562.28"/>
    <n v="44"/>
    <n v="0"/>
    <n v="453.98"/>
    <n v="2066.7600000000002"/>
    <x v="1"/>
    <n v="1147.76"/>
    <x v="7"/>
    <x v="0"/>
    <n v="88.6"/>
    <s v="High"/>
    <n v="25.1"/>
    <n v="0"/>
  </r>
  <r>
    <x v="48"/>
    <x v="46"/>
    <n v="1207"/>
    <n v="4641.13"/>
    <n v="3572.85"/>
    <n v="1068.28"/>
    <n v="0.77"/>
    <n v="0.34"/>
    <n v="2895.76"/>
    <x v="2"/>
    <n v="665"/>
    <n v="0.53"/>
    <n v="511.99"/>
    <n v="0.11"/>
    <n v="621.28"/>
    <n v="0.13"/>
    <n v="5"/>
    <n v="936.77"/>
    <n v="68"/>
    <n v="0"/>
    <n v="304.52999999999997"/>
    <n v="2488.67"/>
    <x v="1"/>
    <n v="2040.48"/>
    <x v="9"/>
    <x v="1"/>
    <n v="22.4"/>
    <s v="High"/>
    <n v="1068.28"/>
    <n v="0"/>
  </r>
  <r>
    <x v="48"/>
    <x v="46"/>
    <n v="1375"/>
    <n v="4606.5600000000004"/>
    <n v="2948.86"/>
    <n v="1657.7"/>
    <n v="0.64"/>
    <n v="0.23"/>
    <n v="2139.64"/>
    <x v="1"/>
    <n v="674"/>
    <n v="0.16"/>
    <n v="632.13"/>
    <n v="0.14000000000000001"/>
    <n v="298.58999999999997"/>
    <n v="0.06"/>
    <n v="1"/>
    <n v="1814.02"/>
    <n v="21"/>
    <n v="0"/>
    <n v="626.58000000000004"/>
    <n v="1831.89"/>
    <x v="1"/>
    <n v="1274.18"/>
    <x v="1"/>
    <x v="0"/>
    <n v="86.8"/>
    <s v="Medium"/>
    <n v="1657.7"/>
    <n v="0"/>
  </r>
  <r>
    <x v="48"/>
    <x v="46"/>
    <n v="1578"/>
    <n v="3902.73"/>
    <n v="2532.39"/>
    <n v="1370.34"/>
    <n v="0.65"/>
    <n v="0.08"/>
    <n v="3769.06"/>
    <x v="1"/>
    <n v="655"/>
    <n v="0.3"/>
    <n v="673.03"/>
    <n v="0.17"/>
    <n v="124.09"/>
    <n v="0.03"/>
    <n v="7"/>
    <n v="902.4"/>
    <n v="78"/>
    <n v="0"/>
    <n v="369.75"/>
    <n v="1698.15"/>
    <x v="1"/>
    <n v="1003.65"/>
    <x v="3"/>
    <x v="0"/>
    <n v="28.3"/>
    <s v="High"/>
    <n v="1370.34"/>
    <n v="0"/>
  </r>
  <r>
    <x v="48"/>
    <x v="46"/>
    <n v="1467"/>
    <n v="3904.36"/>
    <n v="3337.18"/>
    <n v="567.17999999999995"/>
    <n v="0.85"/>
    <n v="0.14000000000000001"/>
    <n v="2056.6"/>
    <x v="1"/>
    <n v="719"/>
    <n v="0.39"/>
    <n v="624.27"/>
    <n v="0.16"/>
    <n v="84.94"/>
    <n v="0.02"/>
    <n v="9"/>
    <n v="1070.1199999999999"/>
    <n v="86"/>
    <n v="0"/>
    <n v="330.17"/>
    <n v="3057.79"/>
    <x v="1"/>
    <n v="1191.83"/>
    <x v="1"/>
    <x v="0"/>
    <n v="14.5"/>
    <s v="Medium"/>
    <n v="567.17999999999995"/>
    <n v="0"/>
  </r>
  <r>
    <x v="48"/>
    <x v="46"/>
    <n v="1919"/>
    <n v="3638.69"/>
    <n v="2319.25"/>
    <n v="1319.44"/>
    <n v="0.64"/>
    <n v="0.28999999999999998"/>
    <n v="2692.62"/>
    <x v="0"/>
    <n v="683"/>
    <n v="0.21"/>
    <n v="537.67999999999995"/>
    <n v="0.15"/>
    <n v="418.74"/>
    <n v="0.12"/>
    <n v="9"/>
    <n v="1232.7"/>
    <n v="28"/>
    <n v="0"/>
    <n v="331.36"/>
    <n v="2878"/>
    <x v="1"/>
    <n v="1168.3699999999999"/>
    <x v="7"/>
    <x v="0"/>
    <n v="23.2"/>
    <s v="High"/>
    <n v="1319.44"/>
    <n v="0"/>
  </r>
  <r>
    <x v="48"/>
    <x v="46"/>
    <n v="1437"/>
    <n v="4735.2"/>
    <n v="4510.7700000000004"/>
    <n v="224.43"/>
    <n v="0.95"/>
    <n v="0.2"/>
    <n v="2734.84"/>
    <x v="2"/>
    <n v="746"/>
    <n v="0.35"/>
    <n v="675.37"/>
    <n v="0.14000000000000001"/>
    <n v="846.17"/>
    <n v="0.18"/>
    <n v="4"/>
    <n v="796.87"/>
    <n v="74"/>
    <n v="0"/>
    <n v="302.43"/>
    <n v="3122.57"/>
    <x v="1"/>
    <n v="1542.74"/>
    <x v="9"/>
    <x v="0"/>
    <n v="8.9"/>
    <s v="Low"/>
    <n v="224.43"/>
    <n v="0"/>
  </r>
  <r>
    <x v="48"/>
    <x v="46"/>
    <n v="1371"/>
    <n v="4383.74"/>
    <n v="3357.35"/>
    <n v="1026.3900000000001"/>
    <n v="0.77"/>
    <n v="0.25"/>
    <n v="2613.38"/>
    <x v="1"/>
    <n v="634"/>
    <n v="0.49"/>
    <n v="547.52"/>
    <n v="0.12"/>
    <n v="842.03"/>
    <n v="0.19"/>
    <n v="8"/>
    <n v="587.6"/>
    <n v="97"/>
    <n v="0"/>
    <n v="611.47"/>
    <n v="1000"/>
    <x v="0"/>
    <n v="1165.56"/>
    <x v="8"/>
    <x v="1"/>
    <n v="70.5"/>
    <s v="Low"/>
    <n v="1026.3900000000001"/>
    <n v="0"/>
  </r>
  <r>
    <x v="48"/>
    <x v="46"/>
    <n v="1083"/>
    <n v="3959.45"/>
    <n v="3862.75"/>
    <n v="96.7"/>
    <n v="0.98"/>
    <n v="0.24"/>
    <n v="3308.23"/>
    <x v="0"/>
    <n v="640"/>
    <n v="0.54"/>
    <n v="513.92999999999995"/>
    <n v="0.13"/>
    <n v="537.76"/>
    <n v="0.14000000000000001"/>
    <n v="2"/>
    <n v="1470.98"/>
    <n v="68"/>
    <n v="0"/>
    <n v="584.46"/>
    <n v="3169.27"/>
    <x v="1"/>
    <n v="633.29999999999995"/>
    <x v="2"/>
    <x v="1"/>
    <n v="39.4"/>
    <s v="High"/>
    <n v="96.7"/>
    <n v="0"/>
  </r>
  <r>
    <x v="48"/>
    <x v="46"/>
    <n v="1267"/>
    <n v="4901.55"/>
    <n v="3268.16"/>
    <n v="1633.39"/>
    <n v="0.67"/>
    <n v="0.14000000000000001"/>
    <n v="2718.06"/>
    <x v="1"/>
    <n v="678"/>
    <n v="0.41"/>
    <n v="391.75"/>
    <n v="0.08"/>
    <n v="822.76"/>
    <n v="0.17"/>
    <n v="7"/>
    <n v="1212.51"/>
    <n v="88"/>
    <n v="0"/>
    <n v="382.55"/>
    <n v="2243.09"/>
    <x v="1"/>
    <n v="685.52"/>
    <x v="2"/>
    <x v="0"/>
    <n v="2.4"/>
    <s v="High"/>
    <n v="1633.39"/>
    <n v="0"/>
  </r>
  <r>
    <x v="48"/>
    <x v="46"/>
    <n v="1173"/>
    <n v="2994.04"/>
    <n v="1795.21"/>
    <n v="1198.83"/>
    <n v="0.6"/>
    <n v="0.13"/>
    <n v="2499.65"/>
    <x v="2"/>
    <n v="648"/>
    <n v="0.12"/>
    <n v="465.18"/>
    <n v="0.16"/>
    <n v="283.97000000000003"/>
    <n v="0.09"/>
    <n v="3"/>
    <n v="2025.24"/>
    <n v="37"/>
    <n v="0"/>
    <n v="467.5"/>
    <n v="2854.72"/>
    <x v="1"/>
    <n v="1254.25"/>
    <x v="1"/>
    <x v="0"/>
    <n v="2.1"/>
    <s v="Low"/>
    <n v="1198.83"/>
    <n v="0"/>
  </r>
  <r>
    <x v="48"/>
    <x v="46"/>
    <n v="1486"/>
    <n v="3266.72"/>
    <n v="3395.78"/>
    <n v="-129.06"/>
    <n v="1.04"/>
    <n v="0.21"/>
    <n v="3100.91"/>
    <x v="1"/>
    <n v="669"/>
    <n v="0.31"/>
    <n v="709.76"/>
    <n v="0.22"/>
    <n v="512.30999999999995"/>
    <n v="0.16"/>
    <n v="9"/>
    <n v="1056.49"/>
    <n v="26"/>
    <n v="0"/>
    <n v="606.47"/>
    <n v="2557.35"/>
    <x v="1"/>
    <n v="1738.28"/>
    <x v="5"/>
    <x v="1"/>
    <n v="39"/>
    <s v="Low"/>
    <n v="0"/>
    <n v="0"/>
  </r>
  <r>
    <x v="48"/>
    <x v="46"/>
    <n v="1252"/>
    <n v="4000.02"/>
    <n v="2328.58"/>
    <n v="1671.44"/>
    <n v="0.57999999999999996"/>
    <n v="0.15"/>
    <n v="2220.19"/>
    <x v="2"/>
    <n v="649"/>
    <n v="0.27"/>
    <n v="847.92"/>
    <n v="0.21"/>
    <n v="437.01"/>
    <n v="0.11"/>
    <n v="4"/>
    <n v="595.55999999999995"/>
    <n v="81"/>
    <n v="0"/>
    <n v="1056.8699999999999"/>
    <n v="1689.55"/>
    <x v="1"/>
    <n v="663.87"/>
    <x v="2"/>
    <x v="0"/>
    <n v="73.400000000000006"/>
    <s v="Low"/>
    <n v="1671.44"/>
    <n v="0"/>
  </r>
  <r>
    <x v="48"/>
    <x v="46"/>
    <n v="1578"/>
    <n v="3968.41"/>
    <n v="5095.1899999999996"/>
    <n v="-1126.78"/>
    <n v="1.28"/>
    <n v="7.0000000000000007E-2"/>
    <n v="3064.73"/>
    <x v="1"/>
    <n v="748"/>
    <n v="0.24"/>
    <n v="442.87"/>
    <n v="0.11"/>
    <n v="449.18"/>
    <n v="0.11"/>
    <n v="3"/>
    <n v="882.17"/>
    <n v="93"/>
    <n v="0"/>
    <n v="177.64"/>
    <n v="1439.32"/>
    <x v="0"/>
    <n v="838.76"/>
    <x v="3"/>
    <x v="1"/>
    <n v="75.7"/>
    <s v="High"/>
    <n v="0"/>
    <n v="0"/>
  </r>
  <r>
    <x v="48"/>
    <x v="46"/>
    <n v="1835"/>
    <n v="4595.71"/>
    <n v="159.21"/>
    <n v="4436.5"/>
    <n v="0.03"/>
    <n v="0.25"/>
    <n v="2779.17"/>
    <x v="1"/>
    <n v="615"/>
    <n v="0.12"/>
    <n v="105.1"/>
    <n v="0.02"/>
    <n v="842.22"/>
    <n v="0.18"/>
    <n v="6"/>
    <n v="851.32"/>
    <n v="41"/>
    <n v="0"/>
    <n v="406.52"/>
    <n v="3019.44"/>
    <x v="1"/>
    <n v="890.54"/>
    <x v="9"/>
    <x v="0"/>
    <n v="62.5"/>
    <s v="Low"/>
    <n v="4436.5"/>
    <n v="1"/>
  </r>
  <r>
    <x v="48"/>
    <x v="46"/>
    <n v="1857"/>
    <n v="3849.63"/>
    <n v="3572.89"/>
    <n v="276.74"/>
    <n v="0.93"/>
    <n v="0.32"/>
    <n v="1451.79"/>
    <x v="1"/>
    <n v="706"/>
    <n v="0.12"/>
    <n v="603.6"/>
    <n v="0.16"/>
    <n v="601.70000000000005"/>
    <n v="0.16"/>
    <n v="5"/>
    <n v="887.18"/>
    <n v="28"/>
    <n v="0"/>
    <n v="722.86"/>
    <n v="1000"/>
    <x v="2"/>
    <n v="587.13"/>
    <x v="2"/>
    <x v="2"/>
    <n v="62.5"/>
    <s v="Low"/>
    <n v="276.74"/>
    <n v="0"/>
  </r>
  <r>
    <x v="48"/>
    <x v="46"/>
    <n v="1030"/>
    <n v="4067.94"/>
    <n v="3821.36"/>
    <n v="246.58"/>
    <n v="0.94"/>
    <n v="0.34"/>
    <n v="2963.75"/>
    <x v="0"/>
    <n v="679"/>
    <n v="0.36"/>
    <n v="709.64"/>
    <n v="0.17"/>
    <n v="43.22"/>
    <n v="0.01"/>
    <n v="8"/>
    <n v="1087.31"/>
    <n v="78"/>
    <n v="0"/>
    <n v="65.61"/>
    <n v="2868.43"/>
    <x v="0"/>
    <n v="1054.49"/>
    <x v="7"/>
    <x v="2"/>
    <n v="38.9"/>
    <s v="Low"/>
    <n v="246.58"/>
    <n v="0"/>
  </r>
  <r>
    <x v="49"/>
    <x v="47"/>
    <n v="1984"/>
    <n v="4722.51"/>
    <n v="3075.01"/>
    <n v="1647.5"/>
    <n v="0.65"/>
    <n v="0.34"/>
    <n v="2922.43"/>
    <x v="1"/>
    <n v="655"/>
    <n v="0.33"/>
    <n v="632.85"/>
    <n v="0.13"/>
    <n v="130.94"/>
    <n v="0.03"/>
    <n v="3"/>
    <n v="662.47"/>
    <n v="82"/>
    <n v="0"/>
    <n v="738.87"/>
    <n v="1951.17"/>
    <x v="1"/>
    <n v="936.35"/>
    <x v="6"/>
    <x v="0"/>
    <n v="32.4"/>
    <s v="High"/>
    <n v="1647.5"/>
    <n v="0"/>
  </r>
  <r>
    <x v="49"/>
    <x v="47"/>
    <n v="1807"/>
    <n v="4385.93"/>
    <n v="2446.52"/>
    <n v="1939.41"/>
    <n v="0.56000000000000005"/>
    <n v="0.37"/>
    <n v="2618.46"/>
    <x v="1"/>
    <n v="718"/>
    <n v="0.19"/>
    <n v="608.79999999999995"/>
    <n v="0.14000000000000001"/>
    <n v="249.26"/>
    <n v="0.06"/>
    <n v="9"/>
    <n v="1121.99"/>
    <n v="31"/>
    <n v="0"/>
    <n v="389.61"/>
    <n v="2473.4499999999998"/>
    <x v="1"/>
    <n v="1307.07"/>
    <x v="5"/>
    <x v="0"/>
    <n v="50"/>
    <s v="High"/>
    <n v="1939.41"/>
    <n v="0"/>
  </r>
  <r>
    <x v="49"/>
    <x v="47"/>
    <n v="1760"/>
    <n v="2349.1"/>
    <n v="3478.14"/>
    <n v="-1129.04"/>
    <n v="1.48"/>
    <n v="0.24"/>
    <n v="3023.22"/>
    <x v="1"/>
    <n v="741"/>
    <n v="0.6"/>
    <n v="547.97"/>
    <n v="0.23"/>
    <n v="478.93"/>
    <n v="0.2"/>
    <n v="1"/>
    <n v="1723.6"/>
    <n v="88"/>
    <n v="0"/>
    <n v="797.64"/>
    <n v="2166.48"/>
    <x v="1"/>
    <n v="1041.19"/>
    <x v="8"/>
    <x v="1"/>
    <n v="34.4"/>
    <s v="Medium"/>
    <n v="0"/>
    <n v="0"/>
  </r>
  <r>
    <x v="49"/>
    <x v="47"/>
    <n v="1578"/>
    <n v="4151.5200000000004"/>
    <n v="3116.6"/>
    <n v="1034.92"/>
    <n v="0.75"/>
    <n v="0.22"/>
    <n v="2889.56"/>
    <x v="0"/>
    <n v="623"/>
    <n v="0.55000000000000004"/>
    <n v="589.79"/>
    <n v="0.14000000000000001"/>
    <n v="442.22"/>
    <n v="0.11"/>
    <n v="4"/>
    <n v="754.9"/>
    <n v="21"/>
    <n v="0"/>
    <n v="124.82"/>
    <n v="1781.24"/>
    <x v="1"/>
    <n v="529.5"/>
    <x v="5"/>
    <x v="0"/>
    <n v="23.2"/>
    <s v="Medium"/>
    <n v="1034.92"/>
    <n v="0"/>
  </r>
  <r>
    <x v="49"/>
    <x v="47"/>
    <n v="1932"/>
    <n v="4633.53"/>
    <n v="2293.2600000000002"/>
    <n v="2340.27"/>
    <n v="0.49"/>
    <n v="0.19"/>
    <n v="3413.65"/>
    <x v="0"/>
    <n v="609"/>
    <n v="0.41"/>
    <n v="367.22"/>
    <n v="0.08"/>
    <n v="358.86"/>
    <n v="0.08"/>
    <n v="5"/>
    <n v="468.73"/>
    <n v="63"/>
    <n v="0"/>
    <n v="477.22"/>
    <n v="1365.3"/>
    <x v="1"/>
    <n v="1071.79"/>
    <x v="7"/>
    <x v="0"/>
    <n v="86.7"/>
    <s v="Low"/>
    <n v="2340.27"/>
    <n v="0"/>
  </r>
  <r>
    <x v="49"/>
    <x v="47"/>
    <n v="1399"/>
    <n v="4150.2700000000004"/>
    <n v="2021.29"/>
    <n v="2128.98"/>
    <n v="0.49"/>
    <n v="0.17"/>
    <n v="2959.33"/>
    <x v="1"/>
    <n v="681"/>
    <n v="0.31"/>
    <n v="462.13"/>
    <n v="0.11"/>
    <n v="735.88"/>
    <n v="0.18"/>
    <n v="7"/>
    <n v="663.14"/>
    <n v="97"/>
    <n v="0"/>
    <n v="388.36"/>
    <n v="2497.52"/>
    <x v="1"/>
    <n v="955.2"/>
    <x v="4"/>
    <x v="2"/>
    <n v="2.5"/>
    <s v="Low"/>
    <n v="2128.98"/>
    <n v="0"/>
  </r>
  <r>
    <x v="49"/>
    <x v="47"/>
    <n v="1264"/>
    <n v="2382.08"/>
    <n v="1619.76"/>
    <n v="762.32"/>
    <n v="0.68"/>
    <n v="0.16"/>
    <n v="2308.48"/>
    <x v="2"/>
    <n v="679"/>
    <n v="0.37"/>
    <n v="445.71"/>
    <n v="0.19"/>
    <n v="891.36"/>
    <n v="0.37"/>
    <n v="9"/>
    <n v="530.5"/>
    <n v="59"/>
    <n v="0"/>
    <n v="183.1"/>
    <n v="1968.53"/>
    <x v="2"/>
    <n v="1192.18"/>
    <x v="4"/>
    <x v="2"/>
    <n v="70.599999999999994"/>
    <s v="Low"/>
    <n v="762.32"/>
    <n v="0"/>
  </r>
  <r>
    <x v="49"/>
    <x v="47"/>
    <n v="1138"/>
    <n v="2402.06"/>
    <n v="3653.49"/>
    <n v="-1251.43"/>
    <n v="1.52"/>
    <n v="0.12"/>
    <n v="3262.63"/>
    <x v="1"/>
    <n v="635"/>
    <n v="0.38"/>
    <n v="476.82"/>
    <n v="0.2"/>
    <n v="460.14"/>
    <n v="0.19"/>
    <n v="1"/>
    <n v="505.43"/>
    <n v="23"/>
    <n v="0"/>
    <n v="440.69"/>
    <n v="2339.13"/>
    <x v="1"/>
    <n v="964.5"/>
    <x v="7"/>
    <x v="1"/>
    <n v="32.9"/>
    <s v="High"/>
    <n v="0"/>
    <n v="0"/>
  </r>
  <r>
    <x v="49"/>
    <x v="47"/>
    <n v="1336"/>
    <n v="2766.09"/>
    <n v="2554.59"/>
    <n v="211.5"/>
    <n v="0.92"/>
    <n v="0.18"/>
    <n v="2507.59"/>
    <x v="1"/>
    <n v="708"/>
    <n v="0.31"/>
    <n v="530.28"/>
    <n v="0.19"/>
    <n v="919.65"/>
    <n v="0.33"/>
    <n v="7"/>
    <n v="385.57"/>
    <n v="25"/>
    <n v="0"/>
    <n v="653.55999999999995"/>
    <n v="1904.82"/>
    <x v="2"/>
    <n v="1770.95"/>
    <x v="5"/>
    <x v="0"/>
    <n v="77.099999999999994"/>
    <s v="Medium"/>
    <n v="211.5"/>
    <n v="0"/>
  </r>
  <r>
    <x v="49"/>
    <x v="47"/>
    <n v="1828"/>
    <n v="3571.8"/>
    <n v="3406.58"/>
    <n v="165.22"/>
    <n v="0.95"/>
    <n v="0.28000000000000003"/>
    <n v="2684.68"/>
    <x v="0"/>
    <n v="645"/>
    <n v="0.14000000000000001"/>
    <n v="416.4"/>
    <n v="0.12"/>
    <n v="344"/>
    <n v="0.1"/>
    <n v="5"/>
    <n v="1502.44"/>
    <n v="59"/>
    <n v="0"/>
    <n v="460.92"/>
    <n v="2859.01"/>
    <x v="2"/>
    <n v="1101.31"/>
    <x v="4"/>
    <x v="2"/>
    <n v="85.7"/>
    <s v="Medium"/>
    <n v="165.22"/>
    <n v="0"/>
  </r>
  <r>
    <x v="49"/>
    <x v="47"/>
    <n v="1277"/>
    <n v="4198.33"/>
    <n v="2684.49"/>
    <n v="1513.84"/>
    <n v="0.64"/>
    <n v="0.16"/>
    <n v="2874.44"/>
    <x v="0"/>
    <n v="712"/>
    <n v="0.21"/>
    <n v="478.66"/>
    <n v="0.11"/>
    <n v="695.56"/>
    <n v="0.17"/>
    <n v="9"/>
    <n v="1047.97"/>
    <n v="47"/>
    <n v="0"/>
    <n v="333.39"/>
    <n v="1839.38"/>
    <x v="1"/>
    <n v="1293.3"/>
    <x v="6"/>
    <x v="1"/>
    <n v="78"/>
    <s v="Low"/>
    <n v="1513.84"/>
    <n v="0"/>
  </r>
  <r>
    <x v="49"/>
    <x v="47"/>
    <n v="1583"/>
    <n v="5606.25"/>
    <n v="3395.15"/>
    <n v="2211.1"/>
    <n v="0.61"/>
    <n v="0.35"/>
    <n v="2878.46"/>
    <x v="2"/>
    <n v="666"/>
    <n v="0.11"/>
    <n v="571.38"/>
    <n v="0.1"/>
    <n v="601.51"/>
    <n v="0.11"/>
    <n v="9"/>
    <n v="570.19000000000005"/>
    <n v="54"/>
    <n v="0"/>
    <n v="884.29"/>
    <n v="1612.32"/>
    <x v="1"/>
    <n v="690.7"/>
    <x v="0"/>
    <x v="2"/>
    <n v="83.2"/>
    <s v="Low"/>
    <n v="2211.1"/>
    <n v="0"/>
  </r>
  <r>
    <x v="49"/>
    <x v="47"/>
    <n v="1425"/>
    <n v="3570.91"/>
    <n v="3990.86"/>
    <n v="-419.95"/>
    <n v="1.1200000000000001"/>
    <n v="0.28000000000000003"/>
    <n v="2738.91"/>
    <x v="0"/>
    <n v="659"/>
    <n v="0.44"/>
    <n v="455.32"/>
    <n v="0.13"/>
    <n v="632.74"/>
    <n v="0.18"/>
    <n v="8"/>
    <n v="975.57"/>
    <n v="59"/>
    <n v="0"/>
    <n v="453.96"/>
    <n v="3183.33"/>
    <x v="1"/>
    <n v="841.4"/>
    <x v="2"/>
    <x v="2"/>
    <n v="4.2"/>
    <s v="Low"/>
    <n v="0"/>
    <n v="0"/>
  </r>
  <r>
    <x v="49"/>
    <x v="47"/>
    <n v="1074"/>
    <n v="4349.9799999999996"/>
    <n v="2583.13"/>
    <n v="1766.85"/>
    <n v="0.59"/>
    <n v="0.21"/>
    <n v="2382.33"/>
    <x v="2"/>
    <n v="742"/>
    <n v="0.3"/>
    <n v="307.02"/>
    <n v="7.0000000000000007E-2"/>
    <n v="293.14999999999998"/>
    <n v="7.0000000000000007E-2"/>
    <n v="9"/>
    <n v="1993.79"/>
    <n v="53"/>
    <n v="0"/>
    <n v="644.54999999999995"/>
    <n v="2523.04"/>
    <x v="0"/>
    <n v="443.65"/>
    <x v="6"/>
    <x v="0"/>
    <n v="73.2"/>
    <s v="Low"/>
    <n v="1766.85"/>
    <n v="0"/>
  </r>
  <r>
    <x v="49"/>
    <x v="47"/>
    <n v="1880"/>
    <n v="4996.59"/>
    <n v="3278.59"/>
    <n v="1718"/>
    <n v="0.66"/>
    <n v="0.27"/>
    <n v="2408.9299999999998"/>
    <x v="1"/>
    <n v="696"/>
    <n v="0.25"/>
    <n v="717.69"/>
    <n v="0.14000000000000001"/>
    <n v="685.89"/>
    <n v="0.14000000000000001"/>
    <n v="4"/>
    <n v="1560.59"/>
    <n v="61"/>
    <n v="0"/>
    <n v="307.77"/>
    <n v="1942.17"/>
    <x v="1"/>
    <n v="1198.57"/>
    <x v="6"/>
    <x v="0"/>
    <n v="2.2999999999999998"/>
    <s v="Low"/>
    <n v="1718"/>
    <n v="0"/>
  </r>
  <r>
    <x v="49"/>
    <x v="47"/>
    <n v="1177"/>
    <n v="3249.9"/>
    <n v="3808.7"/>
    <n v="-558.79999999999995"/>
    <n v="1.17"/>
    <n v="0.1"/>
    <n v="2342"/>
    <x v="2"/>
    <n v="813"/>
    <n v="0.38"/>
    <n v="762.35"/>
    <n v="0.23"/>
    <n v="258.92"/>
    <n v="0.08"/>
    <n v="7"/>
    <n v="958.25"/>
    <n v="82"/>
    <n v="0"/>
    <n v="971.66"/>
    <n v="2355.5"/>
    <x v="1"/>
    <n v="1432.23"/>
    <x v="0"/>
    <x v="0"/>
    <n v="91.3"/>
    <s v="High"/>
    <n v="0"/>
    <n v="0"/>
  </r>
  <r>
    <x v="49"/>
    <x v="47"/>
    <n v="1734"/>
    <n v="5461.23"/>
    <n v="2857.86"/>
    <n v="2603.37"/>
    <n v="0.52"/>
    <n v="0.06"/>
    <n v="3539.62"/>
    <x v="0"/>
    <n v="773"/>
    <n v="0.3"/>
    <n v="470.75"/>
    <n v="0.09"/>
    <n v="480.29"/>
    <n v="0.09"/>
    <n v="9"/>
    <n v="353.31"/>
    <n v="91"/>
    <n v="0"/>
    <n v="599.11"/>
    <n v="2285.2800000000002"/>
    <x v="1"/>
    <n v="1804.51"/>
    <x v="6"/>
    <x v="2"/>
    <n v="64.5"/>
    <s v="High"/>
    <n v="2603.37"/>
    <n v="0"/>
  </r>
  <r>
    <x v="49"/>
    <x v="47"/>
    <n v="1453"/>
    <n v="3697.69"/>
    <n v="1940.3"/>
    <n v="1757.39"/>
    <n v="0.52"/>
    <n v="0.2"/>
    <n v="2451.8000000000002"/>
    <x v="2"/>
    <n v="738"/>
    <n v="0.47"/>
    <n v="363.1"/>
    <n v="0.1"/>
    <n v="522.41999999999996"/>
    <n v="0.14000000000000001"/>
    <n v="3"/>
    <n v="2179.66"/>
    <n v="86"/>
    <n v="0"/>
    <n v="493.48"/>
    <n v="2305.3000000000002"/>
    <x v="1"/>
    <n v="808.21"/>
    <x v="4"/>
    <x v="0"/>
    <n v="19.5"/>
    <s v="High"/>
    <n v="1757.39"/>
    <n v="0"/>
  </r>
  <r>
    <x v="49"/>
    <x v="47"/>
    <n v="1543"/>
    <n v="4103.1899999999996"/>
    <n v="4148.24"/>
    <n v="-45.05"/>
    <n v="1.01"/>
    <n v="0.18"/>
    <n v="2828.83"/>
    <x v="1"/>
    <n v="705"/>
    <n v="0.23"/>
    <n v="356.06"/>
    <n v="0.09"/>
    <n v="179.31"/>
    <n v="0.04"/>
    <n v="4"/>
    <n v="631.65"/>
    <n v="97"/>
    <n v="0"/>
    <n v="673.15"/>
    <n v="1724.77"/>
    <x v="0"/>
    <n v="943.08"/>
    <x v="1"/>
    <x v="0"/>
    <n v="27.4"/>
    <s v="Medium"/>
    <n v="0"/>
    <n v="0"/>
  </r>
  <r>
    <x v="49"/>
    <x v="47"/>
    <n v="1158"/>
    <n v="2992.75"/>
    <n v="3377.14"/>
    <n v="-384.39"/>
    <n v="1.1299999999999999"/>
    <n v="0.17"/>
    <n v="2919.13"/>
    <x v="2"/>
    <n v="635"/>
    <n v="0.14000000000000001"/>
    <n v="685.28"/>
    <n v="0.23"/>
    <n v="905.14"/>
    <n v="0.3"/>
    <n v="7"/>
    <n v="811.18"/>
    <n v="26"/>
    <n v="0"/>
    <n v="828.32"/>
    <n v="2769.19"/>
    <x v="1"/>
    <n v="1260.19"/>
    <x v="6"/>
    <x v="0"/>
    <n v="49.3"/>
    <s v="Medium"/>
    <n v="0"/>
    <n v="0"/>
  </r>
  <r>
    <x v="49"/>
    <x v="47"/>
    <n v="1189"/>
    <n v="3817.12"/>
    <n v="2275.46"/>
    <n v="1541.66"/>
    <n v="0.6"/>
    <n v="0.3"/>
    <n v="3407.94"/>
    <x v="2"/>
    <n v="663"/>
    <n v="0.31"/>
    <n v="663.54"/>
    <n v="0.17"/>
    <n v="753.28"/>
    <n v="0.2"/>
    <n v="4"/>
    <n v="1090.75"/>
    <n v="36"/>
    <n v="0"/>
    <n v="373.78"/>
    <n v="1668.66"/>
    <x v="1"/>
    <n v="330.13"/>
    <x v="6"/>
    <x v="1"/>
    <n v="27.3"/>
    <s v="Low"/>
    <n v="1541.66"/>
    <n v="0"/>
  </r>
  <r>
    <x v="49"/>
    <x v="47"/>
    <n v="1462"/>
    <n v="3452.89"/>
    <n v="3373.56"/>
    <n v="79.33"/>
    <n v="0.98"/>
    <n v="0.34"/>
    <n v="3376.34"/>
    <x v="0"/>
    <n v="698"/>
    <n v="0.14000000000000001"/>
    <n v="209.68"/>
    <n v="0.06"/>
    <n v="420.43"/>
    <n v="0.12"/>
    <n v="4"/>
    <n v="724.7"/>
    <n v="50"/>
    <n v="0"/>
    <n v="560.5"/>
    <n v="1408.65"/>
    <x v="1"/>
    <n v="1602.26"/>
    <x v="5"/>
    <x v="1"/>
    <n v="85.3"/>
    <s v="Low"/>
    <n v="79.33"/>
    <n v="0"/>
  </r>
  <r>
    <x v="49"/>
    <x v="47"/>
    <n v="1932"/>
    <n v="2996.84"/>
    <n v="3492.35"/>
    <n v="-495.51"/>
    <n v="1.17"/>
    <n v="0.18"/>
    <n v="2169.1"/>
    <x v="1"/>
    <n v="680"/>
    <n v="0.43"/>
    <n v="398.09"/>
    <n v="0.13"/>
    <n v="79.33"/>
    <n v="0.03"/>
    <n v="8"/>
    <n v="1524.37"/>
    <n v="27"/>
    <n v="0"/>
    <n v="438.15"/>
    <n v="2052.0500000000002"/>
    <x v="1"/>
    <n v="637.14"/>
    <x v="3"/>
    <x v="1"/>
    <n v="39.200000000000003"/>
    <s v="Low"/>
    <n v="0"/>
    <n v="0"/>
  </r>
  <r>
    <x v="49"/>
    <x v="47"/>
    <n v="1228"/>
    <n v="2486.1999999999998"/>
    <n v="1480.99"/>
    <n v="1005.21"/>
    <n v="0.6"/>
    <n v="0.11"/>
    <n v="2960.54"/>
    <x v="2"/>
    <n v="634"/>
    <n v="0.53"/>
    <n v="575.75"/>
    <n v="0.23"/>
    <n v="339.05"/>
    <n v="0.14000000000000001"/>
    <n v="1"/>
    <n v="692.32"/>
    <n v="53"/>
    <n v="0"/>
    <n v="501.54"/>
    <n v="3283.08"/>
    <x v="1"/>
    <n v="300"/>
    <x v="6"/>
    <x v="2"/>
    <n v="25.1"/>
    <s v="High"/>
    <n v="1005.21"/>
    <n v="0"/>
  </r>
  <r>
    <x v="49"/>
    <x v="47"/>
    <n v="1572"/>
    <n v="3404.43"/>
    <n v="3111.33"/>
    <n v="293.10000000000002"/>
    <n v="0.91"/>
    <n v="0.12"/>
    <n v="3031.91"/>
    <x v="1"/>
    <n v="634"/>
    <n v="0.33"/>
    <n v="199.86"/>
    <n v="0.06"/>
    <n v="669.09"/>
    <n v="0.2"/>
    <n v="9"/>
    <n v="2142.4499999999998"/>
    <n v="67"/>
    <n v="0"/>
    <n v="877.83"/>
    <n v="2253.44"/>
    <x v="1"/>
    <n v="1136.6500000000001"/>
    <x v="4"/>
    <x v="0"/>
    <n v="53"/>
    <s v="Medium"/>
    <n v="293.10000000000002"/>
    <n v="0"/>
  </r>
  <r>
    <x v="49"/>
    <x v="47"/>
    <n v="1959"/>
    <n v="4965.45"/>
    <n v="2158.98"/>
    <n v="2806.47"/>
    <n v="0.43"/>
    <n v="0.28999999999999998"/>
    <n v="3643.43"/>
    <x v="0"/>
    <n v="743"/>
    <n v="0.22"/>
    <n v="424.54"/>
    <n v="0.09"/>
    <n v="632.01"/>
    <n v="0.13"/>
    <n v="3"/>
    <n v="1024.02"/>
    <n v="33"/>
    <n v="0"/>
    <n v="404.35"/>
    <n v="1720.8"/>
    <x v="1"/>
    <n v="1513.19"/>
    <x v="5"/>
    <x v="2"/>
    <n v="7.2"/>
    <s v="Medium"/>
    <n v="2806.47"/>
    <n v="0"/>
  </r>
  <r>
    <x v="49"/>
    <x v="47"/>
    <n v="1521"/>
    <n v="4284.37"/>
    <n v="1642.13"/>
    <n v="2642.24"/>
    <n v="0.38"/>
    <n v="0.37"/>
    <n v="3856.76"/>
    <x v="1"/>
    <n v="657"/>
    <n v="0.57999999999999996"/>
    <n v="396.85"/>
    <n v="0.09"/>
    <n v="601.29"/>
    <n v="0.14000000000000001"/>
    <n v="1"/>
    <n v="262.08"/>
    <n v="76"/>
    <n v="0"/>
    <n v="565.6"/>
    <n v="2690.95"/>
    <x v="1"/>
    <n v="1123.5999999999999"/>
    <x v="5"/>
    <x v="1"/>
    <n v="79"/>
    <s v="High"/>
    <n v="2642.24"/>
    <n v="0"/>
  </r>
  <r>
    <x v="49"/>
    <x v="47"/>
    <n v="1165"/>
    <n v="3229.95"/>
    <n v="2785.75"/>
    <n v="444.2"/>
    <n v="0.86"/>
    <n v="0.25"/>
    <n v="2757.98"/>
    <x v="0"/>
    <n v="628"/>
    <n v="0.56000000000000005"/>
    <n v="259.25"/>
    <n v="0.08"/>
    <n v="449.76"/>
    <n v="0.14000000000000001"/>
    <n v="4"/>
    <n v="934.02"/>
    <n v="26"/>
    <n v="0"/>
    <n v="647.72"/>
    <n v="1184.3599999999999"/>
    <x v="1"/>
    <n v="1162.68"/>
    <x v="6"/>
    <x v="0"/>
    <n v="88.8"/>
    <s v="Medium"/>
    <n v="444.2"/>
    <n v="0"/>
  </r>
  <r>
    <x v="49"/>
    <x v="47"/>
    <n v="1125"/>
    <n v="2571.1999999999998"/>
    <n v="1668.93"/>
    <n v="902.27"/>
    <n v="0.65"/>
    <n v="0.13"/>
    <n v="2859.96"/>
    <x v="1"/>
    <n v="701"/>
    <n v="0.15"/>
    <n v="158.47"/>
    <n v="0.06"/>
    <n v="531.78"/>
    <n v="0.21"/>
    <n v="2"/>
    <n v="1756.77"/>
    <n v="92"/>
    <n v="0"/>
    <n v="729.18"/>
    <n v="1638.63"/>
    <x v="0"/>
    <n v="1284.45"/>
    <x v="3"/>
    <x v="2"/>
    <n v="19.899999999999999"/>
    <s v="High"/>
    <n v="902.27"/>
    <n v="0"/>
  </r>
  <r>
    <x v="49"/>
    <x v="47"/>
    <n v="1374"/>
    <n v="5191.3900000000003"/>
    <n v="3030.33"/>
    <n v="2161.06"/>
    <n v="0.57999999999999996"/>
    <n v="0.19"/>
    <n v="3547.59"/>
    <x v="0"/>
    <n v="716"/>
    <n v="0.56000000000000005"/>
    <n v="537.83000000000004"/>
    <n v="0.1"/>
    <n v="406.48"/>
    <n v="0.08"/>
    <n v="7"/>
    <n v="813.43"/>
    <n v="24"/>
    <n v="0"/>
    <n v="625.61"/>
    <n v="1980.08"/>
    <x v="1"/>
    <n v="1178.6300000000001"/>
    <x v="4"/>
    <x v="0"/>
    <n v="43.3"/>
    <s v="High"/>
    <n v="2161.06"/>
    <n v="0"/>
  </r>
  <r>
    <x v="49"/>
    <x v="47"/>
    <n v="1740"/>
    <n v="3719.17"/>
    <n v="3885.53"/>
    <n v="-166.36"/>
    <n v="1.04"/>
    <n v="0.06"/>
    <n v="3311.15"/>
    <x v="0"/>
    <n v="681"/>
    <n v="0.13"/>
    <n v="914.02"/>
    <n v="0.25"/>
    <n v="537.04999999999995"/>
    <n v="0.14000000000000001"/>
    <n v="4"/>
    <n v="1815.34"/>
    <n v="79"/>
    <n v="0"/>
    <n v="533.55999999999995"/>
    <n v="2493.5100000000002"/>
    <x v="1"/>
    <n v="803.54"/>
    <x v="0"/>
    <x v="2"/>
    <n v="66"/>
    <s v="Medium"/>
    <n v="0"/>
    <n v="0"/>
  </r>
  <r>
    <x v="49"/>
    <x v="47"/>
    <n v="1459"/>
    <n v="2375.83"/>
    <n v="3830.76"/>
    <n v="-1454.93"/>
    <n v="1.61"/>
    <n v="0.16"/>
    <n v="2702.52"/>
    <x v="2"/>
    <n v="770"/>
    <n v="0.56000000000000005"/>
    <n v="377.91"/>
    <n v="0.16"/>
    <n v="113.83"/>
    <n v="0.05"/>
    <n v="9"/>
    <n v="1837.28"/>
    <n v="96"/>
    <n v="0"/>
    <n v="602.28"/>
    <n v="2283.85"/>
    <x v="0"/>
    <n v="1840.75"/>
    <x v="1"/>
    <x v="0"/>
    <n v="47.2"/>
    <s v="Medium"/>
    <n v="0"/>
    <n v="0"/>
  </r>
  <r>
    <x v="49"/>
    <x v="47"/>
    <n v="1358"/>
    <n v="3267.69"/>
    <n v="2765.28"/>
    <n v="502.41"/>
    <n v="0.85"/>
    <n v="0.35"/>
    <n v="2498.62"/>
    <x v="1"/>
    <n v="637"/>
    <n v="0.53"/>
    <n v="237.34"/>
    <n v="7.0000000000000007E-2"/>
    <n v="395.18"/>
    <n v="0.12"/>
    <n v="1"/>
    <n v="710.11"/>
    <n v="66"/>
    <n v="0"/>
    <n v="628.27"/>
    <n v="1497.04"/>
    <x v="0"/>
    <n v="1177.72"/>
    <x v="2"/>
    <x v="0"/>
    <n v="19.600000000000001"/>
    <s v="High"/>
    <n v="502.41"/>
    <n v="0"/>
  </r>
  <r>
    <x v="49"/>
    <x v="47"/>
    <n v="1361"/>
    <n v="4079.33"/>
    <n v="3367.59"/>
    <n v="711.74"/>
    <n v="0.83"/>
    <n v="0.06"/>
    <n v="2544.73"/>
    <x v="1"/>
    <n v="655"/>
    <n v="0.1"/>
    <n v="614.24"/>
    <n v="0.15"/>
    <n v="23.08"/>
    <n v="0.01"/>
    <n v="2"/>
    <n v="887.29"/>
    <n v="20"/>
    <n v="0"/>
    <n v="527.88"/>
    <n v="2898.22"/>
    <x v="1"/>
    <n v="1441.11"/>
    <x v="9"/>
    <x v="0"/>
    <n v="45.8"/>
    <s v="Low"/>
    <n v="711.74"/>
    <n v="0"/>
  </r>
  <r>
    <x v="49"/>
    <x v="47"/>
    <n v="1760"/>
    <n v="2692.53"/>
    <n v="3729.62"/>
    <n v="-1037.0899999999999"/>
    <n v="1.39"/>
    <n v="0.13"/>
    <n v="2423.16"/>
    <x v="1"/>
    <n v="609"/>
    <n v="0.51"/>
    <n v="289.64999999999998"/>
    <n v="0.11"/>
    <n v="771.71"/>
    <n v="0.28999999999999998"/>
    <n v="4"/>
    <n v="224.75"/>
    <n v="38"/>
    <n v="0"/>
    <n v="463.1"/>
    <n v="1417.58"/>
    <x v="1"/>
    <n v="779.85"/>
    <x v="1"/>
    <x v="0"/>
    <n v="59.1"/>
    <s v="Low"/>
    <n v="0"/>
    <n v="0"/>
  </r>
  <r>
    <x v="49"/>
    <x v="47"/>
    <n v="1379"/>
    <n v="4695.16"/>
    <n v="2560.41"/>
    <n v="2134.75"/>
    <n v="0.55000000000000004"/>
    <n v="0.22"/>
    <n v="2371.98"/>
    <x v="1"/>
    <n v="653"/>
    <n v="0.11"/>
    <n v="389.78"/>
    <n v="0.08"/>
    <n v="374.1"/>
    <n v="0.08"/>
    <n v="4"/>
    <n v="958.05"/>
    <n v="34"/>
    <n v="0"/>
    <n v="0"/>
    <n v="2604.25"/>
    <x v="2"/>
    <n v="1876.51"/>
    <x v="9"/>
    <x v="2"/>
    <n v="51.1"/>
    <s v="Medium"/>
    <n v="2134.75"/>
    <n v="0"/>
  </r>
  <r>
    <x v="49"/>
    <x v="47"/>
    <n v="1728"/>
    <n v="4895.09"/>
    <n v="1339.63"/>
    <n v="3555.46"/>
    <n v="0.27"/>
    <n v="0.19"/>
    <n v="2589.16"/>
    <x v="1"/>
    <n v="714"/>
    <n v="0.56999999999999995"/>
    <n v="891.08"/>
    <n v="0.18"/>
    <n v="447.1"/>
    <n v="0.09"/>
    <n v="6"/>
    <n v="552.08000000000004"/>
    <n v="94"/>
    <n v="0"/>
    <n v="450.26"/>
    <n v="1693.9"/>
    <x v="1"/>
    <n v="459.63"/>
    <x v="8"/>
    <x v="0"/>
    <n v="14"/>
    <s v="Low"/>
    <n v="3555.46"/>
    <n v="1"/>
  </r>
  <r>
    <x v="49"/>
    <x v="47"/>
    <n v="1834"/>
    <n v="4357.92"/>
    <n v="3324.14"/>
    <n v="1033.78"/>
    <n v="0.76"/>
    <n v="0.32"/>
    <n v="2326.4899999999998"/>
    <x v="0"/>
    <n v="692"/>
    <n v="0.22"/>
    <n v="772.48"/>
    <n v="0.18"/>
    <n v="88.59"/>
    <n v="0.02"/>
    <n v="3"/>
    <n v="1359.23"/>
    <n v="23"/>
    <n v="0"/>
    <n v="518.99"/>
    <n v="1840.62"/>
    <x v="1"/>
    <n v="1483.76"/>
    <x v="0"/>
    <x v="2"/>
    <n v="26"/>
    <s v="Medium"/>
    <n v="1033.78"/>
    <n v="0"/>
  </r>
  <r>
    <x v="49"/>
    <x v="47"/>
    <n v="1228"/>
    <n v="5214.4799999999996"/>
    <n v="2769.89"/>
    <n v="2444.59"/>
    <n v="0.53"/>
    <n v="0.15"/>
    <n v="2702.97"/>
    <x v="1"/>
    <n v="689"/>
    <n v="0.24"/>
    <n v="651.11"/>
    <n v="0.12"/>
    <n v="173.09"/>
    <n v="0.03"/>
    <n v="8"/>
    <n v="1542.01"/>
    <n v="53"/>
    <n v="0"/>
    <n v="361.45"/>
    <n v="2010.9"/>
    <x v="1"/>
    <n v="890.51"/>
    <x v="4"/>
    <x v="0"/>
    <n v="89.2"/>
    <s v="Low"/>
    <n v="2444.59"/>
    <n v="0"/>
  </r>
  <r>
    <x v="49"/>
    <x v="47"/>
    <n v="1127"/>
    <n v="5027.58"/>
    <n v="3752.07"/>
    <n v="1275.51"/>
    <n v="0.75"/>
    <n v="0.33"/>
    <n v="3211.06"/>
    <x v="1"/>
    <n v="680"/>
    <n v="0.45"/>
    <n v="332.74"/>
    <n v="7.0000000000000007E-2"/>
    <n v="438.56"/>
    <n v="0.09"/>
    <n v="4"/>
    <n v="959.24"/>
    <n v="84"/>
    <n v="0"/>
    <n v="647.66999999999996"/>
    <n v="1632.29"/>
    <x v="0"/>
    <n v="1374.14"/>
    <x v="0"/>
    <x v="2"/>
    <n v="27.5"/>
    <s v="Low"/>
    <n v="1275.51"/>
    <n v="0"/>
  </r>
  <r>
    <x v="49"/>
    <x v="47"/>
    <n v="1581"/>
    <n v="4778.43"/>
    <n v="1018.42"/>
    <n v="3760.01"/>
    <n v="0.21"/>
    <n v="0.35"/>
    <n v="2133.7199999999998"/>
    <x v="1"/>
    <n v="696"/>
    <n v="0.32"/>
    <n v="206.7"/>
    <n v="0.04"/>
    <n v="311.57"/>
    <n v="7.0000000000000007E-2"/>
    <n v="3"/>
    <n v="759.6"/>
    <n v="26"/>
    <n v="0"/>
    <n v="561.15"/>
    <n v="2206.7800000000002"/>
    <x v="0"/>
    <n v="725.97"/>
    <x v="6"/>
    <x v="1"/>
    <n v="58.9"/>
    <s v="Medium"/>
    <n v="3760.01"/>
    <n v="1"/>
  </r>
  <r>
    <x v="49"/>
    <x v="47"/>
    <n v="1044"/>
    <n v="4077.02"/>
    <n v="3147.04"/>
    <n v="929.98"/>
    <n v="0.77"/>
    <n v="0.12"/>
    <n v="2490.08"/>
    <x v="1"/>
    <n v="696"/>
    <n v="0.3"/>
    <n v="415.54"/>
    <n v="0.1"/>
    <n v="337.85"/>
    <n v="0.08"/>
    <n v="4"/>
    <n v="1728.57"/>
    <n v="49"/>
    <n v="0"/>
    <n v="463.44"/>
    <n v="3050.77"/>
    <x v="1"/>
    <n v="1045.68"/>
    <x v="2"/>
    <x v="2"/>
    <n v="86.1"/>
    <s v="High"/>
    <n v="929.98"/>
    <n v="0"/>
  </r>
  <r>
    <x v="49"/>
    <x v="47"/>
    <n v="1751"/>
    <n v="4544.82"/>
    <n v="2127.35"/>
    <n v="2417.4699999999998"/>
    <n v="0.47"/>
    <n v="0.3"/>
    <n v="2503.12"/>
    <x v="1"/>
    <n v="709"/>
    <n v="0.28999999999999998"/>
    <n v="427.59"/>
    <n v="0.09"/>
    <n v="161"/>
    <n v="0.04"/>
    <n v="6"/>
    <n v="863.8"/>
    <n v="82"/>
    <n v="0"/>
    <n v="521.71"/>
    <n v="2642.95"/>
    <x v="1"/>
    <n v="1527.09"/>
    <x v="1"/>
    <x v="2"/>
    <n v="69.5"/>
    <s v="Low"/>
    <n v="2417.4699999999998"/>
    <n v="0"/>
  </r>
  <r>
    <x v="49"/>
    <x v="47"/>
    <n v="1886"/>
    <n v="3558.81"/>
    <n v="3637.59"/>
    <n v="-78.78"/>
    <n v="1.02"/>
    <n v="0.23"/>
    <n v="2868.84"/>
    <x v="2"/>
    <n v="666"/>
    <n v="0.21"/>
    <n v="751.13"/>
    <n v="0.21"/>
    <n v="563.36"/>
    <n v="0.16"/>
    <n v="4"/>
    <n v="1006.25"/>
    <n v="34"/>
    <n v="0"/>
    <n v="321.25"/>
    <n v="2834.57"/>
    <x v="1"/>
    <n v="950.39"/>
    <x v="3"/>
    <x v="0"/>
    <n v="52.9"/>
    <s v="Low"/>
    <n v="0"/>
    <n v="0"/>
  </r>
  <r>
    <x v="49"/>
    <x v="47"/>
    <n v="1737"/>
    <n v="2651.03"/>
    <n v="2755.19"/>
    <n v="-104.16"/>
    <n v="1.04"/>
    <n v="0.37"/>
    <n v="3017.2"/>
    <x v="1"/>
    <n v="702"/>
    <n v="0.13"/>
    <n v="612.44000000000005"/>
    <n v="0.23"/>
    <n v="380.8"/>
    <n v="0.14000000000000001"/>
    <n v="2"/>
    <n v="739.54"/>
    <n v="67"/>
    <n v="0"/>
    <n v="953.53"/>
    <n v="1631.6"/>
    <x v="1"/>
    <n v="1249.3399999999999"/>
    <x v="6"/>
    <x v="0"/>
    <n v="15.3"/>
    <s v="High"/>
    <n v="0"/>
    <n v="0"/>
  </r>
  <r>
    <x v="49"/>
    <x v="47"/>
    <n v="1224"/>
    <n v="2223.4"/>
    <n v="4052.87"/>
    <n v="-1829.47"/>
    <n v="1.82"/>
    <n v="0.24"/>
    <n v="1666.71"/>
    <x v="1"/>
    <n v="748"/>
    <n v="0.23"/>
    <n v="302.07"/>
    <n v="0.14000000000000001"/>
    <n v="125.3"/>
    <n v="0.06"/>
    <n v="7"/>
    <n v="0"/>
    <n v="27"/>
    <n v="0"/>
    <n v="462.78"/>
    <n v="2958.2"/>
    <x v="0"/>
    <n v="885.91"/>
    <x v="4"/>
    <x v="0"/>
    <n v="49.7"/>
    <s v="Low"/>
    <n v="0"/>
    <n v="0"/>
  </r>
  <r>
    <x v="49"/>
    <x v="47"/>
    <n v="1221"/>
    <n v="3299.78"/>
    <n v="3499.48"/>
    <n v="-199.7"/>
    <n v="1.06"/>
    <n v="0.27"/>
    <n v="3246.7"/>
    <x v="0"/>
    <n v="693"/>
    <n v="0.3"/>
    <n v="428.05"/>
    <n v="0.13"/>
    <n v="0"/>
    <n v="0"/>
    <n v="1"/>
    <n v="1253.8699999999999"/>
    <n v="28"/>
    <n v="0"/>
    <n v="530.65"/>
    <n v="2714.9"/>
    <x v="1"/>
    <n v="1964.7"/>
    <x v="8"/>
    <x v="0"/>
    <n v="95.2"/>
    <s v="Low"/>
    <n v="0"/>
    <n v="0"/>
  </r>
  <r>
    <x v="49"/>
    <x v="47"/>
    <n v="1260"/>
    <n v="3710.47"/>
    <n v="3382.21"/>
    <n v="328.26"/>
    <n v="0.91"/>
    <n v="0.28999999999999998"/>
    <n v="2221.0500000000002"/>
    <x v="0"/>
    <n v="676"/>
    <n v="0.4"/>
    <n v="458.11"/>
    <n v="0.12"/>
    <n v="461.35"/>
    <n v="0.12"/>
    <n v="5"/>
    <n v="998.14"/>
    <n v="31"/>
    <n v="0"/>
    <n v="668.39"/>
    <n v="1000"/>
    <x v="1"/>
    <n v="638.79"/>
    <x v="8"/>
    <x v="0"/>
    <n v="82.3"/>
    <s v="High"/>
    <n v="328.26"/>
    <n v="0"/>
  </r>
  <r>
    <x v="49"/>
    <x v="47"/>
    <n v="1378"/>
    <n v="4781.6400000000003"/>
    <n v="5030.97"/>
    <n v="-249.33"/>
    <n v="1.05"/>
    <n v="0.3"/>
    <n v="3117.82"/>
    <x v="1"/>
    <n v="715"/>
    <n v="0.11"/>
    <n v="435.78"/>
    <n v="0.09"/>
    <n v="81.400000000000006"/>
    <n v="0.02"/>
    <n v="7"/>
    <n v="690.1"/>
    <n v="59"/>
    <n v="0"/>
    <n v="668.84"/>
    <n v="2504.0700000000002"/>
    <x v="1"/>
    <n v="1622.36"/>
    <x v="6"/>
    <x v="1"/>
    <n v="19.5"/>
    <s v="High"/>
    <n v="0"/>
    <n v="0"/>
  </r>
  <r>
    <x v="49"/>
    <x v="47"/>
    <n v="1044"/>
    <n v="4501.42"/>
    <n v="2668.71"/>
    <n v="1832.71"/>
    <n v="0.59"/>
    <n v="0.28999999999999998"/>
    <n v="2276.92"/>
    <x v="2"/>
    <n v="716"/>
    <n v="0.25"/>
    <n v="707.37"/>
    <n v="0.16"/>
    <n v="221.72"/>
    <n v="0.05"/>
    <n v="6"/>
    <n v="1765.13"/>
    <n v="67"/>
    <n v="0"/>
    <n v="525.57000000000005"/>
    <n v="2174.65"/>
    <x v="2"/>
    <n v="934.37"/>
    <x v="4"/>
    <x v="2"/>
    <n v="11.9"/>
    <s v="Medium"/>
    <n v="1832.71"/>
    <n v="0"/>
  </r>
  <r>
    <x v="50"/>
    <x v="48"/>
    <n v="1368"/>
    <n v="3393.56"/>
    <n v="3409.64"/>
    <n v="-16.079999999999998"/>
    <n v="1"/>
    <n v="0.4"/>
    <n v="3043.73"/>
    <x v="1"/>
    <n v="614"/>
    <n v="0.19"/>
    <n v="415.4"/>
    <n v="0.12"/>
    <n v="249.76"/>
    <n v="7.0000000000000007E-2"/>
    <n v="4"/>
    <n v="1264.5999999999999"/>
    <n v="96"/>
    <n v="0"/>
    <n v="626.21"/>
    <n v="3048.68"/>
    <x v="2"/>
    <n v="920.01"/>
    <x v="5"/>
    <x v="1"/>
    <n v="41.1"/>
    <s v="Low"/>
    <n v="0"/>
    <n v="0"/>
  </r>
  <r>
    <x v="50"/>
    <x v="48"/>
    <n v="1214"/>
    <n v="3365.37"/>
    <n v="4409.87"/>
    <n v="-1044.5"/>
    <n v="1.31"/>
    <n v="0.28000000000000003"/>
    <n v="2178.54"/>
    <x v="1"/>
    <n v="683"/>
    <n v="0.22"/>
    <n v="626.78"/>
    <n v="0.19"/>
    <n v="706.14"/>
    <n v="0.21"/>
    <n v="7"/>
    <n v="1014.1"/>
    <n v="54"/>
    <n v="0"/>
    <n v="315.23"/>
    <n v="2725.96"/>
    <x v="2"/>
    <n v="1455.59"/>
    <x v="9"/>
    <x v="2"/>
    <n v="52.2"/>
    <s v="Low"/>
    <n v="0"/>
    <n v="0"/>
  </r>
  <r>
    <x v="50"/>
    <x v="48"/>
    <n v="1845"/>
    <n v="3384.49"/>
    <n v="3124.1"/>
    <n v="260.39"/>
    <n v="0.92"/>
    <n v="0.08"/>
    <n v="2997.07"/>
    <x v="1"/>
    <n v="611"/>
    <n v="0.19"/>
    <n v="297.27999999999997"/>
    <n v="0.09"/>
    <n v="279.95"/>
    <n v="0.08"/>
    <n v="3"/>
    <n v="625.08000000000004"/>
    <n v="66"/>
    <n v="1"/>
    <n v="525.95000000000005"/>
    <n v="1865.02"/>
    <x v="1"/>
    <n v="1226.57"/>
    <x v="3"/>
    <x v="2"/>
    <n v="36.4"/>
    <s v="Low"/>
    <n v="260.39"/>
    <n v="0"/>
  </r>
  <r>
    <x v="50"/>
    <x v="48"/>
    <n v="1026"/>
    <n v="4517.63"/>
    <n v="2694.5"/>
    <n v="1823.13"/>
    <n v="0.6"/>
    <n v="0.2"/>
    <n v="2979.15"/>
    <x v="2"/>
    <n v="648"/>
    <n v="0.59"/>
    <n v="752.08"/>
    <n v="0.17"/>
    <n v="592.76"/>
    <n v="0.13"/>
    <n v="7"/>
    <n v="88.41"/>
    <n v="95"/>
    <n v="0"/>
    <n v="680.79"/>
    <n v="1599.26"/>
    <x v="1"/>
    <n v="540.69000000000005"/>
    <x v="3"/>
    <x v="0"/>
    <n v="30.3"/>
    <s v="Low"/>
    <n v="1823.13"/>
    <n v="0"/>
  </r>
  <r>
    <x v="50"/>
    <x v="48"/>
    <n v="1192"/>
    <n v="4343.46"/>
    <n v="3503.16"/>
    <n v="840.3"/>
    <n v="0.81"/>
    <n v="0.28000000000000003"/>
    <n v="2243.33"/>
    <x v="1"/>
    <n v="699"/>
    <n v="0.55000000000000004"/>
    <n v="641.11"/>
    <n v="0.15"/>
    <n v="850.99"/>
    <n v="0.2"/>
    <n v="3"/>
    <n v="344.29"/>
    <n v="70"/>
    <n v="0"/>
    <n v="749.1"/>
    <n v="2624.58"/>
    <x v="1"/>
    <n v="1627.27"/>
    <x v="0"/>
    <x v="2"/>
    <n v="96.6"/>
    <s v="Medium"/>
    <n v="840.3"/>
    <n v="0"/>
  </r>
  <r>
    <x v="50"/>
    <x v="48"/>
    <n v="1134"/>
    <n v="3501.21"/>
    <n v="4399.76"/>
    <n v="-898.55"/>
    <n v="1.26"/>
    <n v="0.28999999999999998"/>
    <n v="2832.87"/>
    <x v="0"/>
    <n v="724"/>
    <n v="0.19"/>
    <n v="568.29999999999995"/>
    <n v="0.16"/>
    <n v="0"/>
    <n v="0"/>
    <n v="8"/>
    <n v="1413.48"/>
    <n v="87"/>
    <n v="0"/>
    <n v="645.79"/>
    <n v="2467.31"/>
    <x v="1"/>
    <n v="1431.49"/>
    <x v="4"/>
    <x v="1"/>
    <n v="79.099999999999994"/>
    <s v="Medium"/>
    <n v="0"/>
    <n v="0"/>
  </r>
  <r>
    <x v="50"/>
    <x v="48"/>
    <n v="1209"/>
    <n v="2672.05"/>
    <n v="3614.9"/>
    <n v="-942.85"/>
    <n v="1.35"/>
    <n v="0.35"/>
    <n v="2327.6799999999998"/>
    <x v="1"/>
    <n v="623"/>
    <n v="0.25"/>
    <n v="446.73"/>
    <n v="0.17"/>
    <n v="3.07"/>
    <n v="0"/>
    <n v="5"/>
    <n v="1736.19"/>
    <n v="86"/>
    <n v="0"/>
    <n v="408.37"/>
    <n v="2467.85"/>
    <x v="1"/>
    <n v="1399.77"/>
    <x v="1"/>
    <x v="0"/>
    <n v="50"/>
    <s v="Medium"/>
    <n v="0"/>
    <n v="0"/>
  </r>
  <r>
    <x v="50"/>
    <x v="48"/>
    <n v="1416"/>
    <n v="2543"/>
    <n v="2195.33"/>
    <n v="347.67"/>
    <n v="0.86"/>
    <n v="0.27"/>
    <n v="2712.94"/>
    <x v="0"/>
    <n v="655"/>
    <n v="0.51"/>
    <n v="263.08999999999997"/>
    <n v="0.1"/>
    <n v="384.93"/>
    <n v="0.15"/>
    <n v="4"/>
    <n v="1070.6300000000001"/>
    <n v="98"/>
    <n v="0"/>
    <n v="601.16"/>
    <n v="1955.68"/>
    <x v="1"/>
    <n v="1461.54"/>
    <x v="1"/>
    <x v="1"/>
    <n v="2.6"/>
    <s v="Low"/>
    <n v="347.67"/>
    <n v="0"/>
  </r>
  <r>
    <x v="50"/>
    <x v="48"/>
    <n v="1003"/>
    <n v="4031.86"/>
    <n v="2988.7"/>
    <n v="1043.1600000000001"/>
    <n v="0.74"/>
    <n v="0.38"/>
    <n v="2297.4"/>
    <x v="0"/>
    <n v="724"/>
    <n v="0.47"/>
    <n v="841.49"/>
    <n v="0.21"/>
    <n v="361.1"/>
    <n v="0.09"/>
    <n v="6"/>
    <n v="1267.3800000000001"/>
    <n v="48"/>
    <n v="0"/>
    <n v="452.69"/>
    <n v="2539.89"/>
    <x v="0"/>
    <n v="1670.69"/>
    <x v="1"/>
    <x v="0"/>
    <n v="51.7"/>
    <s v="Low"/>
    <n v="1043.1600000000001"/>
    <n v="0"/>
  </r>
  <r>
    <x v="50"/>
    <x v="48"/>
    <n v="1906"/>
    <n v="4413.76"/>
    <n v="2904.68"/>
    <n v="1509.08"/>
    <n v="0.66"/>
    <n v="0.2"/>
    <n v="3752.35"/>
    <x v="1"/>
    <n v="684"/>
    <n v="0.37"/>
    <n v="484.13"/>
    <n v="0.11"/>
    <n v="37.07"/>
    <n v="0.01"/>
    <n v="3"/>
    <n v="456.7"/>
    <n v="64"/>
    <n v="0"/>
    <n v="182.29"/>
    <n v="2332.14"/>
    <x v="1"/>
    <n v="561.08000000000004"/>
    <x v="6"/>
    <x v="0"/>
    <n v="6.5"/>
    <s v="Medium"/>
    <n v="1509.08"/>
    <n v="0"/>
  </r>
  <r>
    <x v="50"/>
    <x v="48"/>
    <n v="1643"/>
    <n v="3932.59"/>
    <n v="2636.22"/>
    <n v="1296.3699999999999"/>
    <n v="0.67"/>
    <n v="0.23"/>
    <n v="2747.25"/>
    <x v="0"/>
    <n v="768"/>
    <n v="0.57999999999999996"/>
    <n v="226.21"/>
    <n v="0.06"/>
    <n v="0"/>
    <n v="0"/>
    <n v="7"/>
    <n v="1349.69"/>
    <n v="46"/>
    <n v="0"/>
    <n v="311.75"/>
    <n v="1811.79"/>
    <x v="2"/>
    <n v="1135.94"/>
    <x v="8"/>
    <x v="0"/>
    <n v="13.9"/>
    <s v="Low"/>
    <n v="1296.3699999999999"/>
    <n v="0"/>
  </r>
  <r>
    <x v="50"/>
    <x v="48"/>
    <n v="1039"/>
    <n v="4274.42"/>
    <n v="2488.3200000000002"/>
    <n v="1786.1"/>
    <n v="0.57999999999999996"/>
    <n v="0.14000000000000001"/>
    <n v="3345.62"/>
    <x v="1"/>
    <n v="545"/>
    <n v="0.57999999999999996"/>
    <n v="373.1"/>
    <n v="0.09"/>
    <n v="320.55"/>
    <n v="7.0000000000000007E-2"/>
    <n v="7"/>
    <n v="1143.49"/>
    <n v="92"/>
    <n v="0"/>
    <n v="888.8"/>
    <n v="2699.16"/>
    <x v="1"/>
    <n v="645.61"/>
    <x v="5"/>
    <x v="0"/>
    <n v="0.3"/>
    <s v="High"/>
    <n v="1786.1"/>
    <n v="0"/>
  </r>
  <r>
    <x v="50"/>
    <x v="48"/>
    <n v="1153"/>
    <n v="4090.67"/>
    <n v="2894.02"/>
    <n v="1196.6500000000001"/>
    <n v="0.71"/>
    <n v="0.34"/>
    <n v="2781.05"/>
    <x v="2"/>
    <n v="706"/>
    <n v="0.49"/>
    <n v="469.22"/>
    <n v="0.11"/>
    <n v="362.57"/>
    <n v="0.09"/>
    <n v="5"/>
    <n v="1927.09"/>
    <n v="26"/>
    <n v="0"/>
    <n v="310.06"/>
    <n v="2675.79"/>
    <x v="1"/>
    <n v="1659.98"/>
    <x v="1"/>
    <x v="0"/>
    <n v="17.2"/>
    <s v="High"/>
    <n v="1196.6500000000001"/>
    <n v="0"/>
  </r>
  <r>
    <x v="50"/>
    <x v="48"/>
    <n v="1893"/>
    <n v="4700.7"/>
    <n v="2729.88"/>
    <n v="1970.82"/>
    <n v="0.57999999999999996"/>
    <n v="0.15"/>
    <n v="1580.11"/>
    <x v="0"/>
    <n v="706"/>
    <n v="0.49"/>
    <n v="130.68"/>
    <n v="0.03"/>
    <n v="821.31"/>
    <n v="0.17"/>
    <n v="4"/>
    <n v="355.97"/>
    <n v="89"/>
    <n v="0"/>
    <n v="303.31"/>
    <n v="2025.05"/>
    <x v="0"/>
    <n v="1666.02"/>
    <x v="4"/>
    <x v="2"/>
    <n v="51.6"/>
    <s v="Low"/>
    <n v="1970.82"/>
    <n v="1"/>
  </r>
  <r>
    <x v="50"/>
    <x v="48"/>
    <n v="1165"/>
    <n v="4130.8"/>
    <n v="3446.5"/>
    <n v="684.3"/>
    <n v="0.83"/>
    <n v="0.25"/>
    <n v="3385.99"/>
    <x v="0"/>
    <n v="734"/>
    <n v="0.49"/>
    <n v="496.29"/>
    <n v="0.12"/>
    <n v="0"/>
    <n v="0"/>
    <n v="2"/>
    <n v="1092.1500000000001"/>
    <n v="47"/>
    <n v="0"/>
    <n v="610.35"/>
    <n v="1434.69"/>
    <x v="0"/>
    <n v="925.43"/>
    <x v="6"/>
    <x v="0"/>
    <n v="32.6"/>
    <s v="Medium"/>
    <n v="684.3"/>
    <n v="0"/>
  </r>
  <r>
    <x v="50"/>
    <x v="48"/>
    <n v="1978"/>
    <n v="2840.37"/>
    <n v="2709.15"/>
    <n v="131.22"/>
    <n v="0.95"/>
    <n v="0.26"/>
    <n v="2871.77"/>
    <x v="1"/>
    <n v="697"/>
    <n v="0.26"/>
    <n v="433.33"/>
    <n v="0.15"/>
    <n v="442.68"/>
    <n v="0.16"/>
    <n v="4"/>
    <n v="791.6"/>
    <n v="60"/>
    <n v="0"/>
    <n v="601.37"/>
    <n v="1823.14"/>
    <x v="1"/>
    <n v="300"/>
    <x v="3"/>
    <x v="0"/>
    <n v="52.6"/>
    <s v="Low"/>
    <n v="131.22"/>
    <n v="0"/>
  </r>
  <r>
    <x v="50"/>
    <x v="48"/>
    <n v="1534"/>
    <n v="3066.2"/>
    <n v="2719.13"/>
    <n v="347.07"/>
    <n v="0.89"/>
    <n v="0.22"/>
    <n v="2107.1"/>
    <x v="1"/>
    <n v="737"/>
    <n v="0.49"/>
    <n v="441.31"/>
    <n v="0.14000000000000001"/>
    <n v="89.63"/>
    <n v="0.03"/>
    <n v="5"/>
    <n v="357.35"/>
    <n v="69"/>
    <n v="0"/>
    <n v="395.3"/>
    <n v="2390.33"/>
    <x v="0"/>
    <n v="877.17"/>
    <x v="4"/>
    <x v="1"/>
    <n v="67.099999999999994"/>
    <s v="Low"/>
    <n v="347.07"/>
    <n v="0"/>
  </r>
  <r>
    <x v="50"/>
    <x v="48"/>
    <n v="1156"/>
    <n v="3337.46"/>
    <n v="3217.08"/>
    <n v="120.38"/>
    <n v="0.96"/>
    <n v="0.11"/>
    <n v="3114.39"/>
    <x v="2"/>
    <n v="655"/>
    <n v="0.11"/>
    <n v="409.77"/>
    <n v="0.12"/>
    <n v="619.21"/>
    <n v="0.19"/>
    <n v="5"/>
    <n v="538.28"/>
    <n v="90"/>
    <n v="0"/>
    <n v="893.65"/>
    <n v="2662.82"/>
    <x v="1"/>
    <n v="704.5"/>
    <x v="8"/>
    <x v="1"/>
    <n v="86.9"/>
    <s v="Medium"/>
    <n v="120.38"/>
    <n v="0"/>
  </r>
  <r>
    <x v="50"/>
    <x v="48"/>
    <n v="1494"/>
    <n v="2663.92"/>
    <n v="4313.45"/>
    <n v="-1649.53"/>
    <n v="1.62"/>
    <n v="0.16"/>
    <n v="2761.14"/>
    <x v="1"/>
    <n v="583"/>
    <n v="0.12"/>
    <n v="687.23"/>
    <n v="0.26"/>
    <n v="78.430000000000007"/>
    <n v="0.03"/>
    <n v="2"/>
    <n v="761.67"/>
    <n v="90"/>
    <n v="0"/>
    <n v="852.41"/>
    <n v="2615.4299999999998"/>
    <x v="1"/>
    <n v="1393.81"/>
    <x v="4"/>
    <x v="1"/>
    <n v="83.3"/>
    <s v="Low"/>
    <n v="0"/>
    <n v="0"/>
  </r>
  <r>
    <x v="50"/>
    <x v="48"/>
    <n v="1213"/>
    <n v="4506.97"/>
    <n v="2815.09"/>
    <n v="1691.88"/>
    <n v="0.62"/>
    <n v="0.21"/>
    <n v="3386.98"/>
    <x v="1"/>
    <n v="710"/>
    <n v="0.38"/>
    <n v="629.09"/>
    <n v="0.14000000000000001"/>
    <n v="122.77"/>
    <n v="0.03"/>
    <n v="4"/>
    <n v="1093.22"/>
    <n v="96"/>
    <n v="0"/>
    <n v="918.27"/>
    <n v="2437.89"/>
    <x v="2"/>
    <n v="1135.24"/>
    <x v="3"/>
    <x v="0"/>
    <n v="92.6"/>
    <s v="Low"/>
    <n v="1691.88"/>
    <n v="0"/>
  </r>
  <r>
    <x v="50"/>
    <x v="48"/>
    <n v="1945"/>
    <n v="5730.31"/>
    <n v="3437.21"/>
    <n v="2293.1"/>
    <n v="0.6"/>
    <n v="0.24"/>
    <n v="2697.35"/>
    <x v="1"/>
    <n v="593"/>
    <n v="0.31"/>
    <n v="850.62"/>
    <n v="0.15"/>
    <n v="240.89"/>
    <n v="0.04"/>
    <n v="4"/>
    <n v="1387.44"/>
    <n v="29"/>
    <n v="0"/>
    <n v="803.36"/>
    <n v="2110.17"/>
    <x v="1"/>
    <n v="788.5"/>
    <x v="4"/>
    <x v="0"/>
    <n v="96.1"/>
    <s v="High"/>
    <n v="2293.1"/>
    <n v="0"/>
  </r>
  <r>
    <x v="50"/>
    <x v="48"/>
    <n v="1746"/>
    <n v="3689.48"/>
    <n v="1854.24"/>
    <n v="1835.24"/>
    <n v="0.5"/>
    <n v="0.17"/>
    <n v="2498.4499999999998"/>
    <x v="1"/>
    <n v="692"/>
    <n v="0.49"/>
    <n v="881.18"/>
    <n v="0.24"/>
    <n v="39.200000000000003"/>
    <n v="0.01"/>
    <n v="1"/>
    <n v="1530.03"/>
    <n v="30"/>
    <n v="0"/>
    <n v="570.88"/>
    <n v="1826.67"/>
    <x v="2"/>
    <n v="1709.34"/>
    <x v="7"/>
    <x v="2"/>
    <n v="27.1"/>
    <s v="Low"/>
    <n v="1835.24"/>
    <n v="0"/>
  </r>
  <r>
    <x v="50"/>
    <x v="48"/>
    <n v="1048"/>
    <n v="4316.9399999999996"/>
    <n v="2404.6"/>
    <n v="1912.34"/>
    <n v="0.56000000000000005"/>
    <n v="0.3"/>
    <n v="2023.14"/>
    <x v="2"/>
    <n v="636"/>
    <n v="0.3"/>
    <n v="537.15"/>
    <n v="0.12"/>
    <n v="345.74"/>
    <n v="0.08"/>
    <n v="1"/>
    <n v="449.23"/>
    <n v="84"/>
    <n v="0"/>
    <n v="438.11"/>
    <n v="1522.12"/>
    <x v="1"/>
    <n v="1013.1"/>
    <x v="4"/>
    <x v="0"/>
    <n v="45.1"/>
    <s v="Low"/>
    <n v="1912.34"/>
    <n v="0"/>
  </r>
  <r>
    <x v="50"/>
    <x v="48"/>
    <n v="1768"/>
    <n v="2639.7"/>
    <n v="1116.79"/>
    <n v="1522.91"/>
    <n v="0.42"/>
    <n v="0.25"/>
    <n v="3016.33"/>
    <x v="0"/>
    <n v="724"/>
    <n v="0.18"/>
    <n v="368.42"/>
    <n v="0.14000000000000001"/>
    <n v="671.49"/>
    <n v="0.25"/>
    <n v="7"/>
    <n v="310.81"/>
    <n v="61"/>
    <n v="0"/>
    <n v="235.87"/>
    <n v="1821.95"/>
    <x v="1"/>
    <n v="1301.22"/>
    <x v="4"/>
    <x v="1"/>
    <n v="16.2"/>
    <s v="Low"/>
    <n v="1522.91"/>
    <n v="0"/>
  </r>
  <r>
    <x v="50"/>
    <x v="48"/>
    <n v="1388"/>
    <n v="5959.45"/>
    <n v="2881.89"/>
    <n v="3077.56"/>
    <n v="0.48"/>
    <n v="0.25"/>
    <n v="3656.96"/>
    <x v="0"/>
    <n v="628"/>
    <n v="0.45"/>
    <n v="496.4"/>
    <n v="0.08"/>
    <n v="126.85"/>
    <n v="0.02"/>
    <n v="6"/>
    <n v="1194.73"/>
    <n v="51"/>
    <n v="0"/>
    <n v="684.76"/>
    <n v="1717.86"/>
    <x v="0"/>
    <n v="965.94"/>
    <x v="8"/>
    <x v="1"/>
    <n v="42"/>
    <s v="Medium"/>
    <n v="3077.56"/>
    <n v="0"/>
  </r>
  <r>
    <x v="50"/>
    <x v="48"/>
    <n v="1428"/>
    <n v="3053.5"/>
    <n v="3055.04"/>
    <n v="-1.54"/>
    <n v="1"/>
    <n v="0.28999999999999998"/>
    <n v="3860.91"/>
    <x v="2"/>
    <n v="675"/>
    <n v="0.13"/>
    <n v="865.53"/>
    <n v="0.28000000000000003"/>
    <n v="938.03"/>
    <n v="0.31"/>
    <n v="2"/>
    <n v="966.04"/>
    <n v="98"/>
    <n v="0"/>
    <n v="69.569999999999993"/>
    <n v="3514.52"/>
    <x v="1"/>
    <n v="1256"/>
    <x v="2"/>
    <x v="1"/>
    <n v="49.7"/>
    <s v="Low"/>
    <n v="0"/>
    <n v="0"/>
  </r>
  <r>
    <x v="50"/>
    <x v="48"/>
    <n v="1551"/>
    <n v="3877.85"/>
    <n v="3525.77"/>
    <n v="352.08"/>
    <n v="0.91"/>
    <n v="0.31"/>
    <n v="2382.5500000000002"/>
    <x v="0"/>
    <n v="738"/>
    <n v="0.57999999999999996"/>
    <n v="575.95000000000005"/>
    <n v="0.15"/>
    <n v="0"/>
    <n v="0"/>
    <n v="9"/>
    <n v="1515.87"/>
    <n v="75"/>
    <n v="0"/>
    <n v="603.99"/>
    <n v="2056.89"/>
    <x v="1"/>
    <n v="1202.74"/>
    <x v="6"/>
    <x v="1"/>
    <n v="75.3"/>
    <s v="Low"/>
    <n v="352.08"/>
    <n v="0"/>
  </r>
  <r>
    <x v="50"/>
    <x v="48"/>
    <n v="1495"/>
    <n v="4443.4399999999996"/>
    <n v="2473.52"/>
    <n v="1969.92"/>
    <n v="0.56000000000000005"/>
    <n v="0.11"/>
    <n v="2736.95"/>
    <x v="1"/>
    <n v="745"/>
    <n v="0.25"/>
    <n v="517.91999999999996"/>
    <n v="0.12"/>
    <n v="250.67"/>
    <n v="0.06"/>
    <n v="1"/>
    <n v="1105.1199999999999"/>
    <n v="46"/>
    <n v="0"/>
    <n v="467.96"/>
    <n v="3215.62"/>
    <x v="0"/>
    <n v="1309.8699999999999"/>
    <x v="5"/>
    <x v="0"/>
    <n v="51"/>
    <s v="Low"/>
    <n v="1969.92"/>
    <n v="0"/>
  </r>
  <r>
    <x v="50"/>
    <x v="48"/>
    <n v="1267"/>
    <n v="5355.14"/>
    <n v="3941.51"/>
    <n v="1413.63"/>
    <n v="0.74"/>
    <n v="0.19"/>
    <n v="2383.42"/>
    <x v="0"/>
    <n v="617"/>
    <n v="0.53"/>
    <n v="569.28"/>
    <n v="0.11"/>
    <n v="186.87"/>
    <n v="0.03"/>
    <n v="1"/>
    <n v="953.52"/>
    <n v="27"/>
    <n v="0"/>
    <n v="311.56"/>
    <n v="2267.19"/>
    <x v="1"/>
    <n v="1172.0899999999999"/>
    <x v="3"/>
    <x v="1"/>
    <n v="17.399999999999999"/>
    <s v="Low"/>
    <n v="1413.63"/>
    <n v="0"/>
  </r>
  <r>
    <x v="50"/>
    <x v="48"/>
    <n v="1349"/>
    <n v="4223.84"/>
    <n v="2744.66"/>
    <n v="1479.18"/>
    <n v="0.65"/>
    <n v="0.33"/>
    <n v="3794.28"/>
    <x v="1"/>
    <n v="663"/>
    <n v="0.28000000000000003"/>
    <n v="300.12"/>
    <n v="7.0000000000000007E-2"/>
    <n v="560.42999999999995"/>
    <n v="0.13"/>
    <n v="6"/>
    <n v="774.4"/>
    <n v="25"/>
    <n v="0"/>
    <n v="290.58999999999997"/>
    <n v="2450.63"/>
    <x v="0"/>
    <n v="1194.29"/>
    <x v="6"/>
    <x v="0"/>
    <n v="21.8"/>
    <s v="Medium"/>
    <n v="1479.18"/>
    <n v="0"/>
  </r>
  <r>
    <x v="50"/>
    <x v="48"/>
    <n v="1992"/>
    <n v="5121.67"/>
    <n v="2289.38"/>
    <n v="2832.29"/>
    <n v="0.45"/>
    <n v="0.22"/>
    <n v="2152.84"/>
    <x v="0"/>
    <n v="619"/>
    <n v="0.55000000000000004"/>
    <n v="601.15"/>
    <n v="0.12"/>
    <n v="257.01"/>
    <n v="0.05"/>
    <n v="4"/>
    <n v="1111.54"/>
    <n v="82"/>
    <n v="0"/>
    <n v="621.54999999999995"/>
    <n v="1861.58"/>
    <x v="1"/>
    <n v="1201.7"/>
    <x v="4"/>
    <x v="0"/>
    <n v="91.7"/>
    <s v="Low"/>
    <n v="2832.29"/>
    <n v="1"/>
  </r>
  <r>
    <x v="50"/>
    <x v="48"/>
    <n v="1101"/>
    <n v="3990.26"/>
    <n v="3417.6"/>
    <n v="572.66"/>
    <n v="0.86"/>
    <n v="0.28999999999999998"/>
    <n v="2366.65"/>
    <x v="1"/>
    <n v="729"/>
    <n v="0.48"/>
    <n v="750.97"/>
    <n v="0.19"/>
    <n v="32.31"/>
    <n v="0.01"/>
    <n v="6"/>
    <n v="884.79"/>
    <n v="35"/>
    <n v="0"/>
    <n v="645.85"/>
    <n v="1000"/>
    <x v="1"/>
    <n v="1462.86"/>
    <x v="1"/>
    <x v="2"/>
    <n v="97.9"/>
    <s v="Low"/>
    <n v="572.66"/>
    <n v="0"/>
  </r>
  <r>
    <x v="50"/>
    <x v="48"/>
    <n v="1207"/>
    <n v="4227.92"/>
    <n v="3598.62"/>
    <n v="629.29999999999995"/>
    <n v="0.85"/>
    <n v="0.26"/>
    <n v="3124.86"/>
    <x v="0"/>
    <n v="663"/>
    <n v="0.45"/>
    <n v="508.15"/>
    <n v="0.12"/>
    <n v="137.85"/>
    <n v="0.03"/>
    <n v="1"/>
    <n v="44.07"/>
    <n v="23"/>
    <n v="0"/>
    <n v="342.23"/>
    <n v="2495.0700000000002"/>
    <x v="1"/>
    <n v="1443.93"/>
    <x v="6"/>
    <x v="0"/>
    <n v="51.5"/>
    <s v="Medium"/>
    <n v="629.29999999999995"/>
    <n v="0"/>
  </r>
  <r>
    <x v="50"/>
    <x v="48"/>
    <n v="1599"/>
    <n v="3499.44"/>
    <n v="2556.23"/>
    <n v="943.21"/>
    <n v="0.73"/>
    <n v="0.2"/>
    <n v="3279.54"/>
    <x v="1"/>
    <n v="742"/>
    <n v="0.51"/>
    <n v="556.04"/>
    <n v="0.16"/>
    <n v="398.46"/>
    <n v="0.11"/>
    <n v="9"/>
    <n v="484.9"/>
    <n v="89"/>
    <n v="0"/>
    <n v="387.72"/>
    <n v="2905.27"/>
    <x v="1"/>
    <n v="1167.49"/>
    <x v="4"/>
    <x v="0"/>
    <n v="14.2"/>
    <s v="High"/>
    <n v="943.21"/>
    <n v="0"/>
  </r>
  <r>
    <x v="50"/>
    <x v="48"/>
    <n v="1606"/>
    <n v="4088.02"/>
    <n v="2301.65"/>
    <n v="1786.37"/>
    <n v="0.56000000000000005"/>
    <n v="0.25"/>
    <n v="3198.78"/>
    <x v="2"/>
    <n v="714"/>
    <n v="0.11"/>
    <n v="508.04"/>
    <n v="0.12"/>
    <n v="438.73"/>
    <n v="0.11"/>
    <n v="2"/>
    <n v="1835.38"/>
    <n v="98"/>
    <n v="0"/>
    <n v="502.41"/>
    <n v="2165.85"/>
    <x v="1"/>
    <n v="1806.6"/>
    <x v="5"/>
    <x v="0"/>
    <n v="82.8"/>
    <s v="Medium"/>
    <n v="1786.37"/>
    <n v="0"/>
  </r>
  <r>
    <x v="50"/>
    <x v="48"/>
    <n v="1652"/>
    <n v="3652.14"/>
    <n v="3576.35"/>
    <n v="75.790000000000006"/>
    <n v="0.98"/>
    <n v="0.37"/>
    <n v="2269.9"/>
    <x v="1"/>
    <n v="684"/>
    <n v="0.52"/>
    <n v="534.07000000000005"/>
    <n v="0.15"/>
    <n v="607.91999999999996"/>
    <n v="0.17"/>
    <n v="1"/>
    <n v="554.87"/>
    <n v="45"/>
    <n v="0"/>
    <n v="792.86"/>
    <n v="3244.5"/>
    <x v="1"/>
    <n v="952.61"/>
    <x v="9"/>
    <x v="0"/>
    <n v="63.1"/>
    <s v="Medium"/>
    <n v="75.790000000000006"/>
    <n v="0"/>
  </r>
  <r>
    <x v="50"/>
    <x v="48"/>
    <n v="1459"/>
    <n v="4061.25"/>
    <n v="4247.8100000000004"/>
    <n v="-186.56"/>
    <n v="1.05"/>
    <n v="0.38"/>
    <n v="3379.84"/>
    <x v="0"/>
    <n v="673"/>
    <n v="0.46"/>
    <n v="554.54999999999995"/>
    <n v="0.14000000000000001"/>
    <n v="345.47"/>
    <n v="0.09"/>
    <n v="3"/>
    <n v="177.22"/>
    <n v="94"/>
    <n v="0"/>
    <n v="375.48"/>
    <n v="2866.68"/>
    <x v="1"/>
    <n v="490.45"/>
    <x v="5"/>
    <x v="0"/>
    <n v="68.7"/>
    <s v="Low"/>
    <n v="0"/>
    <n v="0"/>
  </r>
  <r>
    <x v="50"/>
    <x v="48"/>
    <n v="1296"/>
    <n v="3498.12"/>
    <n v="2721.36"/>
    <n v="776.76"/>
    <n v="0.78"/>
    <n v="0.16"/>
    <n v="3446.86"/>
    <x v="2"/>
    <n v="745"/>
    <n v="0.44"/>
    <n v="793.11"/>
    <n v="0.23"/>
    <n v="424.08"/>
    <n v="0.12"/>
    <n v="5"/>
    <n v="975.63"/>
    <n v="86"/>
    <n v="0"/>
    <n v="641.96"/>
    <n v="2528.08"/>
    <x v="1"/>
    <n v="1303.82"/>
    <x v="2"/>
    <x v="0"/>
    <n v="63.1"/>
    <s v="Low"/>
    <n v="776.76"/>
    <n v="0"/>
  </r>
  <r>
    <x v="50"/>
    <x v="48"/>
    <n v="1488"/>
    <n v="4522.9399999999996"/>
    <n v="3201.18"/>
    <n v="1321.76"/>
    <n v="0.71"/>
    <n v="0.34"/>
    <n v="2109.84"/>
    <x v="1"/>
    <n v="716"/>
    <n v="0.56999999999999995"/>
    <n v="726.36"/>
    <n v="0.16"/>
    <n v="393.16"/>
    <n v="0.09"/>
    <n v="7"/>
    <n v="1469.32"/>
    <n v="33"/>
    <n v="0"/>
    <n v="612.70000000000005"/>
    <n v="1953.95"/>
    <x v="1"/>
    <n v="1226.24"/>
    <x v="7"/>
    <x v="0"/>
    <n v="58.6"/>
    <s v="Low"/>
    <n v="1321.76"/>
    <n v="0"/>
  </r>
  <r>
    <x v="50"/>
    <x v="48"/>
    <n v="1465"/>
    <n v="4164.6000000000004"/>
    <n v="3162.5"/>
    <n v="1002.1"/>
    <n v="0.76"/>
    <n v="0.27"/>
    <n v="1969.59"/>
    <x v="1"/>
    <n v="771"/>
    <n v="0.56000000000000005"/>
    <n v="407.26"/>
    <n v="0.1"/>
    <n v="578.75"/>
    <n v="0.14000000000000001"/>
    <n v="2"/>
    <n v="349.99"/>
    <n v="68"/>
    <n v="0"/>
    <n v="377.36"/>
    <n v="3212.89"/>
    <x v="1"/>
    <n v="367.31"/>
    <x v="4"/>
    <x v="2"/>
    <n v="50.6"/>
    <s v="Low"/>
    <n v="1002.1"/>
    <n v="0"/>
  </r>
  <r>
    <x v="50"/>
    <x v="48"/>
    <n v="1875"/>
    <n v="3083.29"/>
    <n v="1030.32"/>
    <n v="2052.9699999999998"/>
    <n v="0.33"/>
    <n v="0.3"/>
    <n v="2081.86"/>
    <x v="0"/>
    <n v="703"/>
    <n v="0.48"/>
    <n v="29.32"/>
    <n v="0.01"/>
    <n v="206.94"/>
    <n v="7.0000000000000007E-2"/>
    <n v="2"/>
    <n v="1646.81"/>
    <n v="28"/>
    <n v="0"/>
    <n v="380.16"/>
    <n v="1930.69"/>
    <x v="1"/>
    <n v="876.66"/>
    <x v="1"/>
    <x v="0"/>
    <n v="94.4"/>
    <s v="Medium"/>
    <n v="2052.9699999999998"/>
    <n v="0"/>
  </r>
  <r>
    <x v="50"/>
    <x v="48"/>
    <n v="1075"/>
    <n v="4692.43"/>
    <n v="3028.96"/>
    <n v="1663.47"/>
    <n v="0.65"/>
    <n v="0.32"/>
    <n v="3522.17"/>
    <x v="2"/>
    <n v="744"/>
    <n v="0.47"/>
    <n v="897.37"/>
    <n v="0.19"/>
    <n v="52.22"/>
    <n v="0.01"/>
    <n v="9"/>
    <n v="1449.24"/>
    <n v="59"/>
    <n v="0"/>
    <n v="389.68"/>
    <n v="2521.52"/>
    <x v="1"/>
    <n v="1811.31"/>
    <x v="9"/>
    <x v="1"/>
    <n v="72.900000000000006"/>
    <s v="Medium"/>
    <n v="1663.47"/>
    <n v="0"/>
  </r>
  <r>
    <x v="50"/>
    <x v="48"/>
    <n v="1637"/>
    <n v="3612.34"/>
    <n v="3638.4"/>
    <n v="-26.06"/>
    <n v="1.01"/>
    <n v="0.18"/>
    <n v="2382.27"/>
    <x v="0"/>
    <n v="770"/>
    <n v="0.32"/>
    <n v="430.79"/>
    <n v="0.12"/>
    <n v="610.12"/>
    <n v="0.17"/>
    <n v="5"/>
    <n v="705.17"/>
    <n v="69"/>
    <n v="0"/>
    <n v="508"/>
    <n v="1471.98"/>
    <x v="0"/>
    <n v="593.5"/>
    <x v="6"/>
    <x v="2"/>
    <n v="72.400000000000006"/>
    <s v="Low"/>
    <n v="0"/>
    <n v="0"/>
  </r>
  <r>
    <x v="50"/>
    <x v="48"/>
    <n v="1824"/>
    <n v="4633.24"/>
    <n v="3468.96"/>
    <n v="1164.28"/>
    <n v="0.75"/>
    <n v="0.19"/>
    <n v="3173"/>
    <x v="1"/>
    <n v="686"/>
    <n v="0.45"/>
    <n v="500.51"/>
    <n v="0.11"/>
    <n v="392.36"/>
    <n v="0.08"/>
    <n v="8"/>
    <n v="214.48"/>
    <n v="25"/>
    <n v="0"/>
    <n v="292.74"/>
    <n v="2400.2199999999998"/>
    <x v="1"/>
    <n v="1283.99"/>
    <x v="6"/>
    <x v="0"/>
    <n v="20.7"/>
    <s v="Low"/>
    <n v="1164.28"/>
    <n v="0"/>
  </r>
  <r>
    <x v="50"/>
    <x v="48"/>
    <n v="1754"/>
    <n v="4400.66"/>
    <n v="3384.67"/>
    <n v="1015.99"/>
    <n v="0.77"/>
    <n v="0.12"/>
    <n v="2831.23"/>
    <x v="1"/>
    <n v="631"/>
    <n v="0.41"/>
    <n v="343.2"/>
    <n v="0.08"/>
    <n v="297.95"/>
    <n v="7.0000000000000007E-2"/>
    <n v="7"/>
    <n v="1448.24"/>
    <n v="63"/>
    <n v="0"/>
    <n v="217.4"/>
    <n v="2504.75"/>
    <x v="1"/>
    <n v="738.7"/>
    <x v="1"/>
    <x v="0"/>
    <n v="46.3"/>
    <s v="Low"/>
    <n v="1015.99"/>
    <n v="0"/>
  </r>
  <r>
    <x v="50"/>
    <x v="48"/>
    <n v="1525"/>
    <n v="3317.96"/>
    <n v="2244.96"/>
    <n v="1073"/>
    <n v="0.68"/>
    <n v="0.16"/>
    <n v="2676.84"/>
    <x v="1"/>
    <n v="676"/>
    <n v="0.28999999999999998"/>
    <n v="564.75"/>
    <n v="0.17"/>
    <n v="240.94"/>
    <n v="7.0000000000000007E-2"/>
    <n v="9"/>
    <n v="616.13"/>
    <n v="87"/>
    <n v="0"/>
    <n v="771.54"/>
    <n v="1482.21"/>
    <x v="1"/>
    <n v="675.18"/>
    <x v="3"/>
    <x v="0"/>
    <n v="17.5"/>
    <s v="High"/>
    <n v="1073"/>
    <n v="0"/>
  </r>
  <r>
    <x v="50"/>
    <x v="48"/>
    <n v="1297"/>
    <n v="4091.62"/>
    <n v="3365.25"/>
    <n v="726.37"/>
    <n v="0.82"/>
    <n v="0.06"/>
    <n v="2451.36"/>
    <x v="2"/>
    <n v="681"/>
    <n v="0.41"/>
    <n v="390.24"/>
    <n v="0.1"/>
    <n v="17.75"/>
    <n v="0"/>
    <n v="2"/>
    <n v="904.48"/>
    <n v="30"/>
    <n v="0"/>
    <n v="533.97"/>
    <n v="2025.72"/>
    <x v="0"/>
    <n v="1106.8800000000001"/>
    <x v="2"/>
    <x v="2"/>
    <n v="35.200000000000003"/>
    <s v="High"/>
    <n v="726.37"/>
    <n v="0"/>
  </r>
  <r>
    <x v="50"/>
    <x v="48"/>
    <n v="1783"/>
    <n v="4493.7"/>
    <n v="3541.55"/>
    <n v="952.15"/>
    <n v="0.79"/>
    <n v="0.23"/>
    <n v="3067.35"/>
    <x v="1"/>
    <n v="688"/>
    <n v="0.13"/>
    <n v="468.64"/>
    <n v="0.1"/>
    <n v="424.69"/>
    <n v="0.09"/>
    <n v="9"/>
    <n v="1027.44"/>
    <n v="27"/>
    <n v="0"/>
    <n v="448.09"/>
    <n v="2408.5"/>
    <x v="1"/>
    <n v="654.83000000000004"/>
    <x v="4"/>
    <x v="0"/>
    <n v="13.6"/>
    <s v="Low"/>
    <n v="952.15"/>
    <n v="0"/>
  </r>
  <r>
    <x v="50"/>
    <x v="48"/>
    <n v="1303"/>
    <n v="1794.54"/>
    <n v="2157.2600000000002"/>
    <n v="-362.72"/>
    <n v="1.2"/>
    <n v="0.28999999999999998"/>
    <n v="2882.37"/>
    <x v="1"/>
    <n v="731"/>
    <n v="0.55000000000000004"/>
    <n v="773.54"/>
    <n v="0.43"/>
    <n v="79.930000000000007"/>
    <n v="0.04"/>
    <n v="9"/>
    <n v="1547.32"/>
    <n v="86"/>
    <n v="0"/>
    <n v="612.85"/>
    <n v="2219.94"/>
    <x v="1"/>
    <n v="2382.0500000000002"/>
    <x v="4"/>
    <x v="2"/>
    <n v="2.5"/>
    <s v="Medium"/>
    <n v="0"/>
    <n v="0"/>
  </r>
  <r>
    <x v="50"/>
    <x v="48"/>
    <n v="1046"/>
    <n v="5713.73"/>
    <n v="2937.3"/>
    <n v="2776.43"/>
    <n v="0.51"/>
    <n v="0.1"/>
    <n v="2445.77"/>
    <x v="0"/>
    <n v="571"/>
    <n v="0.43"/>
    <n v="425.91"/>
    <n v="7.0000000000000007E-2"/>
    <n v="537.91"/>
    <n v="0.09"/>
    <n v="7"/>
    <n v="899.39"/>
    <n v="44"/>
    <n v="0"/>
    <n v="178.65"/>
    <n v="1000"/>
    <x v="1"/>
    <n v="2037.21"/>
    <x v="0"/>
    <x v="0"/>
    <n v="89"/>
    <s v="Medium"/>
    <n v="2776.43"/>
    <n v="1"/>
  </r>
  <r>
    <x v="51"/>
    <x v="49"/>
    <n v="1443"/>
    <n v="4264.95"/>
    <n v="1818.65"/>
    <n v="2446.3000000000002"/>
    <n v="0.43"/>
    <n v="0.09"/>
    <n v="2964.82"/>
    <x v="1"/>
    <n v="561"/>
    <n v="0.27"/>
    <n v="153.88"/>
    <n v="0.04"/>
    <n v="30.37"/>
    <n v="0.01"/>
    <n v="8"/>
    <n v="1429.66"/>
    <n v="35"/>
    <n v="0"/>
    <n v="466.6"/>
    <n v="3184.95"/>
    <x v="1"/>
    <n v="1485.3"/>
    <x v="9"/>
    <x v="2"/>
    <n v="27.8"/>
    <s v="Medium"/>
    <n v="2446.3000000000002"/>
    <n v="0"/>
  </r>
  <r>
    <x v="51"/>
    <x v="49"/>
    <n v="1128"/>
    <n v="4797.9799999999996"/>
    <n v="3844.56"/>
    <n v="953.42"/>
    <n v="0.8"/>
    <n v="0.3"/>
    <n v="3441.53"/>
    <x v="1"/>
    <n v="685"/>
    <n v="0.18"/>
    <n v="615.87"/>
    <n v="0.13"/>
    <n v="331.69"/>
    <n v="7.0000000000000007E-2"/>
    <n v="6"/>
    <n v="665.9"/>
    <n v="83"/>
    <n v="0"/>
    <n v="783.88"/>
    <n v="2484.1999999999998"/>
    <x v="1"/>
    <n v="1231.69"/>
    <x v="2"/>
    <x v="0"/>
    <n v="89.1"/>
    <s v="Low"/>
    <n v="953.42"/>
    <n v="0"/>
  </r>
  <r>
    <x v="51"/>
    <x v="49"/>
    <n v="1300"/>
    <n v="2772.8"/>
    <n v="3557.14"/>
    <n v="-784.34"/>
    <n v="1.28"/>
    <n v="0.36"/>
    <n v="3356.31"/>
    <x v="1"/>
    <n v="640"/>
    <n v="0.47"/>
    <n v="363.99"/>
    <n v="0.13"/>
    <n v="420.95"/>
    <n v="0.15"/>
    <n v="7"/>
    <n v="1376.08"/>
    <n v="28"/>
    <n v="0"/>
    <n v="423.83"/>
    <n v="1419.48"/>
    <x v="1"/>
    <n v="1254.4000000000001"/>
    <x v="0"/>
    <x v="0"/>
    <n v="12.9"/>
    <s v="Low"/>
    <n v="0"/>
    <n v="0"/>
  </r>
  <r>
    <x v="51"/>
    <x v="49"/>
    <n v="1329"/>
    <n v="3282.64"/>
    <n v="3340.16"/>
    <n v="-57.52"/>
    <n v="1.02"/>
    <n v="0.15"/>
    <n v="3883.44"/>
    <x v="1"/>
    <n v="737"/>
    <n v="0.6"/>
    <n v="307.81"/>
    <n v="0.09"/>
    <n v="300.92"/>
    <n v="0.09"/>
    <n v="5"/>
    <n v="719.85"/>
    <n v="25"/>
    <n v="0"/>
    <n v="523.37"/>
    <n v="2411.4699999999998"/>
    <x v="1"/>
    <n v="1614.83"/>
    <x v="9"/>
    <x v="0"/>
    <n v="84.7"/>
    <s v="Medium"/>
    <n v="0"/>
    <n v="0"/>
  </r>
  <r>
    <x v="51"/>
    <x v="49"/>
    <n v="1776"/>
    <n v="3214.42"/>
    <n v="3378.15"/>
    <n v="-163.72999999999999"/>
    <n v="1.05"/>
    <n v="0.11"/>
    <n v="2470.65"/>
    <x v="0"/>
    <n v="748"/>
    <n v="0.45"/>
    <n v="577.77"/>
    <n v="0.18"/>
    <n v="161.16999999999999"/>
    <n v="0.05"/>
    <n v="3"/>
    <n v="1091.3599999999999"/>
    <n v="35"/>
    <n v="1"/>
    <n v="525.25"/>
    <n v="2113.39"/>
    <x v="0"/>
    <n v="873.93"/>
    <x v="1"/>
    <x v="2"/>
    <n v="84.8"/>
    <s v="Low"/>
    <n v="0"/>
    <n v="0"/>
  </r>
  <r>
    <x v="51"/>
    <x v="49"/>
    <n v="1121"/>
    <n v="4145.43"/>
    <n v="2592.7399999999998"/>
    <n v="1552.69"/>
    <n v="0.63"/>
    <n v="0.19"/>
    <n v="2467.64"/>
    <x v="0"/>
    <n v="635"/>
    <n v="0.28000000000000003"/>
    <n v="444.85"/>
    <n v="0.11"/>
    <n v="336.49"/>
    <n v="0.08"/>
    <n v="7"/>
    <n v="1062.42"/>
    <n v="78"/>
    <n v="0"/>
    <n v="190.05"/>
    <n v="1709.29"/>
    <x v="1"/>
    <n v="300"/>
    <x v="1"/>
    <x v="2"/>
    <n v="83.2"/>
    <s v="Low"/>
    <n v="1552.69"/>
    <n v="0"/>
  </r>
  <r>
    <x v="51"/>
    <x v="49"/>
    <n v="1176"/>
    <n v="2968.03"/>
    <n v="2454.77"/>
    <n v="513.26"/>
    <n v="0.83"/>
    <n v="0.1"/>
    <n v="2936.19"/>
    <x v="1"/>
    <n v="653"/>
    <n v="0.49"/>
    <n v="524.08000000000004"/>
    <n v="0.18"/>
    <n v="492.8"/>
    <n v="0.17"/>
    <n v="5"/>
    <n v="0"/>
    <n v="75"/>
    <n v="0"/>
    <n v="549.79"/>
    <n v="2341.66"/>
    <x v="0"/>
    <n v="1464.48"/>
    <x v="5"/>
    <x v="1"/>
    <n v="60.5"/>
    <s v="High"/>
    <n v="513.26"/>
    <n v="0"/>
  </r>
  <r>
    <x v="51"/>
    <x v="49"/>
    <n v="1331"/>
    <n v="4780.41"/>
    <n v="3678.12"/>
    <n v="1102.29"/>
    <n v="0.77"/>
    <n v="0.4"/>
    <n v="3063.31"/>
    <x v="1"/>
    <n v="651"/>
    <n v="0.11"/>
    <n v="400.64"/>
    <n v="0.08"/>
    <n v="773.7"/>
    <n v="0.16"/>
    <n v="1"/>
    <n v="1502.69"/>
    <n v="58"/>
    <n v="0"/>
    <n v="149.29"/>
    <n v="2805.74"/>
    <x v="1"/>
    <n v="886.67"/>
    <x v="7"/>
    <x v="0"/>
    <n v="23.6"/>
    <s v="High"/>
    <n v="1102.29"/>
    <n v="0"/>
  </r>
  <r>
    <x v="51"/>
    <x v="49"/>
    <n v="1666"/>
    <n v="4800.99"/>
    <n v="3518.49"/>
    <n v="1282.5"/>
    <n v="0.73"/>
    <n v="0.32"/>
    <n v="2657.7"/>
    <x v="1"/>
    <n v="724"/>
    <n v="0.33"/>
    <n v="506.87"/>
    <n v="0.11"/>
    <n v="522.94000000000005"/>
    <n v="0.11"/>
    <n v="1"/>
    <n v="819.72"/>
    <n v="67"/>
    <n v="0"/>
    <n v="727.52"/>
    <n v="2434.4699999999998"/>
    <x v="1"/>
    <n v="1435.2"/>
    <x v="7"/>
    <x v="0"/>
    <n v="0.3"/>
    <s v="Medium"/>
    <n v="1282.5"/>
    <n v="0"/>
  </r>
  <r>
    <x v="51"/>
    <x v="49"/>
    <n v="1754"/>
    <n v="3111.42"/>
    <n v="2461.65"/>
    <n v="649.77"/>
    <n v="0.79"/>
    <n v="0.1"/>
    <n v="3154.35"/>
    <x v="1"/>
    <n v="671"/>
    <n v="0.56999999999999995"/>
    <n v="552.91"/>
    <n v="0.18"/>
    <n v="399.7"/>
    <n v="0.13"/>
    <n v="3"/>
    <n v="1434.6"/>
    <n v="31"/>
    <n v="0"/>
    <n v="680.23"/>
    <n v="2031.14"/>
    <x v="1"/>
    <n v="1154.6300000000001"/>
    <x v="8"/>
    <x v="0"/>
    <n v="45.9"/>
    <s v="Medium"/>
    <n v="649.77"/>
    <n v="0"/>
  </r>
  <r>
    <x v="51"/>
    <x v="49"/>
    <n v="1428"/>
    <n v="2212.12"/>
    <n v="2869.52"/>
    <n v="-657.4"/>
    <n v="1.3"/>
    <n v="0.19"/>
    <n v="2128.04"/>
    <x v="0"/>
    <n v="648"/>
    <n v="0.35"/>
    <n v="522.04"/>
    <n v="0.24"/>
    <n v="351.64"/>
    <n v="0.16"/>
    <n v="6"/>
    <n v="1270.42"/>
    <n v="36"/>
    <n v="0"/>
    <n v="620.52"/>
    <n v="2492.2199999999998"/>
    <x v="1"/>
    <n v="1145.58"/>
    <x v="9"/>
    <x v="1"/>
    <n v="91.9"/>
    <s v="Medium"/>
    <n v="0"/>
    <n v="0"/>
  </r>
  <r>
    <x v="51"/>
    <x v="49"/>
    <n v="1782"/>
    <n v="2718.7"/>
    <n v="3333.79"/>
    <n v="-615.09"/>
    <n v="1.23"/>
    <n v="0.21"/>
    <n v="3635.04"/>
    <x v="1"/>
    <n v="708"/>
    <n v="0.38"/>
    <n v="867.41"/>
    <n v="0.32"/>
    <n v="606.57000000000005"/>
    <n v="0.22"/>
    <n v="4"/>
    <n v="819.28"/>
    <n v="23"/>
    <n v="0"/>
    <n v="121.73"/>
    <n v="3399.29"/>
    <x v="0"/>
    <n v="1578.59"/>
    <x v="7"/>
    <x v="1"/>
    <n v="19.8"/>
    <s v="High"/>
    <n v="0"/>
    <n v="0"/>
  </r>
  <r>
    <x v="51"/>
    <x v="49"/>
    <n v="1495"/>
    <n v="4902.38"/>
    <n v="2061.59"/>
    <n v="2840.79"/>
    <n v="0.42"/>
    <n v="0.33"/>
    <n v="2456.2199999999998"/>
    <x v="1"/>
    <n v="670"/>
    <n v="0.18"/>
    <n v="764.97"/>
    <n v="0.16"/>
    <n v="778.64"/>
    <n v="0.16"/>
    <n v="3"/>
    <n v="144.86000000000001"/>
    <n v="20"/>
    <n v="0"/>
    <n v="284.91000000000003"/>
    <n v="3094.83"/>
    <x v="0"/>
    <n v="1657.5"/>
    <x v="9"/>
    <x v="1"/>
    <n v="27.2"/>
    <s v="Medium"/>
    <n v="2840.79"/>
    <n v="1"/>
  </r>
  <r>
    <x v="51"/>
    <x v="49"/>
    <n v="1357"/>
    <n v="3687.5"/>
    <n v="4385.3599999999997"/>
    <n v="-697.86"/>
    <n v="1.19"/>
    <n v="0.25"/>
    <n v="3160.27"/>
    <x v="2"/>
    <n v="642"/>
    <n v="0.34"/>
    <n v="566.28"/>
    <n v="0.15"/>
    <n v="72.11"/>
    <n v="0.02"/>
    <n v="8"/>
    <n v="1370.12"/>
    <n v="79"/>
    <n v="0"/>
    <n v="386.97"/>
    <n v="2649.46"/>
    <x v="1"/>
    <n v="1568.05"/>
    <x v="1"/>
    <x v="0"/>
    <n v="62.4"/>
    <s v="Low"/>
    <n v="0"/>
    <n v="0"/>
  </r>
  <r>
    <x v="51"/>
    <x v="49"/>
    <n v="1944"/>
    <n v="5428.34"/>
    <n v="2846.96"/>
    <n v="2581.38"/>
    <n v="0.52"/>
    <n v="0.28999999999999998"/>
    <n v="3623.76"/>
    <x v="0"/>
    <n v="647"/>
    <n v="0.35"/>
    <n v="250.59"/>
    <n v="0.05"/>
    <n v="290.18"/>
    <n v="0.05"/>
    <n v="9"/>
    <n v="592.38"/>
    <n v="61"/>
    <n v="0"/>
    <n v="354.18"/>
    <n v="3864.58"/>
    <x v="1"/>
    <n v="1708.13"/>
    <x v="5"/>
    <x v="0"/>
    <n v="76.7"/>
    <s v="Low"/>
    <n v="2581.38"/>
    <n v="0"/>
  </r>
  <r>
    <x v="51"/>
    <x v="49"/>
    <n v="1157"/>
    <n v="3233.77"/>
    <n v="1646.82"/>
    <n v="1586.95"/>
    <n v="0.51"/>
    <n v="0.17"/>
    <n v="2648.6"/>
    <x v="0"/>
    <n v="705"/>
    <n v="0.22"/>
    <n v="878.54"/>
    <n v="0.27"/>
    <n v="154.61000000000001"/>
    <n v="0.05"/>
    <n v="1"/>
    <n v="0"/>
    <n v="22"/>
    <n v="0"/>
    <n v="431.99"/>
    <n v="2880.62"/>
    <x v="2"/>
    <n v="750.21"/>
    <x v="5"/>
    <x v="1"/>
    <n v="74.8"/>
    <s v="Medium"/>
    <n v="1586.95"/>
    <n v="0"/>
  </r>
  <r>
    <x v="51"/>
    <x v="49"/>
    <n v="1238"/>
    <n v="5312.24"/>
    <n v="3109.78"/>
    <n v="2202.46"/>
    <n v="0.59"/>
    <n v="0.06"/>
    <n v="2554.91"/>
    <x v="0"/>
    <n v="741"/>
    <n v="0.6"/>
    <n v="326.68"/>
    <n v="0.06"/>
    <n v="326.3"/>
    <n v="0.06"/>
    <n v="9"/>
    <n v="1320.11"/>
    <n v="58"/>
    <n v="0"/>
    <n v="684.86"/>
    <n v="2557.7800000000002"/>
    <x v="1"/>
    <n v="1004.41"/>
    <x v="9"/>
    <x v="2"/>
    <n v="70.900000000000006"/>
    <s v="High"/>
    <n v="2202.46"/>
    <n v="0"/>
  </r>
  <r>
    <x v="51"/>
    <x v="49"/>
    <n v="1490"/>
    <n v="4633.3900000000003"/>
    <n v="2550.73"/>
    <n v="2082.66"/>
    <n v="0.55000000000000004"/>
    <n v="0.4"/>
    <n v="2841.49"/>
    <x v="1"/>
    <n v="658"/>
    <n v="0.45"/>
    <n v="712.69"/>
    <n v="0.15"/>
    <n v="338.74"/>
    <n v="7.0000000000000007E-2"/>
    <n v="4"/>
    <n v="798.63"/>
    <n v="37"/>
    <n v="0"/>
    <n v="844.85"/>
    <n v="1887.72"/>
    <x v="1"/>
    <n v="1721.65"/>
    <x v="9"/>
    <x v="0"/>
    <n v="85"/>
    <s v="Low"/>
    <n v="2082.66"/>
    <n v="0"/>
  </r>
  <r>
    <x v="51"/>
    <x v="49"/>
    <n v="1987"/>
    <n v="4800.0600000000004"/>
    <n v="1963.21"/>
    <n v="2836.85"/>
    <n v="0.41"/>
    <n v="0.18"/>
    <n v="2162.12"/>
    <x v="2"/>
    <n v="687"/>
    <n v="0.4"/>
    <n v="718.61"/>
    <n v="0.15"/>
    <n v="379.88"/>
    <n v="0.08"/>
    <n v="9"/>
    <n v="1871.68"/>
    <n v="34"/>
    <n v="0"/>
    <n v="666.42"/>
    <n v="2345.66"/>
    <x v="1"/>
    <n v="1529.69"/>
    <x v="1"/>
    <x v="0"/>
    <n v="98.3"/>
    <s v="Low"/>
    <n v="2836.85"/>
    <n v="1"/>
  </r>
  <r>
    <x v="51"/>
    <x v="49"/>
    <n v="1304"/>
    <n v="4174.95"/>
    <n v="3191.07"/>
    <n v="983.88"/>
    <n v="0.76"/>
    <n v="0.2"/>
    <n v="2580.12"/>
    <x v="1"/>
    <n v="635"/>
    <n v="0.46"/>
    <n v="376.82"/>
    <n v="0.09"/>
    <n v="387.09"/>
    <n v="0.09"/>
    <n v="6"/>
    <n v="1081.32"/>
    <n v="95"/>
    <n v="0"/>
    <n v="493"/>
    <n v="2892.7"/>
    <x v="2"/>
    <n v="887.72"/>
    <x v="4"/>
    <x v="0"/>
    <n v="50.6"/>
    <s v="Medium"/>
    <n v="983.88"/>
    <n v="0"/>
  </r>
  <r>
    <x v="51"/>
    <x v="49"/>
    <n v="1481"/>
    <n v="4295.32"/>
    <n v="3401.28"/>
    <n v="894.04"/>
    <n v="0.79"/>
    <n v="0.21"/>
    <n v="2518.62"/>
    <x v="1"/>
    <n v="748"/>
    <n v="0.53"/>
    <n v="485.04"/>
    <n v="0.11"/>
    <n v="970.95"/>
    <n v="0.23"/>
    <n v="6"/>
    <n v="1725.13"/>
    <n v="54"/>
    <n v="0"/>
    <n v="284.27999999999997"/>
    <n v="2830.87"/>
    <x v="2"/>
    <n v="1066.23"/>
    <x v="3"/>
    <x v="2"/>
    <n v="80.8"/>
    <s v="Medium"/>
    <n v="894.04"/>
    <n v="0"/>
  </r>
  <r>
    <x v="51"/>
    <x v="49"/>
    <n v="1092"/>
    <n v="4016.66"/>
    <n v="2798.32"/>
    <n v="1218.3399999999999"/>
    <n v="0.7"/>
    <n v="0.23"/>
    <n v="2812.22"/>
    <x v="1"/>
    <n v="738"/>
    <n v="0.19"/>
    <n v="687.45"/>
    <n v="0.17"/>
    <n v="518.16"/>
    <n v="0.13"/>
    <n v="2"/>
    <n v="0"/>
    <n v="46"/>
    <n v="0"/>
    <n v="632.63"/>
    <n v="1340.23"/>
    <x v="1"/>
    <n v="1597.87"/>
    <x v="2"/>
    <x v="1"/>
    <n v="78.400000000000006"/>
    <s v="High"/>
    <n v="1218.3399999999999"/>
    <n v="0"/>
  </r>
  <r>
    <x v="51"/>
    <x v="49"/>
    <n v="1087"/>
    <n v="4386.95"/>
    <n v="3176.59"/>
    <n v="1210.3599999999999"/>
    <n v="0.72"/>
    <n v="0.13"/>
    <n v="2304.3000000000002"/>
    <x v="0"/>
    <n v="601"/>
    <n v="0.31"/>
    <n v="40.630000000000003"/>
    <n v="0.01"/>
    <n v="626.57000000000005"/>
    <n v="0.14000000000000001"/>
    <n v="3"/>
    <n v="1470.85"/>
    <n v="62"/>
    <n v="0"/>
    <n v="851.41"/>
    <n v="2679.71"/>
    <x v="0"/>
    <n v="778.69"/>
    <x v="6"/>
    <x v="1"/>
    <n v="92.4"/>
    <s v="Medium"/>
    <n v="1210.3599999999999"/>
    <n v="0"/>
  </r>
  <r>
    <x v="51"/>
    <x v="49"/>
    <n v="1113"/>
    <n v="4309.59"/>
    <n v="3037.69"/>
    <n v="1271.9000000000001"/>
    <n v="0.7"/>
    <n v="0.36"/>
    <n v="2164.2399999999998"/>
    <x v="2"/>
    <n v="738"/>
    <n v="0.12"/>
    <n v="538.70000000000005"/>
    <n v="0.13"/>
    <n v="1069.28"/>
    <n v="0.25"/>
    <n v="3"/>
    <n v="1312.39"/>
    <n v="58"/>
    <n v="0"/>
    <n v="811.17"/>
    <n v="2009.16"/>
    <x v="1"/>
    <n v="910.32"/>
    <x v="2"/>
    <x v="0"/>
    <n v="29.5"/>
    <s v="Medium"/>
    <n v="1271.9000000000001"/>
    <n v="0"/>
  </r>
  <r>
    <x v="51"/>
    <x v="49"/>
    <n v="1353"/>
    <n v="6076.12"/>
    <n v="3879.48"/>
    <n v="2196.64"/>
    <n v="0.64"/>
    <n v="0.31"/>
    <n v="2970.84"/>
    <x v="1"/>
    <n v="732"/>
    <n v="0.22"/>
    <n v="498.1"/>
    <n v="0.08"/>
    <n v="300.89999999999998"/>
    <n v="0.05"/>
    <n v="3"/>
    <n v="1275.1500000000001"/>
    <n v="82"/>
    <n v="0"/>
    <n v="392.15"/>
    <n v="2101.56"/>
    <x v="1"/>
    <n v="1154.83"/>
    <x v="4"/>
    <x v="1"/>
    <n v="13"/>
    <s v="Low"/>
    <n v="2196.64"/>
    <n v="0"/>
  </r>
  <r>
    <x v="51"/>
    <x v="49"/>
    <n v="1266"/>
    <n v="4921.78"/>
    <n v="2417.36"/>
    <n v="2504.42"/>
    <n v="0.49"/>
    <n v="0.12"/>
    <n v="2767.36"/>
    <x v="2"/>
    <n v="684"/>
    <n v="0.39"/>
    <n v="510.84"/>
    <n v="0.1"/>
    <n v="204.06"/>
    <n v="0.04"/>
    <n v="6"/>
    <n v="519.09"/>
    <n v="99"/>
    <n v="0"/>
    <n v="352.17"/>
    <n v="2599.17"/>
    <x v="1"/>
    <n v="1894.87"/>
    <x v="8"/>
    <x v="0"/>
    <n v="27.6"/>
    <s v="Medium"/>
    <n v="2504.42"/>
    <n v="0"/>
  </r>
  <r>
    <x v="51"/>
    <x v="49"/>
    <n v="1540"/>
    <n v="1569.56"/>
    <n v="2793.71"/>
    <n v="-1224.1500000000001"/>
    <n v="1.78"/>
    <n v="0.21"/>
    <n v="3603.11"/>
    <x v="1"/>
    <n v="642"/>
    <n v="0.13"/>
    <n v="718.77"/>
    <n v="0.46"/>
    <n v="595.35"/>
    <n v="0.38"/>
    <n v="2"/>
    <n v="773.68"/>
    <n v="31"/>
    <n v="0"/>
    <n v="372.71"/>
    <n v="2317.02"/>
    <x v="1"/>
    <n v="1540.51"/>
    <x v="0"/>
    <x v="2"/>
    <n v="45.4"/>
    <s v="Low"/>
    <n v="0"/>
    <n v="0"/>
  </r>
  <r>
    <x v="51"/>
    <x v="49"/>
    <n v="1631"/>
    <n v="3368.23"/>
    <n v="1973.33"/>
    <n v="1394.9"/>
    <n v="0.59"/>
    <n v="0.37"/>
    <n v="3275.73"/>
    <x v="0"/>
    <n v="687"/>
    <n v="0.32"/>
    <n v="601.02"/>
    <n v="0.18"/>
    <n v="430.47"/>
    <n v="0.13"/>
    <n v="6"/>
    <n v="564.42999999999995"/>
    <n v="84"/>
    <n v="0"/>
    <n v="588.08000000000004"/>
    <n v="2288.13"/>
    <x v="1"/>
    <n v="727.86"/>
    <x v="5"/>
    <x v="0"/>
    <n v="51.3"/>
    <s v="Low"/>
    <n v="1394.9"/>
    <n v="0"/>
  </r>
  <r>
    <x v="51"/>
    <x v="49"/>
    <n v="1355"/>
    <n v="3672.37"/>
    <n v="2695.32"/>
    <n v="977.05"/>
    <n v="0.73"/>
    <n v="0.32"/>
    <n v="2128.41"/>
    <x v="1"/>
    <n v="676"/>
    <n v="0.49"/>
    <n v="602.53"/>
    <n v="0.16"/>
    <n v="765.09"/>
    <n v="0.21"/>
    <n v="4"/>
    <n v="720.51"/>
    <n v="61"/>
    <n v="0"/>
    <n v="550.74"/>
    <n v="1000"/>
    <x v="1"/>
    <n v="1653.78"/>
    <x v="4"/>
    <x v="0"/>
    <n v="5.8"/>
    <s v="Medium"/>
    <n v="977.05"/>
    <n v="0"/>
  </r>
  <r>
    <x v="51"/>
    <x v="49"/>
    <n v="1420"/>
    <n v="3415.3"/>
    <n v="4704.47"/>
    <n v="-1289.17"/>
    <n v="1.38"/>
    <n v="0.37"/>
    <n v="2505.83"/>
    <x v="1"/>
    <n v="623"/>
    <n v="0.37"/>
    <n v="369.4"/>
    <n v="0.11"/>
    <n v="201.78"/>
    <n v="0.06"/>
    <n v="7"/>
    <n v="1271.04"/>
    <n v="87"/>
    <n v="0"/>
    <n v="435.12"/>
    <n v="1906.64"/>
    <x v="0"/>
    <n v="1671.98"/>
    <x v="3"/>
    <x v="2"/>
    <n v="77.5"/>
    <s v="Medium"/>
    <n v="0"/>
    <n v="0"/>
  </r>
  <r>
    <x v="51"/>
    <x v="49"/>
    <n v="1314"/>
    <n v="3214.75"/>
    <n v="2125.73"/>
    <n v="1089.02"/>
    <n v="0.66"/>
    <n v="0.3"/>
    <n v="2138.63"/>
    <x v="1"/>
    <n v="722"/>
    <n v="0.33"/>
    <n v="454.97"/>
    <n v="0.14000000000000001"/>
    <n v="222.94"/>
    <n v="7.0000000000000007E-2"/>
    <n v="3"/>
    <n v="1320.38"/>
    <n v="66"/>
    <n v="0"/>
    <n v="352.64"/>
    <n v="2105.87"/>
    <x v="1"/>
    <n v="1353.34"/>
    <x v="4"/>
    <x v="1"/>
    <n v="19.600000000000001"/>
    <s v="Low"/>
    <n v="1089.02"/>
    <n v="0"/>
  </r>
  <r>
    <x v="51"/>
    <x v="49"/>
    <n v="1539"/>
    <n v="3284.09"/>
    <n v="4333.5"/>
    <n v="-1049.4100000000001"/>
    <n v="1.32"/>
    <n v="0.28000000000000003"/>
    <n v="3483.4"/>
    <x v="1"/>
    <n v="736"/>
    <n v="0.5"/>
    <n v="1097.54"/>
    <n v="0.33"/>
    <n v="0"/>
    <n v="0"/>
    <n v="5"/>
    <n v="872.36"/>
    <n v="71"/>
    <n v="0"/>
    <n v="850.61"/>
    <n v="3370.79"/>
    <x v="1"/>
    <n v="1373.45"/>
    <x v="6"/>
    <x v="2"/>
    <n v="97.3"/>
    <s v="Medium"/>
    <n v="0"/>
    <n v="0"/>
  </r>
  <r>
    <x v="51"/>
    <x v="49"/>
    <n v="1333"/>
    <n v="3838.57"/>
    <n v="3460.7"/>
    <n v="377.87"/>
    <n v="0.9"/>
    <n v="0.24"/>
    <n v="2920.09"/>
    <x v="0"/>
    <n v="694"/>
    <n v="0.24"/>
    <n v="340.26"/>
    <n v="0.09"/>
    <n v="276.33"/>
    <n v="7.0000000000000007E-2"/>
    <n v="1"/>
    <n v="1625.77"/>
    <n v="61"/>
    <n v="0"/>
    <n v="417.09"/>
    <n v="2396.69"/>
    <x v="1"/>
    <n v="896.66"/>
    <x v="7"/>
    <x v="0"/>
    <n v="83.3"/>
    <s v="Low"/>
    <n v="377.87"/>
    <n v="0"/>
  </r>
  <r>
    <x v="51"/>
    <x v="49"/>
    <n v="1699"/>
    <n v="3933.54"/>
    <n v="4137.55"/>
    <n v="-204.01"/>
    <n v="1.05"/>
    <n v="0.34"/>
    <n v="2897.89"/>
    <x v="1"/>
    <n v="737"/>
    <n v="0.53"/>
    <n v="578.16"/>
    <n v="0.15"/>
    <n v="462.6"/>
    <n v="0.12"/>
    <n v="8"/>
    <n v="1247.3"/>
    <n v="32"/>
    <n v="0"/>
    <n v="151.32"/>
    <n v="2959.4"/>
    <x v="1"/>
    <n v="1791.16"/>
    <x v="2"/>
    <x v="0"/>
    <n v="86.2"/>
    <s v="Low"/>
    <n v="0"/>
    <n v="0"/>
  </r>
  <r>
    <x v="51"/>
    <x v="49"/>
    <n v="1810"/>
    <n v="3786.88"/>
    <n v="3061.41"/>
    <n v="725.47"/>
    <n v="0.81"/>
    <n v="0.2"/>
    <n v="3048.01"/>
    <x v="1"/>
    <n v="690"/>
    <n v="0.2"/>
    <n v="119.56"/>
    <n v="0.03"/>
    <n v="0"/>
    <n v="0"/>
    <n v="2"/>
    <n v="1318.28"/>
    <n v="22"/>
    <n v="0"/>
    <n v="630.46"/>
    <n v="1810.46"/>
    <x v="2"/>
    <n v="805.53"/>
    <x v="3"/>
    <x v="0"/>
    <n v="48.1"/>
    <s v="Low"/>
    <n v="725.47"/>
    <n v="0"/>
  </r>
  <r>
    <x v="51"/>
    <x v="49"/>
    <n v="1184"/>
    <n v="5359.27"/>
    <n v="3210.15"/>
    <n v="2149.12"/>
    <n v="0.6"/>
    <n v="0.16"/>
    <n v="2102.2199999999998"/>
    <x v="1"/>
    <n v="716"/>
    <n v="0.49"/>
    <n v="429.9"/>
    <n v="0.08"/>
    <n v="979.22"/>
    <n v="0.18"/>
    <n v="8"/>
    <n v="866.25"/>
    <n v="56"/>
    <n v="0"/>
    <n v="297.27"/>
    <n v="2032.03"/>
    <x v="0"/>
    <n v="731.04"/>
    <x v="9"/>
    <x v="0"/>
    <n v="100"/>
    <s v="Medium"/>
    <n v="2149.12"/>
    <n v="1"/>
  </r>
  <r>
    <x v="51"/>
    <x v="49"/>
    <n v="1950"/>
    <n v="3617.52"/>
    <n v="2908.4"/>
    <n v="709.12"/>
    <n v="0.8"/>
    <n v="0.17"/>
    <n v="2551.0300000000002"/>
    <x v="0"/>
    <n v="820"/>
    <n v="0.18"/>
    <n v="252.3"/>
    <n v="7.0000000000000007E-2"/>
    <n v="914.62"/>
    <n v="0.25"/>
    <n v="5"/>
    <n v="1280.25"/>
    <n v="62"/>
    <n v="0"/>
    <n v="383.37"/>
    <n v="2203.31"/>
    <x v="1"/>
    <n v="1308.24"/>
    <x v="7"/>
    <x v="0"/>
    <n v="72.900000000000006"/>
    <s v="High"/>
    <n v="709.12"/>
    <n v="0"/>
  </r>
  <r>
    <x v="51"/>
    <x v="49"/>
    <n v="1677"/>
    <n v="4557.22"/>
    <n v="3593.32"/>
    <n v="963.9"/>
    <n v="0.79"/>
    <n v="0.26"/>
    <n v="2136.21"/>
    <x v="1"/>
    <n v="670"/>
    <n v="0.4"/>
    <n v="505.12"/>
    <n v="0.11"/>
    <n v="594.26"/>
    <n v="0.13"/>
    <n v="2"/>
    <n v="241.06"/>
    <n v="45"/>
    <n v="0"/>
    <n v="734.9"/>
    <n v="2254.7199999999998"/>
    <x v="0"/>
    <n v="300"/>
    <x v="7"/>
    <x v="1"/>
    <n v="74.2"/>
    <s v="Medium"/>
    <n v="963.9"/>
    <n v="0"/>
  </r>
  <r>
    <x v="51"/>
    <x v="49"/>
    <n v="1274"/>
    <n v="4340.96"/>
    <n v="1998.13"/>
    <n v="2342.83"/>
    <n v="0.46"/>
    <n v="0.08"/>
    <n v="2824.47"/>
    <x v="1"/>
    <n v="681"/>
    <n v="0.53"/>
    <n v="826.33"/>
    <n v="0.19"/>
    <n v="261.95999999999998"/>
    <n v="0.06"/>
    <n v="3"/>
    <n v="899.64"/>
    <n v="27"/>
    <n v="0"/>
    <n v="644.41999999999996"/>
    <n v="3165.29"/>
    <x v="0"/>
    <n v="1892.79"/>
    <x v="2"/>
    <x v="2"/>
    <n v="66.8"/>
    <s v="High"/>
    <n v="2342.83"/>
    <n v="0"/>
  </r>
  <r>
    <x v="51"/>
    <x v="49"/>
    <n v="1665"/>
    <n v="5103.05"/>
    <n v="2589.94"/>
    <n v="2513.11"/>
    <n v="0.51"/>
    <n v="0.28999999999999998"/>
    <n v="2987.13"/>
    <x v="1"/>
    <n v="718"/>
    <n v="0.19"/>
    <n v="384.96"/>
    <n v="0.08"/>
    <n v="117.39"/>
    <n v="0.02"/>
    <n v="2"/>
    <n v="1936.57"/>
    <n v="75"/>
    <n v="0"/>
    <n v="683.37"/>
    <n v="2902.72"/>
    <x v="0"/>
    <n v="1190.71"/>
    <x v="9"/>
    <x v="1"/>
    <n v="80.2"/>
    <s v="Medium"/>
    <n v="2513.11"/>
    <n v="0"/>
  </r>
  <r>
    <x v="51"/>
    <x v="49"/>
    <n v="1799"/>
    <n v="5198.8500000000004"/>
    <n v="3231.39"/>
    <n v="1967.46"/>
    <n v="0.62"/>
    <n v="0.34"/>
    <n v="3158.46"/>
    <x v="2"/>
    <n v="676"/>
    <n v="0.13"/>
    <n v="468.64"/>
    <n v="0.09"/>
    <n v="395.51"/>
    <n v="0.08"/>
    <n v="1"/>
    <n v="124.2"/>
    <n v="82"/>
    <n v="0"/>
    <n v="339.77"/>
    <n v="1614.93"/>
    <x v="1"/>
    <n v="676.88"/>
    <x v="2"/>
    <x v="2"/>
    <n v="12.8"/>
    <s v="Medium"/>
    <n v="1967.46"/>
    <n v="0"/>
  </r>
  <r>
    <x v="51"/>
    <x v="49"/>
    <n v="1529"/>
    <n v="5458.64"/>
    <n v="1993.64"/>
    <n v="3465"/>
    <n v="0.37"/>
    <n v="0.16"/>
    <n v="2894.65"/>
    <x v="0"/>
    <n v="720"/>
    <n v="0.31"/>
    <n v="425.21"/>
    <n v="0.08"/>
    <n v="392.84"/>
    <n v="7.0000000000000007E-2"/>
    <n v="1"/>
    <n v="483.62"/>
    <n v="74"/>
    <n v="0"/>
    <n v="318.23"/>
    <n v="1644.99"/>
    <x v="2"/>
    <n v="910.63"/>
    <x v="0"/>
    <x v="0"/>
    <n v="76.099999999999994"/>
    <s v="High"/>
    <n v="3465"/>
    <n v="1"/>
  </r>
  <r>
    <x v="51"/>
    <x v="49"/>
    <n v="1208"/>
    <n v="4442.6899999999996"/>
    <n v="2431.42"/>
    <n v="2011.27"/>
    <n v="0.55000000000000004"/>
    <n v="0.26"/>
    <n v="1738.87"/>
    <x v="1"/>
    <n v="642"/>
    <n v="0.22"/>
    <n v="727.5"/>
    <n v="0.16"/>
    <n v="864.53"/>
    <n v="0.19"/>
    <n v="2"/>
    <n v="779.22"/>
    <n v="53"/>
    <n v="0"/>
    <n v="231.65"/>
    <n v="2839.27"/>
    <x v="1"/>
    <n v="1549.64"/>
    <x v="8"/>
    <x v="0"/>
    <n v="13"/>
    <s v="Low"/>
    <n v="2011.27"/>
    <n v="1"/>
  </r>
  <r>
    <x v="51"/>
    <x v="49"/>
    <n v="1753"/>
    <n v="5429.93"/>
    <n v="2853.01"/>
    <n v="2576.92"/>
    <n v="0.53"/>
    <n v="0.19"/>
    <n v="2998.79"/>
    <x v="1"/>
    <n v="672"/>
    <n v="0.39"/>
    <n v="440.22"/>
    <n v="0.08"/>
    <n v="463.15"/>
    <n v="0.09"/>
    <n v="9"/>
    <n v="1278.8499999999999"/>
    <n v="69"/>
    <n v="0"/>
    <n v="712.93"/>
    <n v="2358.33"/>
    <x v="1"/>
    <n v="1280.8499999999999"/>
    <x v="0"/>
    <x v="0"/>
    <n v="23.8"/>
    <s v="Low"/>
    <n v="2576.92"/>
    <n v="0"/>
  </r>
  <r>
    <x v="51"/>
    <x v="49"/>
    <n v="1789"/>
    <n v="5861.05"/>
    <n v="3671.37"/>
    <n v="2189.6799999999998"/>
    <n v="0.63"/>
    <n v="0.21"/>
    <n v="3218.28"/>
    <x v="1"/>
    <n v="737"/>
    <n v="0.28999999999999998"/>
    <n v="547.80999999999995"/>
    <n v="0.09"/>
    <n v="69.819999999999993"/>
    <n v="0.01"/>
    <n v="5"/>
    <n v="1455.41"/>
    <n v="93"/>
    <n v="0"/>
    <n v="318.73"/>
    <n v="2038.63"/>
    <x v="0"/>
    <n v="1907.79"/>
    <x v="2"/>
    <x v="2"/>
    <n v="33.6"/>
    <s v="Medium"/>
    <n v="2189.6799999999998"/>
    <n v="0"/>
  </r>
  <r>
    <x v="51"/>
    <x v="49"/>
    <n v="1803"/>
    <n v="4567.3599999999997"/>
    <n v="1759.78"/>
    <n v="2807.58"/>
    <n v="0.39"/>
    <n v="0.2"/>
    <n v="2890.83"/>
    <x v="1"/>
    <n v="691"/>
    <n v="0.55000000000000004"/>
    <n v="746.58"/>
    <n v="0.16"/>
    <n v="567.41"/>
    <n v="0.12"/>
    <n v="2"/>
    <n v="1021.65"/>
    <n v="86"/>
    <n v="0"/>
    <n v="394.38"/>
    <n v="2986.7"/>
    <x v="1"/>
    <n v="1506.79"/>
    <x v="4"/>
    <x v="0"/>
    <n v="87.4"/>
    <s v="High"/>
    <n v="2807.58"/>
    <n v="0"/>
  </r>
  <r>
    <x v="51"/>
    <x v="49"/>
    <n v="1642"/>
    <n v="4814.8100000000004"/>
    <n v="2795.2"/>
    <n v="2019.61"/>
    <n v="0.57999999999999996"/>
    <n v="0.34"/>
    <n v="2271.9499999999998"/>
    <x v="1"/>
    <n v="769"/>
    <n v="0.43"/>
    <n v="516.65"/>
    <n v="0.11"/>
    <n v="654.73"/>
    <n v="0.14000000000000001"/>
    <n v="8"/>
    <n v="1460.49"/>
    <n v="20"/>
    <n v="0"/>
    <n v="662.24"/>
    <n v="2501.98"/>
    <x v="0"/>
    <n v="1143.9100000000001"/>
    <x v="7"/>
    <x v="1"/>
    <n v="29.3"/>
    <s v="Low"/>
    <n v="2019.61"/>
    <n v="0"/>
  </r>
  <r>
    <x v="51"/>
    <x v="49"/>
    <n v="1714"/>
    <n v="3425.53"/>
    <n v="2319.56"/>
    <n v="1105.97"/>
    <n v="0.68"/>
    <n v="0.11"/>
    <n v="1821.19"/>
    <x v="1"/>
    <n v="662"/>
    <n v="0.21"/>
    <n v="320.81"/>
    <n v="0.09"/>
    <n v="437.86"/>
    <n v="0.13"/>
    <n v="7"/>
    <n v="1549.53"/>
    <n v="44"/>
    <n v="0"/>
    <n v="133.05000000000001"/>
    <n v="2050.9899999999998"/>
    <x v="1"/>
    <n v="1545.01"/>
    <x v="6"/>
    <x v="0"/>
    <n v="13.6"/>
    <s v="Low"/>
    <n v="1105.97"/>
    <n v="0"/>
  </r>
  <r>
    <x v="51"/>
    <x v="49"/>
    <n v="1114"/>
    <n v="4230.3999999999996"/>
    <n v="2549.94"/>
    <n v="1680.46"/>
    <n v="0.6"/>
    <n v="0.11"/>
    <n v="3329.11"/>
    <x v="1"/>
    <n v="663"/>
    <n v="0.34"/>
    <n v="625.97"/>
    <n v="0.15"/>
    <n v="296.01"/>
    <n v="7.0000000000000007E-2"/>
    <n v="3"/>
    <n v="1024.1400000000001"/>
    <n v="81"/>
    <n v="0"/>
    <n v="353.98"/>
    <n v="2086.6"/>
    <x v="2"/>
    <n v="366.11"/>
    <x v="6"/>
    <x v="0"/>
    <n v="93.2"/>
    <s v="Medium"/>
    <n v="1680.46"/>
    <n v="0"/>
  </r>
  <r>
    <x v="51"/>
    <x v="49"/>
    <n v="1113"/>
    <n v="3595.8"/>
    <n v="4349.9399999999996"/>
    <n v="-754.14"/>
    <n v="1.21"/>
    <n v="0.15"/>
    <n v="2894.59"/>
    <x v="0"/>
    <n v="649"/>
    <n v="0.47"/>
    <n v="453.89"/>
    <n v="0.13"/>
    <n v="487.09"/>
    <n v="0.14000000000000001"/>
    <n v="7"/>
    <n v="1012.64"/>
    <n v="45"/>
    <n v="0"/>
    <n v="483.73"/>
    <n v="1739.46"/>
    <x v="1"/>
    <n v="1642.4"/>
    <x v="4"/>
    <x v="0"/>
    <n v="28.9"/>
    <s v="Low"/>
    <n v="0"/>
    <n v="0"/>
  </r>
  <r>
    <x v="52"/>
    <x v="50"/>
    <n v="1506"/>
    <n v="3170.26"/>
    <n v="2214.21"/>
    <n v="956.05"/>
    <n v="0.7"/>
    <n v="0.36"/>
    <n v="2228.4699999999998"/>
    <x v="2"/>
    <n v="661"/>
    <n v="0.28000000000000003"/>
    <n v="306.82"/>
    <n v="0.1"/>
    <n v="466.11"/>
    <n v="0.15"/>
    <n v="2"/>
    <n v="1084.6099999999999"/>
    <n v="40"/>
    <n v="0"/>
    <n v="925.74"/>
    <n v="2129.0300000000002"/>
    <x v="1"/>
    <n v="1027.2"/>
    <x v="4"/>
    <x v="2"/>
    <n v="67.7"/>
    <s v="Medium"/>
    <n v="956.05"/>
    <n v="0"/>
  </r>
  <r>
    <x v="52"/>
    <x v="50"/>
    <n v="1048"/>
    <n v="3940.12"/>
    <n v="3005.82"/>
    <n v="934.3"/>
    <n v="0.76"/>
    <n v="0.28999999999999998"/>
    <n v="2963.31"/>
    <x v="1"/>
    <n v="665"/>
    <n v="0.37"/>
    <n v="376.16"/>
    <n v="0.1"/>
    <n v="231.16"/>
    <n v="0.06"/>
    <n v="6"/>
    <n v="700.32"/>
    <n v="46"/>
    <n v="0"/>
    <n v="347.27"/>
    <n v="2089.5700000000002"/>
    <x v="0"/>
    <n v="2043.99"/>
    <x v="3"/>
    <x v="0"/>
    <n v="54.4"/>
    <s v="Medium"/>
    <n v="934.3"/>
    <n v="0"/>
  </r>
  <r>
    <x v="52"/>
    <x v="50"/>
    <n v="1942"/>
    <n v="3791.64"/>
    <n v="3048.59"/>
    <n v="743.05"/>
    <n v="0.8"/>
    <n v="0.28999999999999998"/>
    <n v="3367.34"/>
    <x v="1"/>
    <n v="665"/>
    <n v="0.12"/>
    <n v="436.53"/>
    <n v="0.12"/>
    <n v="255.32"/>
    <n v="7.0000000000000007E-2"/>
    <n v="1"/>
    <n v="727.69"/>
    <n v="98"/>
    <n v="0"/>
    <n v="492.46"/>
    <n v="2540.5700000000002"/>
    <x v="2"/>
    <n v="1586.13"/>
    <x v="6"/>
    <x v="0"/>
    <n v="55.9"/>
    <s v="Medium"/>
    <n v="743.05"/>
    <n v="0"/>
  </r>
  <r>
    <x v="52"/>
    <x v="50"/>
    <n v="1961"/>
    <n v="5793.84"/>
    <n v="3009.44"/>
    <n v="2784.4"/>
    <n v="0.52"/>
    <n v="0.37"/>
    <n v="2895.1"/>
    <x v="2"/>
    <n v="634"/>
    <n v="0.31"/>
    <n v="89.89"/>
    <n v="0.02"/>
    <n v="588.66"/>
    <n v="0.1"/>
    <n v="8"/>
    <n v="773.82"/>
    <n v="40"/>
    <n v="0"/>
    <n v="516.09"/>
    <n v="1000"/>
    <x v="2"/>
    <n v="300"/>
    <x v="3"/>
    <x v="0"/>
    <n v="44.7"/>
    <s v="High"/>
    <n v="2784.4"/>
    <n v="0"/>
  </r>
  <r>
    <x v="52"/>
    <x v="50"/>
    <n v="1259"/>
    <n v="2872.44"/>
    <n v="2272.67"/>
    <n v="599.77"/>
    <n v="0.79"/>
    <n v="0.35"/>
    <n v="2222.63"/>
    <x v="1"/>
    <n v="680"/>
    <n v="0.49"/>
    <n v="441.3"/>
    <n v="0.15"/>
    <n v="174.67"/>
    <n v="0.06"/>
    <n v="8"/>
    <n v="67.14"/>
    <n v="35"/>
    <n v="0"/>
    <n v="515.89"/>
    <n v="2539.84"/>
    <x v="1"/>
    <n v="2165.2600000000002"/>
    <x v="0"/>
    <x v="0"/>
    <n v="47.5"/>
    <s v="High"/>
    <n v="599.77"/>
    <n v="0"/>
  </r>
  <r>
    <x v="52"/>
    <x v="50"/>
    <n v="1037"/>
    <n v="3421.48"/>
    <n v="3796.62"/>
    <n v="-375.14"/>
    <n v="1.1100000000000001"/>
    <n v="0.05"/>
    <n v="2555.16"/>
    <x v="1"/>
    <n v="715"/>
    <n v="0.57999999999999996"/>
    <n v="427.76"/>
    <n v="0.13"/>
    <n v="615.83000000000004"/>
    <n v="0.18"/>
    <n v="5"/>
    <n v="982.62"/>
    <n v="71"/>
    <n v="0"/>
    <n v="713.98"/>
    <n v="3204.29"/>
    <x v="0"/>
    <n v="1055.8399999999999"/>
    <x v="5"/>
    <x v="2"/>
    <n v="9.3000000000000007"/>
    <s v="High"/>
    <n v="0"/>
    <n v="0"/>
  </r>
  <r>
    <x v="52"/>
    <x v="50"/>
    <n v="1407"/>
    <n v="3190.22"/>
    <n v="4304.22"/>
    <n v="-1114"/>
    <n v="1.35"/>
    <n v="0.18"/>
    <n v="2931.15"/>
    <x v="1"/>
    <n v="639"/>
    <n v="0.11"/>
    <n v="577.94000000000005"/>
    <n v="0.18"/>
    <n v="633.16999999999996"/>
    <n v="0.2"/>
    <n v="8"/>
    <n v="551.86"/>
    <n v="46"/>
    <n v="0"/>
    <n v="287.75"/>
    <n v="2677.86"/>
    <x v="1"/>
    <n v="1380.57"/>
    <x v="8"/>
    <x v="0"/>
    <n v="36.799999999999997"/>
    <s v="High"/>
    <n v="0"/>
    <n v="0"/>
  </r>
  <r>
    <x v="52"/>
    <x v="50"/>
    <n v="1055"/>
    <n v="4315.96"/>
    <n v="4008.46"/>
    <n v="307.5"/>
    <n v="0.93"/>
    <n v="0.25"/>
    <n v="2716.62"/>
    <x v="1"/>
    <n v="649"/>
    <n v="0.42"/>
    <n v="439.01"/>
    <n v="0.1"/>
    <n v="534.82000000000005"/>
    <n v="0.12"/>
    <n v="3"/>
    <n v="657.8"/>
    <n v="36"/>
    <n v="0"/>
    <n v="471.14"/>
    <n v="2941.26"/>
    <x v="1"/>
    <n v="919.48"/>
    <x v="1"/>
    <x v="1"/>
    <n v="43.7"/>
    <s v="Low"/>
    <n v="307.5"/>
    <n v="0"/>
  </r>
  <r>
    <x v="52"/>
    <x v="50"/>
    <n v="1574"/>
    <n v="2948.42"/>
    <n v="3164.4"/>
    <n v="-215.98"/>
    <n v="1.07"/>
    <n v="0.28999999999999998"/>
    <n v="3438.33"/>
    <x v="1"/>
    <n v="660"/>
    <n v="0.53"/>
    <n v="447.89"/>
    <n v="0.15"/>
    <n v="107.23"/>
    <n v="0.04"/>
    <n v="2"/>
    <n v="1794.37"/>
    <n v="96"/>
    <n v="0"/>
    <n v="561.97"/>
    <n v="2711.33"/>
    <x v="1"/>
    <n v="913.2"/>
    <x v="9"/>
    <x v="0"/>
    <n v="85.4"/>
    <s v="Low"/>
    <n v="0"/>
    <n v="0"/>
  </r>
  <r>
    <x v="52"/>
    <x v="50"/>
    <n v="1448"/>
    <n v="2644.59"/>
    <n v="3200.5"/>
    <n v="-555.91"/>
    <n v="1.21"/>
    <n v="0.28000000000000003"/>
    <n v="2069"/>
    <x v="1"/>
    <n v="669"/>
    <n v="0.19"/>
    <n v="372.12"/>
    <n v="0.14000000000000001"/>
    <n v="352.22"/>
    <n v="0.13"/>
    <n v="8"/>
    <n v="808.17"/>
    <n v="20"/>
    <n v="0"/>
    <n v="393.55"/>
    <n v="1994.56"/>
    <x v="0"/>
    <n v="1918.38"/>
    <x v="2"/>
    <x v="0"/>
    <n v="74.099999999999994"/>
    <s v="Low"/>
    <n v="0"/>
    <n v="0"/>
  </r>
  <r>
    <x v="52"/>
    <x v="50"/>
    <n v="1014"/>
    <n v="2414.64"/>
    <n v="2246.85"/>
    <n v="167.79"/>
    <n v="0.93"/>
    <n v="0.38"/>
    <n v="3611.74"/>
    <x v="1"/>
    <n v="789"/>
    <n v="0.27"/>
    <n v="292.08"/>
    <n v="0.12"/>
    <n v="320.72000000000003"/>
    <n v="0.13"/>
    <n v="7"/>
    <n v="1247.25"/>
    <n v="73"/>
    <n v="0"/>
    <n v="617.38"/>
    <n v="2025.78"/>
    <x v="1"/>
    <n v="1459.79"/>
    <x v="7"/>
    <x v="0"/>
    <n v="35.4"/>
    <s v="Low"/>
    <n v="167.79"/>
    <n v="0"/>
  </r>
  <r>
    <x v="52"/>
    <x v="50"/>
    <n v="1262"/>
    <n v="3264.93"/>
    <n v="3252.85"/>
    <n v="12.08"/>
    <n v="1"/>
    <n v="0.16"/>
    <n v="1862.55"/>
    <x v="0"/>
    <n v="600"/>
    <n v="0.45"/>
    <n v="695.42"/>
    <n v="0.21"/>
    <n v="383.75"/>
    <n v="0.12"/>
    <n v="8"/>
    <n v="1171.3900000000001"/>
    <n v="36"/>
    <n v="0"/>
    <n v="217.68"/>
    <n v="2895.48"/>
    <x v="1"/>
    <n v="449.42"/>
    <x v="1"/>
    <x v="0"/>
    <n v="73.8"/>
    <s v="Medium"/>
    <n v="12.08"/>
    <n v="0"/>
  </r>
  <r>
    <x v="52"/>
    <x v="50"/>
    <n v="1597"/>
    <n v="4488.76"/>
    <n v="4040.96"/>
    <n v="447.8"/>
    <n v="0.9"/>
    <n v="0.27"/>
    <n v="2510.6"/>
    <x v="1"/>
    <n v="734"/>
    <n v="0.5"/>
    <n v="649.04999999999995"/>
    <n v="0.14000000000000001"/>
    <n v="498.5"/>
    <n v="0.11"/>
    <n v="8"/>
    <n v="571.16999999999996"/>
    <n v="66"/>
    <n v="1"/>
    <n v="492.93"/>
    <n v="2350.71"/>
    <x v="1"/>
    <n v="1135.49"/>
    <x v="1"/>
    <x v="0"/>
    <n v="39.4"/>
    <s v="Medium"/>
    <n v="447.8"/>
    <n v="0"/>
  </r>
  <r>
    <x v="52"/>
    <x v="50"/>
    <n v="1394"/>
    <n v="4287.57"/>
    <n v="3232.52"/>
    <n v="1055.05"/>
    <n v="0.75"/>
    <n v="0.13"/>
    <n v="2603.38"/>
    <x v="1"/>
    <n v="724"/>
    <n v="0.41"/>
    <n v="449.86"/>
    <n v="0.1"/>
    <n v="271.64999999999998"/>
    <n v="0.06"/>
    <n v="1"/>
    <n v="526.75"/>
    <n v="56"/>
    <n v="0"/>
    <n v="292.89"/>
    <n v="1486"/>
    <x v="0"/>
    <n v="657.98"/>
    <x v="8"/>
    <x v="1"/>
    <n v="84.7"/>
    <s v="Low"/>
    <n v="1055.05"/>
    <n v="0"/>
  </r>
  <r>
    <x v="52"/>
    <x v="50"/>
    <n v="1928"/>
    <n v="3061.36"/>
    <n v="3685.67"/>
    <n v="-624.30999999999995"/>
    <n v="1.2"/>
    <n v="0.24"/>
    <n v="4184.0200000000004"/>
    <x v="1"/>
    <n v="751"/>
    <n v="0.57999999999999996"/>
    <n v="256.39999999999998"/>
    <n v="0.08"/>
    <n v="760.52"/>
    <n v="0.25"/>
    <n v="4"/>
    <n v="1314.26"/>
    <n v="56"/>
    <n v="0"/>
    <n v="775.92"/>
    <n v="1251.51"/>
    <x v="1"/>
    <n v="950.11"/>
    <x v="7"/>
    <x v="0"/>
    <n v="57.9"/>
    <s v="Medium"/>
    <n v="0"/>
    <n v="0"/>
  </r>
  <r>
    <x v="52"/>
    <x v="50"/>
    <n v="1860"/>
    <n v="2036.57"/>
    <n v="4559.6099999999997"/>
    <n v="-2523.04"/>
    <n v="2.2400000000000002"/>
    <n v="0.23"/>
    <n v="1731.82"/>
    <x v="1"/>
    <n v="675"/>
    <n v="0.22"/>
    <n v="526.46"/>
    <n v="0.26"/>
    <n v="717.87"/>
    <n v="0.35"/>
    <n v="3"/>
    <n v="452.75"/>
    <n v="93"/>
    <n v="0"/>
    <n v="512.92999999999995"/>
    <n v="2579.4899999999998"/>
    <x v="1"/>
    <n v="890.27"/>
    <x v="6"/>
    <x v="0"/>
    <n v="77"/>
    <s v="Low"/>
    <n v="0"/>
    <n v="0"/>
  </r>
  <r>
    <x v="52"/>
    <x v="50"/>
    <n v="1325"/>
    <n v="4883.87"/>
    <n v="3204.05"/>
    <n v="1679.82"/>
    <n v="0.66"/>
    <n v="0.28000000000000003"/>
    <n v="3024.87"/>
    <x v="1"/>
    <n v="585"/>
    <n v="0.42"/>
    <n v="666.53"/>
    <n v="0.14000000000000001"/>
    <n v="559.91"/>
    <n v="0.11"/>
    <n v="9"/>
    <n v="862.09"/>
    <n v="83"/>
    <n v="0"/>
    <n v="404.56"/>
    <n v="2188.9299999999998"/>
    <x v="1"/>
    <n v="1934.89"/>
    <x v="1"/>
    <x v="2"/>
    <n v="18.2"/>
    <s v="Low"/>
    <n v="1679.82"/>
    <n v="0"/>
  </r>
  <r>
    <x v="52"/>
    <x v="50"/>
    <n v="1406"/>
    <n v="4073.05"/>
    <n v="3469.8"/>
    <n v="603.25"/>
    <n v="0.85"/>
    <n v="0.28999999999999998"/>
    <n v="3029.37"/>
    <x v="1"/>
    <n v="615"/>
    <n v="0.32"/>
    <n v="467.51"/>
    <n v="0.11"/>
    <n v="486.83"/>
    <n v="0.12"/>
    <n v="5"/>
    <n v="1161.3399999999999"/>
    <n v="77"/>
    <n v="0"/>
    <n v="991.51"/>
    <n v="2776.83"/>
    <x v="1"/>
    <n v="772.07"/>
    <x v="9"/>
    <x v="0"/>
    <n v="23.5"/>
    <s v="Low"/>
    <n v="603.25"/>
    <n v="0"/>
  </r>
  <r>
    <x v="52"/>
    <x v="50"/>
    <n v="1877"/>
    <n v="6147.71"/>
    <n v="4363.6499999999996"/>
    <n v="1784.06"/>
    <n v="0.71"/>
    <n v="0.15"/>
    <n v="3249.74"/>
    <x v="0"/>
    <n v="716"/>
    <n v="0.4"/>
    <n v="897.7"/>
    <n v="0.15"/>
    <n v="188.1"/>
    <n v="0.03"/>
    <n v="5"/>
    <n v="687.07"/>
    <n v="60"/>
    <n v="0"/>
    <n v="370.8"/>
    <n v="2220.54"/>
    <x v="1"/>
    <n v="680.1"/>
    <x v="1"/>
    <x v="2"/>
    <n v="0.7"/>
    <s v="Low"/>
    <n v="1784.06"/>
    <n v="0"/>
  </r>
  <r>
    <x v="52"/>
    <x v="50"/>
    <n v="1097"/>
    <n v="1592.19"/>
    <n v="2720.16"/>
    <n v="-1127.97"/>
    <n v="1.71"/>
    <n v="0.33"/>
    <n v="2255.14"/>
    <x v="0"/>
    <n v="672"/>
    <n v="0.48"/>
    <n v="499.2"/>
    <n v="0.31"/>
    <n v="502.89"/>
    <n v="0.32"/>
    <n v="1"/>
    <n v="1020.83"/>
    <n v="72"/>
    <n v="0"/>
    <n v="348.24"/>
    <n v="1854.09"/>
    <x v="1"/>
    <n v="1338.3"/>
    <x v="0"/>
    <x v="2"/>
    <n v="35.5"/>
    <s v="High"/>
    <n v="0"/>
    <n v="0"/>
  </r>
  <r>
    <x v="52"/>
    <x v="50"/>
    <n v="1880"/>
    <n v="3519.24"/>
    <n v="3680.73"/>
    <n v="-161.49"/>
    <n v="1.05"/>
    <n v="0.36"/>
    <n v="2427.39"/>
    <x v="1"/>
    <n v="686"/>
    <n v="0.55000000000000004"/>
    <n v="563.5"/>
    <n v="0.16"/>
    <n v="678.57"/>
    <n v="0.19"/>
    <n v="5"/>
    <n v="353.04"/>
    <n v="71"/>
    <n v="0"/>
    <n v="279.14999999999998"/>
    <n v="4073.79"/>
    <x v="0"/>
    <n v="1160.31"/>
    <x v="4"/>
    <x v="2"/>
    <n v="72.599999999999994"/>
    <s v="Low"/>
    <n v="0"/>
    <n v="0"/>
  </r>
  <r>
    <x v="52"/>
    <x v="50"/>
    <n v="1202"/>
    <n v="4306.28"/>
    <n v="2343.29"/>
    <n v="1962.99"/>
    <n v="0.54"/>
    <n v="0.24"/>
    <n v="2967"/>
    <x v="1"/>
    <n v="635"/>
    <n v="0.2"/>
    <n v="584.73"/>
    <n v="0.14000000000000001"/>
    <n v="441.57"/>
    <n v="0.1"/>
    <n v="9"/>
    <n v="257.39"/>
    <n v="25"/>
    <n v="0"/>
    <n v="233.19"/>
    <n v="2448.59"/>
    <x v="1"/>
    <n v="1854.4"/>
    <x v="0"/>
    <x v="2"/>
    <n v="72.099999999999994"/>
    <s v="Medium"/>
    <n v="1962.99"/>
    <n v="0"/>
  </r>
  <r>
    <x v="52"/>
    <x v="50"/>
    <n v="1657"/>
    <n v="3611.9"/>
    <n v="2456.6999999999998"/>
    <n v="1155.2"/>
    <n v="0.68"/>
    <n v="0.15"/>
    <n v="3566.26"/>
    <x v="2"/>
    <n v="668"/>
    <n v="0.34"/>
    <n v="293"/>
    <n v="0.08"/>
    <n v="470.53"/>
    <n v="0.13"/>
    <n v="4"/>
    <n v="58.89"/>
    <n v="53"/>
    <n v="0"/>
    <n v="560.1"/>
    <n v="2904.36"/>
    <x v="1"/>
    <n v="2005.45"/>
    <x v="1"/>
    <x v="1"/>
    <n v="88.3"/>
    <s v="Medium"/>
    <n v="1155.2"/>
    <n v="0"/>
  </r>
  <r>
    <x v="52"/>
    <x v="50"/>
    <n v="1898"/>
    <n v="3862.56"/>
    <n v="2107.81"/>
    <n v="1754.75"/>
    <n v="0.55000000000000004"/>
    <n v="0.19"/>
    <n v="2767.31"/>
    <x v="2"/>
    <n v="743"/>
    <n v="0.28999999999999998"/>
    <n v="748.61"/>
    <n v="0.19"/>
    <n v="188.1"/>
    <n v="0.05"/>
    <n v="8"/>
    <n v="1431.61"/>
    <n v="58"/>
    <n v="0"/>
    <n v="419.61"/>
    <n v="2240.5100000000002"/>
    <x v="1"/>
    <n v="817.09"/>
    <x v="6"/>
    <x v="0"/>
    <n v="65.8"/>
    <s v="Low"/>
    <n v="1754.75"/>
    <n v="0"/>
  </r>
  <r>
    <x v="52"/>
    <x v="50"/>
    <n v="1678"/>
    <n v="3889.62"/>
    <n v="2726.12"/>
    <n v="1163.5"/>
    <n v="0.7"/>
    <n v="0.3"/>
    <n v="2380.65"/>
    <x v="0"/>
    <n v="699"/>
    <n v="0.56999999999999995"/>
    <n v="107.93"/>
    <n v="0.03"/>
    <n v="899.68"/>
    <n v="0.23"/>
    <n v="1"/>
    <n v="1287.58"/>
    <n v="32"/>
    <n v="0"/>
    <n v="583.29"/>
    <n v="1535.22"/>
    <x v="1"/>
    <n v="1563.84"/>
    <x v="5"/>
    <x v="0"/>
    <n v="2"/>
    <s v="Medium"/>
    <n v="1163.5"/>
    <n v="0"/>
  </r>
  <r>
    <x v="52"/>
    <x v="50"/>
    <n v="1328"/>
    <n v="4645.9799999999996"/>
    <n v="3193.42"/>
    <n v="1452.56"/>
    <n v="0.69"/>
    <n v="0.28000000000000003"/>
    <n v="2995.61"/>
    <x v="1"/>
    <n v="751"/>
    <n v="0.52"/>
    <n v="49.64"/>
    <n v="0.01"/>
    <n v="314.51"/>
    <n v="7.0000000000000007E-2"/>
    <n v="3"/>
    <n v="1305.97"/>
    <n v="55"/>
    <n v="0"/>
    <n v="523.78"/>
    <n v="2111.14"/>
    <x v="1"/>
    <n v="1760.6"/>
    <x v="4"/>
    <x v="0"/>
    <n v="90.8"/>
    <s v="Low"/>
    <n v="1452.56"/>
    <n v="0"/>
  </r>
  <r>
    <x v="52"/>
    <x v="50"/>
    <n v="1535"/>
    <n v="4920.8599999999997"/>
    <n v="2915.83"/>
    <n v="2005.03"/>
    <n v="0.59"/>
    <n v="0.33"/>
    <n v="2621.29"/>
    <x v="2"/>
    <n v="749"/>
    <n v="0.28999999999999998"/>
    <n v="304.05"/>
    <n v="0.06"/>
    <n v="215.04"/>
    <n v="0.04"/>
    <n v="3"/>
    <n v="0"/>
    <n v="21"/>
    <n v="0"/>
    <n v="772.19"/>
    <n v="1090.99"/>
    <x v="1"/>
    <n v="1050.71"/>
    <x v="1"/>
    <x v="0"/>
    <n v="74.7"/>
    <s v="High"/>
    <n v="2005.03"/>
    <n v="0"/>
  </r>
  <r>
    <x v="52"/>
    <x v="50"/>
    <n v="1189"/>
    <n v="1520.17"/>
    <n v="3569.25"/>
    <n v="-2049.08"/>
    <n v="2.35"/>
    <n v="0.24"/>
    <n v="3486.67"/>
    <x v="1"/>
    <n v="666"/>
    <n v="0.3"/>
    <n v="525.97"/>
    <n v="0.35"/>
    <n v="112.3"/>
    <n v="7.0000000000000007E-2"/>
    <n v="2"/>
    <n v="1098.02"/>
    <n v="32"/>
    <n v="0"/>
    <n v="304.33"/>
    <n v="2501.11"/>
    <x v="1"/>
    <n v="1384.12"/>
    <x v="2"/>
    <x v="1"/>
    <n v="66.7"/>
    <s v="Low"/>
    <n v="0"/>
    <n v="0"/>
  </r>
  <r>
    <x v="52"/>
    <x v="50"/>
    <n v="1993"/>
    <n v="4202.08"/>
    <n v="2339.61"/>
    <n v="1862.47"/>
    <n v="0.56000000000000005"/>
    <n v="0.14000000000000001"/>
    <n v="2285.7800000000002"/>
    <x v="1"/>
    <n v="663"/>
    <n v="0.56000000000000005"/>
    <n v="173.6"/>
    <n v="0.04"/>
    <n v="284.31"/>
    <n v="7.0000000000000007E-2"/>
    <n v="7"/>
    <n v="1681.7"/>
    <n v="66"/>
    <n v="0"/>
    <n v="602.41999999999996"/>
    <n v="2044.31"/>
    <x v="2"/>
    <n v="1242.0899999999999"/>
    <x v="1"/>
    <x v="0"/>
    <n v="14.9"/>
    <s v="Medium"/>
    <n v="1862.47"/>
    <n v="0"/>
  </r>
  <r>
    <x v="52"/>
    <x v="50"/>
    <n v="1465"/>
    <n v="3085.25"/>
    <n v="2467.19"/>
    <n v="618.05999999999995"/>
    <n v="0.8"/>
    <n v="0.19"/>
    <n v="2588.0500000000002"/>
    <x v="0"/>
    <n v="657"/>
    <n v="0.25"/>
    <n v="633.99"/>
    <n v="0.21"/>
    <n v="545.61"/>
    <n v="0.18"/>
    <n v="7"/>
    <n v="739.01"/>
    <n v="34"/>
    <n v="0"/>
    <n v="472.1"/>
    <n v="1373.17"/>
    <x v="1"/>
    <n v="1940.54"/>
    <x v="6"/>
    <x v="0"/>
    <n v="95.1"/>
    <s v="Low"/>
    <n v="618.05999999999995"/>
    <n v="0"/>
  </r>
  <r>
    <x v="52"/>
    <x v="50"/>
    <n v="1995"/>
    <n v="3430.52"/>
    <n v="3383.66"/>
    <n v="46.86"/>
    <n v="0.99"/>
    <n v="0.25"/>
    <n v="2462.67"/>
    <x v="0"/>
    <n v="731"/>
    <n v="0.35"/>
    <n v="477.57"/>
    <n v="0.14000000000000001"/>
    <n v="363.37"/>
    <n v="0.11"/>
    <n v="4"/>
    <n v="766.08"/>
    <n v="90"/>
    <n v="0"/>
    <n v="533.32000000000005"/>
    <n v="1807.12"/>
    <x v="1"/>
    <n v="1717.28"/>
    <x v="5"/>
    <x v="0"/>
    <n v="70.099999999999994"/>
    <s v="Medium"/>
    <n v="46.86"/>
    <n v="0"/>
  </r>
  <r>
    <x v="52"/>
    <x v="50"/>
    <n v="1140"/>
    <n v="4354.88"/>
    <n v="3047.64"/>
    <n v="1307.24"/>
    <n v="0.7"/>
    <n v="0.39"/>
    <n v="3570.99"/>
    <x v="1"/>
    <n v="689"/>
    <n v="0.15"/>
    <n v="798.98"/>
    <n v="0.18"/>
    <n v="579.1"/>
    <n v="0.13"/>
    <n v="8"/>
    <n v="487.17"/>
    <n v="26"/>
    <n v="0"/>
    <n v="336.67"/>
    <n v="2753.24"/>
    <x v="1"/>
    <n v="1247.01"/>
    <x v="9"/>
    <x v="1"/>
    <n v="14.2"/>
    <s v="Medium"/>
    <n v="1307.24"/>
    <n v="0"/>
  </r>
  <r>
    <x v="52"/>
    <x v="50"/>
    <n v="1790"/>
    <n v="3742.51"/>
    <n v="1792.88"/>
    <n v="1949.63"/>
    <n v="0.48"/>
    <n v="0.28999999999999998"/>
    <n v="2287.65"/>
    <x v="1"/>
    <n v="796"/>
    <n v="0.35"/>
    <n v="99.87"/>
    <n v="0.03"/>
    <n v="296.27999999999997"/>
    <n v="0.08"/>
    <n v="7"/>
    <n v="1396.23"/>
    <n v="23"/>
    <n v="0"/>
    <n v="658.09"/>
    <n v="1979.17"/>
    <x v="1"/>
    <n v="1504.94"/>
    <x v="5"/>
    <x v="0"/>
    <n v="47.9"/>
    <s v="Medium"/>
    <n v="1949.63"/>
    <n v="0"/>
  </r>
  <r>
    <x v="52"/>
    <x v="50"/>
    <n v="1653"/>
    <n v="3297.83"/>
    <n v="2947.02"/>
    <n v="350.81"/>
    <n v="0.89"/>
    <n v="0.12"/>
    <n v="2899.12"/>
    <x v="0"/>
    <n v="700"/>
    <n v="0.39"/>
    <n v="835.27"/>
    <n v="0.25"/>
    <n v="404.3"/>
    <n v="0.12"/>
    <n v="2"/>
    <n v="877.6"/>
    <n v="38"/>
    <n v="0"/>
    <n v="636.55999999999995"/>
    <n v="3107.6"/>
    <x v="1"/>
    <n v="793.52"/>
    <x v="7"/>
    <x v="0"/>
    <n v="39"/>
    <s v="Low"/>
    <n v="350.81"/>
    <n v="0"/>
  </r>
  <r>
    <x v="52"/>
    <x v="50"/>
    <n v="1925"/>
    <n v="4556.3"/>
    <n v="3346.03"/>
    <n v="1210.27"/>
    <n v="0.73"/>
    <n v="0.15"/>
    <n v="2289.31"/>
    <x v="1"/>
    <n v="631"/>
    <n v="0.59"/>
    <n v="803.48"/>
    <n v="0.18"/>
    <n v="502.73"/>
    <n v="0.11"/>
    <n v="9"/>
    <n v="271.8"/>
    <n v="68"/>
    <n v="0"/>
    <n v="402.64"/>
    <n v="2861.36"/>
    <x v="1"/>
    <n v="300"/>
    <x v="9"/>
    <x v="1"/>
    <n v="68.7"/>
    <s v="Low"/>
    <n v="1210.27"/>
    <n v="0"/>
  </r>
  <r>
    <x v="52"/>
    <x v="50"/>
    <n v="1888"/>
    <n v="3152.73"/>
    <n v="3443.3"/>
    <n v="-290.57"/>
    <n v="1.0900000000000001"/>
    <n v="0.09"/>
    <n v="3589.46"/>
    <x v="1"/>
    <n v="726"/>
    <n v="0.31"/>
    <n v="565.58000000000004"/>
    <n v="0.18"/>
    <n v="455.96"/>
    <n v="0.14000000000000001"/>
    <n v="7"/>
    <n v="1045.8900000000001"/>
    <n v="98"/>
    <n v="0"/>
    <n v="265.32"/>
    <n v="2329.92"/>
    <x v="1"/>
    <n v="782.48"/>
    <x v="0"/>
    <x v="0"/>
    <n v="27.3"/>
    <s v="Low"/>
    <n v="0"/>
    <n v="0"/>
  </r>
  <r>
    <x v="52"/>
    <x v="50"/>
    <n v="1344"/>
    <n v="4172.12"/>
    <n v="2373.4899999999998"/>
    <n v="1798.63"/>
    <n v="0.56999999999999995"/>
    <n v="0.34"/>
    <n v="1864.69"/>
    <x v="1"/>
    <n v="632"/>
    <n v="0.57999999999999996"/>
    <n v="665.55"/>
    <n v="0.16"/>
    <n v="222.95"/>
    <n v="0.05"/>
    <n v="5"/>
    <n v="1170.57"/>
    <n v="77"/>
    <n v="0"/>
    <n v="513.69000000000005"/>
    <n v="2193.91"/>
    <x v="0"/>
    <n v="1042.82"/>
    <x v="6"/>
    <x v="2"/>
    <n v="24.4"/>
    <s v="Low"/>
    <n v="1798.63"/>
    <n v="0"/>
  </r>
  <r>
    <x v="52"/>
    <x v="50"/>
    <n v="1496"/>
    <n v="5531.43"/>
    <n v="2702.48"/>
    <n v="2828.95"/>
    <n v="0.49"/>
    <n v="0.11"/>
    <n v="3592.07"/>
    <x v="1"/>
    <n v="687"/>
    <n v="0.3"/>
    <n v="662.43"/>
    <n v="0.12"/>
    <n v="437.28"/>
    <n v="0.08"/>
    <n v="4"/>
    <n v="1162.21"/>
    <n v="84"/>
    <n v="0"/>
    <n v="387.42"/>
    <n v="3190.88"/>
    <x v="1"/>
    <n v="1712.22"/>
    <x v="8"/>
    <x v="0"/>
    <n v="89.6"/>
    <s v="Medium"/>
    <n v="2828.95"/>
    <n v="0"/>
  </r>
  <r>
    <x v="52"/>
    <x v="50"/>
    <n v="1399"/>
    <n v="5291.55"/>
    <n v="2355.52"/>
    <n v="2936.03"/>
    <n v="0.45"/>
    <n v="0.33"/>
    <n v="3047.1"/>
    <x v="1"/>
    <n v="706"/>
    <n v="0.28000000000000003"/>
    <n v="629.08000000000004"/>
    <n v="0.12"/>
    <n v="209.67"/>
    <n v="0.04"/>
    <n v="6"/>
    <n v="1666.57"/>
    <n v="30"/>
    <n v="0"/>
    <n v="756.81"/>
    <n v="2911.65"/>
    <x v="1"/>
    <n v="1581.18"/>
    <x v="6"/>
    <x v="0"/>
    <n v="86.6"/>
    <s v="Low"/>
    <n v="2936.03"/>
    <n v="0"/>
  </r>
  <r>
    <x v="52"/>
    <x v="50"/>
    <n v="1009"/>
    <n v="4699.1400000000003"/>
    <n v="3197.81"/>
    <n v="1501.33"/>
    <n v="0.68"/>
    <n v="0.28000000000000003"/>
    <n v="3340.53"/>
    <x v="0"/>
    <n v="652"/>
    <n v="0.18"/>
    <n v="593.01"/>
    <n v="0.13"/>
    <n v="390.47"/>
    <n v="0.08"/>
    <n v="3"/>
    <n v="1200.31"/>
    <n v="77"/>
    <n v="0"/>
    <n v="6.65"/>
    <n v="2402.66"/>
    <x v="2"/>
    <n v="1345.41"/>
    <x v="7"/>
    <x v="0"/>
    <n v="89.3"/>
    <s v="Low"/>
    <n v="1501.33"/>
    <n v="0"/>
  </r>
  <r>
    <x v="52"/>
    <x v="50"/>
    <n v="1854"/>
    <n v="3734.67"/>
    <n v="2114.44"/>
    <n v="1620.23"/>
    <n v="0.56999999999999995"/>
    <n v="0.2"/>
    <n v="2996.83"/>
    <x v="1"/>
    <n v="747"/>
    <n v="0.56000000000000005"/>
    <n v="738.32"/>
    <n v="0.2"/>
    <n v="220.09"/>
    <n v="0.06"/>
    <n v="7"/>
    <n v="724.11"/>
    <n v="72"/>
    <n v="0"/>
    <n v="325.39999999999998"/>
    <n v="1803.56"/>
    <x v="1"/>
    <n v="1689.43"/>
    <x v="4"/>
    <x v="1"/>
    <n v="47.7"/>
    <s v="Low"/>
    <n v="1620.23"/>
    <n v="0"/>
  </r>
  <r>
    <x v="52"/>
    <x v="50"/>
    <n v="1540"/>
    <n v="2611.3000000000002"/>
    <n v="3249.69"/>
    <n v="-638.39"/>
    <n v="1.24"/>
    <n v="0.13"/>
    <n v="1960.78"/>
    <x v="0"/>
    <n v="714"/>
    <n v="0.11"/>
    <n v="327.48"/>
    <n v="0.13"/>
    <n v="550.11"/>
    <n v="0.21"/>
    <n v="9"/>
    <n v="1414.14"/>
    <n v="78"/>
    <n v="0"/>
    <n v="636.52"/>
    <n v="2522.21"/>
    <x v="1"/>
    <n v="1048.27"/>
    <x v="1"/>
    <x v="0"/>
    <n v="8.9"/>
    <s v="High"/>
    <n v="0"/>
    <n v="0"/>
  </r>
  <r>
    <x v="52"/>
    <x v="50"/>
    <n v="1793"/>
    <n v="2943.37"/>
    <n v="2528.9899999999998"/>
    <n v="414.38"/>
    <n v="0.86"/>
    <n v="7.0000000000000007E-2"/>
    <n v="2459.96"/>
    <x v="1"/>
    <n v="679"/>
    <n v="0.47"/>
    <n v="553.71"/>
    <n v="0.19"/>
    <n v="730.82"/>
    <n v="0.25"/>
    <n v="5"/>
    <n v="455"/>
    <n v="63"/>
    <n v="0"/>
    <n v="480.6"/>
    <n v="2645.2"/>
    <x v="1"/>
    <n v="621.11"/>
    <x v="2"/>
    <x v="2"/>
    <n v="11.6"/>
    <s v="Low"/>
    <n v="414.38"/>
    <n v="0"/>
  </r>
  <r>
    <x v="52"/>
    <x v="50"/>
    <n v="1661"/>
    <n v="4410.87"/>
    <n v="2966.3"/>
    <n v="1444.57"/>
    <n v="0.67"/>
    <n v="0.34"/>
    <n v="3034.19"/>
    <x v="1"/>
    <n v="580"/>
    <n v="0.3"/>
    <n v="261.98"/>
    <n v="0.06"/>
    <n v="0"/>
    <n v="0"/>
    <n v="8"/>
    <n v="324.27999999999997"/>
    <n v="29"/>
    <n v="0"/>
    <n v="716.17"/>
    <n v="3150.67"/>
    <x v="1"/>
    <n v="674.96"/>
    <x v="2"/>
    <x v="0"/>
    <n v="51"/>
    <s v="Medium"/>
    <n v="1444.57"/>
    <n v="0"/>
  </r>
  <r>
    <x v="52"/>
    <x v="50"/>
    <n v="1175"/>
    <n v="5085.6499999999996"/>
    <n v="3201.07"/>
    <n v="1884.58"/>
    <n v="0.63"/>
    <n v="0.38"/>
    <n v="2802.58"/>
    <x v="1"/>
    <n v="643"/>
    <n v="0.18"/>
    <n v="482.27"/>
    <n v="0.09"/>
    <n v="34.58"/>
    <n v="0.01"/>
    <n v="7"/>
    <n v="641.21"/>
    <n v="48"/>
    <n v="0"/>
    <n v="407.59"/>
    <n v="2053.56"/>
    <x v="1"/>
    <n v="1463.46"/>
    <x v="8"/>
    <x v="2"/>
    <n v="35.4"/>
    <s v="Low"/>
    <n v="1884.58"/>
    <n v="0"/>
  </r>
  <r>
    <x v="52"/>
    <x v="50"/>
    <n v="1153"/>
    <n v="4736.2299999999996"/>
    <n v="2157.48"/>
    <n v="2578.75"/>
    <n v="0.46"/>
    <n v="0.06"/>
    <n v="2196.61"/>
    <x v="1"/>
    <n v="662"/>
    <n v="0.4"/>
    <n v="289.77"/>
    <n v="0.06"/>
    <n v="322.29000000000002"/>
    <n v="7.0000000000000007E-2"/>
    <n v="3"/>
    <n v="469.2"/>
    <n v="94"/>
    <n v="0"/>
    <n v="589.69000000000005"/>
    <n v="1045.0899999999999"/>
    <x v="0"/>
    <n v="517.71"/>
    <x v="6"/>
    <x v="0"/>
    <n v="25.3"/>
    <s v="Low"/>
    <n v="2578.75"/>
    <n v="1"/>
  </r>
  <r>
    <x v="52"/>
    <x v="50"/>
    <n v="1684"/>
    <n v="4546.78"/>
    <n v="2833.01"/>
    <n v="1713.77"/>
    <n v="0.62"/>
    <n v="0.12"/>
    <n v="2110.77"/>
    <x v="1"/>
    <n v="583"/>
    <n v="0.26"/>
    <n v="363.02"/>
    <n v="0.08"/>
    <n v="436.14"/>
    <n v="0.1"/>
    <n v="2"/>
    <n v="1332.17"/>
    <n v="77"/>
    <n v="0"/>
    <n v="305.12"/>
    <n v="2884.28"/>
    <x v="0"/>
    <n v="1324.98"/>
    <x v="4"/>
    <x v="0"/>
    <n v="50.3"/>
    <s v="Medium"/>
    <n v="1713.77"/>
    <n v="0"/>
  </r>
  <r>
    <x v="52"/>
    <x v="50"/>
    <n v="1291"/>
    <n v="3534.28"/>
    <n v="4770.88"/>
    <n v="-1236.5999999999999"/>
    <n v="1.35"/>
    <n v="0.1"/>
    <n v="1296.24"/>
    <x v="1"/>
    <n v="761"/>
    <n v="0.13"/>
    <n v="0"/>
    <n v="0"/>
    <n v="502.91"/>
    <n v="0.14000000000000001"/>
    <n v="2"/>
    <n v="1105.44"/>
    <n v="56"/>
    <n v="0"/>
    <n v="417.22"/>
    <n v="2126.88"/>
    <x v="2"/>
    <n v="1580.48"/>
    <x v="4"/>
    <x v="0"/>
    <n v="78.2"/>
    <s v="Medium"/>
    <n v="0"/>
    <n v="0"/>
  </r>
  <r>
    <x v="52"/>
    <x v="50"/>
    <n v="1918"/>
    <n v="4701.5"/>
    <n v="2826.46"/>
    <n v="1875.04"/>
    <n v="0.6"/>
    <n v="0.1"/>
    <n v="2556.09"/>
    <x v="1"/>
    <n v="679"/>
    <n v="0.5"/>
    <n v="461.47"/>
    <n v="0.1"/>
    <n v="619.9"/>
    <n v="0.13"/>
    <n v="7"/>
    <n v="206.58"/>
    <n v="97"/>
    <n v="0"/>
    <n v="319.16000000000003"/>
    <n v="3140.73"/>
    <x v="1"/>
    <n v="1850.73"/>
    <x v="3"/>
    <x v="0"/>
    <n v="66.599999999999994"/>
    <s v="High"/>
    <n v="1875.04"/>
    <n v="0"/>
  </r>
  <r>
    <x v="52"/>
    <x v="50"/>
    <n v="1273"/>
    <n v="4235.87"/>
    <n v="1885.1"/>
    <n v="2350.77"/>
    <n v="0.45"/>
    <n v="0.26"/>
    <n v="3360.81"/>
    <x v="1"/>
    <n v="652"/>
    <n v="0.5"/>
    <n v="928.93"/>
    <n v="0.22"/>
    <n v="503.43"/>
    <n v="0.12"/>
    <n v="9"/>
    <n v="1438.58"/>
    <n v="32"/>
    <n v="1"/>
    <n v="795.01"/>
    <n v="2898.36"/>
    <x v="1"/>
    <n v="1095.78"/>
    <x v="7"/>
    <x v="1"/>
    <n v="53.5"/>
    <s v="Low"/>
    <n v="2350.77"/>
    <n v="0"/>
  </r>
  <r>
    <x v="53"/>
    <x v="51"/>
    <n v="1942"/>
    <n v="4573.38"/>
    <n v="3768.84"/>
    <n v="804.54"/>
    <n v="0.82"/>
    <n v="0.27"/>
    <n v="2182.29"/>
    <x v="1"/>
    <n v="749"/>
    <n v="0.55000000000000004"/>
    <n v="146.4"/>
    <n v="0.03"/>
    <n v="464.62"/>
    <n v="0.1"/>
    <n v="5"/>
    <n v="1591.2"/>
    <n v="86"/>
    <n v="0"/>
    <n v="293.81"/>
    <n v="1930.96"/>
    <x v="1"/>
    <n v="686.66"/>
    <x v="5"/>
    <x v="1"/>
    <n v="54.3"/>
    <s v="Medium"/>
    <n v="804.54"/>
    <n v="0"/>
  </r>
  <r>
    <x v="53"/>
    <x v="51"/>
    <n v="1453"/>
    <n v="4576.18"/>
    <n v="2464.61"/>
    <n v="2111.5700000000002"/>
    <n v="0.54"/>
    <n v="0.14000000000000001"/>
    <n v="3021.33"/>
    <x v="2"/>
    <n v="751"/>
    <n v="0.56000000000000005"/>
    <n v="547"/>
    <n v="0.12"/>
    <n v="524.20000000000005"/>
    <n v="0.11"/>
    <n v="2"/>
    <n v="1394.16"/>
    <n v="36"/>
    <n v="0"/>
    <n v="526.62"/>
    <n v="1719.7"/>
    <x v="0"/>
    <n v="418.92"/>
    <x v="3"/>
    <x v="0"/>
    <n v="12.1"/>
    <s v="High"/>
    <n v="2111.5700000000002"/>
    <n v="0"/>
  </r>
  <r>
    <x v="53"/>
    <x v="51"/>
    <n v="1639"/>
    <n v="5591.87"/>
    <n v="2156.9699999999998"/>
    <n v="3434.9"/>
    <n v="0.39"/>
    <n v="0.16"/>
    <n v="2462.58"/>
    <x v="0"/>
    <n v="653"/>
    <n v="0.56999999999999995"/>
    <n v="790.76"/>
    <n v="0.14000000000000001"/>
    <n v="0"/>
    <n v="0"/>
    <n v="8"/>
    <n v="467.08"/>
    <n v="98"/>
    <n v="0"/>
    <n v="403.2"/>
    <n v="3084.99"/>
    <x v="1"/>
    <n v="1334.98"/>
    <x v="1"/>
    <x v="0"/>
    <n v="42.1"/>
    <s v="High"/>
    <n v="3434.9"/>
    <n v="1"/>
  </r>
  <r>
    <x v="53"/>
    <x v="51"/>
    <n v="1798"/>
    <n v="916.04"/>
    <n v="3094.28"/>
    <n v="-2178.2399999999998"/>
    <n v="3.38"/>
    <n v="0.26"/>
    <n v="2511.34"/>
    <x v="1"/>
    <n v="680"/>
    <n v="0.18"/>
    <n v="409.43"/>
    <n v="0.45"/>
    <n v="882.13"/>
    <n v="0.96"/>
    <n v="7"/>
    <n v="1389.3"/>
    <n v="48"/>
    <n v="0"/>
    <n v="543.91999999999996"/>
    <n v="1000"/>
    <x v="1"/>
    <n v="857.33"/>
    <x v="2"/>
    <x v="1"/>
    <n v="37.700000000000003"/>
    <s v="Medium"/>
    <n v="0"/>
    <n v="0"/>
  </r>
  <r>
    <x v="53"/>
    <x v="51"/>
    <n v="1777"/>
    <n v="2989.19"/>
    <n v="3440.24"/>
    <n v="-451.05"/>
    <n v="1.1499999999999999"/>
    <n v="0.21"/>
    <n v="2774.66"/>
    <x v="0"/>
    <n v="711"/>
    <n v="0.45"/>
    <n v="375.28"/>
    <n v="0.13"/>
    <n v="705.64"/>
    <n v="0.24"/>
    <n v="8"/>
    <n v="399.25"/>
    <n v="22"/>
    <n v="0"/>
    <n v="329.38"/>
    <n v="1990.34"/>
    <x v="1"/>
    <n v="800.33"/>
    <x v="5"/>
    <x v="2"/>
    <n v="54.5"/>
    <s v="Low"/>
    <n v="0"/>
    <n v="0"/>
  </r>
  <r>
    <x v="53"/>
    <x v="51"/>
    <n v="1251"/>
    <n v="2695.8"/>
    <n v="3326.55"/>
    <n v="-630.75"/>
    <n v="1.23"/>
    <n v="0.23"/>
    <n v="2571.33"/>
    <x v="0"/>
    <n v="646"/>
    <n v="0.28000000000000003"/>
    <n v="727.66"/>
    <n v="0.27"/>
    <n v="386.36"/>
    <n v="0.14000000000000001"/>
    <n v="5"/>
    <n v="375.45"/>
    <n v="72"/>
    <n v="0"/>
    <n v="705.95"/>
    <n v="2251.77"/>
    <x v="1"/>
    <n v="1244.96"/>
    <x v="8"/>
    <x v="1"/>
    <n v="45.1"/>
    <s v="Low"/>
    <n v="0"/>
    <n v="0"/>
  </r>
  <r>
    <x v="53"/>
    <x v="51"/>
    <n v="1783"/>
    <n v="3764.6"/>
    <n v="3619.57"/>
    <n v="145.03"/>
    <n v="0.96"/>
    <n v="0.22"/>
    <n v="2800.92"/>
    <x v="2"/>
    <n v="653"/>
    <n v="0.26"/>
    <n v="654.73"/>
    <n v="0.17"/>
    <n v="545.02"/>
    <n v="0.14000000000000001"/>
    <n v="2"/>
    <n v="1633.23"/>
    <n v="54"/>
    <n v="0"/>
    <n v="775.1"/>
    <n v="2513.7399999999998"/>
    <x v="1"/>
    <n v="930.68"/>
    <x v="5"/>
    <x v="1"/>
    <n v="47.9"/>
    <s v="Medium"/>
    <n v="145.03"/>
    <n v="0"/>
  </r>
  <r>
    <x v="53"/>
    <x v="51"/>
    <n v="1083"/>
    <n v="4288.78"/>
    <n v="2833.42"/>
    <n v="1455.36"/>
    <n v="0.66"/>
    <n v="0.32"/>
    <n v="3417.75"/>
    <x v="1"/>
    <n v="662"/>
    <n v="0.4"/>
    <n v="392.28"/>
    <n v="0.09"/>
    <n v="233.2"/>
    <n v="0.05"/>
    <n v="7"/>
    <n v="839.49"/>
    <n v="74"/>
    <n v="0"/>
    <n v="809.18"/>
    <n v="3586.17"/>
    <x v="1"/>
    <n v="561.02"/>
    <x v="9"/>
    <x v="1"/>
    <n v="13.2"/>
    <s v="High"/>
    <n v="1455.36"/>
    <n v="0"/>
  </r>
  <r>
    <x v="53"/>
    <x v="51"/>
    <n v="1567"/>
    <n v="3870.98"/>
    <n v="3712.92"/>
    <n v="158.06"/>
    <n v="0.96"/>
    <n v="0.27"/>
    <n v="3487.76"/>
    <x v="1"/>
    <n v="651"/>
    <n v="0.55000000000000004"/>
    <n v="404.38"/>
    <n v="0.1"/>
    <n v="483.91"/>
    <n v="0.13"/>
    <n v="6"/>
    <n v="1013.22"/>
    <n v="30"/>
    <n v="0"/>
    <n v="893.66"/>
    <n v="2711.39"/>
    <x v="1"/>
    <n v="1387.16"/>
    <x v="6"/>
    <x v="0"/>
    <n v="7.2"/>
    <s v="Low"/>
    <n v="158.06"/>
    <n v="0"/>
  </r>
  <r>
    <x v="53"/>
    <x v="51"/>
    <n v="1065"/>
    <n v="3410.52"/>
    <n v="1259.7"/>
    <n v="2150.8200000000002"/>
    <n v="0.37"/>
    <n v="0.32"/>
    <n v="2546.27"/>
    <x v="1"/>
    <n v="713"/>
    <n v="0.28000000000000003"/>
    <n v="515.36"/>
    <n v="0.15"/>
    <n v="431.37"/>
    <n v="0.13"/>
    <n v="7"/>
    <n v="832.45"/>
    <n v="44"/>
    <n v="0"/>
    <n v="265.38"/>
    <n v="2254.4899999999998"/>
    <x v="1"/>
    <n v="1648.22"/>
    <x v="7"/>
    <x v="0"/>
    <n v="32.200000000000003"/>
    <s v="Medium"/>
    <n v="2150.8200000000002"/>
    <n v="0"/>
  </r>
  <r>
    <x v="53"/>
    <x v="51"/>
    <n v="1063"/>
    <n v="4214.54"/>
    <n v="3943.6"/>
    <n v="270.94"/>
    <n v="0.94"/>
    <n v="0.14000000000000001"/>
    <n v="2091.56"/>
    <x v="0"/>
    <n v="655"/>
    <n v="0.16"/>
    <n v="257.64"/>
    <n v="0.06"/>
    <n v="322.5"/>
    <n v="0.08"/>
    <n v="5"/>
    <n v="1318.14"/>
    <n v="60"/>
    <n v="0"/>
    <n v="296.48"/>
    <n v="2895.81"/>
    <x v="1"/>
    <n v="1293.01"/>
    <x v="6"/>
    <x v="1"/>
    <n v="95.2"/>
    <s v="Medium"/>
    <n v="270.94"/>
    <n v="0"/>
  </r>
  <r>
    <x v="53"/>
    <x v="51"/>
    <n v="1848"/>
    <n v="4257.1000000000004"/>
    <n v="3707.37"/>
    <n v="549.73"/>
    <n v="0.87"/>
    <n v="0.19"/>
    <n v="3599.7"/>
    <x v="2"/>
    <n v="781"/>
    <n v="0.15"/>
    <n v="238.54"/>
    <n v="0.06"/>
    <n v="463.41"/>
    <n v="0.11"/>
    <n v="5"/>
    <n v="1457.34"/>
    <n v="83"/>
    <n v="0"/>
    <n v="341.25"/>
    <n v="1663.98"/>
    <x v="1"/>
    <n v="1253.04"/>
    <x v="0"/>
    <x v="0"/>
    <n v="6.8"/>
    <s v="Medium"/>
    <n v="549.73"/>
    <n v="0"/>
  </r>
  <r>
    <x v="53"/>
    <x v="51"/>
    <n v="1668"/>
    <n v="3391.57"/>
    <n v="3461.23"/>
    <n v="-69.66"/>
    <n v="1.02"/>
    <n v="0.36"/>
    <n v="1957.95"/>
    <x v="2"/>
    <n v="673"/>
    <n v="0.26"/>
    <n v="792.47"/>
    <n v="0.23"/>
    <n v="404.69"/>
    <n v="0.12"/>
    <n v="7"/>
    <n v="1406.8"/>
    <n v="26"/>
    <n v="1"/>
    <n v="244.88"/>
    <n v="1518.37"/>
    <x v="2"/>
    <n v="1596.55"/>
    <x v="5"/>
    <x v="2"/>
    <n v="21.4"/>
    <s v="Low"/>
    <n v="0"/>
    <n v="0"/>
  </r>
  <r>
    <x v="53"/>
    <x v="51"/>
    <n v="1641"/>
    <n v="5164.49"/>
    <n v="2819.56"/>
    <n v="2344.9299999999998"/>
    <n v="0.55000000000000004"/>
    <n v="0.17"/>
    <n v="2912.26"/>
    <x v="1"/>
    <n v="625"/>
    <n v="0.31"/>
    <n v="13.68"/>
    <n v="0"/>
    <n v="347.32"/>
    <n v="7.0000000000000007E-2"/>
    <n v="7"/>
    <n v="926.23"/>
    <n v="94"/>
    <n v="0"/>
    <n v="450.66"/>
    <n v="2810.69"/>
    <x v="2"/>
    <n v="888.95"/>
    <x v="1"/>
    <x v="1"/>
    <n v="52"/>
    <s v="Medium"/>
    <n v="2344.9299999999998"/>
    <n v="0"/>
  </r>
  <r>
    <x v="53"/>
    <x v="51"/>
    <n v="1909"/>
    <n v="4011.29"/>
    <n v="4790.33"/>
    <n v="-779.04"/>
    <n v="1.19"/>
    <n v="0.4"/>
    <n v="2056.66"/>
    <x v="1"/>
    <n v="693"/>
    <n v="0.22"/>
    <n v="316.08"/>
    <n v="0.08"/>
    <n v="0"/>
    <n v="0"/>
    <n v="6"/>
    <n v="1210.3800000000001"/>
    <n v="68"/>
    <n v="0"/>
    <n v="327.18"/>
    <n v="1889.69"/>
    <x v="1"/>
    <n v="2058.65"/>
    <x v="8"/>
    <x v="2"/>
    <n v="80.5"/>
    <s v="Medium"/>
    <n v="0"/>
    <n v="0"/>
  </r>
  <r>
    <x v="53"/>
    <x v="51"/>
    <n v="1288"/>
    <n v="4472.59"/>
    <n v="1321.97"/>
    <n v="3150.62"/>
    <n v="0.3"/>
    <n v="0.2"/>
    <n v="3521.55"/>
    <x v="1"/>
    <n v="634"/>
    <n v="0.54"/>
    <n v="241.16"/>
    <n v="0.05"/>
    <n v="345.43"/>
    <n v="0.08"/>
    <n v="9"/>
    <n v="492.84"/>
    <n v="97"/>
    <n v="0"/>
    <n v="560.33000000000004"/>
    <n v="2216.0700000000002"/>
    <x v="1"/>
    <n v="1629.08"/>
    <x v="1"/>
    <x v="0"/>
    <n v="57.7"/>
    <s v="Medium"/>
    <n v="3150.62"/>
    <n v="0"/>
  </r>
  <r>
    <x v="53"/>
    <x v="51"/>
    <n v="1781"/>
    <n v="4533.63"/>
    <n v="2861.93"/>
    <n v="1671.7"/>
    <n v="0.63"/>
    <n v="0.11"/>
    <n v="2737.91"/>
    <x v="1"/>
    <n v="620"/>
    <n v="0.14000000000000001"/>
    <n v="743.08"/>
    <n v="0.16"/>
    <n v="304.7"/>
    <n v="7.0000000000000007E-2"/>
    <n v="9"/>
    <n v="650.38"/>
    <n v="67"/>
    <n v="0"/>
    <n v="672.18"/>
    <n v="1804.01"/>
    <x v="2"/>
    <n v="1127.1600000000001"/>
    <x v="2"/>
    <x v="0"/>
    <n v="0.1"/>
    <s v="Medium"/>
    <n v="1671.7"/>
    <n v="0"/>
  </r>
  <r>
    <x v="53"/>
    <x v="51"/>
    <n v="1624"/>
    <n v="4229.99"/>
    <n v="3358.25"/>
    <n v="871.74"/>
    <n v="0.79"/>
    <n v="0.22"/>
    <n v="2892.49"/>
    <x v="1"/>
    <n v="745"/>
    <n v="0.32"/>
    <n v="447.78"/>
    <n v="0.11"/>
    <n v="614.24"/>
    <n v="0.15"/>
    <n v="4"/>
    <n v="1179.99"/>
    <n v="31"/>
    <n v="0"/>
    <n v="181.94"/>
    <n v="2998.52"/>
    <x v="0"/>
    <n v="909.15"/>
    <x v="0"/>
    <x v="0"/>
    <n v="98.3"/>
    <s v="Medium"/>
    <n v="871.74"/>
    <n v="0"/>
  </r>
  <r>
    <x v="53"/>
    <x v="51"/>
    <n v="1314"/>
    <n v="4385.22"/>
    <n v="2978.25"/>
    <n v="1406.97"/>
    <n v="0.68"/>
    <n v="0.21"/>
    <n v="2224.66"/>
    <x v="2"/>
    <n v="635"/>
    <n v="0.32"/>
    <n v="394.18"/>
    <n v="0.09"/>
    <n v="647.61"/>
    <n v="0.15"/>
    <n v="4"/>
    <n v="1671.55"/>
    <n v="24"/>
    <n v="0"/>
    <n v="669.24"/>
    <n v="2510.2800000000002"/>
    <x v="0"/>
    <n v="1639.01"/>
    <x v="6"/>
    <x v="0"/>
    <n v="22.5"/>
    <s v="Low"/>
    <n v="1406.97"/>
    <n v="0"/>
  </r>
  <r>
    <x v="53"/>
    <x v="51"/>
    <n v="1250"/>
    <n v="4437.84"/>
    <n v="2553.31"/>
    <n v="1884.53"/>
    <n v="0.57999999999999996"/>
    <n v="0.14000000000000001"/>
    <n v="1946.94"/>
    <x v="2"/>
    <n v="707"/>
    <n v="0.17"/>
    <n v="504.39"/>
    <n v="0.11"/>
    <n v="224.02"/>
    <n v="0.05"/>
    <n v="6"/>
    <n v="1423.11"/>
    <n v="79"/>
    <n v="0"/>
    <n v="823.63"/>
    <n v="2024"/>
    <x v="1"/>
    <n v="785.43"/>
    <x v="7"/>
    <x v="0"/>
    <n v="55.7"/>
    <s v="High"/>
    <n v="1884.53"/>
    <n v="0"/>
  </r>
  <r>
    <x v="53"/>
    <x v="51"/>
    <n v="1031"/>
    <n v="4692.7299999999996"/>
    <n v="3233.03"/>
    <n v="1459.7"/>
    <n v="0.69"/>
    <n v="0.15"/>
    <n v="3456.97"/>
    <x v="1"/>
    <n v="689"/>
    <n v="0.27"/>
    <n v="462.91"/>
    <n v="0.1"/>
    <n v="612.12"/>
    <n v="0.13"/>
    <n v="1"/>
    <n v="1541.88"/>
    <n v="67"/>
    <n v="0"/>
    <n v="414.11"/>
    <n v="2665.46"/>
    <x v="1"/>
    <n v="491.09"/>
    <x v="0"/>
    <x v="0"/>
    <n v="93.7"/>
    <s v="Low"/>
    <n v="1459.7"/>
    <n v="0"/>
  </r>
  <r>
    <x v="53"/>
    <x v="51"/>
    <n v="1812"/>
    <n v="2968.45"/>
    <n v="3498.06"/>
    <n v="-529.61"/>
    <n v="1.18"/>
    <n v="0.12"/>
    <n v="2777.53"/>
    <x v="1"/>
    <n v="686"/>
    <n v="0.55000000000000004"/>
    <n v="580.39"/>
    <n v="0.2"/>
    <n v="791.54"/>
    <n v="0.27"/>
    <n v="3"/>
    <n v="0"/>
    <n v="51"/>
    <n v="0"/>
    <n v="405.82"/>
    <n v="2411.5"/>
    <x v="1"/>
    <n v="955.27"/>
    <x v="7"/>
    <x v="1"/>
    <n v="51.3"/>
    <s v="Medium"/>
    <n v="0"/>
    <n v="0"/>
  </r>
  <r>
    <x v="53"/>
    <x v="51"/>
    <n v="1817"/>
    <n v="3773.88"/>
    <n v="3416.97"/>
    <n v="356.91"/>
    <n v="0.91"/>
    <n v="0.2"/>
    <n v="1749.92"/>
    <x v="2"/>
    <n v="611"/>
    <n v="0.53"/>
    <n v="505.7"/>
    <n v="0.13"/>
    <n v="552.1"/>
    <n v="0.15"/>
    <n v="8"/>
    <n v="660.39"/>
    <n v="25"/>
    <n v="0"/>
    <n v="641.03"/>
    <n v="1581.61"/>
    <x v="1"/>
    <n v="1034.1099999999999"/>
    <x v="4"/>
    <x v="0"/>
    <n v="90"/>
    <s v="Low"/>
    <n v="356.91"/>
    <n v="0"/>
  </r>
  <r>
    <x v="53"/>
    <x v="51"/>
    <n v="1580"/>
    <n v="3545.01"/>
    <n v="2993.79"/>
    <n v="551.22"/>
    <n v="0.84"/>
    <n v="0.11"/>
    <n v="3257.97"/>
    <x v="2"/>
    <n v="647"/>
    <n v="0.31"/>
    <n v="741.27"/>
    <n v="0.21"/>
    <n v="389.36"/>
    <n v="0.11"/>
    <n v="3"/>
    <n v="988.32"/>
    <n v="47"/>
    <n v="0"/>
    <n v="497.97"/>
    <n v="2406.41"/>
    <x v="1"/>
    <n v="1775.42"/>
    <x v="2"/>
    <x v="0"/>
    <n v="73.2"/>
    <s v="Low"/>
    <n v="551.22"/>
    <n v="0"/>
  </r>
  <r>
    <x v="53"/>
    <x v="51"/>
    <n v="1098"/>
    <n v="3652.61"/>
    <n v="3711.58"/>
    <n v="-58.97"/>
    <n v="1.02"/>
    <n v="0.19"/>
    <n v="2367.4299999999998"/>
    <x v="1"/>
    <n v="698"/>
    <n v="0.47"/>
    <n v="418.9"/>
    <n v="0.11"/>
    <n v="395.38"/>
    <n v="0.11"/>
    <n v="3"/>
    <n v="471.62"/>
    <n v="74"/>
    <n v="0"/>
    <n v="504.77"/>
    <n v="2014.31"/>
    <x v="1"/>
    <n v="434.38"/>
    <x v="1"/>
    <x v="0"/>
    <n v="76.8"/>
    <s v="Medium"/>
    <n v="0"/>
    <n v="0"/>
  </r>
  <r>
    <x v="53"/>
    <x v="51"/>
    <n v="1025"/>
    <n v="3739.61"/>
    <n v="1449.66"/>
    <n v="2289.9499999999998"/>
    <n v="0.39"/>
    <n v="0.27"/>
    <n v="3455.02"/>
    <x v="1"/>
    <n v="707"/>
    <n v="0.51"/>
    <n v="631.62"/>
    <n v="0.17"/>
    <n v="215.01"/>
    <n v="0.06"/>
    <n v="3"/>
    <n v="1332.53"/>
    <n v="31"/>
    <n v="0"/>
    <n v="403.53"/>
    <n v="2792.54"/>
    <x v="1"/>
    <n v="1643.73"/>
    <x v="2"/>
    <x v="0"/>
    <n v="26.9"/>
    <s v="Low"/>
    <n v="2289.9499999999998"/>
    <n v="0"/>
  </r>
  <r>
    <x v="53"/>
    <x v="51"/>
    <n v="1160"/>
    <n v="5301.4"/>
    <n v="2448.5700000000002"/>
    <n v="2852.83"/>
    <n v="0.46"/>
    <n v="0.18"/>
    <n v="3072.38"/>
    <x v="0"/>
    <n v="613"/>
    <n v="0.22"/>
    <n v="665.33"/>
    <n v="0.13"/>
    <n v="188.58"/>
    <n v="0.04"/>
    <n v="5"/>
    <n v="1091.07"/>
    <n v="41"/>
    <n v="0"/>
    <n v="752.16"/>
    <n v="2916.11"/>
    <x v="0"/>
    <n v="1381.95"/>
    <x v="8"/>
    <x v="0"/>
    <n v="2.6"/>
    <s v="Low"/>
    <n v="2852.83"/>
    <n v="0"/>
  </r>
  <r>
    <x v="53"/>
    <x v="51"/>
    <n v="1466"/>
    <n v="4167.25"/>
    <n v="3827.03"/>
    <n v="340.22"/>
    <n v="0.92"/>
    <n v="0.2"/>
    <n v="2226.77"/>
    <x v="1"/>
    <n v="668"/>
    <n v="0.44"/>
    <n v="298.74"/>
    <n v="7.0000000000000007E-2"/>
    <n v="170.87"/>
    <n v="0.04"/>
    <n v="8"/>
    <n v="1136.96"/>
    <n v="97"/>
    <n v="0"/>
    <n v="337.55"/>
    <n v="2896.32"/>
    <x v="2"/>
    <n v="1481.89"/>
    <x v="1"/>
    <x v="2"/>
    <n v="81.900000000000006"/>
    <s v="Medium"/>
    <n v="340.22"/>
    <n v="0"/>
  </r>
  <r>
    <x v="53"/>
    <x v="51"/>
    <n v="1789"/>
    <n v="2656.36"/>
    <n v="3548.7"/>
    <n v="-892.34"/>
    <n v="1.34"/>
    <n v="0.15"/>
    <n v="3014.84"/>
    <x v="1"/>
    <n v="693"/>
    <n v="0.56000000000000005"/>
    <n v="608"/>
    <n v="0.23"/>
    <n v="877.3"/>
    <n v="0.33"/>
    <n v="2"/>
    <n v="925.43"/>
    <n v="44"/>
    <n v="0"/>
    <n v="526.27"/>
    <n v="1709.68"/>
    <x v="1"/>
    <n v="1667.17"/>
    <x v="1"/>
    <x v="0"/>
    <n v="37.5"/>
    <s v="Low"/>
    <n v="0"/>
    <n v="0"/>
  </r>
  <r>
    <x v="53"/>
    <x v="51"/>
    <n v="1541"/>
    <n v="4573.1899999999996"/>
    <n v="3445.29"/>
    <n v="1127.9000000000001"/>
    <n v="0.75"/>
    <n v="0.06"/>
    <n v="3403.07"/>
    <x v="0"/>
    <n v="642"/>
    <n v="0.35"/>
    <n v="670.77"/>
    <n v="0.15"/>
    <n v="719.6"/>
    <n v="0.16"/>
    <n v="6"/>
    <n v="1172.33"/>
    <n v="67"/>
    <n v="0"/>
    <n v="389.18"/>
    <n v="2505.42"/>
    <x v="2"/>
    <n v="1979.87"/>
    <x v="5"/>
    <x v="0"/>
    <n v="67.2"/>
    <s v="Medium"/>
    <n v="1127.9000000000001"/>
    <n v="0"/>
  </r>
  <r>
    <x v="53"/>
    <x v="51"/>
    <n v="1377"/>
    <n v="4689.51"/>
    <n v="2125.4299999999998"/>
    <n v="2564.08"/>
    <n v="0.45"/>
    <n v="0.31"/>
    <n v="1688.49"/>
    <x v="2"/>
    <n v="595"/>
    <n v="0.41"/>
    <n v="981.17"/>
    <n v="0.21"/>
    <n v="0"/>
    <n v="0"/>
    <n v="6"/>
    <n v="998.12"/>
    <n v="81"/>
    <n v="0"/>
    <n v="345.49"/>
    <n v="1690.71"/>
    <x v="2"/>
    <n v="884.5"/>
    <x v="0"/>
    <x v="0"/>
    <n v="95.7"/>
    <s v="Low"/>
    <n v="2564.08"/>
    <n v="1"/>
  </r>
  <r>
    <x v="53"/>
    <x v="51"/>
    <n v="1968"/>
    <n v="3645.58"/>
    <n v="2968.09"/>
    <n v="677.49"/>
    <n v="0.81"/>
    <n v="0.33"/>
    <n v="2949.09"/>
    <x v="1"/>
    <n v="746"/>
    <n v="0.3"/>
    <n v="570.83000000000004"/>
    <n v="0.16"/>
    <n v="152.15"/>
    <n v="0.04"/>
    <n v="1"/>
    <n v="2008.19"/>
    <n v="76"/>
    <n v="0"/>
    <n v="779.02"/>
    <n v="1876.21"/>
    <x v="1"/>
    <n v="1375.32"/>
    <x v="2"/>
    <x v="1"/>
    <n v="88.4"/>
    <s v="High"/>
    <n v="677.49"/>
    <n v="0"/>
  </r>
  <r>
    <x v="53"/>
    <x v="51"/>
    <n v="1673"/>
    <n v="4611.3999999999996"/>
    <n v="3742.02"/>
    <n v="869.38"/>
    <n v="0.81"/>
    <n v="0.12"/>
    <n v="2915.82"/>
    <x v="0"/>
    <n v="634"/>
    <n v="0.43"/>
    <n v="205.84"/>
    <n v="0.04"/>
    <n v="462.3"/>
    <n v="0.1"/>
    <n v="3"/>
    <n v="0"/>
    <n v="59"/>
    <n v="0"/>
    <n v="123.18"/>
    <n v="2582.15"/>
    <x v="1"/>
    <n v="1399.46"/>
    <x v="0"/>
    <x v="0"/>
    <n v="46.8"/>
    <s v="High"/>
    <n v="869.38"/>
    <n v="0"/>
  </r>
  <r>
    <x v="53"/>
    <x v="51"/>
    <n v="1410"/>
    <n v="4529.43"/>
    <n v="4450.72"/>
    <n v="78.709999999999994"/>
    <n v="0.98"/>
    <n v="0.32"/>
    <n v="2843.32"/>
    <x v="1"/>
    <n v="706"/>
    <n v="0.3"/>
    <n v="509.29"/>
    <n v="0.11"/>
    <n v="314.07"/>
    <n v="7.0000000000000007E-2"/>
    <n v="9"/>
    <n v="1267.8499999999999"/>
    <n v="76"/>
    <n v="0"/>
    <n v="68.48"/>
    <n v="2386.27"/>
    <x v="1"/>
    <n v="1395.53"/>
    <x v="8"/>
    <x v="0"/>
    <n v="31.1"/>
    <s v="Medium"/>
    <n v="78.709999999999994"/>
    <n v="0"/>
  </r>
  <r>
    <x v="53"/>
    <x v="51"/>
    <n v="1655"/>
    <n v="3875.66"/>
    <n v="2913.65"/>
    <n v="962.01"/>
    <n v="0.75"/>
    <n v="0.05"/>
    <n v="2568.94"/>
    <x v="0"/>
    <n v="683"/>
    <n v="0.42"/>
    <n v="878.33"/>
    <n v="0.23"/>
    <n v="318.66000000000003"/>
    <n v="0.08"/>
    <n v="2"/>
    <n v="837.78"/>
    <n v="39"/>
    <n v="0"/>
    <n v="839.7"/>
    <n v="1498.21"/>
    <x v="1"/>
    <n v="1519.9"/>
    <x v="6"/>
    <x v="0"/>
    <n v="22.7"/>
    <s v="Low"/>
    <n v="962.01"/>
    <n v="0"/>
  </r>
  <r>
    <x v="53"/>
    <x v="51"/>
    <n v="1825"/>
    <n v="3305.34"/>
    <n v="1863.51"/>
    <n v="1441.83"/>
    <n v="0.56000000000000005"/>
    <n v="0.14000000000000001"/>
    <n v="3610.13"/>
    <x v="1"/>
    <n v="671"/>
    <n v="0.23"/>
    <n v="645.11"/>
    <n v="0.2"/>
    <n v="689.18"/>
    <n v="0.21"/>
    <n v="4"/>
    <n v="1923.36"/>
    <n v="67"/>
    <n v="0"/>
    <n v="237.07"/>
    <n v="2410.84"/>
    <x v="2"/>
    <n v="1456.45"/>
    <x v="7"/>
    <x v="0"/>
    <n v="97.5"/>
    <s v="Low"/>
    <n v="1441.83"/>
    <n v="0"/>
  </r>
  <r>
    <x v="53"/>
    <x v="51"/>
    <n v="1930"/>
    <n v="4209.95"/>
    <n v="3947.05"/>
    <n v="262.89999999999998"/>
    <n v="0.94"/>
    <n v="0.3"/>
    <n v="3521.72"/>
    <x v="2"/>
    <n v="636"/>
    <n v="0.28000000000000003"/>
    <n v="145.19999999999999"/>
    <n v="0.03"/>
    <n v="107.43"/>
    <n v="0.03"/>
    <n v="7"/>
    <n v="799.43"/>
    <n v="70"/>
    <n v="0"/>
    <n v="746.55"/>
    <n v="2882.91"/>
    <x v="0"/>
    <n v="1550.14"/>
    <x v="6"/>
    <x v="1"/>
    <n v="19"/>
    <s v="Low"/>
    <n v="262.89999999999998"/>
    <n v="0"/>
  </r>
  <r>
    <x v="53"/>
    <x v="51"/>
    <n v="1058"/>
    <n v="4337.74"/>
    <n v="3579.39"/>
    <n v="758.35"/>
    <n v="0.83"/>
    <n v="0.12"/>
    <n v="2480.08"/>
    <x v="1"/>
    <n v="629"/>
    <n v="0.13"/>
    <n v="455.88"/>
    <n v="0.11"/>
    <n v="558.82000000000005"/>
    <n v="0.13"/>
    <n v="5"/>
    <n v="1419.74"/>
    <n v="96"/>
    <n v="0"/>
    <n v="662.51"/>
    <n v="1886.22"/>
    <x v="0"/>
    <n v="1750.57"/>
    <x v="6"/>
    <x v="2"/>
    <n v="98.1"/>
    <s v="Low"/>
    <n v="758.35"/>
    <n v="0"/>
  </r>
  <r>
    <x v="53"/>
    <x v="51"/>
    <n v="1448"/>
    <n v="4736.6499999999996"/>
    <n v="2455.46"/>
    <n v="2281.19"/>
    <n v="0.52"/>
    <n v="0.2"/>
    <n v="3009.34"/>
    <x v="1"/>
    <n v="712"/>
    <n v="0.18"/>
    <n v="380.85"/>
    <n v="0.08"/>
    <n v="454.5"/>
    <n v="0.1"/>
    <n v="4"/>
    <n v="1390.19"/>
    <n v="95"/>
    <n v="0"/>
    <n v="529.9"/>
    <n v="2950.98"/>
    <x v="1"/>
    <n v="1650.98"/>
    <x v="6"/>
    <x v="0"/>
    <n v="8.5"/>
    <s v="Medium"/>
    <n v="2281.19"/>
    <n v="0"/>
  </r>
  <r>
    <x v="53"/>
    <x v="51"/>
    <n v="1507"/>
    <n v="4737.21"/>
    <n v="4143"/>
    <n v="594.21"/>
    <n v="0.87"/>
    <n v="0.06"/>
    <n v="3069.22"/>
    <x v="0"/>
    <n v="758"/>
    <n v="0.59"/>
    <n v="39.08"/>
    <n v="0.01"/>
    <n v="837"/>
    <n v="0.18"/>
    <n v="5"/>
    <n v="530.17999999999995"/>
    <n v="71"/>
    <n v="1"/>
    <n v="587.47"/>
    <n v="2665.13"/>
    <x v="2"/>
    <n v="1051.04"/>
    <x v="2"/>
    <x v="0"/>
    <n v="81.599999999999994"/>
    <s v="Low"/>
    <n v="594.21"/>
    <n v="0"/>
  </r>
  <r>
    <x v="53"/>
    <x v="51"/>
    <n v="1280"/>
    <n v="3970.14"/>
    <n v="2028.28"/>
    <n v="1941.86"/>
    <n v="0.51"/>
    <n v="0.1"/>
    <n v="1858.01"/>
    <x v="1"/>
    <n v="759"/>
    <n v="0.47"/>
    <n v="177.92"/>
    <n v="0.04"/>
    <n v="0"/>
    <n v="0"/>
    <n v="1"/>
    <n v="1337.76"/>
    <n v="32"/>
    <n v="0"/>
    <n v="654.66"/>
    <n v="1278.1099999999999"/>
    <x v="2"/>
    <n v="1004.55"/>
    <x v="2"/>
    <x v="2"/>
    <n v="22.1"/>
    <s v="Low"/>
    <n v="1941.86"/>
    <n v="1"/>
  </r>
  <r>
    <x v="53"/>
    <x v="51"/>
    <n v="1595"/>
    <n v="2529.91"/>
    <n v="3380.55"/>
    <n v="-850.64"/>
    <n v="1.34"/>
    <n v="0.27"/>
    <n v="2887.55"/>
    <x v="2"/>
    <n v="740"/>
    <n v="0.25"/>
    <n v="456.37"/>
    <n v="0.18"/>
    <n v="212.81"/>
    <n v="0.08"/>
    <n v="5"/>
    <n v="1502.16"/>
    <n v="91"/>
    <n v="0"/>
    <n v="614.82000000000005"/>
    <n v="1520.28"/>
    <x v="2"/>
    <n v="1522.67"/>
    <x v="5"/>
    <x v="0"/>
    <n v="72.900000000000006"/>
    <s v="Medium"/>
    <n v="0"/>
    <n v="0"/>
  </r>
  <r>
    <x v="53"/>
    <x v="51"/>
    <n v="1161"/>
    <n v="4547.95"/>
    <n v="2299.35"/>
    <n v="2248.6"/>
    <n v="0.51"/>
    <n v="0.3"/>
    <n v="2629.86"/>
    <x v="2"/>
    <n v="695"/>
    <n v="0.44"/>
    <n v="420.01"/>
    <n v="0.09"/>
    <n v="0"/>
    <n v="0"/>
    <n v="7"/>
    <n v="542.98"/>
    <n v="81"/>
    <n v="1"/>
    <n v="847.38"/>
    <n v="2394.54"/>
    <x v="1"/>
    <n v="1025.8800000000001"/>
    <x v="8"/>
    <x v="2"/>
    <n v="22.3"/>
    <s v="Low"/>
    <n v="2248.6"/>
    <n v="0"/>
  </r>
  <r>
    <x v="53"/>
    <x v="51"/>
    <n v="1478"/>
    <n v="3870.58"/>
    <n v="2692.09"/>
    <n v="1178.49"/>
    <n v="0.7"/>
    <n v="0.09"/>
    <n v="2357.92"/>
    <x v="2"/>
    <n v="702"/>
    <n v="0.53"/>
    <n v="675.74"/>
    <n v="0.17"/>
    <n v="261.88"/>
    <n v="7.0000000000000007E-2"/>
    <n v="7"/>
    <n v="911"/>
    <n v="82"/>
    <n v="0"/>
    <n v="739.19"/>
    <n v="1991.7"/>
    <x v="1"/>
    <n v="1084.94"/>
    <x v="6"/>
    <x v="0"/>
    <n v="5.9"/>
    <s v="Low"/>
    <n v="1178.49"/>
    <n v="0"/>
  </r>
  <r>
    <x v="53"/>
    <x v="51"/>
    <n v="1236"/>
    <n v="3926.44"/>
    <n v="2339.91"/>
    <n v="1586.53"/>
    <n v="0.6"/>
    <n v="0.34"/>
    <n v="3052.81"/>
    <x v="2"/>
    <n v="618"/>
    <n v="0.47"/>
    <n v="221.04"/>
    <n v="0.06"/>
    <n v="499.32"/>
    <n v="0.13"/>
    <n v="7"/>
    <n v="385.63"/>
    <n v="32"/>
    <n v="0"/>
    <n v="403.51"/>
    <n v="2459.9499999999998"/>
    <x v="2"/>
    <n v="495"/>
    <x v="7"/>
    <x v="0"/>
    <n v="50.3"/>
    <s v="Low"/>
    <n v="1586.53"/>
    <n v="0"/>
  </r>
  <r>
    <x v="53"/>
    <x v="51"/>
    <n v="1807"/>
    <n v="4482.6499999999996"/>
    <n v="2778.98"/>
    <n v="1703.67"/>
    <n v="0.62"/>
    <n v="0.33"/>
    <n v="2849.01"/>
    <x v="1"/>
    <n v="733"/>
    <n v="0.11"/>
    <n v="542.55999999999995"/>
    <n v="0.12"/>
    <n v="0"/>
    <n v="0"/>
    <n v="8"/>
    <n v="1256.6300000000001"/>
    <n v="34"/>
    <n v="0"/>
    <n v="405.33"/>
    <n v="3889.18"/>
    <x v="1"/>
    <n v="731.96"/>
    <x v="5"/>
    <x v="2"/>
    <n v="8.9"/>
    <s v="Medium"/>
    <n v="1703.67"/>
    <n v="0"/>
  </r>
  <r>
    <x v="53"/>
    <x v="51"/>
    <n v="1346"/>
    <n v="4001.4"/>
    <n v="3984.94"/>
    <n v="16.46"/>
    <n v="1"/>
    <n v="0.14000000000000001"/>
    <n v="3651.38"/>
    <x v="2"/>
    <n v="606"/>
    <n v="0.3"/>
    <n v="497.99"/>
    <n v="0.12"/>
    <n v="357.93"/>
    <n v="0.09"/>
    <n v="6"/>
    <n v="1259.23"/>
    <n v="24"/>
    <n v="0"/>
    <n v="526.9"/>
    <n v="1804.4"/>
    <x v="0"/>
    <n v="1125.57"/>
    <x v="6"/>
    <x v="0"/>
    <n v="27"/>
    <s v="Low"/>
    <n v="16.46"/>
    <n v="0"/>
  </r>
  <r>
    <x v="53"/>
    <x v="51"/>
    <n v="1250"/>
    <n v="6059.3"/>
    <n v="3231.19"/>
    <n v="2828.11"/>
    <n v="0.53"/>
    <n v="0.36"/>
    <n v="2913.89"/>
    <x v="2"/>
    <n v="698"/>
    <n v="0.48"/>
    <n v="276"/>
    <n v="0.05"/>
    <n v="596.98"/>
    <n v="0.1"/>
    <n v="1"/>
    <n v="1499.32"/>
    <n v="83"/>
    <n v="0"/>
    <n v="686.98"/>
    <n v="2392.21"/>
    <x v="0"/>
    <n v="1741.81"/>
    <x v="9"/>
    <x v="2"/>
    <n v="47.3"/>
    <s v="Low"/>
    <n v="2828.11"/>
    <n v="0"/>
  </r>
  <r>
    <x v="53"/>
    <x v="51"/>
    <n v="1152"/>
    <n v="4634.0200000000004"/>
    <n v="2889.31"/>
    <n v="1744.71"/>
    <n v="0.62"/>
    <n v="0.39"/>
    <n v="2527.64"/>
    <x v="0"/>
    <n v="672"/>
    <n v="0.12"/>
    <n v="787.72"/>
    <n v="0.17"/>
    <n v="0"/>
    <n v="0"/>
    <n v="9"/>
    <n v="932.07"/>
    <n v="47"/>
    <n v="1"/>
    <n v="323.31"/>
    <n v="2075.98"/>
    <x v="1"/>
    <n v="1264.0899999999999"/>
    <x v="3"/>
    <x v="0"/>
    <n v="45"/>
    <s v="High"/>
    <n v="1744.71"/>
    <n v="0"/>
  </r>
  <r>
    <x v="53"/>
    <x v="51"/>
    <n v="1949"/>
    <n v="4199.2700000000004"/>
    <n v="1629"/>
    <n v="2570.27"/>
    <n v="0.39"/>
    <n v="0.32"/>
    <n v="2548.16"/>
    <x v="0"/>
    <n v="765"/>
    <n v="0.34"/>
    <n v="681.69"/>
    <n v="0.16"/>
    <n v="0"/>
    <n v="0"/>
    <n v="6"/>
    <n v="1189.4100000000001"/>
    <n v="53"/>
    <n v="0"/>
    <n v="909.8"/>
    <n v="1946.65"/>
    <x v="1"/>
    <n v="1004.45"/>
    <x v="5"/>
    <x v="2"/>
    <n v="51.2"/>
    <s v="Low"/>
    <n v="2570.27"/>
    <n v="1"/>
  </r>
  <r>
    <x v="54"/>
    <x v="52"/>
    <n v="1353"/>
    <n v="2800.92"/>
    <n v="1663.92"/>
    <n v="1137"/>
    <n v="0.59"/>
    <n v="0.24"/>
    <n v="2369.23"/>
    <x v="1"/>
    <n v="657"/>
    <n v="0.17"/>
    <n v="125.73"/>
    <n v="0.04"/>
    <n v="553.6"/>
    <n v="0.2"/>
    <n v="4"/>
    <n v="1420.61"/>
    <n v="82"/>
    <n v="0"/>
    <n v="487.92"/>
    <n v="2253.56"/>
    <x v="0"/>
    <n v="1787.83"/>
    <x v="5"/>
    <x v="0"/>
    <n v="23"/>
    <s v="Low"/>
    <n v="1137"/>
    <n v="0"/>
  </r>
  <r>
    <x v="54"/>
    <x v="52"/>
    <n v="1386"/>
    <n v="5111.08"/>
    <n v="3601.36"/>
    <n v="1509.72"/>
    <n v="0.7"/>
    <n v="0.12"/>
    <n v="2685.73"/>
    <x v="0"/>
    <n v="698"/>
    <n v="0.21"/>
    <n v="260.95"/>
    <n v="0.05"/>
    <n v="278.3"/>
    <n v="0.05"/>
    <n v="3"/>
    <n v="1016.3"/>
    <n v="45"/>
    <n v="0"/>
    <n v="848.56"/>
    <n v="2091.46"/>
    <x v="1"/>
    <n v="660.59"/>
    <x v="5"/>
    <x v="1"/>
    <n v="15.6"/>
    <s v="Medium"/>
    <n v="1509.72"/>
    <n v="0"/>
  </r>
  <r>
    <x v="54"/>
    <x v="52"/>
    <n v="1722"/>
    <n v="5463.62"/>
    <n v="2816.29"/>
    <n v="2647.33"/>
    <n v="0.52"/>
    <n v="0.25"/>
    <n v="2446.48"/>
    <x v="1"/>
    <n v="739"/>
    <n v="0.46"/>
    <n v="580.65"/>
    <n v="0.11"/>
    <n v="220.9"/>
    <n v="0.04"/>
    <n v="5"/>
    <n v="1519.15"/>
    <n v="86"/>
    <n v="0"/>
    <n v="842.28"/>
    <n v="2560.6999999999998"/>
    <x v="0"/>
    <n v="1018.91"/>
    <x v="8"/>
    <x v="1"/>
    <n v="44.1"/>
    <s v="Low"/>
    <n v="2647.33"/>
    <n v="1"/>
  </r>
  <r>
    <x v="54"/>
    <x v="52"/>
    <n v="1822"/>
    <n v="3196.81"/>
    <n v="2748.36"/>
    <n v="448.45"/>
    <n v="0.86"/>
    <n v="0.24"/>
    <n v="2671.3"/>
    <x v="1"/>
    <n v="576"/>
    <n v="0.39"/>
    <n v="425.05"/>
    <n v="0.13"/>
    <n v="341.02"/>
    <n v="0.11"/>
    <n v="7"/>
    <n v="2046.22"/>
    <n v="40"/>
    <n v="0"/>
    <n v="828.51"/>
    <n v="1608.31"/>
    <x v="1"/>
    <n v="1166.25"/>
    <x v="7"/>
    <x v="1"/>
    <n v="12.3"/>
    <s v="Medium"/>
    <n v="448.45"/>
    <n v="0"/>
  </r>
  <r>
    <x v="54"/>
    <x v="52"/>
    <n v="1390"/>
    <n v="2402.2399999999998"/>
    <n v="3288"/>
    <n v="-885.76"/>
    <n v="1.37"/>
    <n v="0.36"/>
    <n v="2014.06"/>
    <x v="2"/>
    <n v="639"/>
    <n v="0.25"/>
    <n v="509.11"/>
    <n v="0.21"/>
    <n v="726.06"/>
    <n v="0.3"/>
    <n v="2"/>
    <n v="1072.47"/>
    <n v="84"/>
    <n v="0"/>
    <n v="321.86"/>
    <n v="3007.72"/>
    <x v="2"/>
    <n v="1671.95"/>
    <x v="5"/>
    <x v="2"/>
    <n v="21.1"/>
    <s v="Medium"/>
    <n v="0"/>
    <n v="0"/>
  </r>
  <r>
    <x v="54"/>
    <x v="52"/>
    <n v="1020"/>
    <n v="5407.44"/>
    <n v="4930.4799999999996"/>
    <n v="476.96"/>
    <n v="0.91"/>
    <n v="0.37"/>
    <n v="3287.49"/>
    <x v="2"/>
    <n v="663"/>
    <n v="0.49"/>
    <n v="523.72"/>
    <n v="0.1"/>
    <n v="142.87"/>
    <n v="0.03"/>
    <n v="2"/>
    <n v="1709.57"/>
    <n v="71"/>
    <n v="0"/>
    <n v="483.69"/>
    <n v="2394.04"/>
    <x v="1"/>
    <n v="564.47"/>
    <x v="7"/>
    <x v="0"/>
    <n v="40.9"/>
    <s v="High"/>
    <n v="476.96"/>
    <n v="0"/>
  </r>
  <r>
    <x v="54"/>
    <x v="52"/>
    <n v="1433"/>
    <n v="2661.13"/>
    <n v="2019.9"/>
    <n v="641.23"/>
    <n v="0.76"/>
    <n v="0.08"/>
    <n v="2226.1799999999998"/>
    <x v="1"/>
    <n v="712"/>
    <n v="0.39"/>
    <n v="552.41999999999996"/>
    <n v="0.21"/>
    <n v="728.89"/>
    <n v="0.27"/>
    <n v="5"/>
    <n v="710.44"/>
    <n v="72"/>
    <n v="0"/>
    <n v="556.46"/>
    <n v="2987.12"/>
    <x v="0"/>
    <n v="361.44"/>
    <x v="3"/>
    <x v="1"/>
    <n v="24.9"/>
    <s v="High"/>
    <n v="641.23"/>
    <n v="0"/>
  </r>
  <r>
    <x v="54"/>
    <x v="52"/>
    <n v="1868"/>
    <n v="4009.44"/>
    <n v="3236.55"/>
    <n v="772.89"/>
    <n v="0.81"/>
    <n v="0.1"/>
    <n v="3112.39"/>
    <x v="2"/>
    <n v="670"/>
    <n v="0.41"/>
    <n v="672.61"/>
    <n v="0.17"/>
    <n v="366"/>
    <n v="0.09"/>
    <n v="9"/>
    <n v="205.52"/>
    <n v="92"/>
    <n v="0"/>
    <n v="646.82000000000005"/>
    <n v="3033.34"/>
    <x v="2"/>
    <n v="1660.83"/>
    <x v="2"/>
    <x v="0"/>
    <n v="71.400000000000006"/>
    <s v="Medium"/>
    <n v="772.89"/>
    <n v="0"/>
  </r>
  <r>
    <x v="54"/>
    <x v="52"/>
    <n v="1992"/>
    <n v="4200.26"/>
    <n v="3662.91"/>
    <n v="537.35"/>
    <n v="0.87"/>
    <n v="0.38"/>
    <n v="2892.95"/>
    <x v="2"/>
    <n v="736"/>
    <n v="0.6"/>
    <n v="482.51"/>
    <n v="0.11"/>
    <n v="622.97"/>
    <n v="0.15"/>
    <n v="7"/>
    <n v="1223.6300000000001"/>
    <n v="56"/>
    <n v="0"/>
    <n v="311.95"/>
    <n v="1871.07"/>
    <x v="1"/>
    <n v="1464.87"/>
    <x v="3"/>
    <x v="2"/>
    <n v="78.599999999999994"/>
    <s v="Low"/>
    <n v="537.35"/>
    <n v="0"/>
  </r>
  <r>
    <x v="54"/>
    <x v="52"/>
    <n v="1683"/>
    <n v="4741.8999999999996"/>
    <n v="3116.86"/>
    <n v="1625.04"/>
    <n v="0.66"/>
    <n v="0.26"/>
    <n v="3120.58"/>
    <x v="0"/>
    <n v="630"/>
    <n v="0.44"/>
    <n v="222.7"/>
    <n v="0.05"/>
    <n v="424.96"/>
    <n v="0.09"/>
    <n v="5"/>
    <n v="1815.05"/>
    <n v="53"/>
    <n v="0"/>
    <n v="639.51"/>
    <n v="2999.14"/>
    <x v="1"/>
    <n v="1114.07"/>
    <x v="4"/>
    <x v="2"/>
    <n v="48.4"/>
    <s v="Low"/>
    <n v="1625.04"/>
    <n v="0"/>
  </r>
  <r>
    <x v="54"/>
    <x v="52"/>
    <n v="1167"/>
    <n v="3715.42"/>
    <n v="2113.27"/>
    <n v="1602.15"/>
    <n v="0.56999999999999995"/>
    <n v="0.36"/>
    <n v="2840.06"/>
    <x v="1"/>
    <n v="654"/>
    <n v="0.42"/>
    <n v="476.82"/>
    <n v="0.13"/>
    <n v="482.24"/>
    <n v="0.13"/>
    <n v="3"/>
    <n v="271.77999999999997"/>
    <n v="55"/>
    <n v="0"/>
    <n v="333.01"/>
    <n v="2215.34"/>
    <x v="1"/>
    <n v="1254.6600000000001"/>
    <x v="8"/>
    <x v="1"/>
    <n v="87"/>
    <s v="Low"/>
    <n v="1602.15"/>
    <n v="0"/>
  </r>
  <r>
    <x v="54"/>
    <x v="52"/>
    <n v="1516"/>
    <n v="3319.65"/>
    <n v="3477.78"/>
    <n v="-158.13"/>
    <n v="1.05"/>
    <n v="0.24"/>
    <n v="2981.45"/>
    <x v="1"/>
    <n v="743"/>
    <n v="0.32"/>
    <n v="374.91"/>
    <n v="0.11"/>
    <n v="94.32"/>
    <n v="0.03"/>
    <n v="4"/>
    <n v="0"/>
    <n v="88"/>
    <n v="0"/>
    <n v="491.15"/>
    <n v="1967.68"/>
    <x v="1"/>
    <n v="1414.09"/>
    <x v="6"/>
    <x v="2"/>
    <n v="33.799999999999997"/>
    <s v="Low"/>
    <n v="0"/>
    <n v="0"/>
  </r>
  <r>
    <x v="54"/>
    <x v="52"/>
    <n v="1868"/>
    <n v="5455.2"/>
    <n v="2106.54"/>
    <n v="3348.66"/>
    <n v="0.39"/>
    <n v="0.34"/>
    <n v="2359.56"/>
    <x v="2"/>
    <n v="682"/>
    <n v="0.2"/>
    <n v="820.72"/>
    <n v="0.15"/>
    <n v="372.95"/>
    <n v="7.0000000000000007E-2"/>
    <n v="1"/>
    <n v="1072.8900000000001"/>
    <n v="25"/>
    <n v="0"/>
    <n v="917.6"/>
    <n v="2009.81"/>
    <x v="1"/>
    <n v="1433.9"/>
    <x v="3"/>
    <x v="1"/>
    <n v="80.5"/>
    <s v="Medium"/>
    <n v="3348.66"/>
    <n v="1"/>
  </r>
  <r>
    <x v="54"/>
    <x v="52"/>
    <n v="1787"/>
    <n v="3366.81"/>
    <n v="2423.0300000000002"/>
    <n v="943.78"/>
    <n v="0.72"/>
    <n v="0.18"/>
    <n v="2697.98"/>
    <x v="2"/>
    <n v="694"/>
    <n v="0.57999999999999996"/>
    <n v="468.85"/>
    <n v="0.14000000000000001"/>
    <n v="592.6"/>
    <n v="0.18"/>
    <n v="7"/>
    <n v="233.59"/>
    <n v="51"/>
    <n v="0"/>
    <n v="392.11"/>
    <n v="2152.75"/>
    <x v="2"/>
    <n v="1047.42"/>
    <x v="0"/>
    <x v="0"/>
    <n v="96"/>
    <s v="High"/>
    <n v="943.78"/>
    <n v="0"/>
  </r>
  <r>
    <x v="54"/>
    <x v="52"/>
    <n v="1567"/>
    <n v="5623.07"/>
    <n v="3345.52"/>
    <n v="2277.5500000000002"/>
    <n v="0.59"/>
    <n v="0.08"/>
    <n v="2198.7800000000002"/>
    <x v="2"/>
    <n v="706"/>
    <n v="0.49"/>
    <n v="514.39"/>
    <n v="0.09"/>
    <n v="924.76"/>
    <n v="0.16"/>
    <n v="2"/>
    <n v="828.07"/>
    <n v="26"/>
    <n v="0"/>
    <n v="691.44"/>
    <n v="3169.35"/>
    <x v="1"/>
    <n v="1437.06"/>
    <x v="4"/>
    <x v="1"/>
    <n v="36.1"/>
    <s v="Low"/>
    <n v="2277.5500000000002"/>
    <n v="1"/>
  </r>
  <r>
    <x v="54"/>
    <x v="52"/>
    <n v="1060"/>
    <n v="4480.67"/>
    <n v="2492.7399999999998"/>
    <n v="1987.93"/>
    <n v="0.56000000000000005"/>
    <n v="0.09"/>
    <n v="2720.17"/>
    <x v="1"/>
    <n v="644"/>
    <n v="0.4"/>
    <n v="536.79"/>
    <n v="0.12"/>
    <n v="547.42999999999995"/>
    <n v="0.12"/>
    <n v="7"/>
    <n v="434.1"/>
    <n v="35"/>
    <n v="0"/>
    <n v="470.69"/>
    <n v="1478.47"/>
    <x v="1"/>
    <n v="1202.74"/>
    <x v="0"/>
    <x v="0"/>
    <n v="80.5"/>
    <s v="Medium"/>
    <n v="1987.93"/>
    <n v="0"/>
  </r>
  <r>
    <x v="54"/>
    <x v="52"/>
    <n v="1186"/>
    <n v="5002.97"/>
    <n v="2638.45"/>
    <n v="2364.52"/>
    <n v="0.53"/>
    <n v="0.06"/>
    <n v="3402.58"/>
    <x v="1"/>
    <n v="689"/>
    <n v="0.39"/>
    <n v="522.86"/>
    <n v="0.1"/>
    <n v="381"/>
    <n v="0.08"/>
    <n v="1"/>
    <n v="762.97"/>
    <n v="43"/>
    <n v="0"/>
    <n v="807.95"/>
    <n v="3985.5"/>
    <x v="1"/>
    <n v="1930.57"/>
    <x v="3"/>
    <x v="2"/>
    <n v="70.099999999999994"/>
    <s v="Medium"/>
    <n v="2364.52"/>
    <n v="0"/>
  </r>
  <r>
    <x v="54"/>
    <x v="52"/>
    <n v="1407"/>
    <n v="3875.22"/>
    <n v="2333.25"/>
    <n v="1541.97"/>
    <n v="0.6"/>
    <n v="0.22"/>
    <n v="3223.4"/>
    <x v="1"/>
    <n v="702"/>
    <n v="0.56999999999999995"/>
    <n v="632.05999999999995"/>
    <n v="0.16"/>
    <n v="384.07"/>
    <n v="0.1"/>
    <n v="2"/>
    <n v="1425.48"/>
    <n v="47"/>
    <n v="0"/>
    <n v="736.18"/>
    <n v="2802.01"/>
    <x v="1"/>
    <n v="1465.31"/>
    <x v="5"/>
    <x v="0"/>
    <n v="53.9"/>
    <s v="Medium"/>
    <n v="1541.97"/>
    <n v="0"/>
  </r>
  <r>
    <x v="54"/>
    <x v="52"/>
    <n v="1841"/>
    <n v="4204.2299999999996"/>
    <n v="2972.51"/>
    <n v="1231.72"/>
    <n v="0.71"/>
    <n v="0.34"/>
    <n v="2436.48"/>
    <x v="1"/>
    <n v="726"/>
    <n v="0.28000000000000003"/>
    <n v="377.21"/>
    <n v="0.09"/>
    <n v="741.09"/>
    <n v="0.18"/>
    <n v="6"/>
    <n v="760.8"/>
    <n v="30"/>
    <n v="0"/>
    <n v="840.83"/>
    <n v="2603.14"/>
    <x v="1"/>
    <n v="613.26"/>
    <x v="6"/>
    <x v="0"/>
    <n v="79.3"/>
    <s v="Low"/>
    <n v="1231.72"/>
    <n v="0"/>
  </r>
  <r>
    <x v="54"/>
    <x v="52"/>
    <n v="1028"/>
    <n v="3041.88"/>
    <n v="1357.22"/>
    <n v="1684.66"/>
    <n v="0.45"/>
    <n v="0.33"/>
    <n v="3334.79"/>
    <x v="1"/>
    <n v="725"/>
    <n v="0.28000000000000003"/>
    <n v="428.2"/>
    <n v="0.14000000000000001"/>
    <n v="154.88"/>
    <n v="0.05"/>
    <n v="5"/>
    <n v="1261.02"/>
    <n v="63"/>
    <n v="0"/>
    <n v="499.92"/>
    <n v="2451.77"/>
    <x v="1"/>
    <n v="1465.22"/>
    <x v="1"/>
    <x v="2"/>
    <n v="39.5"/>
    <s v="High"/>
    <n v="1684.66"/>
    <n v="0"/>
  </r>
  <r>
    <x v="54"/>
    <x v="52"/>
    <n v="1066"/>
    <n v="4067.52"/>
    <n v="2794.36"/>
    <n v="1273.1600000000001"/>
    <n v="0.69"/>
    <n v="0.08"/>
    <n v="2498.59"/>
    <x v="2"/>
    <n v="695"/>
    <n v="0.24"/>
    <n v="486.25"/>
    <n v="0.12"/>
    <n v="345.76"/>
    <n v="0.09"/>
    <n v="9"/>
    <n v="1306.22"/>
    <n v="20"/>
    <n v="0"/>
    <n v="439.88"/>
    <n v="2369.63"/>
    <x v="1"/>
    <n v="1339.18"/>
    <x v="2"/>
    <x v="0"/>
    <n v="33.9"/>
    <s v="High"/>
    <n v="1273.1600000000001"/>
    <n v="0"/>
  </r>
  <r>
    <x v="54"/>
    <x v="52"/>
    <n v="1074"/>
    <n v="3982.13"/>
    <n v="2534.66"/>
    <n v="1447.47"/>
    <n v="0.64"/>
    <n v="0.16"/>
    <n v="2466.2800000000002"/>
    <x v="1"/>
    <n v="638"/>
    <n v="0.18"/>
    <n v="735.88"/>
    <n v="0.18"/>
    <n v="527.95000000000005"/>
    <n v="0.13"/>
    <n v="5"/>
    <n v="963.46"/>
    <n v="76"/>
    <n v="0"/>
    <n v="271.3"/>
    <n v="3498.46"/>
    <x v="1"/>
    <n v="1024.55"/>
    <x v="8"/>
    <x v="1"/>
    <n v="42.8"/>
    <s v="Medium"/>
    <n v="1447.47"/>
    <n v="0"/>
  </r>
  <r>
    <x v="54"/>
    <x v="52"/>
    <n v="1738"/>
    <n v="5741.66"/>
    <n v="2394.88"/>
    <n v="3346.78"/>
    <n v="0.42"/>
    <n v="0.32"/>
    <n v="2947.47"/>
    <x v="1"/>
    <n v="706"/>
    <n v="0.54"/>
    <n v="548.53"/>
    <n v="0.1"/>
    <n v="694.92"/>
    <n v="0.12"/>
    <n v="7"/>
    <n v="1337.56"/>
    <n v="72"/>
    <n v="0"/>
    <n v="412.24"/>
    <n v="3188.04"/>
    <x v="1"/>
    <n v="853.71"/>
    <x v="2"/>
    <x v="0"/>
    <n v="33.200000000000003"/>
    <s v="Medium"/>
    <n v="3346.78"/>
    <n v="1"/>
  </r>
  <r>
    <x v="54"/>
    <x v="52"/>
    <n v="1956"/>
    <n v="4961.34"/>
    <n v="4506.68"/>
    <n v="454.66"/>
    <n v="0.91"/>
    <n v="0.19"/>
    <n v="2142.29"/>
    <x v="2"/>
    <n v="634"/>
    <n v="0.28000000000000003"/>
    <n v="402.84"/>
    <n v="0.08"/>
    <n v="465.62"/>
    <n v="0.09"/>
    <n v="4"/>
    <n v="1400.45"/>
    <n v="27"/>
    <n v="0"/>
    <n v="480.03"/>
    <n v="2206.9699999999998"/>
    <x v="0"/>
    <n v="1215.8"/>
    <x v="2"/>
    <x v="2"/>
    <n v="37.4"/>
    <s v="Low"/>
    <n v="454.66"/>
    <n v="0"/>
  </r>
  <r>
    <x v="54"/>
    <x v="52"/>
    <n v="1860"/>
    <n v="4325.3500000000004"/>
    <n v="3511.59"/>
    <n v="813.76"/>
    <n v="0.81"/>
    <n v="0.34"/>
    <n v="3236.06"/>
    <x v="1"/>
    <n v="628"/>
    <n v="0.18"/>
    <n v="547.04999999999995"/>
    <n v="0.13"/>
    <n v="845.94"/>
    <n v="0.2"/>
    <n v="6"/>
    <n v="747.19"/>
    <n v="29"/>
    <n v="0"/>
    <n v="359.72"/>
    <n v="1471.13"/>
    <x v="1"/>
    <n v="1549.11"/>
    <x v="7"/>
    <x v="0"/>
    <n v="75.2"/>
    <s v="Low"/>
    <n v="813.76"/>
    <n v="0"/>
  </r>
  <r>
    <x v="54"/>
    <x v="52"/>
    <n v="1242"/>
    <n v="4842.62"/>
    <n v="3266.11"/>
    <n v="1576.51"/>
    <n v="0.67"/>
    <n v="0.1"/>
    <n v="4274.4399999999996"/>
    <x v="1"/>
    <n v="665"/>
    <n v="0.32"/>
    <n v="419.24"/>
    <n v="0.09"/>
    <n v="783.27"/>
    <n v="0.16"/>
    <n v="4"/>
    <n v="783.15"/>
    <n v="31"/>
    <n v="0"/>
    <n v="368.01"/>
    <n v="1750.69"/>
    <x v="1"/>
    <n v="1276.29"/>
    <x v="3"/>
    <x v="1"/>
    <n v="30.7"/>
    <s v="Low"/>
    <n v="1576.51"/>
    <n v="0"/>
  </r>
  <r>
    <x v="54"/>
    <x v="52"/>
    <n v="1982"/>
    <n v="4127"/>
    <n v="2245.2199999999998"/>
    <n v="1881.78"/>
    <n v="0.54"/>
    <n v="0.08"/>
    <n v="2412.52"/>
    <x v="2"/>
    <n v="637"/>
    <n v="0.25"/>
    <n v="683.2"/>
    <n v="0.17"/>
    <n v="700.22"/>
    <n v="0.17"/>
    <n v="9"/>
    <n v="679.31"/>
    <n v="26"/>
    <n v="0"/>
    <n v="598.07000000000005"/>
    <n v="2167.09"/>
    <x v="1"/>
    <n v="348.28"/>
    <x v="8"/>
    <x v="0"/>
    <n v="40.799999999999997"/>
    <s v="Medium"/>
    <n v="1881.78"/>
    <n v="0"/>
  </r>
  <r>
    <x v="54"/>
    <x v="52"/>
    <n v="1205"/>
    <n v="6335.87"/>
    <n v="2852.62"/>
    <n v="3483.25"/>
    <n v="0.45"/>
    <n v="0.09"/>
    <n v="2414.6999999999998"/>
    <x v="1"/>
    <n v="620"/>
    <n v="0.12"/>
    <n v="401.83"/>
    <n v="0.06"/>
    <n v="289.67"/>
    <n v="0.05"/>
    <n v="5"/>
    <n v="0"/>
    <n v="28"/>
    <n v="0"/>
    <n v="738.65"/>
    <n v="1884.42"/>
    <x v="0"/>
    <n v="1154.75"/>
    <x v="0"/>
    <x v="0"/>
    <n v="33.6"/>
    <s v="Low"/>
    <n v="3483.25"/>
    <n v="1"/>
  </r>
  <r>
    <x v="54"/>
    <x v="52"/>
    <n v="1415"/>
    <n v="3142.27"/>
    <n v="3718.34"/>
    <n v="-576.07000000000005"/>
    <n v="1.18"/>
    <n v="0.05"/>
    <n v="2967.22"/>
    <x v="2"/>
    <n v="691"/>
    <n v="0.52"/>
    <n v="840.2"/>
    <n v="0.27"/>
    <n v="270.62"/>
    <n v="0.09"/>
    <n v="6"/>
    <n v="1129.55"/>
    <n v="53"/>
    <n v="0"/>
    <n v="292.66000000000003"/>
    <n v="1947.45"/>
    <x v="1"/>
    <n v="356.25"/>
    <x v="5"/>
    <x v="0"/>
    <n v="2.5"/>
    <s v="Low"/>
    <n v="0"/>
    <n v="0"/>
  </r>
  <r>
    <x v="54"/>
    <x v="52"/>
    <n v="1746"/>
    <n v="2675.59"/>
    <n v="3161.37"/>
    <n v="-485.78"/>
    <n v="1.18"/>
    <n v="0.21"/>
    <n v="3754.86"/>
    <x v="1"/>
    <n v="679"/>
    <n v="0.21"/>
    <n v="306.99"/>
    <n v="0.11"/>
    <n v="418.89"/>
    <n v="0.16"/>
    <n v="9"/>
    <n v="134.47999999999999"/>
    <n v="54"/>
    <n v="0"/>
    <n v="248.63"/>
    <n v="1759.86"/>
    <x v="1"/>
    <n v="1496.01"/>
    <x v="4"/>
    <x v="0"/>
    <n v="46.2"/>
    <s v="High"/>
    <n v="0"/>
    <n v="0"/>
  </r>
  <r>
    <x v="54"/>
    <x v="52"/>
    <n v="1455"/>
    <n v="2806.32"/>
    <n v="4093.23"/>
    <n v="-1286.9100000000001"/>
    <n v="1.46"/>
    <n v="0.21"/>
    <n v="3950.56"/>
    <x v="1"/>
    <n v="585"/>
    <n v="0.31"/>
    <n v="304.26"/>
    <n v="0.11"/>
    <n v="430.75"/>
    <n v="0.15"/>
    <n v="6"/>
    <n v="1935.16"/>
    <n v="51"/>
    <n v="0"/>
    <n v="461.79"/>
    <n v="1971.24"/>
    <x v="1"/>
    <n v="986.77"/>
    <x v="8"/>
    <x v="0"/>
    <n v="50.5"/>
    <s v="Low"/>
    <n v="0"/>
    <n v="0"/>
  </r>
  <r>
    <x v="54"/>
    <x v="52"/>
    <n v="1999"/>
    <n v="4728.4399999999996"/>
    <n v="1798.07"/>
    <n v="2930.37"/>
    <n v="0.38"/>
    <n v="0.27"/>
    <n v="3081.71"/>
    <x v="1"/>
    <n v="755"/>
    <n v="0.42"/>
    <n v="476.9"/>
    <n v="0.1"/>
    <n v="373.93"/>
    <n v="0.08"/>
    <n v="4"/>
    <n v="831.68"/>
    <n v="87"/>
    <n v="0"/>
    <n v="289.86"/>
    <n v="2583.3000000000002"/>
    <x v="1"/>
    <n v="1572.94"/>
    <x v="9"/>
    <x v="0"/>
    <n v="50.2"/>
    <s v="Low"/>
    <n v="2930.37"/>
    <n v="0"/>
  </r>
  <r>
    <x v="54"/>
    <x v="52"/>
    <n v="1692"/>
    <n v="4930.42"/>
    <n v="2902.08"/>
    <n v="2028.34"/>
    <n v="0.59"/>
    <n v="0.31"/>
    <n v="2682.24"/>
    <x v="1"/>
    <n v="573"/>
    <n v="0.34"/>
    <n v="738.85"/>
    <n v="0.15"/>
    <n v="467.89"/>
    <n v="0.09"/>
    <n v="8"/>
    <n v="866.16"/>
    <n v="85"/>
    <n v="0"/>
    <n v="160.07"/>
    <n v="2534.1799999999998"/>
    <x v="1"/>
    <n v="1906.96"/>
    <x v="6"/>
    <x v="2"/>
    <n v="68.599999999999994"/>
    <s v="Low"/>
    <n v="2028.34"/>
    <n v="0"/>
  </r>
  <r>
    <x v="54"/>
    <x v="52"/>
    <n v="1221"/>
    <n v="2276.96"/>
    <n v="4029.34"/>
    <n v="-1752.38"/>
    <n v="1.77"/>
    <n v="0.38"/>
    <n v="2488.14"/>
    <x v="0"/>
    <n v="791"/>
    <n v="0.27"/>
    <n v="556.08000000000004"/>
    <n v="0.24"/>
    <n v="181.76"/>
    <n v="0.08"/>
    <n v="3"/>
    <n v="1792.75"/>
    <n v="98"/>
    <n v="0"/>
    <n v="668.93"/>
    <n v="1924.56"/>
    <x v="1"/>
    <n v="1099.42"/>
    <x v="5"/>
    <x v="1"/>
    <n v="1.7"/>
    <s v="Low"/>
    <n v="0"/>
    <n v="0"/>
  </r>
  <r>
    <x v="54"/>
    <x v="52"/>
    <n v="1602"/>
    <n v="4318.05"/>
    <n v="4362.03"/>
    <n v="-43.98"/>
    <n v="1.01"/>
    <n v="0.13"/>
    <n v="3770.67"/>
    <x v="1"/>
    <n v="653"/>
    <n v="0.53"/>
    <n v="8.49"/>
    <n v="0"/>
    <n v="392.54"/>
    <n v="0.09"/>
    <n v="1"/>
    <n v="1122.06"/>
    <n v="75"/>
    <n v="0"/>
    <n v="439.68"/>
    <n v="2286.5500000000002"/>
    <x v="0"/>
    <n v="1587.7"/>
    <x v="1"/>
    <x v="2"/>
    <n v="57.6"/>
    <s v="High"/>
    <n v="0"/>
    <n v="0"/>
  </r>
  <r>
    <x v="54"/>
    <x v="52"/>
    <n v="1436"/>
    <n v="5027.1099999999997"/>
    <n v="3672.37"/>
    <n v="1354.74"/>
    <n v="0.73"/>
    <n v="0.05"/>
    <n v="2886.51"/>
    <x v="1"/>
    <n v="688"/>
    <n v="0.6"/>
    <n v="251.19"/>
    <n v="0.05"/>
    <n v="165.75"/>
    <n v="0.03"/>
    <n v="9"/>
    <n v="1151.1600000000001"/>
    <n v="86"/>
    <n v="0"/>
    <n v="330.35"/>
    <n v="2616.5300000000002"/>
    <x v="1"/>
    <n v="1318.21"/>
    <x v="4"/>
    <x v="2"/>
    <n v="28.6"/>
    <s v="Medium"/>
    <n v="1354.74"/>
    <n v="0"/>
  </r>
  <r>
    <x v="54"/>
    <x v="52"/>
    <n v="1993"/>
    <n v="4454.33"/>
    <n v="2760.33"/>
    <n v="1694"/>
    <n v="0.62"/>
    <n v="0.21"/>
    <n v="3128.55"/>
    <x v="2"/>
    <n v="630"/>
    <n v="0.47"/>
    <n v="172.88"/>
    <n v="0.04"/>
    <n v="271.02999999999997"/>
    <n v="0.06"/>
    <n v="6"/>
    <n v="1020.89"/>
    <n v="57"/>
    <n v="0"/>
    <n v="647.48"/>
    <n v="1360.5"/>
    <x v="1"/>
    <n v="1416.99"/>
    <x v="2"/>
    <x v="0"/>
    <n v="69.8"/>
    <s v="Low"/>
    <n v="1694"/>
    <n v="0"/>
  </r>
  <r>
    <x v="54"/>
    <x v="52"/>
    <n v="1140"/>
    <n v="5821.89"/>
    <n v="1317.78"/>
    <n v="4504.1099999999997"/>
    <n v="0.23"/>
    <n v="0.4"/>
    <n v="2351.54"/>
    <x v="0"/>
    <n v="667"/>
    <n v="0.55000000000000004"/>
    <n v="283.45"/>
    <n v="0.05"/>
    <n v="368.32"/>
    <n v="0.06"/>
    <n v="3"/>
    <n v="640.04"/>
    <n v="96"/>
    <n v="0"/>
    <n v="486.38"/>
    <n v="2117.7199999999998"/>
    <x v="1"/>
    <n v="1848.54"/>
    <x v="0"/>
    <x v="0"/>
    <n v="56.1"/>
    <s v="High"/>
    <n v="4504.1099999999997"/>
    <n v="1"/>
  </r>
  <r>
    <x v="54"/>
    <x v="52"/>
    <n v="1756"/>
    <n v="6148.28"/>
    <n v="3945.64"/>
    <n v="2202.64"/>
    <n v="0.64"/>
    <n v="0.26"/>
    <n v="3289"/>
    <x v="1"/>
    <n v="761"/>
    <n v="0.36"/>
    <n v="695.02"/>
    <n v="0.11"/>
    <n v="373.6"/>
    <n v="0.06"/>
    <n v="7"/>
    <n v="1334.54"/>
    <n v="53"/>
    <n v="0"/>
    <n v="459.14"/>
    <n v="2733.34"/>
    <x v="0"/>
    <n v="971.39"/>
    <x v="0"/>
    <x v="1"/>
    <n v="35.5"/>
    <s v="Low"/>
    <n v="2202.64"/>
    <n v="0"/>
  </r>
  <r>
    <x v="54"/>
    <x v="52"/>
    <n v="1639"/>
    <n v="2916.65"/>
    <n v="2782.99"/>
    <n v="133.66"/>
    <n v="0.95"/>
    <n v="0.09"/>
    <n v="3034"/>
    <x v="1"/>
    <n v="633"/>
    <n v="0.56000000000000005"/>
    <n v="292.5"/>
    <n v="0.1"/>
    <n v="479.27"/>
    <n v="0.16"/>
    <n v="2"/>
    <n v="1296.3499999999999"/>
    <n v="23"/>
    <n v="0"/>
    <n v="242.31"/>
    <n v="2895.38"/>
    <x v="1"/>
    <n v="1054.44"/>
    <x v="8"/>
    <x v="1"/>
    <n v="92.2"/>
    <s v="Low"/>
    <n v="133.66"/>
    <n v="0"/>
  </r>
  <r>
    <x v="54"/>
    <x v="52"/>
    <n v="1035"/>
    <n v="4539.13"/>
    <n v="2054.2399999999998"/>
    <n v="2484.89"/>
    <n v="0.45"/>
    <n v="0.28000000000000003"/>
    <n v="2903.91"/>
    <x v="2"/>
    <n v="722"/>
    <n v="0.37"/>
    <n v="234.02"/>
    <n v="0.05"/>
    <n v="200.67"/>
    <n v="0.04"/>
    <n v="3"/>
    <n v="961.32"/>
    <n v="91"/>
    <n v="0"/>
    <n v="271.68"/>
    <n v="2101.08"/>
    <x v="1"/>
    <n v="1373.14"/>
    <x v="5"/>
    <x v="2"/>
    <n v="41.5"/>
    <s v="Low"/>
    <n v="2484.89"/>
    <n v="0"/>
  </r>
  <r>
    <x v="54"/>
    <x v="52"/>
    <n v="1984"/>
    <n v="4376.63"/>
    <n v="2224.34"/>
    <n v="2152.29"/>
    <n v="0.51"/>
    <n v="0.13"/>
    <n v="3019.67"/>
    <x v="0"/>
    <n v="660"/>
    <n v="0.14000000000000001"/>
    <n v="779.2"/>
    <n v="0.18"/>
    <n v="777.94"/>
    <n v="0.18"/>
    <n v="5"/>
    <n v="1066.5"/>
    <n v="70"/>
    <n v="0"/>
    <n v="424.02"/>
    <n v="2735.93"/>
    <x v="1"/>
    <n v="1043.83"/>
    <x v="6"/>
    <x v="0"/>
    <n v="8.4"/>
    <s v="Low"/>
    <n v="2152.29"/>
    <n v="0"/>
  </r>
  <r>
    <x v="54"/>
    <x v="52"/>
    <n v="1304"/>
    <n v="2774.17"/>
    <n v="2898.15"/>
    <n v="-123.98"/>
    <n v="1.04"/>
    <n v="0.34"/>
    <n v="2875.4"/>
    <x v="1"/>
    <n v="638"/>
    <n v="0.43"/>
    <n v="645.61"/>
    <n v="0.23"/>
    <n v="809.62"/>
    <n v="0.28999999999999998"/>
    <n v="5"/>
    <n v="1270.6099999999999"/>
    <n v="84"/>
    <n v="0"/>
    <n v="554.37"/>
    <n v="2406.7800000000002"/>
    <x v="1"/>
    <n v="661.78"/>
    <x v="6"/>
    <x v="0"/>
    <n v="0.5"/>
    <s v="Low"/>
    <n v="0"/>
    <n v="0"/>
  </r>
  <r>
    <x v="54"/>
    <x v="52"/>
    <n v="1259"/>
    <n v="5208.09"/>
    <n v="2593.6799999999998"/>
    <n v="2614.41"/>
    <n v="0.5"/>
    <n v="0.16"/>
    <n v="2931.37"/>
    <x v="0"/>
    <n v="754"/>
    <n v="0.41"/>
    <n v="550.98"/>
    <n v="0.11"/>
    <n v="448.71"/>
    <n v="0.09"/>
    <n v="1"/>
    <n v="1748.03"/>
    <n v="92"/>
    <n v="0"/>
    <n v="579.29999999999995"/>
    <n v="2205.41"/>
    <x v="1"/>
    <n v="1075.27"/>
    <x v="3"/>
    <x v="1"/>
    <n v="47.6"/>
    <s v="Medium"/>
    <n v="2614.41"/>
    <n v="0"/>
  </r>
  <r>
    <x v="54"/>
    <x v="52"/>
    <n v="1919"/>
    <n v="3439.29"/>
    <n v="3526.43"/>
    <n v="-87.14"/>
    <n v="1.03"/>
    <n v="0.18"/>
    <n v="2635.15"/>
    <x v="1"/>
    <n v="593"/>
    <n v="0.18"/>
    <n v="650.91999999999996"/>
    <n v="0.19"/>
    <n v="365.01"/>
    <n v="0.11"/>
    <n v="4"/>
    <n v="1765.09"/>
    <n v="83"/>
    <n v="0"/>
    <n v="432.86"/>
    <n v="1938.33"/>
    <x v="1"/>
    <n v="916.6"/>
    <x v="4"/>
    <x v="0"/>
    <n v="32.700000000000003"/>
    <s v="Low"/>
    <n v="0"/>
    <n v="0"/>
  </r>
  <r>
    <x v="54"/>
    <x v="52"/>
    <n v="1628"/>
    <n v="4505.88"/>
    <n v="3163.56"/>
    <n v="1342.32"/>
    <n v="0.7"/>
    <n v="0.28999999999999998"/>
    <n v="2157.48"/>
    <x v="2"/>
    <n v="759"/>
    <n v="0.27"/>
    <n v="135.88999999999999"/>
    <n v="0.03"/>
    <n v="917.85"/>
    <n v="0.2"/>
    <n v="3"/>
    <n v="957.09"/>
    <n v="79"/>
    <n v="0"/>
    <n v="1053.5999999999999"/>
    <n v="2116.9499999999998"/>
    <x v="1"/>
    <n v="948.3"/>
    <x v="7"/>
    <x v="2"/>
    <n v="0.2"/>
    <s v="Low"/>
    <n v="1342.32"/>
    <n v="0"/>
  </r>
  <r>
    <x v="54"/>
    <x v="52"/>
    <n v="1367"/>
    <n v="5792.43"/>
    <n v="3796.08"/>
    <n v="1996.35"/>
    <n v="0.66"/>
    <n v="0.4"/>
    <n v="2173.0300000000002"/>
    <x v="1"/>
    <n v="682"/>
    <n v="0.16"/>
    <n v="424.06"/>
    <n v="7.0000000000000007E-2"/>
    <n v="213.55"/>
    <n v="0.04"/>
    <n v="3"/>
    <n v="1345.83"/>
    <n v="36"/>
    <n v="0"/>
    <n v="721.06"/>
    <n v="2176.12"/>
    <x v="1"/>
    <n v="748.25"/>
    <x v="7"/>
    <x v="0"/>
    <n v="80.900000000000006"/>
    <s v="High"/>
    <n v="1996.35"/>
    <n v="0"/>
  </r>
  <r>
    <x v="54"/>
    <x v="52"/>
    <n v="1525"/>
    <n v="4407.4399999999996"/>
    <n v="2683.39"/>
    <n v="1724.05"/>
    <n v="0.61"/>
    <n v="0.13"/>
    <n v="2545.35"/>
    <x v="1"/>
    <n v="625"/>
    <n v="0.44"/>
    <n v="442.04"/>
    <n v="0.1"/>
    <n v="547.04"/>
    <n v="0.12"/>
    <n v="4"/>
    <n v="209.57"/>
    <n v="45"/>
    <n v="0"/>
    <n v="349.12"/>
    <n v="2416.0500000000002"/>
    <x v="1"/>
    <n v="1150.3800000000001"/>
    <x v="5"/>
    <x v="0"/>
    <n v="60.6"/>
    <s v="Low"/>
    <n v="1724.05"/>
    <n v="0"/>
  </r>
  <r>
    <x v="54"/>
    <x v="52"/>
    <n v="1137"/>
    <n v="5069.41"/>
    <n v="3163.55"/>
    <n v="1905.86"/>
    <n v="0.62"/>
    <n v="0.35"/>
    <n v="2332.08"/>
    <x v="2"/>
    <n v="636"/>
    <n v="0.59"/>
    <n v="895.85"/>
    <n v="0.18"/>
    <n v="0"/>
    <n v="0"/>
    <n v="9"/>
    <n v="934.81"/>
    <n v="81"/>
    <n v="0"/>
    <n v="370.07"/>
    <n v="2682.15"/>
    <x v="1"/>
    <n v="1185.6199999999999"/>
    <x v="3"/>
    <x v="0"/>
    <n v="31"/>
    <s v="Low"/>
    <n v="1905.86"/>
    <n v="0"/>
  </r>
  <r>
    <x v="54"/>
    <x v="52"/>
    <n v="1967"/>
    <n v="4158.12"/>
    <n v="4342.91"/>
    <n v="-184.79"/>
    <n v="1.04"/>
    <n v="0.13"/>
    <n v="2856.85"/>
    <x v="1"/>
    <n v="722"/>
    <n v="0.55000000000000004"/>
    <n v="412.76"/>
    <n v="0.1"/>
    <n v="383.22"/>
    <n v="0.09"/>
    <n v="3"/>
    <n v="1623.24"/>
    <n v="20"/>
    <n v="0"/>
    <n v="576.14"/>
    <n v="1125.19"/>
    <x v="1"/>
    <n v="839.25"/>
    <x v="6"/>
    <x v="0"/>
    <n v="9.6"/>
    <s v="Low"/>
    <n v="0"/>
    <n v="0"/>
  </r>
  <r>
    <x v="55"/>
    <x v="53"/>
    <n v="1477"/>
    <n v="5578.55"/>
    <n v="2600.71"/>
    <n v="2977.84"/>
    <n v="0.47"/>
    <n v="0.06"/>
    <n v="1942.39"/>
    <x v="2"/>
    <n v="700"/>
    <n v="0.45"/>
    <n v="262.58"/>
    <n v="0.05"/>
    <n v="813.12"/>
    <n v="0.15"/>
    <n v="3"/>
    <n v="1379.9"/>
    <n v="74"/>
    <n v="0"/>
    <n v="473.79"/>
    <n v="2580.5700000000002"/>
    <x v="0"/>
    <n v="1051.48"/>
    <x v="6"/>
    <x v="2"/>
    <n v="53.8"/>
    <s v="Medium"/>
    <n v="2977.84"/>
    <n v="1"/>
  </r>
  <r>
    <x v="55"/>
    <x v="53"/>
    <n v="1962"/>
    <n v="5514.81"/>
    <n v="2614.04"/>
    <n v="2900.77"/>
    <n v="0.47"/>
    <n v="0.08"/>
    <n v="3259.67"/>
    <x v="1"/>
    <n v="703"/>
    <n v="0.11"/>
    <n v="809.86"/>
    <n v="0.15"/>
    <n v="28.65"/>
    <n v="0.01"/>
    <n v="3"/>
    <n v="1074.75"/>
    <n v="81"/>
    <n v="0"/>
    <n v="450.6"/>
    <n v="2559.54"/>
    <x v="0"/>
    <n v="1385.43"/>
    <x v="8"/>
    <x v="0"/>
    <n v="58.3"/>
    <s v="Low"/>
    <n v="2900.77"/>
    <n v="0"/>
  </r>
  <r>
    <x v="55"/>
    <x v="53"/>
    <n v="1351"/>
    <n v="5500.56"/>
    <n v="2501.94"/>
    <n v="2998.62"/>
    <n v="0.45"/>
    <n v="0.34"/>
    <n v="3216.31"/>
    <x v="1"/>
    <n v="678"/>
    <n v="0.17"/>
    <n v="131.91999999999999"/>
    <n v="0.02"/>
    <n v="0"/>
    <n v="0"/>
    <n v="1"/>
    <n v="479.11"/>
    <n v="41"/>
    <n v="0"/>
    <n v="416.96"/>
    <n v="1793.33"/>
    <x v="1"/>
    <n v="739.18"/>
    <x v="2"/>
    <x v="0"/>
    <n v="49.5"/>
    <s v="Low"/>
    <n v="2998.62"/>
    <n v="0"/>
  </r>
  <r>
    <x v="55"/>
    <x v="53"/>
    <n v="1623"/>
    <n v="3884.77"/>
    <n v="3691.02"/>
    <n v="193.75"/>
    <n v="0.95"/>
    <n v="0.34"/>
    <n v="3562.9"/>
    <x v="2"/>
    <n v="640"/>
    <n v="0.22"/>
    <n v="762.35"/>
    <n v="0.2"/>
    <n v="545.5"/>
    <n v="0.14000000000000001"/>
    <n v="5"/>
    <n v="660.4"/>
    <n v="34"/>
    <n v="0"/>
    <n v="494.58"/>
    <n v="2567.83"/>
    <x v="1"/>
    <n v="1713.33"/>
    <x v="6"/>
    <x v="0"/>
    <n v="16.600000000000001"/>
    <s v="Low"/>
    <n v="193.75"/>
    <n v="0"/>
  </r>
  <r>
    <x v="55"/>
    <x v="53"/>
    <n v="1502"/>
    <n v="3919.48"/>
    <n v="4018.3"/>
    <n v="-98.82"/>
    <n v="1.03"/>
    <n v="0.38"/>
    <n v="3114.94"/>
    <x v="1"/>
    <n v="636"/>
    <n v="0.49"/>
    <n v="505.75"/>
    <n v="0.13"/>
    <n v="751.48"/>
    <n v="0.19"/>
    <n v="4"/>
    <n v="776.84"/>
    <n v="53"/>
    <n v="0"/>
    <n v="569.04999999999995"/>
    <n v="1844.03"/>
    <x v="1"/>
    <n v="844.06"/>
    <x v="1"/>
    <x v="1"/>
    <n v="98.9"/>
    <s v="Low"/>
    <n v="0"/>
    <n v="0"/>
  </r>
  <r>
    <x v="55"/>
    <x v="53"/>
    <n v="1264"/>
    <n v="3799.96"/>
    <n v="2805.6"/>
    <n v="994.36"/>
    <n v="0.74"/>
    <n v="0.3"/>
    <n v="2303.62"/>
    <x v="1"/>
    <n v="680"/>
    <n v="0.23"/>
    <n v="620.46"/>
    <n v="0.16"/>
    <n v="492.23"/>
    <n v="0.13"/>
    <n v="2"/>
    <n v="984.63"/>
    <n v="60"/>
    <n v="0"/>
    <n v="388.87"/>
    <n v="2869.47"/>
    <x v="1"/>
    <n v="1541.04"/>
    <x v="3"/>
    <x v="2"/>
    <n v="81.599999999999994"/>
    <s v="Low"/>
    <n v="994.36"/>
    <n v="0"/>
  </r>
  <r>
    <x v="55"/>
    <x v="53"/>
    <n v="1116"/>
    <n v="3355.81"/>
    <n v="1753.15"/>
    <n v="1602.66"/>
    <n v="0.52"/>
    <n v="0.1"/>
    <n v="2842.88"/>
    <x v="1"/>
    <n v="693"/>
    <n v="0.18"/>
    <n v="402.8"/>
    <n v="0.12"/>
    <n v="332.02"/>
    <n v="0.1"/>
    <n v="2"/>
    <n v="1025.8"/>
    <n v="23"/>
    <n v="0"/>
    <n v="704.16"/>
    <n v="1112.07"/>
    <x v="1"/>
    <n v="1382.81"/>
    <x v="8"/>
    <x v="0"/>
    <n v="41.5"/>
    <s v="Low"/>
    <n v="1602.66"/>
    <n v="0"/>
  </r>
  <r>
    <x v="55"/>
    <x v="53"/>
    <n v="1434"/>
    <n v="4446.0200000000004"/>
    <n v="2300.56"/>
    <n v="2145.46"/>
    <n v="0.52"/>
    <n v="0.16"/>
    <n v="2752.25"/>
    <x v="1"/>
    <n v="686"/>
    <n v="0.26"/>
    <n v="674.53"/>
    <n v="0.15"/>
    <n v="276.35000000000002"/>
    <n v="0.06"/>
    <n v="6"/>
    <n v="604.39"/>
    <n v="52"/>
    <n v="0"/>
    <n v="414.36"/>
    <n v="1584.9"/>
    <x v="1"/>
    <n v="901.47"/>
    <x v="9"/>
    <x v="2"/>
    <n v="64.2"/>
    <s v="Low"/>
    <n v="2145.46"/>
    <n v="0"/>
  </r>
  <r>
    <x v="55"/>
    <x v="53"/>
    <n v="1771"/>
    <n v="1173.6099999999999"/>
    <n v="2401.41"/>
    <n v="-1227.8"/>
    <n v="2.0499999999999998"/>
    <n v="0.06"/>
    <n v="3050.65"/>
    <x v="0"/>
    <n v="624"/>
    <n v="0.48"/>
    <n v="243.72"/>
    <n v="0.21"/>
    <n v="387.34"/>
    <n v="0.33"/>
    <n v="5"/>
    <n v="561.29999999999995"/>
    <n v="47"/>
    <n v="0"/>
    <n v="330"/>
    <n v="2337.4499999999998"/>
    <x v="1"/>
    <n v="1398.66"/>
    <x v="5"/>
    <x v="0"/>
    <n v="4.3"/>
    <s v="Low"/>
    <n v="0"/>
    <n v="0"/>
  </r>
  <r>
    <x v="55"/>
    <x v="53"/>
    <n v="1160"/>
    <n v="3854.53"/>
    <n v="2141.09"/>
    <n v="1713.44"/>
    <n v="0.56000000000000005"/>
    <n v="0.31"/>
    <n v="2531.1"/>
    <x v="1"/>
    <n v="677"/>
    <n v="0.27"/>
    <n v="313.39999999999998"/>
    <n v="0.08"/>
    <n v="27.85"/>
    <n v="0.01"/>
    <n v="3"/>
    <n v="108.19"/>
    <n v="43"/>
    <n v="0"/>
    <n v="656.06"/>
    <n v="2299.9"/>
    <x v="1"/>
    <n v="1082.03"/>
    <x v="0"/>
    <x v="0"/>
    <n v="77.3"/>
    <s v="Low"/>
    <n v="1713.44"/>
    <n v="0"/>
  </r>
  <r>
    <x v="55"/>
    <x v="53"/>
    <n v="1164"/>
    <n v="5136.3100000000004"/>
    <n v="1769.91"/>
    <n v="3366.4"/>
    <n v="0.34"/>
    <n v="0.16"/>
    <n v="2880.24"/>
    <x v="1"/>
    <n v="664"/>
    <n v="0.19"/>
    <n v="534.33000000000004"/>
    <n v="0.1"/>
    <n v="566.83000000000004"/>
    <n v="0.11"/>
    <n v="2"/>
    <n v="1868.06"/>
    <n v="56"/>
    <n v="0"/>
    <n v="525.61"/>
    <n v="3150.4"/>
    <x v="2"/>
    <n v="1501.18"/>
    <x v="3"/>
    <x v="0"/>
    <n v="26.5"/>
    <s v="Low"/>
    <n v="3366.4"/>
    <n v="1"/>
  </r>
  <r>
    <x v="55"/>
    <x v="53"/>
    <n v="1232"/>
    <n v="4921.25"/>
    <n v="2742.33"/>
    <n v="2178.92"/>
    <n v="0.56000000000000005"/>
    <n v="0.31"/>
    <n v="2781.88"/>
    <x v="0"/>
    <n v="598"/>
    <n v="0.19"/>
    <n v="84.26"/>
    <n v="0.02"/>
    <n v="488.71"/>
    <n v="0.1"/>
    <n v="1"/>
    <n v="1688.49"/>
    <n v="33"/>
    <n v="0"/>
    <n v="770.71"/>
    <n v="2036.08"/>
    <x v="0"/>
    <n v="1462.89"/>
    <x v="6"/>
    <x v="0"/>
    <n v="15.6"/>
    <s v="Low"/>
    <n v="2178.92"/>
    <n v="0"/>
  </r>
  <r>
    <x v="55"/>
    <x v="53"/>
    <n v="1665"/>
    <n v="3671.09"/>
    <n v="2923.05"/>
    <n v="748.04"/>
    <n v="0.8"/>
    <n v="0.08"/>
    <n v="2535.11"/>
    <x v="1"/>
    <n v="682"/>
    <n v="0.38"/>
    <n v="831.75"/>
    <n v="0.23"/>
    <n v="696.62"/>
    <n v="0.19"/>
    <n v="6"/>
    <n v="1679.63"/>
    <n v="22"/>
    <n v="0"/>
    <n v="571.75"/>
    <n v="2932.55"/>
    <x v="1"/>
    <n v="1680.64"/>
    <x v="5"/>
    <x v="0"/>
    <n v="9.4"/>
    <s v="Low"/>
    <n v="748.04"/>
    <n v="0"/>
  </r>
  <r>
    <x v="55"/>
    <x v="53"/>
    <n v="1209"/>
    <n v="4549.54"/>
    <n v="1973.98"/>
    <n v="2575.56"/>
    <n v="0.43"/>
    <n v="0.19"/>
    <n v="2924.06"/>
    <x v="1"/>
    <n v="580"/>
    <n v="0.13"/>
    <n v="615.51"/>
    <n v="0.14000000000000001"/>
    <n v="138.1"/>
    <n v="0.03"/>
    <n v="1"/>
    <n v="1656.05"/>
    <n v="59"/>
    <n v="0"/>
    <n v="739.52"/>
    <n v="2050.27"/>
    <x v="0"/>
    <n v="678.67"/>
    <x v="1"/>
    <x v="0"/>
    <n v="80.400000000000006"/>
    <s v="Medium"/>
    <n v="2575.56"/>
    <n v="0"/>
  </r>
  <r>
    <x v="55"/>
    <x v="53"/>
    <n v="1200"/>
    <n v="3856.03"/>
    <n v="2716.07"/>
    <n v="1139.96"/>
    <n v="0.7"/>
    <n v="0.22"/>
    <n v="3597.22"/>
    <x v="1"/>
    <n v="724"/>
    <n v="0.42"/>
    <n v="373.62"/>
    <n v="0.1"/>
    <n v="47.13"/>
    <n v="0.01"/>
    <n v="6"/>
    <n v="1085.73"/>
    <n v="56"/>
    <n v="0"/>
    <n v="262.19"/>
    <n v="1709.08"/>
    <x v="2"/>
    <n v="733.62"/>
    <x v="3"/>
    <x v="2"/>
    <n v="25.7"/>
    <s v="Low"/>
    <n v="1139.96"/>
    <n v="0"/>
  </r>
  <r>
    <x v="55"/>
    <x v="53"/>
    <n v="1372"/>
    <n v="4660.79"/>
    <n v="3880.61"/>
    <n v="780.18"/>
    <n v="0.83"/>
    <n v="0.3"/>
    <n v="3609.07"/>
    <x v="0"/>
    <n v="642"/>
    <n v="0.28999999999999998"/>
    <n v="461.27"/>
    <n v="0.1"/>
    <n v="458.26"/>
    <n v="0.1"/>
    <n v="9"/>
    <n v="824.4"/>
    <n v="50"/>
    <n v="0"/>
    <n v="380.99"/>
    <n v="2688.15"/>
    <x v="1"/>
    <n v="1241.3699999999999"/>
    <x v="6"/>
    <x v="2"/>
    <n v="46.6"/>
    <s v="Medium"/>
    <n v="780.18"/>
    <n v="0"/>
  </r>
  <r>
    <x v="55"/>
    <x v="53"/>
    <n v="1953"/>
    <n v="5446.06"/>
    <n v="1940.35"/>
    <n v="3505.71"/>
    <n v="0.36"/>
    <n v="0.3"/>
    <n v="3573.82"/>
    <x v="1"/>
    <n v="691"/>
    <n v="0.39"/>
    <n v="701.93"/>
    <n v="0.13"/>
    <n v="566.91999999999996"/>
    <n v="0.1"/>
    <n v="6"/>
    <n v="1754"/>
    <n v="72"/>
    <n v="1"/>
    <n v="404.45"/>
    <n v="1984.99"/>
    <x v="1"/>
    <n v="779.18"/>
    <x v="0"/>
    <x v="0"/>
    <n v="67.3"/>
    <s v="Low"/>
    <n v="3505.71"/>
    <n v="0"/>
  </r>
  <r>
    <x v="55"/>
    <x v="53"/>
    <n v="1136"/>
    <n v="1614.72"/>
    <n v="2933.36"/>
    <n v="-1318.64"/>
    <n v="1.82"/>
    <n v="0.15"/>
    <n v="2805.56"/>
    <x v="2"/>
    <n v="714"/>
    <n v="0.26"/>
    <n v="350.78"/>
    <n v="0.22"/>
    <n v="98.6"/>
    <n v="0.06"/>
    <n v="2"/>
    <n v="1839.47"/>
    <n v="79"/>
    <n v="0"/>
    <n v="682.9"/>
    <n v="1868"/>
    <x v="1"/>
    <n v="1024.71"/>
    <x v="3"/>
    <x v="1"/>
    <n v="48"/>
    <s v="Medium"/>
    <n v="0"/>
    <n v="0"/>
  </r>
  <r>
    <x v="55"/>
    <x v="53"/>
    <n v="1445"/>
    <n v="4819.5200000000004"/>
    <n v="3501.91"/>
    <n v="1317.61"/>
    <n v="0.73"/>
    <n v="0.23"/>
    <n v="2376.83"/>
    <x v="1"/>
    <n v="727"/>
    <n v="0.26"/>
    <n v="489.85"/>
    <n v="0.1"/>
    <n v="239.73"/>
    <n v="0.05"/>
    <n v="4"/>
    <n v="1206.69"/>
    <n v="48"/>
    <n v="0"/>
    <n v="733.42"/>
    <n v="2703.57"/>
    <x v="1"/>
    <n v="751.67"/>
    <x v="2"/>
    <x v="0"/>
    <n v="61.6"/>
    <s v="Low"/>
    <n v="1317.61"/>
    <n v="0"/>
  </r>
  <r>
    <x v="55"/>
    <x v="53"/>
    <n v="1455"/>
    <n v="3413.57"/>
    <n v="2147.13"/>
    <n v="1266.44"/>
    <n v="0.63"/>
    <n v="0.38"/>
    <n v="3145.49"/>
    <x v="0"/>
    <n v="683"/>
    <n v="0.56000000000000005"/>
    <n v="547.79"/>
    <n v="0.16"/>
    <n v="742.08"/>
    <n v="0.22"/>
    <n v="4"/>
    <n v="1708.4"/>
    <n v="27"/>
    <n v="0"/>
    <n v="362.01"/>
    <n v="1209.94"/>
    <x v="1"/>
    <n v="545.04"/>
    <x v="5"/>
    <x v="2"/>
    <n v="68.2"/>
    <s v="High"/>
    <n v="1266.44"/>
    <n v="0"/>
  </r>
  <r>
    <x v="55"/>
    <x v="53"/>
    <n v="1077"/>
    <n v="4526.3100000000004"/>
    <n v="3865.95"/>
    <n v="660.36"/>
    <n v="0.85"/>
    <n v="0.2"/>
    <n v="2535.6999999999998"/>
    <x v="1"/>
    <n v="634"/>
    <n v="0.18"/>
    <n v="424.93"/>
    <n v="0.09"/>
    <n v="531.63"/>
    <n v="0.12"/>
    <n v="3"/>
    <n v="1338.79"/>
    <n v="76"/>
    <n v="0"/>
    <n v="365.54"/>
    <n v="1700.11"/>
    <x v="1"/>
    <n v="1568.28"/>
    <x v="5"/>
    <x v="0"/>
    <n v="13.9"/>
    <s v="Low"/>
    <n v="660.36"/>
    <n v="0"/>
  </r>
  <r>
    <x v="55"/>
    <x v="53"/>
    <n v="1457"/>
    <n v="4367.8900000000003"/>
    <n v="4373.6099999999997"/>
    <n v="-5.72"/>
    <n v="1"/>
    <n v="0.1"/>
    <n v="2428.25"/>
    <x v="0"/>
    <n v="661"/>
    <n v="0.42"/>
    <n v="964.23"/>
    <n v="0.22"/>
    <n v="168.69"/>
    <n v="0.04"/>
    <n v="4"/>
    <n v="617.96"/>
    <n v="51"/>
    <n v="0"/>
    <n v="174.09"/>
    <n v="2727.54"/>
    <x v="0"/>
    <n v="796.51"/>
    <x v="2"/>
    <x v="0"/>
    <n v="2.7"/>
    <s v="Medium"/>
    <n v="0"/>
    <n v="0"/>
  </r>
  <r>
    <x v="55"/>
    <x v="53"/>
    <n v="1885"/>
    <n v="4399.97"/>
    <n v="3064.82"/>
    <n v="1335.15"/>
    <n v="0.7"/>
    <n v="0.32"/>
    <n v="3290.92"/>
    <x v="0"/>
    <n v="713"/>
    <n v="0.35"/>
    <n v="505.86"/>
    <n v="0.11"/>
    <n v="512.75"/>
    <n v="0.12"/>
    <n v="4"/>
    <n v="1337.81"/>
    <n v="41"/>
    <n v="0"/>
    <n v="475.47"/>
    <n v="2887.04"/>
    <x v="1"/>
    <n v="1768.93"/>
    <x v="7"/>
    <x v="0"/>
    <n v="13.1"/>
    <s v="Low"/>
    <n v="1335.15"/>
    <n v="0"/>
  </r>
  <r>
    <x v="55"/>
    <x v="53"/>
    <n v="1963"/>
    <n v="4536.0200000000004"/>
    <n v="3238.7"/>
    <n v="1297.32"/>
    <n v="0.71"/>
    <n v="0.22"/>
    <n v="3440.09"/>
    <x v="1"/>
    <n v="739"/>
    <n v="0.57999999999999996"/>
    <n v="419.33"/>
    <n v="0.09"/>
    <n v="0"/>
    <n v="0"/>
    <n v="8"/>
    <n v="1167.48"/>
    <n v="28"/>
    <n v="0"/>
    <n v="742.77"/>
    <n v="1663.02"/>
    <x v="0"/>
    <n v="558.91"/>
    <x v="3"/>
    <x v="0"/>
    <n v="21.2"/>
    <s v="High"/>
    <n v="1297.32"/>
    <n v="0"/>
  </r>
  <r>
    <x v="55"/>
    <x v="53"/>
    <n v="1015"/>
    <n v="4943.74"/>
    <n v="2702.74"/>
    <n v="2241"/>
    <n v="0.55000000000000004"/>
    <n v="0.24"/>
    <n v="2492.64"/>
    <x v="1"/>
    <n v="697"/>
    <n v="0.36"/>
    <n v="360.77"/>
    <n v="7.0000000000000007E-2"/>
    <n v="515.63"/>
    <n v="0.1"/>
    <n v="9"/>
    <n v="922.69"/>
    <n v="56"/>
    <n v="0"/>
    <n v="376.04"/>
    <n v="2128.69"/>
    <x v="1"/>
    <n v="1027.55"/>
    <x v="8"/>
    <x v="0"/>
    <n v="41.7"/>
    <s v="High"/>
    <n v="2241"/>
    <n v="0"/>
  </r>
  <r>
    <x v="55"/>
    <x v="53"/>
    <n v="1482"/>
    <n v="4848.42"/>
    <n v="2249.9899999999998"/>
    <n v="2598.4299999999998"/>
    <n v="0.46"/>
    <n v="0.35"/>
    <n v="4187.3"/>
    <x v="1"/>
    <n v="660"/>
    <n v="0.19"/>
    <n v="209.79"/>
    <n v="0.04"/>
    <n v="818.79"/>
    <n v="0.17"/>
    <n v="6"/>
    <n v="973.52"/>
    <n v="85"/>
    <n v="0"/>
    <n v="606.61"/>
    <n v="2530.02"/>
    <x v="1"/>
    <n v="1299.04"/>
    <x v="6"/>
    <x v="0"/>
    <n v="71.2"/>
    <s v="Low"/>
    <n v="2598.4299999999998"/>
    <n v="0"/>
  </r>
  <r>
    <x v="55"/>
    <x v="53"/>
    <n v="1041"/>
    <n v="3716.17"/>
    <n v="3544.98"/>
    <n v="171.19"/>
    <n v="0.95"/>
    <n v="0.05"/>
    <n v="3161.94"/>
    <x v="1"/>
    <n v="722"/>
    <n v="0.13"/>
    <n v="612.74"/>
    <n v="0.16"/>
    <n v="383.06"/>
    <n v="0.1"/>
    <n v="2"/>
    <n v="251.83"/>
    <n v="85"/>
    <n v="0"/>
    <n v="628.02"/>
    <n v="2551.4699999999998"/>
    <x v="1"/>
    <n v="1084.3699999999999"/>
    <x v="7"/>
    <x v="0"/>
    <n v="95.6"/>
    <s v="Low"/>
    <n v="171.19"/>
    <n v="0"/>
  </r>
  <r>
    <x v="55"/>
    <x v="53"/>
    <n v="1465"/>
    <n v="3947.97"/>
    <n v="3503.65"/>
    <n v="444.32"/>
    <n v="0.89"/>
    <n v="0.16"/>
    <n v="3010.65"/>
    <x v="1"/>
    <n v="664"/>
    <n v="0.3"/>
    <n v="242.14"/>
    <n v="0.06"/>
    <n v="147.58000000000001"/>
    <n v="0.04"/>
    <n v="5"/>
    <n v="198.02"/>
    <n v="59"/>
    <n v="0"/>
    <n v="711.65"/>
    <n v="1320.08"/>
    <x v="1"/>
    <n v="855.14"/>
    <x v="6"/>
    <x v="0"/>
    <n v="56.6"/>
    <s v="Low"/>
    <n v="444.32"/>
    <n v="0"/>
  </r>
  <r>
    <x v="55"/>
    <x v="53"/>
    <n v="1584"/>
    <n v="3614.02"/>
    <n v="4034.21"/>
    <n v="-420.19"/>
    <n v="1.1200000000000001"/>
    <n v="0.21"/>
    <n v="2963.34"/>
    <x v="0"/>
    <n v="766"/>
    <n v="0.13"/>
    <n v="181.87"/>
    <n v="0.05"/>
    <n v="687.02"/>
    <n v="0.19"/>
    <n v="3"/>
    <n v="1434.48"/>
    <n v="62"/>
    <n v="0"/>
    <n v="637.82000000000005"/>
    <n v="4245.8999999999996"/>
    <x v="1"/>
    <n v="1470.3"/>
    <x v="7"/>
    <x v="0"/>
    <n v="4.9000000000000004"/>
    <s v="Medium"/>
    <n v="0"/>
    <n v="0"/>
  </r>
  <r>
    <x v="55"/>
    <x v="53"/>
    <n v="1654"/>
    <n v="2206.67"/>
    <n v="3300"/>
    <n v="-1093.33"/>
    <n v="1.5"/>
    <n v="0.06"/>
    <n v="2431.5700000000002"/>
    <x v="1"/>
    <n v="659"/>
    <n v="0.56999999999999995"/>
    <n v="672.7"/>
    <n v="0.3"/>
    <n v="327.69"/>
    <n v="0.15"/>
    <n v="7"/>
    <n v="1004.94"/>
    <n v="34"/>
    <n v="0"/>
    <n v="89.76"/>
    <n v="1114.99"/>
    <x v="1"/>
    <n v="748.39"/>
    <x v="1"/>
    <x v="0"/>
    <n v="28.1"/>
    <s v="Low"/>
    <n v="0"/>
    <n v="0"/>
  </r>
  <r>
    <x v="55"/>
    <x v="53"/>
    <n v="1395"/>
    <n v="4840.18"/>
    <n v="2825"/>
    <n v="2015.18"/>
    <n v="0.57999999999999996"/>
    <n v="0.16"/>
    <n v="3034.11"/>
    <x v="0"/>
    <n v="622"/>
    <n v="0.49"/>
    <n v="154.44999999999999"/>
    <n v="0.03"/>
    <n v="128.43"/>
    <n v="0.03"/>
    <n v="4"/>
    <n v="692.75"/>
    <n v="35"/>
    <n v="0"/>
    <n v="838.39"/>
    <n v="1863.48"/>
    <x v="1"/>
    <n v="992.18"/>
    <x v="3"/>
    <x v="1"/>
    <n v="24.6"/>
    <s v="Low"/>
    <n v="2015.18"/>
    <n v="0"/>
  </r>
  <r>
    <x v="55"/>
    <x v="53"/>
    <n v="1242"/>
    <n v="6435.12"/>
    <n v="5077.7"/>
    <n v="1357.42"/>
    <n v="0.79"/>
    <n v="7.0000000000000007E-2"/>
    <n v="2607.25"/>
    <x v="1"/>
    <n v="802"/>
    <n v="0.34"/>
    <n v="829.01"/>
    <n v="0.13"/>
    <n v="0"/>
    <n v="0"/>
    <n v="9"/>
    <n v="1636.82"/>
    <n v="75"/>
    <n v="0"/>
    <n v="691.55"/>
    <n v="2624.96"/>
    <x v="1"/>
    <n v="1690.72"/>
    <x v="5"/>
    <x v="0"/>
    <n v="35.4"/>
    <s v="Low"/>
    <n v="1357.42"/>
    <n v="0"/>
  </r>
  <r>
    <x v="55"/>
    <x v="53"/>
    <n v="1371"/>
    <n v="4209.37"/>
    <n v="2557.44"/>
    <n v="1651.93"/>
    <n v="0.61"/>
    <n v="0.21"/>
    <n v="3182.91"/>
    <x v="1"/>
    <n v="676"/>
    <n v="0.51"/>
    <n v="717.16"/>
    <n v="0.17"/>
    <n v="434.54"/>
    <n v="0.1"/>
    <n v="5"/>
    <n v="908.53"/>
    <n v="78"/>
    <n v="0"/>
    <n v="731.13"/>
    <n v="2444.06"/>
    <x v="1"/>
    <n v="300"/>
    <x v="3"/>
    <x v="1"/>
    <n v="94.6"/>
    <s v="Medium"/>
    <n v="1651.93"/>
    <n v="0"/>
  </r>
  <r>
    <x v="55"/>
    <x v="53"/>
    <n v="1876"/>
    <n v="4342.3"/>
    <n v="3491.66"/>
    <n v="850.64"/>
    <n v="0.8"/>
    <n v="0.28999999999999998"/>
    <n v="2995.77"/>
    <x v="1"/>
    <n v="615"/>
    <n v="0.21"/>
    <n v="640.89"/>
    <n v="0.15"/>
    <n v="352.05"/>
    <n v="0.08"/>
    <n v="2"/>
    <n v="452.29"/>
    <n v="49"/>
    <n v="0"/>
    <n v="280.95"/>
    <n v="1873.48"/>
    <x v="1"/>
    <n v="1713.66"/>
    <x v="4"/>
    <x v="2"/>
    <n v="5"/>
    <s v="Low"/>
    <n v="850.64"/>
    <n v="0"/>
  </r>
  <r>
    <x v="55"/>
    <x v="53"/>
    <n v="1663"/>
    <n v="4622.04"/>
    <n v="3672.59"/>
    <n v="949.45"/>
    <n v="0.79"/>
    <n v="0.38"/>
    <n v="2211.71"/>
    <x v="1"/>
    <n v="721"/>
    <n v="0.5"/>
    <n v="479.66"/>
    <n v="0.1"/>
    <n v="126.85"/>
    <n v="0.03"/>
    <n v="8"/>
    <n v="181.29"/>
    <n v="46"/>
    <n v="0"/>
    <n v="511.89"/>
    <n v="1957.16"/>
    <x v="1"/>
    <n v="1190.49"/>
    <x v="4"/>
    <x v="0"/>
    <n v="94.1"/>
    <s v="Low"/>
    <n v="949.45"/>
    <n v="0"/>
  </r>
  <r>
    <x v="55"/>
    <x v="53"/>
    <n v="1239"/>
    <n v="3322.21"/>
    <n v="1825.45"/>
    <n v="1496.76"/>
    <n v="0.55000000000000004"/>
    <n v="0.18"/>
    <n v="3622.46"/>
    <x v="2"/>
    <n v="637"/>
    <n v="0.51"/>
    <n v="435.77"/>
    <n v="0.13"/>
    <n v="718.74"/>
    <n v="0.22"/>
    <n v="5"/>
    <n v="512.91999999999996"/>
    <n v="55"/>
    <n v="0"/>
    <n v="728.83"/>
    <n v="2678.66"/>
    <x v="1"/>
    <n v="1611.63"/>
    <x v="3"/>
    <x v="0"/>
    <n v="4.3"/>
    <s v="High"/>
    <n v="1496.76"/>
    <n v="0"/>
  </r>
  <r>
    <x v="55"/>
    <x v="53"/>
    <n v="1975"/>
    <n v="3561.18"/>
    <n v="4136.58"/>
    <n v="-575.4"/>
    <n v="1.1599999999999999"/>
    <n v="0.28999999999999998"/>
    <n v="2836.7"/>
    <x v="2"/>
    <n v="605"/>
    <n v="0.25"/>
    <n v="677.76"/>
    <n v="0.19"/>
    <n v="397.47"/>
    <n v="0.11"/>
    <n v="6"/>
    <n v="20.88"/>
    <n v="77"/>
    <n v="0"/>
    <n v="441.87"/>
    <n v="2538.1999999999998"/>
    <x v="0"/>
    <n v="802.56"/>
    <x v="2"/>
    <x v="2"/>
    <n v="59.8"/>
    <s v="Low"/>
    <n v="0"/>
    <n v="0"/>
  </r>
  <r>
    <x v="55"/>
    <x v="53"/>
    <n v="1353"/>
    <n v="4405.97"/>
    <n v="3392.62"/>
    <n v="1013.35"/>
    <n v="0.77"/>
    <n v="0.15"/>
    <n v="2937.88"/>
    <x v="1"/>
    <n v="677"/>
    <n v="0.55000000000000004"/>
    <n v="608.55999999999995"/>
    <n v="0.14000000000000001"/>
    <n v="277.5"/>
    <n v="0.06"/>
    <n v="5"/>
    <n v="512.58000000000004"/>
    <n v="33"/>
    <n v="0"/>
    <n v="682.62"/>
    <n v="2173.5700000000002"/>
    <x v="2"/>
    <n v="1028.8699999999999"/>
    <x v="8"/>
    <x v="0"/>
    <n v="47"/>
    <s v="Medium"/>
    <n v="1013.35"/>
    <n v="0"/>
  </r>
  <r>
    <x v="55"/>
    <x v="53"/>
    <n v="1659"/>
    <n v="4462.55"/>
    <n v="4639.18"/>
    <n v="-176.63"/>
    <n v="1.04"/>
    <n v="0.1"/>
    <n v="2682.7"/>
    <x v="1"/>
    <n v="680"/>
    <n v="0.22"/>
    <n v="689.91"/>
    <n v="0.15"/>
    <n v="0"/>
    <n v="0"/>
    <n v="2"/>
    <n v="913.65"/>
    <n v="32"/>
    <n v="0"/>
    <n v="301.58"/>
    <n v="3260.77"/>
    <x v="1"/>
    <n v="1265.32"/>
    <x v="1"/>
    <x v="1"/>
    <n v="15.6"/>
    <s v="Low"/>
    <n v="0"/>
    <n v="0"/>
  </r>
  <r>
    <x v="55"/>
    <x v="53"/>
    <n v="1793"/>
    <n v="6342.43"/>
    <n v="1223.08"/>
    <n v="5119.3500000000004"/>
    <n v="0.19"/>
    <n v="0.37"/>
    <n v="3950.61"/>
    <x v="1"/>
    <n v="610"/>
    <n v="0.48"/>
    <n v="1.42"/>
    <n v="0"/>
    <n v="112.71"/>
    <n v="0.02"/>
    <n v="4"/>
    <n v="1107.9000000000001"/>
    <n v="53"/>
    <n v="0"/>
    <n v="616.54"/>
    <n v="2704.38"/>
    <x v="1"/>
    <n v="1355.08"/>
    <x v="2"/>
    <x v="0"/>
    <n v="99.5"/>
    <s v="High"/>
    <n v="5119.3500000000004"/>
    <n v="1"/>
  </r>
  <r>
    <x v="55"/>
    <x v="53"/>
    <n v="1309"/>
    <n v="3224.41"/>
    <n v="2870.57"/>
    <n v="353.84"/>
    <n v="0.89"/>
    <n v="0.28999999999999998"/>
    <n v="3700.82"/>
    <x v="2"/>
    <n v="629"/>
    <n v="0.26"/>
    <n v="534.85"/>
    <n v="0.17"/>
    <n v="420.45"/>
    <n v="0.13"/>
    <n v="2"/>
    <n v="36.93"/>
    <n v="53"/>
    <n v="0"/>
    <n v="434.01"/>
    <n v="2192.0700000000002"/>
    <x v="1"/>
    <n v="1573.99"/>
    <x v="3"/>
    <x v="0"/>
    <n v="43.1"/>
    <s v="Medium"/>
    <n v="353.84"/>
    <n v="0"/>
  </r>
  <r>
    <x v="55"/>
    <x v="53"/>
    <n v="1551"/>
    <n v="2644.66"/>
    <n v="2935.91"/>
    <n v="-291.25"/>
    <n v="1.1100000000000001"/>
    <n v="7.0000000000000007E-2"/>
    <n v="2925.37"/>
    <x v="1"/>
    <n v="652"/>
    <n v="0.46"/>
    <n v="478.86"/>
    <n v="0.18"/>
    <n v="59.36"/>
    <n v="0.02"/>
    <n v="6"/>
    <n v="1470.41"/>
    <n v="58"/>
    <n v="0"/>
    <n v="429.12"/>
    <n v="1658.34"/>
    <x v="1"/>
    <n v="1568.88"/>
    <x v="0"/>
    <x v="0"/>
    <n v="12.5"/>
    <s v="High"/>
    <n v="0"/>
    <n v="0"/>
  </r>
  <r>
    <x v="55"/>
    <x v="53"/>
    <n v="1591"/>
    <n v="3730.02"/>
    <n v="4492.34"/>
    <n v="-762.32"/>
    <n v="1.2"/>
    <n v="0.31"/>
    <n v="2924.68"/>
    <x v="2"/>
    <n v="726"/>
    <n v="0.45"/>
    <n v="428.84"/>
    <n v="0.11"/>
    <n v="347.77"/>
    <n v="0.09"/>
    <n v="5"/>
    <n v="1355.17"/>
    <n v="52"/>
    <n v="0"/>
    <n v="469.43"/>
    <n v="2242.6799999999998"/>
    <x v="2"/>
    <n v="816.87"/>
    <x v="4"/>
    <x v="1"/>
    <n v="6.3"/>
    <s v="Medium"/>
    <n v="0"/>
    <n v="0"/>
  </r>
  <r>
    <x v="55"/>
    <x v="53"/>
    <n v="1708"/>
    <n v="4772.57"/>
    <n v="3599.06"/>
    <n v="1173.51"/>
    <n v="0.75"/>
    <n v="0.35"/>
    <n v="2110.13"/>
    <x v="1"/>
    <n v="796"/>
    <n v="0.11"/>
    <n v="388.87"/>
    <n v="0.08"/>
    <n v="508.79"/>
    <n v="0.11"/>
    <n v="8"/>
    <n v="1169.3399999999999"/>
    <n v="83"/>
    <n v="0"/>
    <n v="581.25"/>
    <n v="2752.12"/>
    <x v="1"/>
    <n v="873.5"/>
    <x v="4"/>
    <x v="1"/>
    <n v="64.3"/>
    <s v="Low"/>
    <n v="1173.51"/>
    <n v="0"/>
  </r>
  <r>
    <x v="55"/>
    <x v="53"/>
    <n v="1368"/>
    <n v="2715.23"/>
    <n v="1976.34"/>
    <n v="738.89"/>
    <n v="0.73"/>
    <n v="0.31"/>
    <n v="2803.53"/>
    <x v="1"/>
    <n v="749"/>
    <n v="0.54"/>
    <n v="276.48"/>
    <n v="0.1"/>
    <n v="422.8"/>
    <n v="0.16"/>
    <n v="2"/>
    <n v="0"/>
    <n v="43"/>
    <n v="1"/>
    <n v="474.65"/>
    <n v="1844.53"/>
    <x v="1"/>
    <n v="1262.3699999999999"/>
    <x v="9"/>
    <x v="0"/>
    <n v="62.3"/>
    <s v="Low"/>
    <n v="738.89"/>
    <n v="0"/>
  </r>
  <r>
    <x v="55"/>
    <x v="53"/>
    <n v="1256"/>
    <n v="3700.6"/>
    <n v="3883.78"/>
    <n v="-183.18"/>
    <n v="1.05"/>
    <n v="0.12"/>
    <n v="2798.97"/>
    <x v="1"/>
    <n v="795"/>
    <n v="0.11"/>
    <n v="230.12"/>
    <n v="0.06"/>
    <n v="380.85"/>
    <n v="0.1"/>
    <n v="1"/>
    <n v="839"/>
    <n v="35"/>
    <n v="0"/>
    <n v="367.45"/>
    <n v="2202.35"/>
    <x v="1"/>
    <n v="946.23"/>
    <x v="4"/>
    <x v="0"/>
    <n v="95"/>
    <s v="Low"/>
    <n v="0"/>
    <n v="0"/>
  </r>
  <r>
    <x v="55"/>
    <x v="53"/>
    <n v="1304"/>
    <n v="3837.97"/>
    <n v="3080.73"/>
    <n v="757.24"/>
    <n v="0.8"/>
    <n v="0.18"/>
    <n v="2712.58"/>
    <x v="0"/>
    <n v="716"/>
    <n v="0.41"/>
    <n v="356.25"/>
    <n v="0.09"/>
    <n v="352.43"/>
    <n v="0.09"/>
    <n v="2"/>
    <n v="1395.87"/>
    <n v="38"/>
    <n v="0"/>
    <n v="547.1"/>
    <n v="1500.55"/>
    <x v="2"/>
    <n v="1413.68"/>
    <x v="2"/>
    <x v="0"/>
    <n v="65.900000000000006"/>
    <s v="Low"/>
    <n v="757.24"/>
    <n v="0"/>
  </r>
  <r>
    <x v="55"/>
    <x v="53"/>
    <n v="1201"/>
    <n v="3883.83"/>
    <n v="3041.49"/>
    <n v="842.34"/>
    <n v="0.78"/>
    <n v="0.12"/>
    <n v="3322.87"/>
    <x v="1"/>
    <n v="694"/>
    <n v="0.24"/>
    <n v="631.29999999999995"/>
    <n v="0.16"/>
    <n v="237.93"/>
    <n v="0.06"/>
    <n v="5"/>
    <n v="1983.97"/>
    <n v="93"/>
    <n v="0"/>
    <n v="302.36"/>
    <n v="2766.93"/>
    <x v="0"/>
    <n v="907.76"/>
    <x v="1"/>
    <x v="0"/>
    <n v="11.2"/>
    <s v="Low"/>
    <n v="842.34"/>
    <n v="0"/>
  </r>
  <r>
    <x v="55"/>
    <x v="53"/>
    <n v="1137"/>
    <n v="4923.67"/>
    <n v="2812.56"/>
    <n v="2111.11"/>
    <n v="0.56999999999999995"/>
    <n v="7.0000000000000007E-2"/>
    <n v="3242.19"/>
    <x v="1"/>
    <n v="689"/>
    <n v="0.59"/>
    <n v="227.65"/>
    <n v="0.05"/>
    <n v="431.04"/>
    <n v="0.09"/>
    <n v="1"/>
    <n v="722.28"/>
    <n v="87"/>
    <n v="0"/>
    <n v="575.84"/>
    <n v="1953.72"/>
    <x v="1"/>
    <n v="1185.8900000000001"/>
    <x v="8"/>
    <x v="1"/>
    <n v="90"/>
    <s v="Medium"/>
    <n v="2111.11"/>
    <n v="0"/>
  </r>
  <r>
    <x v="55"/>
    <x v="53"/>
    <n v="1822"/>
    <n v="3254.55"/>
    <n v="3992.02"/>
    <n v="-737.47"/>
    <n v="1.23"/>
    <n v="0.17"/>
    <n v="2675.77"/>
    <x v="1"/>
    <n v="704"/>
    <n v="0.3"/>
    <n v="285.16000000000003"/>
    <n v="0.09"/>
    <n v="597.74"/>
    <n v="0.18"/>
    <n v="9"/>
    <n v="466.11"/>
    <n v="81"/>
    <n v="0"/>
    <n v="408.23"/>
    <n v="2088.3200000000002"/>
    <x v="2"/>
    <n v="2079.9899999999998"/>
    <x v="6"/>
    <x v="0"/>
    <n v="43.2"/>
    <s v="Low"/>
    <n v="0"/>
    <n v="0"/>
  </r>
  <r>
    <x v="56"/>
    <x v="54"/>
    <n v="1657"/>
    <n v="4078.42"/>
    <n v="2546.59"/>
    <n v="1531.83"/>
    <n v="0.62"/>
    <n v="0.33"/>
    <n v="2892.13"/>
    <x v="2"/>
    <n v="630"/>
    <n v="0.37"/>
    <n v="589.78"/>
    <n v="0.14000000000000001"/>
    <n v="690.28"/>
    <n v="0.17"/>
    <n v="8"/>
    <n v="1376.49"/>
    <n v="22"/>
    <n v="0"/>
    <n v="784.24"/>
    <n v="1158.3399999999999"/>
    <x v="1"/>
    <n v="1571.24"/>
    <x v="7"/>
    <x v="0"/>
    <n v="6.3"/>
    <s v="Low"/>
    <n v="1531.83"/>
    <n v="0"/>
  </r>
  <r>
    <x v="56"/>
    <x v="54"/>
    <n v="1701"/>
    <n v="3737.87"/>
    <n v="3199.86"/>
    <n v="538.01"/>
    <n v="0.86"/>
    <n v="0.31"/>
    <n v="1513.22"/>
    <x v="1"/>
    <n v="647"/>
    <n v="0.18"/>
    <n v="345.65"/>
    <n v="0.09"/>
    <n v="633.54999999999995"/>
    <n v="0.17"/>
    <n v="4"/>
    <n v="1414.24"/>
    <n v="74"/>
    <n v="0"/>
    <n v="611.22"/>
    <n v="2706.64"/>
    <x v="1"/>
    <n v="1378.12"/>
    <x v="1"/>
    <x v="0"/>
    <n v="25.4"/>
    <s v="Low"/>
    <n v="538.01"/>
    <n v="0"/>
  </r>
  <r>
    <x v="56"/>
    <x v="54"/>
    <n v="1680"/>
    <n v="4786.28"/>
    <n v="2579.17"/>
    <n v="2207.11"/>
    <n v="0.54"/>
    <n v="0.24"/>
    <n v="3106.51"/>
    <x v="1"/>
    <n v="689"/>
    <n v="0.13"/>
    <n v="697.21"/>
    <n v="0.15"/>
    <n v="728.56"/>
    <n v="0.15"/>
    <n v="7"/>
    <n v="1494.09"/>
    <n v="40"/>
    <n v="0"/>
    <n v="786.79"/>
    <n v="3247.95"/>
    <x v="2"/>
    <n v="1074.03"/>
    <x v="3"/>
    <x v="0"/>
    <n v="45.6"/>
    <s v="Low"/>
    <n v="2207.11"/>
    <n v="0"/>
  </r>
  <r>
    <x v="56"/>
    <x v="54"/>
    <n v="1615"/>
    <n v="6303.25"/>
    <n v="2367.02"/>
    <n v="3936.23"/>
    <n v="0.38"/>
    <n v="0.39"/>
    <n v="3291.62"/>
    <x v="2"/>
    <n v="690"/>
    <n v="0.34"/>
    <n v="627.34"/>
    <n v="0.1"/>
    <n v="371.63"/>
    <n v="0.06"/>
    <n v="1"/>
    <n v="74.489999999999995"/>
    <n v="48"/>
    <n v="0"/>
    <n v="462.13"/>
    <n v="1725.06"/>
    <x v="0"/>
    <n v="1114.01"/>
    <x v="3"/>
    <x v="1"/>
    <n v="10.199999999999999"/>
    <s v="Medium"/>
    <n v="3936.23"/>
    <n v="1"/>
  </r>
  <r>
    <x v="56"/>
    <x v="54"/>
    <n v="1036"/>
    <n v="4850.12"/>
    <n v="1752.14"/>
    <n v="3097.98"/>
    <n v="0.36"/>
    <n v="0.14000000000000001"/>
    <n v="3573.38"/>
    <x v="1"/>
    <n v="703"/>
    <n v="0.32"/>
    <n v="512.53"/>
    <n v="0.11"/>
    <n v="627.08000000000004"/>
    <n v="0.13"/>
    <n v="1"/>
    <n v="1163.01"/>
    <n v="24"/>
    <n v="0"/>
    <n v="368.38"/>
    <n v="2357.52"/>
    <x v="1"/>
    <n v="889.28"/>
    <x v="6"/>
    <x v="0"/>
    <n v="95.4"/>
    <s v="Medium"/>
    <n v="3097.98"/>
    <n v="0"/>
  </r>
  <r>
    <x v="56"/>
    <x v="54"/>
    <n v="1341"/>
    <n v="4895.09"/>
    <n v="2957.16"/>
    <n v="1937.93"/>
    <n v="0.6"/>
    <n v="0.15"/>
    <n v="2389.1799999999998"/>
    <x v="2"/>
    <n v="599"/>
    <n v="0.37"/>
    <n v="652.79999999999995"/>
    <n v="0.13"/>
    <n v="587.98"/>
    <n v="0.12"/>
    <n v="1"/>
    <n v="944.6"/>
    <n v="80"/>
    <n v="0"/>
    <n v="444.77"/>
    <n v="1998.58"/>
    <x v="2"/>
    <n v="1203.17"/>
    <x v="1"/>
    <x v="2"/>
    <n v="82.6"/>
    <s v="Medium"/>
    <n v="1937.93"/>
    <n v="0"/>
  </r>
  <r>
    <x v="56"/>
    <x v="54"/>
    <n v="1309"/>
    <n v="3757.85"/>
    <n v="3208.4"/>
    <n v="549.45000000000005"/>
    <n v="0.85"/>
    <n v="0.36"/>
    <n v="2481.69"/>
    <x v="1"/>
    <n v="682"/>
    <n v="0.12"/>
    <n v="510.76"/>
    <n v="0.14000000000000001"/>
    <n v="553.42999999999995"/>
    <n v="0.15"/>
    <n v="8"/>
    <n v="1261.81"/>
    <n v="88"/>
    <n v="0"/>
    <n v="604.83000000000004"/>
    <n v="1996.91"/>
    <x v="0"/>
    <n v="1140.47"/>
    <x v="9"/>
    <x v="1"/>
    <n v="89"/>
    <s v="Low"/>
    <n v="549.45000000000005"/>
    <n v="0"/>
  </r>
  <r>
    <x v="56"/>
    <x v="54"/>
    <n v="1370"/>
    <n v="1117.3599999999999"/>
    <n v="1329.43"/>
    <n v="-212.07"/>
    <n v="1.19"/>
    <n v="0.25"/>
    <n v="3901.15"/>
    <x v="1"/>
    <n v="758"/>
    <n v="0.31"/>
    <n v="574.36"/>
    <n v="0.51"/>
    <n v="585.14"/>
    <n v="0.52"/>
    <n v="6"/>
    <n v="1259.6500000000001"/>
    <n v="36"/>
    <n v="0"/>
    <n v="668.95"/>
    <n v="2484.06"/>
    <x v="1"/>
    <n v="863.92"/>
    <x v="7"/>
    <x v="0"/>
    <n v="59.7"/>
    <s v="Low"/>
    <n v="0"/>
    <n v="0"/>
  </r>
  <r>
    <x v="56"/>
    <x v="54"/>
    <n v="1141"/>
    <n v="2935.68"/>
    <n v="1007.42"/>
    <n v="1928.26"/>
    <n v="0.34"/>
    <n v="0.37"/>
    <n v="3462.66"/>
    <x v="1"/>
    <n v="634"/>
    <n v="0.14000000000000001"/>
    <n v="549.67999999999995"/>
    <n v="0.19"/>
    <n v="439.11"/>
    <n v="0.15"/>
    <n v="1"/>
    <n v="758.8"/>
    <n v="51"/>
    <n v="0"/>
    <n v="473.1"/>
    <n v="3231.55"/>
    <x v="1"/>
    <n v="1230.6199999999999"/>
    <x v="3"/>
    <x v="2"/>
    <n v="78"/>
    <s v="Medium"/>
    <n v="1928.26"/>
    <n v="0"/>
  </r>
  <r>
    <x v="56"/>
    <x v="54"/>
    <n v="1734"/>
    <n v="3766.71"/>
    <n v="3621.94"/>
    <n v="144.77000000000001"/>
    <n v="0.96"/>
    <n v="0.23"/>
    <n v="2240.9299999999998"/>
    <x v="1"/>
    <n v="700"/>
    <n v="0.55000000000000004"/>
    <n v="508.37"/>
    <n v="0.13"/>
    <n v="528.38"/>
    <n v="0.14000000000000001"/>
    <n v="2"/>
    <n v="1535.86"/>
    <n v="24"/>
    <n v="0"/>
    <n v="673.11"/>
    <n v="2852.3"/>
    <x v="1"/>
    <n v="642.87"/>
    <x v="8"/>
    <x v="0"/>
    <n v="11.2"/>
    <s v="Medium"/>
    <n v="144.77000000000001"/>
    <n v="0"/>
  </r>
  <r>
    <x v="56"/>
    <x v="54"/>
    <n v="1472"/>
    <n v="3962.23"/>
    <n v="3708.07"/>
    <n v="254.16"/>
    <n v="0.94"/>
    <n v="0.27"/>
    <n v="2791.84"/>
    <x v="2"/>
    <n v="748"/>
    <n v="0.31"/>
    <n v="413.41"/>
    <n v="0.1"/>
    <n v="169.76"/>
    <n v="0.04"/>
    <n v="4"/>
    <n v="1330.26"/>
    <n v="94"/>
    <n v="0"/>
    <n v="569.85"/>
    <n v="1029.51"/>
    <x v="1"/>
    <n v="1290.04"/>
    <x v="5"/>
    <x v="0"/>
    <n v="76.3"/>
    <s v="Medium"/>
    <n v="254.16"/>
    <n v="0"/>
  </r>
  <r>
    <x v="56"/>
    <x v="54"/>
    <n v="1197"/>
    <n v="4446.87"/>
    <n v="2686.4"/>
    <n v="1760.47"/>
    <n v="0.6"/>
    <n v="0.34"/>
    <n v="3118.84"/>
    <x v="0"/>
    <n v="786"/>
    <n v="0.2"/>
    <n v="490.29"/>
    <n v="0.11"/>
    <n v="784.74"/>
    <n v="0.18"/>
    <n v="3"/>
    <n v="1199.8800000000001"/>
    <n v="33"/>
    <n v="0"/>
    <n v="435.65"/>
    <n v="2935.56"/>
    <x v="1"/>
    <n v="1210.08"/>
    <x v="9"/>
    <x v="1"/>
    <n v="74.099999999999994"/>
    <s v="Low"/>
    <n v="1760.47"/>
    <n v="0"/>
  </r>
  <r>
    <x v="56"/>
    <x v="54"/>
    <n v="1511"/>
    <n v="4197.88"/>
    <n v="4018.05"/>
    <n v="179.83"/>
    <n v="0.96"/>
    <n v="0.19"/>
    <n v="3251.07"/>
    <x v="1"/>
    <n v="755"/>
    <n v="0.24"/>
    <n v="644.13"/>
    <n v="0.15"/>
    <n v="328.59"/>
    <n v="0.08"/>
    <n v="5"/>
    <n v="927.69"/>
    <n v="87"/>
    <n v="0"/>
    <n v="752.76"/>
    <n v="1726.36"/>
    <x v="1"/>
    <n v="866.47"/>
    <x v="5"/>
    <x v="1"/>
    <n v="26.5"/>
    <s v="Low"/>
    <n v="179.83"/>
    <n v="0"/>
  </r>
  <r>
    <x v="56"/>
    <x v="54"/>
    <n v="1091"/>
    <n v="5808.44"/>
    <n v="1582.42"/>
    <n v="4226.0200000000004"/>
    <n v="0.27"/>
    <n v="0.1"/>
    <n v="2540.9899999999998"/>
    <x v="1"/>
    <n v="752"/>
    <n v="0.52"/>
    <n v="991.13"/>
    <n v="0.17"/>
    <n v="372.37"/>
    <n v="0.06"/>
    <n v="4"/>
    <n v="1149.51"/>
    <n v="76"/>
    <n v="0"/>
    <n v="544.54"/>
    <n v="3008.7"/>
    <x v="1"/>
    <n v="908.81"/>
    <x v="4"/>
    <x v="1"/>
    <n v="19.7"/>
    <s v="Low"/>
    <n v="4226.0200000000004"/>
    <n v="1"/>
  </r>
  <r>
    <x v="56"/>
    <x v="54"/>
    <n v="1674"/>
    <n v="3652.17"/>
    <n v="3353.63"/>
    <n v="298.54000000000002"/>
    <n v="0.92"/>
    <n v="0.33"/>
    <n v="2280.9499999999998"/>
    <x v="1"/>
    <n v="708"/>
    <n v="0.28999999999999998"/>
    <n v="781.52"/>
    <n v="0.21"/>
    <n v="350.41"/>
    <n v="0.1"/>
    <n v="1"/>
    <n v="1388.89"/>
    <n v="60"/>
    <n v="0"/>
    <n v="438.48"/>
    <n v="2139.84"/>
    <x v="1"/>
    <n v="470.12"/>
    <x v="0"/>
    <x v="0"/>
    <n v="40"/>
    <s v="High"/>
    <n v="298.54000000000002"/>
    <n v="0"/>
  </r>
  <r>
    <x v="56"/>
    <x v="54"/>
    <n v="1408"/>
    <n v="4493.53"/>
    <n v="3739.58"/>
    <n v="753.95"/>
    <n v="0.83"/>
    <n v="0.25"/>
    <n v="2883.64"/>
    <x v="1"/>
    <n v="667"/>
    <n v="0.43"/>
    <n v="202.61"/>
    <n v="0.05"/>
    <n v="468.63"/>
    <n v="0.1"/>
    <n v="3"/>
    <n v="662.25"/>
    <n v="73"/>
    <n v="0"/>
    <n v="464.97"/>
    <n v="2220.96"/>
    <x v="1"/>
    <n v="1481.26"/>
    <x v="0"/>
    <x v="1"/>
    <n v="70.099999999999994"/>
    <s v="Low"/>
    <n v="753.95"/>
    <n v="0"/>
  </r>
  <r>
    <x v="56"/>
    <x v="54"/>
    <n v="1809"/>
    <n v="1394.59"/>
    <n v="2700.13"/>
    <n v="-1305.54"/>
    <n v="1.94"/>
    <n v="0.11"/>
    <n v="2217.87"/>
    <x v="0"/>
    <n v="705"/>
    <n v="0.36"/>
    <n v="731.79"/>
    <n v="0.52"/>
    <n v="298.95"/>
    <n v="0.21"/>
    <n v="6"/>
    <n v="659.42"/>
    <n v="97"/>
    <n v="0"/>
    <n v="445.05"/>
    <n v="2832.5"/>
    <x v="0"/>
    <n v="1047.74"/>
    <x v="4"/>
    <x v="0"/>
    <n v="33.4"/>
    <s v="Medium"/>
    <n v="0"/>
    <n v="0"/>
  </r>
  <r>
    <x v="56"/>
    <x v="54"/>
    <n v="1337"/>
    <n v="6471.53"/>
    <n v="2312.5500000000002"/>
    <n v="4158.9799999999996"/>
    <n v="0.36"/>
    <n v="0.24"/>
    <n v="3434.23"/>
    <x v="2"/>
    <n v="688"/>
    <n v="0.21"/>
    <n v="607.48"/>
    <n v="0.09"/>
    <n v="434.56"/>
    <n v="7.0000000000000007E-2"/>
    <n v="1"/>
    <n v="1361.49"/>
    <n v="64"/>
    <n v="0"/>
    <n v="336.47"/>
    <n v="2195.39"/>
    <x v="1"/>
    <n v="1056.24"/>
    <x v="0"/>
    <x v="2"/>
    <n v="15.1"/>
    <s v="Low"/>
    <n v="4158.9799999999996"/>
    <n v="1"/>
  </r>
  <r>
    <x v="56"/>
    <x v="54"/>
    <n v="1270"/>
    <n v="3710.49"/>
    <n v="3633.41"/>
    <n v="77.08"/>
    <n v="0.98"/>
    <n v="0.27"/>
    <n v="2624.29"/>
    <x v="1"/>
    <n v="705"/>
    <n v="0.38"/>
    <n v="796.19"/>
    <n v="0.21"/>
    <n v="692.52"/>
    <n v="0.19"/>
    <n v="8"/>
    <n v="2042.46"/>
    <n v="89"/>
    <n v="0"/>
    <n v="221.77"/>
    <n v="2364.33"/>
    <x v="1"/>
    <n v="1317.92"/>
    <x v="7"/>
    <x v="0"/>
    <n v="86.4"/>
    <s v="High"/>
    <n v="77.08"/>
    <n v="0"/>
  </r>
  <r>
    <x v="56"/>
    <x v="54"/>
    <n v="1142"/>
    <n v="3619.99"/>
    <n v="4167.6000000000004"/>
    <n v="-547.61"/>
    <n v="1.1499999999999999"/>
    <n v="0.22"/>
    <n v="3705.39"/>
    <x v="2"/>
    <n v="653"/>
    <n v="0.33"/>
    <n v="789.42"/>
    <n v="0.22"/>
    <n v="538.44000000000005"/>
    <n v="0.15"/>
    <n v="9"/>
    <n v="1431.28"/>
    <n v="32"/>
    <n v="0"/>
    <n v="400.46"/>
    <n v="2061.58"/>
    <x v="2"/>
    <n v="1342.33"/>
    <x v="5"/>
    <x v="0"/>
    <n v="98.7"/>
    <s v="Low"/>
    <n v="0"/>
    <n v="0"/>
  </r>
  <r>
    <x v="56"/>
    <x v="54"/>
    <n v="1743"/>
    <n v="5448.36"/>
    <n v="2540.96"/>
    <n v="2907.4"/>
    <n v="0.47"/>
    <n v="0.38"/>
    <n v="3504.31"/>
    <x v="0"/>
    <n v="696"/>
    <n v="0.13"/>
    <n v="438.69"/>
    <n v="0.08"/>
    <n v="526.54999999999995"/>
    <n v="0.1"/>
    <n v="2"/>
    <n v="866.29"/>
    <n v="21"/>
    <n v="0"/>
    <n v="826.63"/>
    <n v="2770.96"/>
    <x v="1"/>
    <n v="695.86"/>
    <x v="9"/>
    <x v="0"/>
    <n v="85.6"/>
    <s v="Medium"/>
    <n v="2907.4"/>
    <n v="0"/>
  </r>
  <r>
    <x v="56"/>
    <x v="54"/>
    <n v="1190"/>
    <n v="1891.95"/>
    <n v="3224.88"/>
    <n v="-1332.93"/>
    <n v="1.7"/>
    <n v="0.1"/>
    <n v="2797.4"/>
    <x v="1"/>
    <n v="602"/>
    <n v="0.53"/>
    <n v="119.92"/>
    <n v="0.06"/>
    <n v="426.44"/>
    <n v="0.23"/>
    <n v="8"/>
    <n v="645.16"/>
    <n v="94"/>
    <n v="0"/>
    <n v="655.84"/>
    <n v="2527.0300000000002"/>
    <x v="2"/>
    <n v="566.80999999999995"/>
    <x v="8"/>
    <x v="1"/>
    <n v="70"/>
    <s v="Low"/>
    <n v="0"/>
    <n v="0"/>
  </r>
  <r>
    <x v="56"/>
    <x v="54"/>
    <n v="1961"/>
    <n v="3422.26"/>
    <n v="3461.29"/>
    <n v="-39.03"/>
    <n v="1.01"/>
    <n v="0.25"/>
    <n v="2636.77"/>
    <x v="0"/>
    <n v="658"/>
    <n v="0.18"/>
    <n v="802.82"/>
    <n v="0.23"/>
    <n v="481.17"/>
    <n v="0.14000000000000001"/>
    <n v="6"/>
    <n v="1057.28"/>
    <n v="58"/>
    <n v="0"/>
    <n v="387.11"/>
    <n v="2462.29"/>
    <x v="1"/>
    <n v="878.44"/>
    <x v="7"/>
    <x v="2"/>
    <n v="18"/>
    <s v="Medium"/>
    <n v="0"/>
    <n v="0"/>
  </r>
  <r>
    <x v="56"/>
    <x v="54"/>
    <n v="1018"/>
    <n v="5457.51"/>
    <n v="2791.36"/>
    <n v="2666.15"/>
    <n v="0.51"/>
    <n v="0.39"/>
    <n v="2594.66"/>
    <x v="1"/>
    <n v="713"/>
    <n v="0.39"/>
    <n v="806.09"/>
    <n v="0.15"/>
    <n v="567.96"/>
    <n v="0.1"/>
    <n v="8"/>
    <n v="1658.62"/>
    <n v="42"/>
    <n v="0"/>
    <n v="744.37"/>
    <n v="2540.16"/>
    <x v="1"/>
    <n v="1112.8499999999999"/>
    <x v="5"/>
    <x v="1"/>
    <n v="71.900000000000006"/>
    <s v="Low"/>
    <n v="2666.15"/>
    <n v="1"/>
  </r>
  <r>
    <x v="56"/>
    <x v="54"/>
    <n v="1532"/>
    <n v="3916.11"/>
    <n v="1925.52"/>
    <n v="1990.59"/>
    <n v="0.49"/>
    <n v="0.15"/>
    <n v="3150.33"/>
    <x v="1"/>
    <n v="693"/>
    <n v="0.34"/>
    <n v="465.08"/>
    <n v="0.12"/>
    <n v="428.08"/>
    <n v="0.11"/>
    <n v="3"/>
    <n v="1225.3699999999999"/>
    <n v="41"/>
    <n v="0"/>
    <n v="345.46"/>
    <n v="1660.54"/>
    <x v="1"/>
    <n v="1753.47"/>
    <x v="7"/>
    <x v="2"/>
    <n v="29.9"/>
    <s v="Medium"/>
    <n v="1990.59"/>
    <n v="0"/>
  </r>
  <r>
    <x v="56"/>
    <x v="54"/>
    <n v="1396"/>
    <n v="4041.81"/>
    <n v="3759.39"/>
    <n v="282.42"/>
    <n v="0.93"/>
    <n v="0.22"/>
    <n v="2618.54"/>
    <x v="0"/>
    <n v="726"/>
    <n v="0.2"/>
    <n v="437.52"/>
    <n v="0.11"/>
    <n v="259.77999999999997"/>
    <n v="0.06"/>
    <n v="5"/>
    <n v="1103"/>
    <n v="57"/>
    <n v="0"/>
    <n v="937.03"/>
    <n v="1717.98"/>
    <x v="2"/>
    <n v="1447.43"/>
    <x v="8"/>
    <x v="0"/>
    <n v="36.1"/>
    <s v="Medium"/>
    <n v="282.42"/>
    <n v="0"/>
  </r>
  <r>
    <x v="56"/>
    <x v="54"/>
    <n v="1596"/>
    <n v="4472.59"/>
    <n v="3789.99"/>
    <n v="682.6"/>
    <n v="0.85"/>
    <n v="0.24"/>
    <n v="2348.0100000000002"/>
    <x v="1"/>
    <n v="757"/>
    <n v="0.33"/>
    <n v="543.4"/>
    <n v="0.12"/>
    <n v="720.54"/>
    <n v="0.16"/>
    <n v="3"/>
    <n v="1153.8499999999999"/>
    <n v="88"/>
    <n v="0"/>
    <n v="119.54"/>
    <n v="1201.72"/>
    <x v="0"/>
    <n v="814.9"/>
    <x v="5"/>
    <x v="0"/>
    <n v="4.0999999999999996"/>
    <s v="Low"/>
    <n v="682.6"/>
    <n v="0"/>
  </r>
  <r>
    <x v="56"/>
    <x v="54"/>
    <n v="1171"/>
    <n v="3587.21"/>
    <n v="3986.1"/>
    <n v="-398.89"/>
    <n v="1.1100000000000001"/>
    <n v="0.34"/>
    <n v="2110.84"/>
    <x v="2"/>
    <n v="664"/>
    <n v="0.31"/>
    <n v="368.31"/>
    <n v="0.1"/>
    <n v="318.10000000000002"/>
    <n v="0.09"/>
    <n v="2"/>
    <n v="1086.6199999999999"/>
    <n v="49"/>
    <n v="0"/>
    <n v="845.3"/>
    <n v="1944.1"/>
    <x v="1"/>
    <n v="1380.23"/>
    <x v="4"/>
    <x v="0"/>
    <n v="46.9"/>
    <s v="Low"/>
    <n v="0"/>
    <n v="0"/>
  </r>
  <r>
    <x v="56"/>
    <x v="54"/>
    <n v="1791"/>
    <n v="2779.88"/>
    <n v="2458.8200000000002"/>
    <n v="321.06"/>
    <n v="0.88"/>
    <n v="0.26"/>
    <n v="2574.65"/>
    <x v="1"/>
    <n v="703"/>
    <n v="0.32"/>
    <n v="632.16999999999996"/>
    <n v="0.23"/>
    <n v="421.24"/>
    <n v="0.15"/>
    <n v="6"/>
    <n v="909.8"/>
    <n v="96"/>
    <n v="0"/>
    <n v="177.98"/>
    <n v="2107.0300000000002"/>
    <x v="1"/>
    <n v="300"/>
    <x v="2"/>
    <x v="0"/>
    <n v="76.599999999999994"/>
    <s v="High"/>
    <n v="321.06"/>
    <n v="0"/>
  </r>
  <r>
    <x v="56"/>
    <x v="54"/>
    <n v="1598"/>
    <n v="4274.7700000000004"/>
    <n v="2949.71"/>
    <n v="1325.06"/>
    <n v="0.69"/>
    <n v="0.34"/>
    <n v="3259.04"/>
    <x v="1"/>
    <n v="607"/>
    <n v="0.16"/>
    <n v="159.55000000000001"/>
    <n v="0.04"/>
    <n v="734.49"/>
    <n v="0.17"/>
    <n v="8"/>
    <n v="895.15"/>
    <n v="52"/>
    <n v="0"/>
    <n v="822.67"/>
    <n v="2285.4"/>
    <x v="0"/>
    <n v="1331.74"/>
    <x v="6"/>
    <x v="0"/>
    <n v="24.4"/>
    <s v="Medium"/>
    <n v="1325.06"/>
    <n v="0"/>
  </r>
  <r>
    <x v="56"/>
    <x v="54"/>
    <n v="1271"/>
    <n v="4240.5200000000004"/>
    <n v="2912.07"/>
    <n v="1328.45"/>
    <n v="0.69"/>
    <n v="0.21"/>
    <n v="2375.8200000000002"/>
    <x v="1"/>
    <n v="727"/>
    <n v="0.14000000000000001"/>
    <n v="552.05999999999995"/>
    <n v="0.13"/>
    <n v="577.55999999999995"/>
    <n v="0.14000000000000001"/>
    <n v="2"/>
    <n v="1481.37"/>
    <n v="30"/>
    <n v="0"/>
    <n v="812.38"/>
    <n v="2010.91"/>
    <x v="0"/>
    <n v="1478.18"/>
    <x v="1"/>
    <x v="1"/>
    <n v="67.5"/>
    <s v="High"/>
    <n v="1328.45"/>
    <n v="0"/>
  </r>
  <r>
    <x v="56"/>
    <x v="54"/>
    <n v="1474"/>
    <n v="2835.33"/>
    <n v="3496.97"/>
    <n v="-661.64"/>
    <n v="1.23"/>
    <n v="7.0000000000000007E-2"/>
    <n v="2906.09"/>
    <x v="2"/>
    <n v="578"/>
    <n v="0.47"/>
    <n v="1142.46"/>
    <n v="0.4"/>
    <n v="630.16999999999996"/>
    <n v="0.22"/>
    <n v="5"/>
    <n v="503.58"/>
    <n v="49"/>
    <n v="0"/>
    <n v="319.39999999999998"/>
    <n v="3108.26"/>
    <x v="1"/>
    <n v="1646.87"/>
    <x v="9"/>
    <x v="0"/>
    <n v="45.4"/>
    <s v="Low"/>
    <n v="0"/>
    <n v="0"/>
  </r>
  <r>
    <x v="56"/>
    <x v="54"/>
    <n v="1799"/>
    <n v="5678.31"/>
    <n v="1290.51"/>
    <n v="4387.8"/>
    <n v="0.23"/>
    <n v="0.38"/>
    <n v="2190.38"/>
    <x v="2"/>
    <n v="771"/>
    <n v="0.11"/>
    <n v="683.47"/>
    <n v="0.12"/>
    <n v="514.79999999999995"/>
    <n v="0.09"/>
    <n v="7"/>
    <n v="1266.8599999999999"/>
    <n v="42"/>
    <n v="0"/>
    <n v="434.06"/>
    <n v="1750.29"/>
    <x v="1"/>
    <n v="757.71"/>
    <x v="4"/>
    <x v="1"/>
    <n v="93.8"/>
    <s v="High"/>
    <n v="4387.8"/>
    <n v="1"/>
  </r>
  <r>
    <x v="56"/>
    <x v="54"/>
    <n v="1195"/>
    <n v="6240.8"/>
    <n v="2557.1"/>
    <n v="3683.7"/>
    <n v="0.41"/>
    <n v="0.06"/>
    <n v="3059.61"/>
    <x v="1"/>
    <n v="654"/>
    <n v="0.37"/>
    <n v="619.80999999999995"/>
    <n v="0.1"/>
    <n v="305.23"/>
    <n v="0.05"/>
    <n v="3"/>
    <n v="1124.19"/>
    <n v="65"/>
    <n v="0"/>
    <n v="199.16"/>
    <n v="2364.27"/>
    <x v="1"/>
    <n v="1127.04"/>
    <x v="2"/>
    <x v="1"/>
    <n v="4.3"/>
    <s v="High"/>
    <n v="3683.7"/>
    <n v="1"/>
  </r>
  <r>
    <x v="56"/>
    <x v="54"/>
    <n v="1302"/>
    <n v="2918.32"/>
    <n v="4694.2299999999996"/>
    <n v="-1775.91"/>
    <n v="1.61"/>
    <n v="0.25"/>
    <n v="2721.8"/>
    <x v="1"/>
    <n v="763"/>
    <n v="0.31"/>
    <n v="288.01"/>
    <n v="0.1"/>
    <n v="736.59"/>
    <n v="0.25"/>
    <n v="6"/>
    <n v="726.7"/>
    <n v="27"/>
    <n v="0"/>
    <n v="392.29"/>
    <n v="1181.08"/>
    <x v="1"/>
    <n v="1269.83"/>
    <x v="7"/>
    <x v="0"/>
    <n v="47.2"/>
    <s v="Medium"/>
    <n v="0"/>
    <n v="0"/>
  </r>
  <r>
    <x v="56"/>
    <x v="54"/>
    <n v="1794"/>
    <n v="2223.1"/>
    <n v="2972.23"/>
    <n v="-749.13"/>
    <n v="1.34"/>
    <n v="0.14000000000000001"/>
    <n v="2995.5"/>
    <x v="0"/>
    <n v="693"/>
    <n v="0.47"/>
    <n v="428.64"/>
    <n v="0.19"/>
    <n v="388.98"/>
    <n v="0.17"/>
    <n v="1"/>
    <n v="777.08"/>
    <n v="96"/>
    <n v="0"/>
    <n v="171.35"/>
    <n v="1420.16"/>
    <x v="1"/>
    <n v="1685.53"/>
    <x v="9"/>
    <x v="1"/>
    <n v="78.5"/>
    <s v="Medium"/>
    <n v="0"/>
    <n v="0"/>
  </r>
  <r>
    <x v="56"/>
    <x v="54"/>
    <n v="1426"/>
    <n v="3750.76"/>
    <n v="3956.7"/>
    <n v="-205.94"/>
    <n v="1.05"/>
    <n v="0.39"/>
    <n v="1764.11"/>
    <x v="1"/>
    <n v="665"/>
    <n v="0.59"/>
    <n v="112.4"/>
    <n v="0.03"/>
    <n v="487.28"/>
    <n v="0.13"/>
    <n v="5"/>
    <n v="1886.76"/>
    <n v="35"/>
    <n v="0"/>
    <n v="415.56"/>
    <n v="2190.62"/>
    <x v="1"/>
    <n v="1325.88"/>
    <x v="8"/>
    <x v="0"/>
    <n v="17.7"/>
    <s v="Low"/>
    <n v="0"/>
    <n v="0"/>
  </r>
  <r>
    <x v="56"/>
    <x v="54"/>
    <n v="1798"/>
    <n v="3650.9"/>
    <n v="3311.91"/>
    <n v="338.99"/>
    <n v="0.91"/>
    <n v="7.0000000000000007E-2"/>
    <n v="2036.34"/>
    <x v="1"/>
    <n v="727"/>
    <n v="0.59"/>
    <n v="691.54"/>
    <n v="0.19"/>
    <n v="809.59"/>
    <n v="0.22"/>
    <n v="2"/>
    <n v="548.05999999999995"/>
    <n v="87"/>
    <n v="0"/>
    <n v="635.1"/>
    <n v="2353.4699999999998"/>
    <x v="2"/>
    <n v="2056.85"/>
    <x v="1"/>
    <x v="1"/>
    <n v="54.7"/>
    <s v="Low"/>
    <n v="338.99"/>
    <n v="0"/>
  </r>
  <r>
    <x v="56"/>
    <x v="54"/>
    <n v="1683"/>
    <n v="2970.75"/>
    <n v="2041.94"/>
    <n v="928.81"/>
    <n v="0.69"/>
    <n v="0.33"/>
    <n v="1940.09"/>
    <x v="2"/>
    <n v="619"/>
    <n v="0.44"/>
    <n v="577.04"/>
    <n v="0.19"/>
    <n v="363.51"/>
    <n v="0.12"/>
    <n v="7"/>
    <n v="731.09"/>
    <n v="50"/>
    <n v="0"/>
    <n v="338.43"/>
    <n v="1324.33"/>
    <x v="1"/>
    <n v="1263.22"/>
    <x v="3"/>
    <x v="0"/>
    <n v="84.7"/>
    <s v="Low"/>
    <n v="928.81"/>
    <n v="0"/>
  </r>
  <r>
    <x v="56"/>
    <x v="54"/>
    <n v="1819"/>
    <n v="4214.54"/>
    <n v="4802.08"/>
    <n v="-587.54"/>
    <n v="1.1399999999999999"/>
    <n v="0.08"/>
    <n v="2808.24"/>
    <x v="0"/>
    <n v="747"/>
    <n v="0.45"/>
    <n v="491.23"/>
    <n v="0.12"/>
    <n v="293.27"/>
    <n v="7.0000000000000007E-2"/>
    <n v="7"/>
    <n v="394.34"/>
    <n v="61"/>
    <n v="0"/>
    <n v="586.9"/>
    <n v="1809.31"/>
    <x v="1"/>
    <n v="1376.76"/>
    <x v="9"/>
    <x v="0"/>
    <n v="67.8"/>
    <s v="Low"/>
    <n v="0"/>
    <n v="0"/>
  </r>
  <r>
    <x v="56"/>
    <x v="54"/>
    <n v="1152"/>
    <n v="4001.96"/>
    <n v="1599.82"/>
    <n v="2402.14"/>
    <n v="0.4"/>
    <n v="0.36"/>
    <n v="3159.82"/>
    <x v="1"/>
    <n v="758"/>
    <n v="0.51"/>
    <n v="512.79"/>
    <n v="0.13"/>
    <n v="390.54"/>
    <n v="0.1"/>
    <n v="5"/>
    <n v="267.73"/>
    <n v="27"/>
    <n v="0"/>
    <n v="236.77"/>
    <n v="2706.4"/>
    <x v="1"/>
    <n v="1337.23"/>
    <x v="8"/>
    <x v="1"/>
    <n v="93"/>
    <s v="High"/>
    <n v="2402.14"/>
    <n v="0"/>
  </r>
  <r>
    <x v="56"/>
    <x v="54"/>
    <n v="1797"/>
    <n v="4602.82"/>
    <n v="2194.77"/>
    <n v="2408.0500000000002"/>
    <n v="0.48"/>
    <n v="0.16"/>
    <n v="1583.86"/>
    <x v="1"/>
    <n v="635"/>
    <n v="0.54"/>
    <n v="680.48"/>
    <n v="0.15"/>
    <n v="655.68"/>
    <n v="0.14000000000000001"/>
    <n v="5"/>
    <n v="1689.36"/>
    <n v="35"/>
    <n v="0"/>
    <n v="857.37"/>
    <n v="1000"/>
    <x v="1"/>
    <n v="1131.17"/>
    <x v="8"/>
    <x v="2"/>
    <n v="34.6"/>
    <s v="Medium"/>
    <n v="2408.0500000000002"/>
    <n v="1"/>
  </r>
  <r>
    <x v="56"/>
    <x v="54"/>
    <n v="1120"/>
    <n v="3620.67"/>
    <n v="3033.36"/>
    <n v="587.30999999999995"/>
    <n v="0.84"/>
    <n v="0.16"/>
    <n v="2898.03"/>
    <x v="2"/>
    <n v="639"/>
    <n v="0.28999999999999998"/>
    <n v="611"/>
    <n v="0.17"/>
    <n v="322.29000000000002"/>
    <n v="0.09"/>
    <n v="2"/>
    <n v="943"/>
    <n v="34"/>
    <n v="0"/>
    <n v="479.69"/>
    <n v="2088.64"/>
    <x v="1"/>
    <n v="1124.8699999999999"/>
    <x v="3"/>
    <x v="2"/>
    <n v="57.1"/>
    <s v="Medium"/>
    <n v="587.30999999999995"/>
    <n v="0"/>
  </r>
  <r>
    <x v="56"/>
    <x v="54"/>
    <n v="1941"/>
    <n v="4170.43"/>
    <n v="2618.63"/>
    <n v="1551.8"/>
    <n v="0.63"/>
    <n v="0.14000000000000001"/>
    <n v="3802.89"/>
    <x v="2"/>
    <n v="669"/>
    <n v="0.2"/>
    <n v="510.04"/>
    <n v="0.12"/>
    <n v="790.35"/>
    <n v="0.19"/>
    <n v="6"/>
    <n v="500.54"/>
    <n v="24"/>
    <n v="0"/>
    <n v="494.61"/>
    <n v="2817.76"/>
    <x v="1"/>
    <n v="948.45"/>
    <x v="7"/>
    <x v="0"/>
    <n v="0.2"/>
    <s v="Low"/>
    <n v="1551.8"/>
    <n v="0"/>
  </r>
  <r>
    <x v="56"/>
    <x v="54"/>
    <n v="1597"/>
    <n v="5583.22"/>
    <n v="3617.96"/>
    <n v="1965.26"/>
    <n v="0.65"/>
    <n v="0.12"/>
    <n v="2848.01"/>
    <x v="1"/>
    <n v="620"/>
    <n v="0.42"/>
    <n v="151.38"/>
    <n v="0.03"/>
    <n v="224.26"/>
    <n v="0.04"/>
    <n v="9"/>
    <n v="653.17999999999995"/>
    <n v="75"/>
    <n v="0"/>
    <n v="391.85"/>
    <n v="1603.89"/>
    <x v="2"/>
    <n v="1117.1600000000001"/>
    <x v="2"/>
    <x v="0"/>
    <n v="95.2"/>
    <s v="Low"/>
    <n v="1965.26"/>
    <n v="0"/>
  </r>
  <r>
    <x v="56"/>
    <x v="54"/>
    <n v="1737"/>
    <n v="2410.85"/>
    <n v="2662.64"/>
    <n v="-251.79"/>
    <n v="1.1000000000000001"/>
    <n v="0.14000000000000001"/>
    <n v="3478.9"/>
    <x v="0"/>
    <n v="757"/>
    <n v="0.34"/>
    <n v="430.99"/>
    <n v="0.18"/>
    <n v="454.46"/>
    <n v="0.19"/>
    <n v="7"/>
    <n v="1216.32"/>
    <n v="29"/>
    <n v="0"/>
    <n v="500.57"/>
    <n v="2090.4699999999998"/>
    <x v="1"/>
    <n v="1451.78"/>
    <x v="7"/>
    <x v="0"/>
    <n v="42.6"/>
    <s v="Low"/>
    <n v="0"/>
    <n v="0"/>
  </r>
  <r>
    <x v="56"/>
    <x v="54"/>
    <n v="1076"/>
    <n v="3718.44"/>
    <n v="2933.86"/>
    <n v="784.58"/>
    <n v="0.79"/>
    <n v="0.19"/>
    <n v="2358.98"/>
    <x v="1"/>
    <n v="680"/>
    <n v="0.59"/>
    <n v="365.27"/>
    <n v="0.1"/>
    <n v="0"/>
    <n v="0"/>
    <n v="6"/>
    <n v="1793.79"/>
    <n v="37"/>
    <n v="0"/>
    <n v="406.21"/>
    <n v="2921.71"/>
    <x v="1"/>
    <n v="1716.73"/>
    <x v="1"/>
    <x v="0"/>
    <n v="69.599999999999994"/>
    <s v="Medium"/>
    <n v="784.58"/>
    <n v="0"/>
  </r>
  <r>
    <x v="56"/>
    <x v="54"/>
    <n v="1275"/>
    <n v="4335.66"/>
    <n v="3006.87"/>
    <n v="1328.79"/>
    <n v="0.69"/>
    <n v="0.36"/>
    <n v="2935.92"/>
    <x v="2"/>
    <n v="795"/>
    <n v="0.21"/>
    <n v="586.96"/>
    <n v="0.14000000000000001"/>
    <n v="370.94"/>
    <n v="0.09"/>
    <n v="3"/>
    <n v="551.27"/>
    <n v="94"/>
    <n v="0"/>
    <n v="253.69"/>
    <n v="2878.82"/>
    <x v="1"/>
    <n v="1316.88"/>
    <x v="8"/>
    <x v="0"/>
    <n v="9"/>
    <s v="High"/>
    <n v="1328.79"/>
    <n v="0"/>
  </r>
  <r>
    <x v="56"/>
    <x v="54"/>
    <n v="1292"/>
    <n v="4335.1499999999996"/>
    <n v="2725.2"/>
    <n v="1609.95"/>
    <n v="0.63"/>
    <n v="0.28000000000000003"/>
    <n v="2305"/>
    <x v="1"/>
    <n v="792"/>
    <n v="0.33"/>
    <n v="706.76"/>
    <n v="0.16"/>
    <n v="5.8"/>
    <n v="0"/>
    <n v="2"/>
    <n v="1044.93"/>
    <n v="44"/>
    <n v="0"/>
    <n v="351.12"/>
    <n v="2410.9699999999998"/>
    <x v="1"/>
    <n v="1392.54"/>
    <x v="4"/>
    <x v="2"/>
    <n v="33.1"/>
    <s v="Low"/>
    <n v="1609.95"/>
    <n v="0"/>
  </r>
  <r>
    <x v="56"/>
    <x v="54"/>
    <n v="1907"/>
    <n v="2752.78"/>
    <n v="5685.18"/>
    <n v="-2932.4"/>
    <n v="2.0699999999999998"/>
    <n v="0.26"/>
    <n v="2682.99"/>
    <x v="2"/>
    <n v="697"/>
    <n v="0.12"/>
    <n v="417.06"/>
    <n v="0.15"/>
    <n v="587.44000000000005"/>
    <n v="0.21"/>
    <n v="7"/>
    <n v="807.86"/>
    <n v="21"/>
    <n v="0"/>
    <n v="167.78"/>
    <n v="2445.34"/>
    <x v="1"/>
    <n v="832.95"/>
    <x v="9"/>
    <x v="1"/>
    <n v="46"/>
    <s v="Low"/>
    <n v="0"/>
    <n v="0"/>
  </r>
  <r>
    <x v="57"/>
    <x v="55"/>
    <n v="1275"/>
    <n v="4116.03"/>
    <n v="2919.91"/>
    <n v="1196.1199999999999"/>
    <n v="0.71"/>
    <n v="0.14000000000000001"/>
    <n v="2697.48"/>
    <x v="1"/>
    <n v="688"/>
    <n v="0.53"/>
    <n v="485.74"/>
    <n v="0.12"/>
    <n v="386.86"/>
    <n v="0.09"/>
    <n v="9"/>
    <n v="897.14"/>
    <n v="76"/>
    <n v="0"/>
    <n v="228.4"/>
    <n v="2745.38"/>
    <x v="1"/>
    <n v="916.7"/>
    <x v="6"/>
    <x v="0"/>
    <n v="64.099999999999994"/>
    <s v="Low"/>
    <n v="1196.1199999999999"/>
    <n v="0"/>
  </r>
  <r>
    <x v="57"/>
    <x v="55"/>
    <n v="1978"/>
    <n v="2788.49"/>
    <n v="2128.48"/>
    <n v="660.01"/>
    <n v="0.76"/>
    <n v="0.19"/>
    <n v="2728.76"/>
    <x v="1"/>
    <n v="671"/>
    <n v="0.14000000000000001"/>
    <n v="921.83"/>
    <n v="0.33"/>
    <n v="394.93"/>
    <n v="0.14000000000000001"/>
    <n v="5"/>
    <n v="640.45000000000005"/>
    <n v="64"/>
    <n v="0"/>
    <n v="487.03"/>
    <n v="1893.97"/>
    <x v="0"/>
    <n v="856.72"/>
    <x v="9"/>
    <x v="0"/>
    <n v="11.4"/>
    <s v="Low"/>
    <n v="660.01"/>
    <n v="0"/>
  </r>
  <r>
    <x v="57"/>
    <x v="55"/>
    <n v="1432"/>
    <n v="3035.68"/>
    <n v="2846.88"/>
    <n v="188.8"/>
    <n v="0.94"/>
    <n v="0.4"/>
    <n v="2889.28"/>
    <x v="0"/>
    <n v="631"/>
    <n v="0.53"/>
    <n v="610.9"/>
    <n v="0.2"/>
    <n v="344.4"/>
    <n v="0.11"/>
    <n v="3"/>
    <n v="1150.27"/>
    <n v="50"/>
    <n v="0"/>
    <n v="897.23"/>
    <n v="1452.31"/>
    <x v="1"/>
    <n v="1335.64"/>
    <x v="8"/>
    <x v="0"/>
    <n v="79.599999999999994"/>
    <s v="High"/>
    <n v="188.8"/>
    <n v="0"/>
  </r>
  <r>
    <x v="57"/>
    <x v="55"/>
    <n v="1161"/>
    <n v="6580.84"/>
    <n v="2714.76"/>
    <n v="3866.08"/>
    <n v="0.41"/>
    <n v="0.12"/>
    <n v="2997.07"/>
    <x v="2"/>
    <n v="657"/>
    <n v="0.47"/>
    <n v="232.56"/>
    <n v="0.04"/>
    <n v="50.39"/>
    <n v="0.01"/>
    <n v="3"/>
    <n v="1815.1"/>
    <n v="93"/>
    <n v="0"/>
    <n v="473.14"/>
    <n v="1752.62"/>
    <x v="1"/>
    <n v="981.29"/>
    <x v="0"/>
    <x v="0"/>
    <n v="4.7"/>
    <s v="Low"/>
    <n v="3866.08"/>
    <n v="1"/>
  </r>
  <r>
    <x v="57"/>
    <x v="55"/>
    <n v="1743"/>
    <n v="3969.26"/>
    <n v="2561.17"/>
    <n v="1408.09"/>
    <n v="0.65"/>
    <n v="0.06"/>
    <n v="2352.2199999999998"/>
    <x v="1"/>
    <n v="734"/>
    <n v="0.27"/>
    <n v="429.39"/>
    <n v="0.11"/>
    <n v="718.78"/>
    <n v="0.18"/>
    <n v="7"/>
    <n v="1281.54"/>
    <n v="55"/>
    <n v="0"/>
    <n v="906.02"/>
    <n v="1636.05"/>
    <x v="1"/>
    <n v="907.71"/>
    <x v="9"/>
    <x v="2"/>
    <n v="15.8"/>
    <s v="Low"/>
    <n v="1408.09"/>
    <n v="0"/>
  </r>
  <r>
    <x v="57"/>
    <x v="55"/>
    <n v="1442"/>
    <n v="4766.88"/>
    <n v="4324.96"/>
    <n v="441.92"/>
    <n v="0.91"/>
    <n v="0.12"/>
    <n v="3764.44"/>
    <x v="2"/>
    <n v="586"/>
    <n v="0.33"/>
    <n v="519.27"/>
    <n v="0.11"/>
    <n v="141.16"/>
    <n v="0.03"/>
    <n v="7"/>
    <n v="532.95000000000005"/>
    <n v="87"/>
    <n v="0"/>
    <n v="629.11"/>
    <n v="2139.9899999999998"/>
    <x v="0"/>
    <n v="1658.96"/>
    <x v="6"/>
    <x v="1"/>
    <n v="36.200000000000003"/>
    <s v="Medium"/>
    <n v="441.92"/>
    <n v="0"/>
  </r>
  <r>
    <x v="57"/>
    <x v="55"/>
    <n v="1921"/>
    <n v="3305.48"/>
    <n v="3667.31"/>
    <n v="-361.83"/>
    <n v="1.1100000000000001"/>
    <n v="0.34"/>
    <n v="2968.81"/>
    <x v="1"/>
    <n v="688"/>
    <n v="0.39"/>
    <n v="601.17999999999995"/>
    <n v="0.18"/>
    <n v="302.12"/>
    <n v="0.09"/>
    <n v="8"/>
    <n v="398.15"/>
    <n v="79"/>
    <n v="0"/>
    <n v="294.62"/>
    <n v="2408.33"/>
    <x v="0"/>
    <n v="1161.8900000000001"/>
    <x v="3"/>
    <x v="0"/>
    <n v="61.8"/>
    <s v="Low"/>
    <n v="0"/>
    <n v="0"/>
  </r>
  <r>
    <x v="57"/>
    <x v="55"/>
    <n v="1201"/>
    <n v="3982.86"/>
    <n v="3612.94"/>
    <n v="369.92"/>
    <n v="0.91"/>
    <n v="0.4"/>
    <n v="2743.04"/>
    <x v="1"/>
    <n v="670"/>
    <n v="0.56999999999999995"/>
    <n v="477.46"/>
    <n v="0.12"/>
    <n v="299.86"/>
    <n v="0.08"/>
    <n v="4"/>
    <n v="1767.97"/>
    <n v="24"/>
    <n v="0"/>
    <n v="845.02"/>
    <n v="2875.94"/>
    <x v="1"/>
    <n v="750.68"/>
    <x v="2"/>
    <x v="0"/>
    <n v="37.9"/>
    <s v="Medium"/>
    <n v="369.92"/>
    <n v="0"/>
  </r>
  <r>
    <x v="57"/>
    <x v="55"/>
    <n v="1267"/>
    <n v="3354.92"/>
    <n v="2615.7800000000002"/>
    <n v="739.14"/>
    <n v="0.78"/>
    <n v="0.4"/>
    <n v="3568.93"/>
    <x v="1"/>
    <n v="738"/>
    <n v="0.53"/>
    <n v="272.13"/>
    <n v="0.08"/>
    <n v="273.44"/>
    <n v="0.08"/>
    <n v="9"/>
    <n v="930.39"/>
    <n v="70"/>
    <n v="0"/>
    <n v="656.16"/>
    <n v="2296.69"/>
    <x v="1"/>
    <n v="1179.3499999999999"/>
    <x v="5"/>
    <x v="0"/>
    <n v="51.9"/>
    <s v="Medium"/>
    <n v="739.14"/>
    <n v="0"/>
  </r>
  <r>
    <x v="57"/>
    <x v="55"/>
    <n v="1203"/>
    <n v="5214.41"/>
    <n v="2166.4899999999998"/>
    <n v="3047.92"/>
    <n v="0.42"/>
    <n v="0.22"/>
    <n v="2550.9699999999998"/>
    <x v="1"/>
    <n v="770"/>
    <n v="0.47"/>
    <n v="572.45000000000005"/>
    <n v="0.11"/>
    <n v="792.44"/>
    <n v="0.15"/>
    <n v="9"/>
    <n v="743.84"/>
    <n v="31"/>
    <n v="0"/>
    <n v="452.21"/>
    <n v="2536.46"/>
    <x v="1"/>
    <n v="1219.21"/>
    <x v="9"/>
    <x v="0"/>
    <n v="97.8"/>
    <s v="Medium"/>
    <n v="3047.92"/>
    <n v="1"/>
  </r>
  <r>
    <x v="57"/>
    <x v="55"/>
    <n v="1397"/>
    <n v="4400.3100000000004"/>
    <n v="3471.66"/>
    <n v="928.65"/>
    <n v="0.79"/>
    <n v="0.08"/>
    <n v="2275.42"/>
    <x v="1"/>
    <n v="674"/>
    <n v="0.15"/>
    <n v="561.82000000000005"/>
    <n v="0.13"/>
    <n v="0"/>
    <n v="0"/>
    <n v="1"/>
    <n v="893.96"/>
    <n v="95"/>
    <n v="0"/>
    <n v="455.39"/>
    <n v="2141.02"/>
    <x v="0"/>
    <n v="1631.4"/>
    <x v="5"/>
    <x v="1"/>
    <n v="59"/>
    <s v="Low"/>
    <n v="928.65"/>
    <n v="0"/>
  </r>
  <r>
    <x v="57"/>
    <x v="55"/>
    <n v="1422"/>
    <n v="2833.25"/>
    <n v="3489.9"/>
    <n v="-656.65"/>
    <n v="1.23"/>
    <n v="0.31"/>
    <n v="3128.3"/>
    <x v="0"/>
    <n v="690"/>
    <n v="0.48"/>
    <n v="408.9"/>
    <n v="0.14000000000000001"/>
    <n v="679.71"/>
    <n v="0.24"/>
    <n v="7"/>
    <n v="1639.78"/>
    <n v="83"/>
    <n v="0"/>
    <n v="395.02"/>
    <n v="1815.19"/>
    <x v="0"/>
    <n v="1125.18"/>
    <x v="4"/>
    <x v="0"/>
    <n v="90.8"/>
    <s v="Low"/>
    <n v="0"/>
    <n v="0"/>
  </r>
  <r>
    <x v="57"/>
    <x v="55"/>
    <n v="1741"/>
    <n v="5114.97"/>
    <n v="2758.99"/>
    <n v="2355.98"/>
    <n v="0.54"/>
    <n v="0.21"/>
    <n v="2332.9899999999998"/>
    <x v="1"/>
    <n v="669"/>
    <n v="0.42"/>
    <n v="373.82"/>
    <n v="7.0000000000000007E-2"/>
    <n v="662.39"/>
    <n v="0.13"/>
    <n v="2"/>
    <n v="700.11"/>
    <n v="94"/>
    <n v="0"/>
    <n v="720.78"/>
    <n v="1994.66"/>
    <x v="1"/>
    <n v="1284.0999999999999"/>
    <x v="3"/>
    <x v="0"/>
    <n v="66.7"/>
    <s v="High"/>
    <n v="2355.98"/>
    <n v="1"/>
  </r>
  <r>
    <x v="57"/>
    <x v="55"/>
    <n v="1107"/>
    <n v="5057.78"/>
    <n v="2746.16"/>
    <n v="2311.62"/>
    <n v="0.54"/>
    <n v="0.28999999999999998"/>
    <n v="2405.9299999999998"/>
    <x v="1"/>
    <n v="650"/>
    <n v="0.23"/>
    <n v="302.74"/>
    <n v="0.06"/>
    <n v="580.91"/>
    <n v="0.11"/>
    <n v="4"/>
    <n v="1144.99"/>
    <n v="47"/>
    <n v="0"/>
    <n v="972.89"/>
    <n v="1328.22"/>
    <x v="2"/>
    <n v="464.1"/>
    <x v="3"/>
    <x v="2"/>
    <n v="61.6"/>
    <s v="Low"/>
    <n v="2311.62"/>
    <n v="0"/>
  </r>
  <r>
    <x v="57"/>
    <x v="55"/>
    <n v="1461"/>
    <n v="4701.87"/>
    <n v="3653.78"/>
    <n v="1048.0899999999999"/>
    <n v="0.78"/>
    <n v="0.24"/>
    <n v="2787.34"/>
    <x v="0"/>
    <n v="680"/>
    <n v="0.49"/>
    <n v="396.26"/>
    <n v="0.08"/>
    <n v="18.170000000000002"/>
    <n v="0"/>
    <n v="1"/>
    <n v="1289.83"/>
    <n v="48"/>
    <n v="0"/>
    <n v="256.68"/>
    <n v="2333.2399999999998"/>
    <x v="0"/>
    <n v="1348.23"/>
    <x v="3"/>
    <x v="1"/>
    <n v="94"/>
    <s v="High"/>
    <n v="1048.0899999999999"/>
    <n v="0"/>
  </r>
  <r>
    <x v="57"/>
    <x v="55"/>
    <n v="1444"/>
    <n v="4897.24"/>
    <n v="3723.44"/>
    <n v="1173.8"/>
    <n v="0.76"/>
    <n v="0.27"/>
    <n v="2734.32"/>
    <x v="0"/>
    <n v="721"/>
    <n v="0.32"/>
    <n v="388.29"/>
    <n v="0.08"/>
    <n v="199.31"/>
    <n v="0.04"/>
    <n v="4"/>
    <n v="1119.7"/>
    <n v="61"/>
    <n v="0"/>
    <n v="482.28"/>
    <n v="1645.9"/>
    <x v="1"/>
    <n v="1134.32"/>
    <x v="3"/>
    <x v="0"/>
    <n v="10.7"/>
    <s v="Low"/>
    <n v="1173.8"/>
    <n v="0"/>
  </r>
  <r>
    <x v="57"/>
    <x v="55"/>
    <n v="1335"/>
    <n v="3443.21"/>
    <n v="4512.55"/>
    <n v="-1069.3399999999999"/>
    <n v="1.31"/>
    <n v="0.06"/>
    <n v="2155.54"/>
    <x v="1"/>
    <n v="721"/>
    <n v="0.21"/>
    <n v="426.84"/>
    <n v="0.12"/>
    <n v="420.61"/>
    <n v="0.12"/>
    <n v="7"/>
    <n v="1081.3900000000001"/>
    <n v="26"/>
    <n v="0"/>
    <n v="659.68"/>
    <n v="2393.65"/>
    <x v="1"/>
    <n v="1451.83"/>
    <x v="6"/>
    <x v="0"/>
    <n v="32.200000000000003"/>
    <s v="High"/>
    <n v="0"/>
    <n v="0"/>
  </r>
  <r>
    <x v="57"/>
    <x v="55"/>
    <n v="1898"/>
    <n v="4064.91"/>
    <n v="2974.73"/>
    <n v="1090.18"/>
    <n v="0.73"/>
    <n v="0.37"/>
    <n v="2656.61"/>
    <x v="1"/>
    <n v="681"/>
    <n v="0.4"/>
    <n v="244.79"/>
    <n v="0.06"/>
    <n v="627.44000000000005"/>
    <n v="0.15"/>
    <n v="3"/>
    <n v="610.24"/>
    <n v="34"/>
    <n v="0"/>
    <n v="595.35"/>
    <n v="2577.54"/>
    <x v="1"/>
    <n v="1864.47"/>
    <x v="7"/>
    <x v="2"/>
    <n v="98"/>
    <s v="Medium"/>
    <n v="1090.18"/>
    <n v="0"/>
  </r>
  <r>
    <x v="57"/>
    <x v="55"/>
    <n v="1626"/>
    <n v="4088.05"/>
    <n v="3161.43"/>
    <n v="926.62"/>
    <n v="0.77"/>
    <n v="0.3"/>
    <n v="3451.91"/>
    <x v="1"/>
    <n v="657"/>
    <n v="0.28000000000000003"/>
    <n v="745.27"/>
    <n v="0.18"/>
    <n v="751.72"/>
    <n v="0.18"/>
    <n v="8"/>
    <n v="66.510000000000005"/>
    <n v="85"/>
    <n v="0"/>
    <n v="460.52"/>
    <n v="1144.4000000000001"/>
    <x v="1"/>
    <n v="1528.61"/>
    <x v="1"/>
    <x v="0"/>
    <n v="32.1"/>
    <s v="Medium"/>
    <n v="926.62"/>
    <n v="0"/>
  </r>
  <r>
    <x v="57"/>
    <x v="55"/>
    <n v="1513"/>
    <n v="3970.83"/>
    <n v="2176.4699999999998"/>
    <n v="1794.36"/>
    <n v="0.55000000000000004"/>
    <n v="0.25"/>
    <n v="2483.4299999999998"/>
    <x v="1"/>
    <n v="685"/>
    <n v="0.4"/>
    <n v="709.49"/>
    <n v="0.18"/>
    <n v="707.12"/>
    <n v="0.18"/>
    <n v="8"/>
    <n v="558.47"/>
    <n v="50"/>
    <n v="0"/>
    <n v="177.95"/>
    <n v="2220.6799999999998"/>
    <x v="1"/>
    <n v="1387.79"/>
    <x v="9"/>
    <x v="0"/>
    <n v="45.9"/>
    <s v="Low"/>
    <n v="1794.36"/>
    <n v="0"/>
  </r>
  <r>
    <x v="57"/>
    <x v="55"/>
    <n v="1254"/>
    <n v="6438.55"/>
    <n v="3095.67"/>
    <n v="3342.88"/>
    <n v="0.48"/>
    <n v="0.11"/>
    <n v="2837.72"/>
    <x v="1"/>
    <n v="750"/>
    <n v="0.25"/>
    <n v="476.9"/>
    <n v="7.0000000000000007E-2"/>
    <n v="678.8"/>
    <n v="0.11"/>
    <n v="6"/>
    <n v="1891.87"/>
    <n v="39"/>
    <n v="0"/>
    <n v="702.27"/>
    <n v="2523.37"/>
    <x v="1"/>
    <n v="1522.19"/>
    <x v="5"/>
    <x v="0"/>
    <n v="67.900000000000006"/>
    <s v="High"/>
    <n v="3342.88"/>
    <n v="1"/>
  </r>
  <r>
    <x v="57"/>
    <x v="55"/>
    <n v="1741"/>
    <n v="4396.7"/>
    <n v="3089.09"/>
    <n v="1307.6099999999999"/>
    <n v="0.7"/>
    <n v="0.05"/>
    <n v="3247.8"/>
    <x v="2"/>
    <n v="664"/>
    <n v="0.18"/>
    <n v="532.89"/>
    <n v="0.12"/>
    <n v="563.82000000000005"/>
    <n v="0.13"/>
    <n v="2"/>
    <n v="368.2"/>
    <n v="56"/>
    <n v="0"/>
    <n v="478.19"/>
    <n v="2134.84"/>
    <x v="1"/>
    <n v="1915.08"/>
    <x v="3"/>
    <x v="0"/>
    <n v="74.8"/>
    <s v="Low"/>
    <n v="1307.6099999999999"/>
    <n v="0"/>
  </r>
  <r>
    <x v="57"/>
    <x v="55"/>
    <n v="1729"/>
    <n v="5056.46"/>
    <n v="3923.15"/>
    <n v="1133.31"/>
    <n v="0.78"/>
    <n v="0.33"/>
    <n v="2480.91"/>
    <x v="1"/>
    <n v="656"/>
    <n v="0.21"/>
    <n v="649.64"/>
    <n v="0.13"/>
    <n v="593.41999999999996"/>
    <n v="0.12"/>
    <n v="9"/>
    <n v="392.56"/>
    <n v="41"/>
    <n v="0"/>
    <n v="260.82"/>
    <n v="2065.56"/>
    <x v="2"/>
    <n v="721.74"/>
    <x v="3"/>
    <x v="1"/>
    <n v="81"/>
    <s v="Low"/>
    <n v="1133.31"/>
    <n v="0"/>
  </r>
  <r>
    <x v="57"/>
    <x v="55"/>
    <n v="1976"/>
    <n v="5088.75"/>
    <n v="3202.1"/>
    <n v="1886.65"/>
    <n v="0.63"/>
    <n v="0.36"/>
    <n v="3361.34"/>
    <x v="2"/>
    <n v="775"/>
    <n v="0.38"/>
    <n v="774.5"/>
    <n v="0.15"/>
    <n v="230.54"/>
    <n v="0.05"/>
    <n v="5"/>
    <n v="888.66"/>
    <n v="69"/>
    <n v="0"/>
    <n v="304.36"/>
    <n v="1610.54"/>
    <x v="0"/>
    <n v="519.92999999999995"/>
    <x v="0"/>
    <x v="0"/>
    <n v="57.5"/>
    <s v="Medium"/>
    <n v="1886.65"/>
    <n v="0"/>
  </r>
  <r>
    <x v="57"/>
    <x v="55"/>
    <n v="1412"/>
    <n v="4883.93"/>
    <n v="3110.23"/>
    <n v="1773.7"/>
    <n v="0.64"/>
    <n v="0.34"/>
    <n v="2736.36"/>
    <x v="0"/>
    <n v="618"/>
    <n v="0.25"/>
    <n v="476.69"/>
    <n v="0.1"/>
    <n v="270.14"/>
    <n v="0.06"/>
    <n v="3"/>
    <n v="766.57"/>
    <n v="90"/>
    <n v="0"/>
    <n v="74.97"/>
    <n v="2341.91"/>
    <x v="1"/>
    <n v="1612.56"/>
    <x v="1"/>
    <x v="2"/>
    <n v="36.5"/>
    <s v="High"/>
    <n v="1773.7"/>
    <n v="0"/>
  </r>
  <r>
    <x v="57"/>
    <x v="55"/>
    <n v="1990"/>
    <n v="1647.78"/>
    <n v="3034.93"/>
    <n v="-1387.15"/>
    <n v="1.84"/>
    <n v="0.13"/>
    <n v="3153.17"/>
    <x v="2"/>
    <n v="667"/>
    <n v="0.28999999999999998"/>
    <n v="435.35"/>
    <n v="0.26"/>
    <n v="948.11"/>
    <n v="0.57999999999999996"/>
    <n v="5"/>
    <n v="481.43"/>
    <n v="43"/>
    <n v="0"/>
    <n v="925.28"/>
    <n v="2206.3000000000002"/>
    <x v="1"/>
    <n v="1424.42"/>
    <x v="0"/>
    <x v="1"/>
    <n v="63.4"/>
    <s v="Low"/>
    <n v="0"/>
    <n v="0"/>
  </r>
  <r>
    <x v="57"/>
    <x v="55"/>
    <n v="1142"/>
    <n v="3099.39"/>
    <n v="1935.96"/>
    <n v="1163.43"/>
    <n v="0.62"/>
    <n v="0.37"/>
    <n v="2527.7399999999998"/>
    <x v="2"/>
    <n v="621"/>
    <n v="0.32"/>
    <n v="526.39"/>
    <n v="0.17"/>
    <n v="948.05"/>
    <n v="0.31"/>
    <n v="3"/>
    <n v="1131.99"/>
    <n v="24"/>
    <n v="0"/>
    <n v="433.98"/>
    <n v="1620.02"/>
    <x v="1"/>
    <n v="1179.57"/>
    <x v="7"/>
    <x v="2"/>
    <n v="57.5"/>
    <s v="Low"/>
    <n v="1163.43"/>
    <n v="0"/>
  </r>
  <r>
    <x v="57"/>
    <x v="55"/>
    <n v="1806"/>
    <n v="4731.32"/>
    <n v="3076.65"/>
    <n v="1654.67"/>
    <n v="0.65"/>
    <n v="0.05"/>
    <n v="2563.6999999999998"/>
    <x v="1"/>
    <n v="656"/>
    <n v="0.53"/>
    <n v="717.88"/>
    <n v="0.15"/>
    <n v="55.22"/>
    <n v="0.01"/>
    <n v="2"/>
    <n v="701.13"/>
    <n v="55"/>
    <n v="0"/>
    <n v="497.23"/>
    <n v="2412.4699999999998"/>
    <x v="1"/>
    <n v="1038.04"/>
    <x v="6"/>
    <x v="0"/>
    <n v="61.9"/>
    <s v="Medium"/>
    <n v="1654.67"/>
    <n v="0"/>
  </r>
  <r>
    <x v="57"/>
    <x v="55"/>
    <n v="1808"/>
    <n v="4901.8999999999996"/>
    <n v="2474.5700000000002"/>
    <n v="2427.33"/>
    <n v="0.5"/>
    <n v="0.33"/>
    <n v="3290.84"/>
    <x v="1"/>
    <n v="702"/>
    <n v="0.14000000000000001"/>
    <n v="624.75"/>
    <n v="0.13"/>
    <n v="139.26"/>
    <n v="0.03"/>
    <n v="9"/>
    <n v="1022.56"/>
    <n v="60"/>
    <n v="0"/>
    <n v="397.56"/>
    <n v="2317.35"/>
    <x v="1"/>
    <n v="1336.84"/>
    <x v="3"/>
    <x v="0"/>
    <n v="38.4"/>
    <s v="High"/>
    <n v="2427.33"/>
    <n v="0"/>
  </r>
  <r>
    <x v="57"/>
    <x v="55"/>
    <n v="1575"/>
    <n v="3072.97"/>
    <n v="2631.25"/>
    <n v="441.72"/>
    <n v="0.86"/>
    <n v="0.28000000000000003"/>
    <n v="2137.69"/>
    <x v="1"/>
    <n v="647"/>
    <n v="0.49"/>
    <n v="530.17999999999995"/>
    <n v="0.17"/>
    <n v="381.05"/>
    <n v="0.12"/>
    <n v="2"/>
    <n v="1255.95"/>
    <n v="50"/>
    <n v="0"/>
    <n v="524.66"/>
    <n v="2250.85"/>
    <x v="1"/>
    <n v="318.67"/>
    <x v="6"/>
    <x v="0"/>
    <n v="94.6"/>
    <s v="High"/>
    <n v="441.72"/>
    <n v="0"/>
  </r>
  <r>
    <x v="57"/>
    <x v="55"/>
    <n v="1488"/>
    <n v="3016.46"/>
    <n v="3568.26"/>
    <n v="-551.79999999999995"/>
    <n v="1.18"/>
    <n v="0.06"/>
    <n v="2831.4"/>
    <x v="1"/>
    <n v="708"/>
    <n v="0.21"/>
    <n v="606.54"/>
    <n v="0.2"/>
    <n v="366.49"/>
    <n v="0.12"/>
    <n v="2"/>
    <n v="396.94"/>
    <n v="99"/>
    <n v="0"/>
    <n v="538.07000000000005"/>
    <n v="2030.54"/>
    <x v="1"/>
    <n v="1428.79"/>
    <x v="1"/>
    <x v="1"/>
    <n v="91.1"/>
    <s v="Low"/>
    <n v="0"/>
    <n v="0"/>
  </r>
  <r>
    <x v="57"/>
    <x v="55"/>
    <n v="1245"/>
    <n v="2709.73"/>
    <n v="1843.03"/>
    <n v="866.7"/>
    <n v="0.68"/>
    <n v="7.0000000000000007E-2"/>
    <n v="2555.46"/>
    <x v="0"/>
    <n v="706"/>
    <n v="0.54"/>
    <n v="1054.0899999999999"/>
    <n v="0.39"/>
    <n v="0"/>
    <n v="0"/>
    <n v="8"/>
    <n v="740.88"/>
    <n v="88"/>
    <n v="0"/>
    <n v="668.16"/>
    <n v="2216.13"/>
    <x v="1"/>
    <n v="407.91"/>
    <x v="0"/>
    <x v="2"/>
    <n v="31.2"/>
    <s v="Low"/>
    <n v="866.7"/>
    <n v="0"/>
  </r>
  <r>
    <x v="57"/>
    <x v="55"/>
    <n v="1600"/>
    <n v="4659.99"/>
    <n v="2157.7399999999998"/>
    <n v="2502.25"/>
    <n v="0.46"/>
    <n v="7.0000000000000007E-2"/>
    <n v="2990.66"/>
    <x v="1"/>
    <n v="628"/>
    <n v="0.49"/>
    <n v="310.60000000000002"/>
    <n v="7.0000000000000007E-2"/>
    <n v="161.55000000000001"/>
    <n v="0.03"/>
    <n v="5"/>
    <n v="1057.6300000000001"/>
    <n v="82"/>
    <n v="0"/>
    <n v="309.33"/>
    <n v="2229.73"/>
    <x v="0"/>
    <n v="789.66"/>
    <x v="4"/>
    <x v="0"/>
    <n v="9.4"/>
    <s v="Low"/>
    <n v="2502.25"/>
    <n v="0"/>
  </r>
  <r>
    <x v="57"/>
    <x v="55"/>
    <n v="1413"/>
    <n v="3929.97"/>
    <n v="3000.16"/>
    <n v="929.81"/>
    <n v="0.76"/>
    <n v="0.19"/>
    <n v="2972.92"/>
    <x v="1"/>
    <n v="652"/>
    <n v="0.24"/>
    <n v="334.19"/>
    <n v="0.09"/>
    <n v="498.13"/>
    <n v="0.13"/>
    <n v="9"/>
    <n v="800.62"/>
    <n v="84"/>
    <n v="0"/>
    <n v="141.18"/>
    <n v="1968.6"/>
    <x v="1"/>
    <n v="1887.99"/>
    <x v="9"/>
    <x v="2"/>
    <n v="36.6"/>
    <s v="High"/>
    <n v="929.81"/>
    <n v="0"/>
  </r>
  <r>
    <x v="57"/>
    <x v="55"/>
    <n v="1058"/>
    <n v="4145.3500000000004"/>
    <n v="2415.64"/>
    <n v="1729.71"/>
    <n v="0.57999999999999996"/>
    <n v="0.34"/>
    <n v="2055.9899999999998"/>
    <x v="2"/>
    <n v="607"/>
    <n v="0.28999999999999998"/>
    <n v="433.94"/>
    <n v="0.1"/>
    <n v="872.65"/>
    <n v="0.21"/>
    <n v="8"/>
    <n v="728.68"/>
    <n v="79"/>
    <n v="0"/>
    <n v="635.17999999999995"/>
    <n v="1767.29"/>
    <x v="1"/>
    <n v="948.5"/>
    <x v="5"/>
    <x v="0"/>
    <n v="1.9"/>
    <s v="High"/>
    <n v="1729.71"/>
    <n v="0"/>
  </r>
  <r>
    <x v="57"/>
    <x v="55"/>
    <n v="1020"/>
    <n v="4412.3"/>
    <n v="3701.57"/>
    <n v="710.73"/>
    <n v="0.84"/>
    <n v="0.1"/>
    <n v="2433.98"/>
    <x v="1"/>
    <n v="682"/>
    <n v="0.18"/>
    <n v="510.98"/>
    <n v="0.12"/>
    <n v="436.64"/>
    <n v="0.1"/>
    <n v="2"/>
    <n v="692.67"/>
    <n v="46"/>
    <n v="0"/>
    <n v="534.73"/>
    <n v="1741.92"/>
    <x v="0"/>
    <n v="574.99"/>
    <x v="6"/>
    <x v="0"/>
    <n v="76"/>
    <s v="High"/>
    <n v="710.73"/>
    <n v="0"/>
  </r>
  <r>
    <x v="57"/>
    <x v="55"/>
    <n v="1317"/>
    <n v="3769.06"/>
    <n v="2503.37"/>
    <n v="1265.69"/>
    <n v="0.66"/>
    <n v="0.3"/>
    <n v="2732.73"/>
    <x v="1"/>
    <n v="614"/>
    <n v="0.13"/>
    <n v="647.69000000000005"/>
    <n v="0.17"/>
    <n v="533.04"/>
    <n v="0.14000000000000001"/>
    <n v="4"/>
    <n v="1710.69"/>
    <n v="91"/>
    <n v="0"/>
    <n v="492.02"/>
    <n v="2838.84"/>
    <x v="1"/>
    <n v="1455.23"/>
    <x v="5"/>
    <x v="1"/>
    <n v="28.8"/>
    <s v="Low"/>
    <n v="1265.69"/>
    <n v="0"/>
  </r>
  <r>
    <x v="57"/>
    <x v="55"/>
    <n v="1224"/>
    <n v="3373.4"/>
    <n v="3374.24"/>
    <n v="-0.84"/>
    <n v="1"/>
    <n v="0.37"/>
    <n v="2677.72"/>
    <x v="1"/>
    <n v="756"/>
    <n v="0.38"/>
    <n v="475.08"/>
    <n v="0.14000000000000001"/>
    <n v="230.82"/>
    <n v="7.0000000000000007E-2"/>
    <n v="3"/>
    <n v="2019.37"/>
    <n v="94"/>
    <n v="0"/>
    <n v="1030.8599999999999"/>
    <n v="1905.18"/>
    <x v="1"/>
    <n v="876.46"/>
    <x v="7"/>
    <x v="1"/>
    <n v="90.2"/>
    <s v="High"/>
    <n v="0"/>
    <n v="0"/>
  </r>
  <r>
    <x v="57"/>
    <x v="55"/>
    <n v="1025"/>
    <n v="4736.8900000000003"/>
    <n v="4031.38"/>
    <n v="705.51"/>
    <n v="0.85"/>
    <n v="0.17"/>
    <n v="2267.59"/>
    <x v="1"/>
    <n v="732"/>
    <n v="0.56999999999999995"/>
    <n v="546.04999999999995"/>
    <n v="0.12"/>
    <n v="487.96"/>
    <n v="0.1"/>
    <n v="6"/>
    <n v="438.51"/>
    <n v="36"/>
    <n v="0"/>
    <n v="421.71"/>
    <n v="3366.02"/>
    <x v="1"/>
    <n v="1483.22"/>
    <x v="2"/>
    <x v="0"/>
    <n v="31"/>
    <s v="Low"/>
    <n v="705.51"/>
    <n v="0"/>
  </r>
  <r>
    <x v="57"/>
    <x v="55"/>
    <n v="1639"/>
    <n v="5908.32"/>
    <n v="2688.55"/>
    <n v="3219.77"/>
    <n v="0.46"/>
    <n v="0.32"/>
    <n v="3037.53"/>
    <x v="2"/>
    <n v="645"/>
    <n v="0.12"/>
    <n v="492.64"/>
    <n v="0.08"/>
    <n v="357.58"/>
    <n v="0.06"/>
    <n v="2"/>
    <n v="976.7"/>
    <n v="30"/>
    <n v="0"/>
    <n v="259.20999999999998"/>
    <n v="1954.44"/>
    <x v="1"/>
    <n v="1322.88"/>
    <x v="8"/>
    <x v="1"/>
    <n v="96.5"/>
    <s v="Low"/>
    <n v="3219.77"/>
    <n v="1"/>
  </r>
  <r>
    <x v="57"/>
    <x v="55"/>
    <n v="1903"/>
    <n v="4628.71"/>
    <n v="3113.18"/>
    <n v="1515.53"/>
    <n v="0.67"/>
    <n v="0.24"/>
    <n v="2391.52"/>
    <x v="1"/>
    <n v="619"/>
    <n v="0.2"/>
    <n v="621.29"/>
    <n v="0.13"/>
    <n v="0"/>
    <n v="0"/>
    <n v="3"/>
    <n v="481.99"/>
    <n v="41"/>
    <n v="0"/>
    <n v="266.14"/>
    <n v="2322.96"/>
    <x v="1"/>
    <n v="1301.1300000000001"/>
    <x v="3"/>
    <x v="0"/>
    <n v="94.9"/>
    <s v="Low"/>
    <n v="1515.53"/>
    <n v="0"/>
  </r>
  <r>
    <x v="57"/>
    <x v="55"/>
    <n v="1864"/>
    <n v="6243.76"/>
    <n v="2682.7"/>
    <n v="3561.06"/>
    <n v="0.43"/>
    <n v="0.09"/>
    <n v="3283.75"/>
    <x v="0"/>
    <n v="655"/>
    <n v="0.51"/>
    <n v="486.07"/>
    <n v="0.08"/>
    <n v="564.23"/>
    <n v="0.09"/>
    <n v="9"/>
    <n v="1276.92"/>
    <n v="40"/>
    <n v="0"/>
    <n v="496.04"/>
    <n v="2494.9499999999998"/>
    <x v="0"/>
    <n v="1253.07"/>
    <x v="4"/>
    <x v="0"/>
    <n v="74.7"/>
    <s v="High"/>
    <n v="3561.06"/>
    <n v="1"/>
  </r>
  <r>
    <x v="57"/>
    <x v="55"/>
    <n v="1146"/>
    <n v="3717.41"/>
    <n v="4470.21"/>
    <n v="-752.8"/>
    <n v="1.2"/>
    <n v="0.2"/>
    <n v="3481.11"/>
    <x v="2"/>
    <n v="717"/>
    <n v="0.49"/>
    <n v="356.72"/>
    <n v="0.1"/>
    <n v="301.37"/>
    <n v="0.08"/>
    <n v="6"/>
    <n v="1397.1"/>
    <n v="74"/>
    <n v="0"/>
    <n v="915.12"/>
    <n v="2033.97"/>
    <x v="2"/>
    <n v="883.59"/>
    <x v="3"/>
    <x v="0"/>
    <n v="67.400000000000006"/>
    <s v="Low"/>
    <n v="0"/>
    <n v="0"/>
  </r>
  <r>
    <x v="57"/>
    <x v="55"/>
    <n v="1739"/>
    <n v="5841.63"/>
    <n v="3496.89"/>
    <n v="2344.7399999999998"/>
    <n v="0.6"/>
    <n v="7.0000000000000007E-2"/>
    <n v="2666.34"/>
    <x v="1"/>
    <n v="670"/>
    <n v="0.28999999999999998"/>
    <n v="469.46"/>
    <n v="0.08"/>
    <n v="117.53"/>
    <n v="0.02"/>
    <n v="2"/>
    <n v="1027.7"/>
    <n v="73"/>
    <n v="0"/>
    <n v="755.59"/>
    <n v="1929.26"/>
    <x v="1"/>
    <n v="2395.58"/>
    <x v="1"/>
    <x v="0"/>
    <n v="45.8"/>
    <s v="Low"/>
    <n v="2344.7399999999998"/>
    <n v="0"/>
  </r>
  <r>
    <x v="57"/>
    <x v="55"/>
    <n v="1178"/>
    <n v="5030.67"/>
    <n v="2803.42"/>
    <n v="2227.25"/>
    <n v="0.56000000000000005"/>
    <n v="0.14000000000000001"/>
    <n v="2764.69"/>
    <x v="1"/>
    <n v="638"/>
    <n v="0.14000000000000001"/>
    <n v="529.14"/>
    <n v="0.11"/>
    <n v="59.89"/>
    <n v="0.01"/>
    <n v="4"/>
    <n v="1147.8699999999999"/>
    <n v="85"/>
    <n v="0"/>
    <n v="447.49"/>
    <n v="1736.85"/>
    <x v="1"/>
    <n v="1293.03"/>
    <x v="1"/>
    <x v="0"/>
    <n v="59.8"/>
    <s v="High"/>
    <n v="2227.25"/>
    <n v="0"/>
  </r>
  <r>
    <x v="57"/>
    <x v="55"/>
    <n v="1339"/>
    <n v="3004.32"/>
    <n v="2638.58"/>
    <n v="365.74"/>
    <n v="0.88"/>
    <n v="0.32"/>
    <n v="3205.82"/>
    <x v="2"/>
    <n v="668"/>
    <n v="0.42"/>
    <n v="682.86"/>
    <n v="0.23"/>
    <n v="374.24"/>
    <n v="0.12"/>
    <n v="7"/>
    <n v="701.97"/>
    <n v="79"/>
    <n v="0"/>
    <n v="214.6"/>
    <n v="1658.69"/>
    <x v="0"/>
    <n v="1406.91"/>
    <x v="8"/>
    <x v="0"/>
    <n v="9.3000000000000007"/>
    <s v="Medium"/>
    <n v="365.74"/>
    <n v="0"/>
  </r>
  <r>
    <x v="57"/>
    <x v="55"/>
    <n v="1537"/>
    <n v="5138.6099999999997"/>
    <n v="2285.36"/>
    <n v="2853.25"/>
    <n v="0.44"/>
    <n v="0.28999999999999998"/>
    <n v="2728.63"/>
    <x v="1"/>
    <n v="713"/>
    <n v="0.18"/>
    <n v="766.02"/>
    <n v="0.15"/>
    <n v="313.06"/>
    <n v="0.06"/>
    <n v="9"/>
    <n v="932.81"/>
    <n v="43"/>
    <n v="0"/>
    <n v="980.04"/>
    <n v="2559.91"/>
    <x v="1"/>
    <n v="1278.18"/>
    <x v="5"/>
    <x v="0"/>
    <n v="62.6"/>
    <s v="Low"/>
    <n v="2853.25"/>
    <n v="1"/>
  </r>
  <r>
    <x v="57"/>
    <x v="55"/>
    <n v="1108"/>
    <n v="2005.99"/>
    <n v="3629.29"/>
    <n v="-1623.3"/>
    <n v="1.81"/>
    <n v="0.32"/>
    <n v="3636.33"/>
    <x v="2"/>
    <n v="719"/>
    <n v="0.55000000000000004"/>
    <n v="511.48"/>
    <n v="0.25"/>
    <n v="286.02"/>
    <n v="0.14000000000000001"/>
    <n v="8"/>
    <n v="909.45"/>
    <n v="47"/>
    <n v="0"/>
    <n v="233.64"/>
    <n v="1374.61"/>
    <x v="2"/>
    <n v="838.19"/>
    <x v="9"/>
    <x v="0"/>
    <n v="29.1"/>
    <s v="Low"/>
    <n v="0"/>
    <n v="0"/>
  </r>
  <r>
    <x v="57"/>
    <x v="55"/>
    <n v="1651"/>
    <n v="3756.91"/>
    <n v="2873.61"/>
    <n v="883.3"/>
    <n v="0.76"/>
    <n v="0.24"/>
    <n v="2982.2"/>
    <x v="1"/>
    <n v="632"/>
    <n v="0.38"/>
    <n v="459.71"/>
    <n v="0.12"/>
    <n v="230.33"/>
    <n v="0.06"/>
    <n v="5"/>
    <n v="485.76"/>
    <n v="88"/>
    <n v="0"/>
    <n v="196.84"/>
    <n v="3119.97"/>
    <x v="1"/>
    <n v="1047.01"/>
    <x v="9"/>
    <x v="2"/>
    <n v="41.2"/>
    <s v="Low"/>
    <n v="883.3"/>
    <n v="0"/>
  </r>
  <r>
    <x v="57"/>
    <x v="55"/>
    <n v="1464"/>
    <n v="3691.1"/>
    <n v="3228.05"/>
    <n v="463.05"/>
    <n v="0.87"/>
    <n v="0.12"/>
    <n v="3893.53"/>
    <x v="1"/>
    <n v="626"/>
    <n v="0.12"/>
    <n v="621.01"/>
    <n v="0.17"/>
    <n v="286.47000000000003"/>
    <n v="0.08"/>
    <n v="6"/>
    <n v="780.17"/>
    <n v="34"/>
    <n v="0"/>
    <n v="275.52999999999997"/>
    <n v="3231.56"/>
    <x v="1"/>
    <n v="790.68"/>
    <x v="4"/>
    <x v="1"/>
    <n v="40.700000000000003"/>
    <s v="Medium"/>
    <n v="463.05"/>
    <n v="0"/>
  </r>
  <r>
    <x v="58"/>
    <x v="56"/>
    <n v="1908"/>
    <n v="4268.09"/>
    <n v="2534.9899999999998"/>
    <n v="1733.1"/>
    <n v="0.59"/>
    <n v="0.13"/>
    <n v="1820.82"/>
    <x v="2"/>
    <n v="750"/>
    <n v="0.5"/>
    <n v="470.08"/>
    <n v="0.11"/>
    <n v="499.18"/>
    <n v="0.12"/>
    <n v="3"/>
    <n v="928.08"/>
    <n v="80"/>
    <n v="0"/>
    <n v="430.83"/>
    <n v="2556.3000000000002"/>
    <x v="0"/>
    <n v="1076.83"/>
    <x v="4"/>
    <x v="0"/>
    <n v="76"/>
    <s v="Low"/>
    <n v="1733.1"/>
    <n v="0"/>
  </r>
  <r>
    <x v="58"/>
    <x v="56"/>
    <n v="1410"/>
    <n v="3145.16"/>
    <n v="2220.4499999999998"/>
    <n v="924.71"/>
    <n v="0.71"/>
    <n v="0.32"/>
    <n v="3615.97"/>
    <x v="1"/>
    <n v="608"/>
    <n v="0.52"/>
    <n v="537.63"/>
    <n v="0.17"/>
    <n v="821.14"/>
    <n v="0.26"/>
    <n v="6"/>
    <n v="593.19000000000005"/>
    <n v="37"/>
    <n v="0"/>
    <n v="778.07"/>
    <n v="2165.56"/>
    <x v="1"/>
    <n v="1445.45"/>
    <x v="9"/>
    <x v="2"/>
    <n v="99.7"/>
    <s v="Low"/>
    <n v="924.71"/>
    <n v="0"/>
  </r>
  <r>
    <x v="58"/>
    <x v="56"/>
    <n v="1077"/>
    <n v="2216.9899999999998"/>
    <n v="3393.73"/>
    <n v="-1176.74"/>
    <n v="1.53"/>
    <n v="0.33"/>
    <n v="3273.4"/>
    <x v="2"/>
    <n v="718"/>
    <n v="0.27"/>
    <n v="977.65"/>
    <n v="0.44"/>
    <n v="839.46"/>
    <n v="0.38"/>
    <n v="3"/>
    <n v="489.56"/>
    <n v="50"/>
    <n v="0"/>
    <n v="498.4"/>
    <n v="3829.47"/>
    <x v="1"/>
    <n v="785.53"/>
    <x v="3"/>
    <x v="2"/>
    <n v="42.4"/>
    <s v="Medium"/>
    <n v="0"/>
    <n v="0"/>
  </r>
  <r>
    <x v="58"/>
    <x v="56"/>
    <n v="1358"/>
    <n v="2303.02"/>
    <n v="3598.26"/>
    <n v="-1295.24"/>
    <n v="1.56"/>
    <n v="0.3"/>
    <n v="2229.4899999999998"/>
    <x v="1"/>
    <n v="663"/>
    <n v="0.44"/>
    <n v="455.64"/>
    <n v="0.2"/>
    <n v="573.45000000000005"/>
    <n v="0.25"/>
    <n v="8"/>
    <n v="1127.97"/>
    <n v="64"/>
    <n v="0"/>
    <n v="708.84"/>
    <n v="2370.7800000000002"/>
    <x v="1"/>
    <n v="1711.78"/>
    <x v="6"/>
    <x v="0"/>
    <n v="99"/>
    <s v="Medium"/>
    <n v="0"/>
    <n v="0"/>
  </r>
  <r>
    <x v="58"/>
    <x v="56"/>
    <n v="1800"/>
    <n v="3390.22"/>
    <n v="3241.42"/>
    <n v="148.80000000000001"/>
    <n v="0.96"/>
    <n v="0.18"/>
    <n v="2988.99"/>
    <x v="0"/>
    <n v="717"/>
    <n v="0.56000000000000005"/>
    <n v="629.20000000000005"/>
    <n v="0.19"/>
    <n v="574.91999999999996"/>
    <n v="0.17"/>
    <n v="6"/>
    <n v="965.47"/>
    <n v="77"/>
    <n v="0"/>
    <n v="781.08"/>
    <n v="2756.08"/>
    <x v="1"/>
    <n v="765.13"/>
    <x v="8"/>
    <x v="2"/>
    <n v="95.5"/>
    <s v="High"/>
    <n v="148.80000000000001"/>
    <n v="0"/>
  </r>
  <r>
    <x v="58"/>
    <x v="56"/>
    <n v="1260"/>
    <n v="4598.12"/>
    <n v="4700.46"/>
    <n v="-102.34"/>
    <n v="1.02"/>
    <n v="0.1"/>
    <n v="3017.97"/>
    <x v="2"/>
    <n v="634"/>
    <n v="0.17"/>
    <n v="751.03"/>
    <n v="0.16"/>
    <n v="175.24"/>
    <n v="0.04"/>
    <n v="4"/>
    <n v="790.53"/>
    <n v="36"/>
    <n v="0"/>
    <n v="349.98"/>
    <n v="2447.52"/>
    <x v="1"/>
    <n v="1014.14"/>
    <x v="2"/>
    <x v="1"/>
    <n v="63.7"/>
    <s v="High"/>
    <n v="0"/>
    <n v="0"/>
  </r>
  <r>
    <x v="58"/>
    <x v="56"/>
    <n v="1340"/>
    <n v="5433.69"/>
    <n v="2753.66"/>
    <n v="2680.03"/>
    <n v="0.51"/>
    <n v="7.0000000000000007E-2"/>
    <n v="2053.35"/>
    <x v="1"/>
    <n v="681"/>
    <n v="0.26"/>
    <n v="547.88"/>
    <n v="0.1"/>
    <n v="320.77999999999997"/>
    <n v="0.06"/>
    <n v="7"/>
    <n v="1996.78"/>
    <n v="50"/>
    <n v="0"/>
    <n v="144.97"/>
    <n v="2187.27"/>
    <x v="1"/>
    <n v="978.44"/>
    <x v="8"/>
    <x v="0"/>
    <n v="15.3"/>
    <s v="High"/>
    <n v="2680.03"/>
    <n v="1"/>
  </r>
  <r>
    <x v="58"/>
    <x v="56"/>
    <n v="1698"/>
    <n v="3798.38"/>
    <n v="2189.73"/>
    <n v="1608.65"/>
    <n v="0.57999999999999996"/>
    <n v="0.24"/>
    <n v="3649.27"/>
    <x v="2"/>
    <n v="707"/>
    <n v="0.28000000000000003"/>
    <n v="352.71"/>
    <n v="0.09"/>
    <n v="728.75"/>
    <n v="0.19"/>
    <n v="5"/>
    <n v="2452.4699999999998"/>
    <n v="66"/>
    <n v="0"/>
    <n v="565.45000000000005"/>
    <n v="2561.88"/>
    <x v="1"/>
    <n v="1199.55"/>
    <x v="5"/>
    <x v="2"/>
    <n v="5.3"/>
    <s v="High"/>
    <n v="1608.65"/>
    <n v="0"/>
  </r>
  <r>
    <x v="58"/>
    <x v="56"/>
    <n v="1599"/>
    <n v="4682.2299999999996"/>
    <n v="3156.44"/>
    <n v="1525.79"/>
    <n v="0.67"/>
    <n v="0.35"/>
    <n v="3180.59"/>
    <x v="2"/>
    <n v="568"/>
    <n v="0.54"/>
    <n v="236.08"/>
    <n v="0.05"/>
    <n v="406.4"/>
    <n v="0.09"/>
    <n v="9"/>
    <n v="207.06"/>
    <n v="20"/>
    <n v="0"/>
    <n v="474.09"/>
    <n v="1693.14"/>
    <x v="1"/>
    <n v="1483.89"/>
    <x v="9"/>
    <x v="1"/>
    <n v="33"/>
    <s v="Low"/>
    <n v="1525.79"/>
    <n v="0"/>
  </r>
  <r>
    <x v="58"/>
    <x v="56"/>
    <n v="1670"/>
    <n v="4072.72"/>
    <n v="2032.31"/>
    <n v="2040.41"/>
    <n v="0.5"/>
    <n v="0.06"/>
    <n v="2682.71"/>
    <x v="0"/>
    <n v="694"/>
    <n v="0.22"/>
    <n v="652.77"/>
    <n v="0.16"/>
    <n v="670.54"/>
    <n v="0.16"/>
    <n v="6"/>
    <n v="1048.08"/>
    <n v="51"/>
    <n v="0"/>
    <n v="181.12"/>
    <n v="2802.07"/>
    <x v="1"/>
    <n v="1283.18"/>
    <x v="3"/>
    <x v="0"/>
    <n v="95.6"/>
    <s v="Low"/>
    <n v="2040.41"/>
    <n v="0"/>
  </r>
  <r>
    <x v="58"/>
    <x v="56"/>
    <n v="1156"/>
    <n v="5580.52"/>
    <n v="3513.19"/>
    <n v="2067.33"/>
    <n v="0.63"/>
    <n v="0.12"/>
    <n v="2823.33"/>
    <x v="1"/>
    <n v="680"/>
    <n v="0.54"/>
    <n v="494.01"/>
    <n v="0.09"/>
    <n v="444.44"/>
    <n v="0.08"/>
    <n v="9"/>
    <n v="405.32"/>
    <n v="81"/>
    <n v="0"/>
    <n v="465.79"/>
    <n v="1592.32"/>
    <x v="0"/>
    <n v="783.34"/>
    <x v="5"/>
    <x v="0"/>
    <n v="37.6"/>
    <s v="Medium"/>
    <n v="2067.33"/>
    <n v="0"/>
  </r>
  <r>
    <x v="58"/>
    <x v="56"/>
    <n v="1552"/>
    <n v="3620.95"/>
    <n v="1901.57"/>
    <n v="1719.38"/>
    <n v="0.53"/>
    <n v="0.1"/>
    <n v="1999.31"/>
    <x v="2"/>
    <n v="667"/>
    <n v="0.19"/>
    <n v="282.26"/>
    <n v="0.08"/>
    <n v="524.59"/>
    <n v="0.14000000000000001"/>
    <n v="4"/>
    <n v="813.78"/>
    <n v="89"/>
    <n v="0"/>
    <n v="587.22"/>
    <n v="2528.4"/>
    <x v="0"/>
    <n v="1966.71"/>
    <x v="1"/>
    <x v="1"/>
    <n v="60.4"/>
    <s v="Low"/>
    <n v="1719.38"/>
    <n v="0"/>
  </r>
  <r>
    <x v="58"/>
    <x v="56"/>
    <n v="1837"/>
    <n v="2693.57"/>
    <n v="3726.2"/>
    <n v="-1032.6300000000001"/>
    <n v="1.38"/>
    <n v="0.2"/>
    <n v="2782.88"/>
    <x v="2"/>
    <n v="789"/>
    <n v="0.35"/>
    <n v="614.37"/>
    <n v="0.23"/>
    <n v="682.18"/>
    <n v="0.25"/>
    <n v="6"/>
    <n v="880.4"/>
    <n v="46"/>
    <n v="0"/>
    <n v="573.96"/>
    <n v="1762.68"/>
    <x v="1"/>
    <n v="740.56"/>
    <x v="9"/>
    <x v="0"/>
    <n v="66.2"/>
    <s v="High"/>
    <n v="0"/>
    <n v="0"/>
  </r>
  <r>
    <x v="58"/>
    <x v="56"/>
    <n v="1196"/>
    <n v="2813.46"/>
    <n v="3690.77"/>
    <n v="-877.31"/>
    <n v="1.31"/>
    <n v="0.08"/>
    <n v="2403.04"/>
    <x v="2"/>
    <n v="735"/>
    <n v="0.13"/>
    <n v="663.07"/>
    <n v="0.24"/>
    <n v="195.56"/>
    <n v="7.0000000000000007E-2"/>
    <n v="4"/>
    <n v="1054.55"/>
    <n v="71"/>
    <n v="0"/>
    <n v="287.52"/>
    <n v="1366.33"/>
    <x v="1"/>
    <n v="763.96"/>
    <x v="3"/>
    <x v="0"/>
    <n v="54.3"/>
    <s v="Medium"/>
    <n v="0"/>
    <n v="0"/>
  </r>
  <r>
    <x v="58"/>
    <x v="56"/>
    <n v="1687"/>
    <n v="3792.48"/>
    <n v="3748.54"/>
    <n v="43.94"/>
    <n v="0.99"/>
    <n v="0.25"/>
    <n v="2433.0100000000002"/>
    <x v="1"/>
    <n v="610"/>
    <n v="0.1"/>
    <n v="602.71"/>
    <n v="0.16"/>
    <n v="775.47"/>
    <n v="0.2"/>
    <n v="2"/>
    <n v="1331.23"/>
    <n v="35"/>
    <n v="0"/>
    <n v="726.02"/>
    <n v="2458.62"/>
    <x v="0"/>
    <n v="754.88"/>
    <x v="6"/>
    <x v="2"/>
    <n v="19.600000000000001"/>
    <s v="Medium"/>
    <n v="43.94"/>
    <n v="0"/>
  </r>
  <r>
    <x v="58"/>
    <x v="56"/>
    <n v="1575"/>
    <n v="6577.71"/>
    <n v="3415.79"/>
    <n v="3161.92"/>
    <n v="0.52"/>
    <n v="0.34"/>
    <n v="2234.61"/>
    <x v="2"/>
    <n v="787"/>
    <n v="0.32"/>
    <n v="471.39"/>
    <n v="7.0000000000000007E-2"/>
    <n v="651.29"/>
    <n v="0.1"/>
    <n v="8"/>
    <n v="371.98"/>
    <n v="37"/>
    <n v="0"/>
    <n v="392.6"/>
    <n v="2439.4"/>
    <x v="1"/>
    <n v="1662.06"/>
    <x v="6"/>
    <x v="1"/>
    <n v="92.6"/>
    <s v="Medium"/>
    <n v="3161.92"/>
    <n v="1"/>
  </r>
  <r>
    <x v="58"/>
    <x v="56"/>
    <n v="1260"/>
    <n v="2971.84"/>
    <n v="4285.42"/>
    <n v="-1313.58"/>
    <n v="1.44"/>
    <n v="0.27"/>
    <n v="2372.9"/>
    <x v="0"/>
    <n v="606"/>
    <n v="0.25"/>
    <n v="624.85"/>
    <n v="0.21"/>
    <n v="251.53"/>
    <n v="0.08"/>
    <n v="3"/>
    <n v="1225.5899999999999"/>
    <n v="51"/>
    <n v="0"/>
    <n v="615.97"/>
    <n v="1617.93"/>
    <x v="1"/>
    <n v="1456.88"/>
    <x v="6"/>
    <x v="0"/>
    <n v="46.8"/>
    <s v="Low"/>
    <n v="0"/>
    <n v="0"/>
  </r>
  <r>
    <x v="58"/>
    <x v="56"/>
    <n v="1192"/>
    <n v="4153.46"/>
    <n v="2379.73"/>
    <n v="1773.73"/>
    <n v="0.56999999999999995"/>
    <n v="0.11"/>
    <n v="2829.91"/>
    <x v="2"/>
    <n v="688"/>
    <n v="0.44"/>
    <n v="545.29999999999995"/>
    <n v="0.13"/>
    <n v="251.99"/>
    <n v="0.06"/>
    <n v="4"/>
    <n v="1626.61"/>
    <n v="81"/>
    <n v="0"/>
    <n v="733.31"/>
    <n v="1630.62"/>
    <x v="1"/>
    <n v="903.09"/>
    <x v="5"/>
    <x v="2"/>
    <n v="14.5"/>
    <s v="Low"/>
    <n v="1773.73"/>
    <n v="0"/>
  </r>
  <r>
    <x v="58"/>
    <x v="56"/>
    <n v="1899"/>
    <n v="6398.69"/>
    <n v="4022.54"/>
    <n v="2376.15"/>
    <n v="0.63"/>
    <n v="0.36"/>
    <n v="1700.95"/>
    <x v="1"/>
    <n v="746"/>
    <n v="0.32"/>
    <n v="545.66"/>
    <n v="0.09"/>
    <n v="658.45"/>
    <n v="0.1"/>
    <n v="4"/>
    <n v="981.18"/>
    <n v="70"/>
    <n v="0"/>
    <n v="615.02"/>
    <n v="2081.12"/>
    <x v="1"/>
    <n v="1711"/>
    <x v="7"/>
    <x v="1"/>
    <n v="51.7"/>
    <s v="High"/>
    <n v="2376.15"/>
    <n v="1"/>
  </r>
  <r>
    <x v="58"/>
    <x v="56"/>
    <n v="1575"/>
    <n v="4786.91"/>
    <n v="2609.64"/>
    <n v="2177.27"/>
    <n v="0.55000000000000004"/>
    <n v="0.34"/>
    <n v="2861.68"/>
    <x v="1"/>
    <n v="807"/>
    <n v="0.49"/>
    <n v="634.97"/>
    <n v="0.13"/>
    <n v="358.59"/>
    <n v="7.0000000000000007E-2"/>
    <n v="6"/>
    <n v="199.43"/>
    <n v="50"/>
    <n v="0"/>
    <n v="180.51"/>
    <n v="2078.15"/>
    <x v="0"/>
    <n v="1738.27"/>
    <x v="5"/>
    <x v="0"/>
    <n v="99.4"/>
    <s v="High"/>
    <n v="2177.27"/>
    <n v="0"/>
  </r>
  <r>
    <x v="58"/>
    <x v="56"/>
    <n v="1126"/>
    <n v="4832.32"/>
    <n v="3022.15"/>
    <n v="1810.17"/>
    <n v="0.63"/>
    <n v="0.35"/>
    <n v="2763.64"/>
    <x v="2"/>
    <n v="670"/>
    <n v="0.17"/>
    <n v="376.52"/>
    <n v="0.08"/>
    <n v="308.44"/>
    <n v="0.06"/>
    <n v="1"/>
    <n v="1797.72"/>
    <n v="55"/>
    <n v="0"/>
    <n v="290.22000000000003"/>
    <n v="1370.3"/>
    <x v="2"/>
    <n v="1585.73"/>
    <x v="0"/>
    <x v="0"/>
    <n v="26.1"/>
    <s v="Medium"/>
    <n v="1810.17"/>
    <n v="0"/>
  </r>
  <r>
    <x v="58"/>
    <x v="56"/>
    <n v="1149"/>
    <n v="5549.63"/>
    <n v="3175.02"/>
    <n v="2374.61"/>
    <n v="0.56999999999999995"/>
    <n v="0.15"/>
    <n v="2398.8200000000002"/>
    <x v="1"/>
    <n v="595"/>
    <n v="0.52"/>
    <n v="586.84"/>
    <n v="0.11"/>
    <n v="641.09"/>
    <n v="0.12"/>
    <n v="9"/>
    <n v="1166.6199999999999"/>
    <n v="89"/>
    <n v="0"/>
    <n v="599.47"/>
    <n v="2879.58"/>
    <x v="1"/>
    <n v="1092.28"/>
    <x v="9"/>
    <x v="0"/>
    <n v="45"/>
    <s v="Low"/>
    <n v="2374.61"/>
    <n v="0"/>
  </r>
  <r>
    <x v="58"/>
    <x v="56"/>
    <n v="1703"/>
    <n v="5223.46"/>
    <n v="3049.92"/>
    <n v="2173.54"/>
    <n v="0.57999999999999996"/>
    <n v="0.14000000000000001"/>
    <n v="3008.39"/>
    <x v="0"/>
    <n v="643"/>
    <n v="0.16"/>
    <n v="796.37"/>
    <n v="0.15"/>
    <n v="0"/>
    <n v="0"/>
    <n v="2"/>
    <n v="659.47"/>
    <n v="78"/>
    <n v="0"/>
    <n v="368.79"/>
    <n v="2756.54"/>
    <x v="1"/>
    <n v="2016.03"/>
    <x v="7"/>
    <x v="0"/>
    <n v="18.5"/>
    <s v="High"/>
    <n v="2173.54"/>
    <n v="0"/>
  </r>
  <r>
    <x v="58"/>
    <x v="56"/>
    <n v="1137"/>
    <n v="3688.64"/>
    <n v="2393.4899999999998"/>
    <n v="1295.1500000000001"/>
    <n v="0.65"/>
    <n v="0.18"/>
    <n v="2847.23"/>
    <x v="1"/>
    <n v="664"/>
    <n v="0.52"/>
    <n v="207.58"/>
    <n v="0.06"/>
    <n v="192.45"/>
    <n v="0.05"/>
    <n v="9"/>
    <n v="1857.33"/>
    <n v="62"/>
    <n v="0"/>
    <n v="542.26"/>
    <n v="2242.48"/>
    <x v="1"/>
    <n v="1443.14"/>
    <x v="9"/>
    <x v="0"/>
    <n v="76.8"/>
    <s v="Low"/>
    <n v="1295.1500000000001"/>
    <n v="0"/>
  </r>
  <r>
    <x v="58"/>
    <x v="56"/>
    <n v="1764"/>
    <n v="3548.34"/>
    <n v="2338.92"/>
    <n v="1209.42"/>
    <n v="0.66"/>
    <n v="0.32"/>
    <n v="2499.1"/>
    <x v="2"/>
    <n v="646"/>
    <n v="0.42"/>
    <n v="335.91"/>
    <n v="0.09"/>
    <n v="83.15"/>
    <n v="0.02"/>
    <n v="2"/>
    <n v="1344.89"/>
    <n v="36"/>
    <n v="0"/>
    <n v="561.44000000000005"/>
    <n v="3068.61"/>
    <x v="1"/>
    <n v="939.26"/>
    <x v="1"/>
    <x v="1"/>
    <n v="90.2"/>
    <s v="Medium"/>
    <n v="1209.42"/>
    <n v="0"/>
  </r>
  <r>
    <x v="58"/>
    <x v="56"/>
    <n v="1171"/>
    <n v="5306.27"/>
    <n v="3696.89"/>
    <n v="1609.38"/>
    <n v="0.7"/>
    <n v="0.08"/>
    <n v="3383.34"/>
    <x v="1"/>
    <n v="699"/>
    <n v="0.57999999999999996"/>
    <n v="700.74"/>
    <n v="0.13"/>
    <n v="543.37"/>
    <n v="0.1"/>
    <n v="8"/>
    <n v="808.38"/>
    <n v="29"/>
    <n v="0"/>
    <n v="977.02"/>
    <n v="2531.66"/>
    <x v="1"/>
    <n v="1411.12"/>
    <x v="9"/>
    <x v="0"/>
    <n v="25.7"/>
    <s v="High"/>
    <n v="1609.38"/>
    <n v="0"/>
  </r>
  <r>
    <x v="58"/>
    <x v="56"/>
    <n v="1359"/>
    <n v="4057.35"/>
    <n v="2628.82"/>
    <n v="1428.53"/>
    <n v="0.65"/>
    <n v="0.24"/>
    <n v="1907.53"/>
    <x v="2"/>
    <n v="637"/>
    <n v="0.36"/>
    <n v="827.69"/>
    <n v="0.2"/>
    <n v="333.87"/>
    <n v="0.08"/>
    <n v="6"/>
    <n v="1131.5899999999999"/>
    <n v="74"/>
    <n v="0"/>
    <n v="539.71"/>
    <n v="1918.68"/>
    <x v="1"/>
    <n v="883.56"/>
    <x v="4"/>
    <x v="0"/>
    <n v="93.1"/>
    <s v="Medium"/>
    <n v="1428.53"/>
    <n v="0"/>
  </r>
  <r>
    <x v="58"/>
    <x v="56"/>
    <n v="1927"/>
    <n v="4096.16"/>
    <n v="1338.47"/>
    <n v="2757.69"/>
    <n v="0.33"/>
    <n v="0.25"/>
    <n v="2767.26"/>
    <x v="2"/>
    <n v="654"/>
    <n v="0.47"/>
    <n v="550.47"/>
    <n v="0.13"/>
    <n v="405.9"/>
    <n v="0.1"/>
    <n v="8"/>
    <n v="602.69000000000005"/>
    <n v="99"/>
    <n v="0"/>
    <n v="432.5"/>
    <n v="2397.42"/>
    <x v="1"/>
    <n v="1323.8"/>
    <x v="6"/>
    <x v="0"/>
    <n v="80.8"/>
    <s v="Low"/>
    <n v="2757.69"/>
    <n v="0"/>
  </r>
  <r>
    <x v="58"/>
    <x v="56"/>
    <n v="1743"/>
    <n v="5524.03"/>
    <n v="3049.45"/>
    <n v="2474.58"/>
    <n v="0.55000000000000004"/>
    <n v="0.19"/>
    <n v="2638.43"/>
    <x v="1"/>
    <n v="694"/>
    <n v="0.16"/>
    <n v="347.43"/>
    <n v="0.06"/>
    <n v="336.43"/>
    <n v="0.06"/>
    <n v="6"/>
    <n v="1386.71"/>
    <n v="59"/>
    <n v="0"/>
    <n v="606.53"/>
    <n v="2229.71"/>
    <x v="1"/>
    <n v="2146"/>
    <x v="4"/>
    <x v="0"/>
    <n v="88.1"/>
    <s v="Medium"/>
    <n v="2474.58"/>
    <n v="0"/>
  </r>
  <r>
    <x v="58"/>
    <x v="56"/>
    <n v="1232"/>
    <n v="3708.16"/>
    <n v="2684.72"/>
    <n v="1023.44"/>
    <n v="0.72"/>
    <n v="0.18"/>
    <n v="2564.35"/>
    <x v="1"/>
    <n v="644"/>
    <n v="0.49"/>
    <n v="676.63"/>
    <n v="0.18"/>
    <n v="547.28"/>
    <n v="0.15"/>
    <n v="7"/>
    <n v="0"/>
    <n v="39"/>
    <n v="0"/>
    <n v="557.38"/>
    <n v="1660.45"/>
    <x v="1"/>
    <n v="1372.48"/>
    <x v="2"/>
    <x v="2"/>
    <n v="6.6"/>
    <s v="High"/>
    <n v="1023.44"/>
    <n v="0"/>
  </r>
  <r>
    <x v="58"/>
    <x v="56"/>
    <n v="1153"/>
    <n v="4012.15"/>
    <n v="3452.36"/>
    <n v="559.79"/>
    <n v="0.86"/>
    <n v="0.32"/>
    <n v="2098.94"/>
    <x v="1"/>
    <n v="669"/>
    <n v="0.13"/>
    <n v="554.36"/>
    <n v="0.14000000000000001"/>
    <n v="509.31"/>
    <n v="0.13"/>
    <n v="2"/>
    <n v="2282.94"/>
    <n v="73"/>
    <n v="0"/>
    <n v="499.34"/>
    <n v="2079.25"/>
    <x v="1"/>
    <n v="567.54999999999995"/>
    <x v="0"/>
    <x v="1"/>
    <n v="22.4"/>
    <s v="Medium"/>
    <n v="559.79"/>
    <n v="0"/>
  </r>
  <r>
    <x v="58"/>
    <x v="56"/>
    <n v="1770"/>
    <n v="3151.96"/>
    <n v="2472.65"/>
    <n v="679.31"/>
    <n v="0.78"/>
    <n v="0.15"/>
    <n v="2128.48"/>
    <x v="1"/>
    <n v="656"/>
    <n v="0.12"/>
    <n v="795.81"/>
    <n v="0.25"/>
    <n v="194.65"/>
    <n v="0.06"/>
    <n v="2"/>
    <n v="1152.45"/>
    <n v="29"/>
    <n v="0"/>
    <n v="131.05000000000001"/>
    <n v="1802.04"/>
    <x v="1"/>
    <n v="1549.68"/>
    <x v="9"/>
    <x v="0"/>
    <n v="29.2"/>
    <s v="High"/>
    <n v="679.31"/>
    <n v="0"/>
  </r>
  <r>
    <x v="58"/>
    <x v="56"/>
    <n v="1821"/>
    <n v="3971.76"/>
    <n v="3619.08"/>
    <n v="352.68"/>
    <n v="0.91"/>
    <n v="0.16"/>
    <n v="3010.36"/>
    <x v="1"/>
    <n v="621"/>
    <n v="0.15"/>
    <n v="553.5"/>
    <n v="0.14000000000000001"/>
    <n v="349.9"/>
    <n v="0.09"/>
    <n v="2"/>
    <n v="1257.7"/>
    <n v="36"/>
    <n v="0"/>
    <n v="233.1"/>
    <n v="1880.56"/>
    <x v="2"/>
    <n v="1066.6199999999999"/>
    <x v="8"/>
    <x v="0"/>
    <n v="64.900000000000006"/>
    <s v="Low"/>
    <n v="352.68"/>
    <n v="0"/>
  </r>
  <r>
    <x v="58"/>
    <x v="56"/>
    <n v="1126"/>
    <n v="5446.46"/>
    <n v="2191.7800000000002"/>
    <n v="3254.68"/>
    <n v="0.4"/>
    <n v="0.19"/>
    <n v="3530.29"/>
    <x v="1"/>
    <n v="615"/>
    <n v="0.11"/>
    <n v="141.47"/>
    <n v="0.03"/>
    <n v="522.14"/>
    <n v="0.1"/>
    <n v="5"/>
    <n v="1208.54"/>
    <n v="85"/>
    <n v="0"/>
    <n v="614.67999999999995"/>
    <n v="2542.08"/>
    <x v="1"/>
    <n v="865.5"/>
    <x v="0"/>
    <x v="0"/>
    <n v="76.3"/>
    <s v="Low"/>
    <n v="3254.68"/>
    <n v="0"/>
  </r>
  <r>
    <x v="58"/>
    <x v="56"/>
    <n v="1244"/>
    <n v="4046.42"/>
    <n v="3766.9"/>
    <n v="279.52"/>
    <n v="0.93"/>
    <n v="0.33"/>
    <n v="2778.19"/>
    <x v="1"/>
    <n v="657"/>
    <n v="0.13"/>
    <n v="214.19"/>
    <n v="0.05"/>
    <n v="0"/>
    <n v="0"/>
    <n v="9"/>
    <n v="1627.97"/>
    <n v="31"/>
    <n v="0"/>
    <n v="723.02"/>
    <n v="1608.52"/>
    <x v="1"/>
    <n v="1015.79"/>
    <x v="7"/>
    <x v="0"/>
    <n v="7.5"/>
    <s v="Medium"/>
    <n v="279.52"/>
    <n v="0"/>
  </r>
  <r>
    <x v="58"/>
    <x v="56"/>
    <n v="1978"/>
    <n v="3766.28"/>
    <n v="3669.91"/>
    <n v="96.37"/>
    <n v="0.97"/>
    <n v="0.28000000000000003"/>
    <n v="2631.72"/>
    <x v="1"/>
    <n v="721"/>
    <n v="0.14000000000000001"/>
    <n v="830.47"/>
    <n v="0.22"/>
    <n v="501.98"/>
    <n v="0.13"/>
    <n v="1"/>
    <n v="1167.3900000000001"/>
    <n v="27"/>
    <n v="0"/>
    <n v="497.03"/>
    <n v="2884.35"/>
    <x v="2"/>
    <n v="1161.8900000000001"/>
    <x v="6"/>
    <x v="0"/>
    <n v="70"/>
    <s v="Medium"/>
    <n v="96.37"/>
    <n v="0"/>
  </r>
  <r>
    <x v="58"/>
    <x v="56"/>
    <n v="1502"/>
    <n v="3108.18"/>
    <n v="3185.75"/>
    <n v="-77.569999999999993"/>
    <n v="1.02"/>
    <n v="0.4"/>
    <n v="2978.05"/>
    <x v="0"/>
    <n v="755"/>
    <n v="0.28000000000000003"/>
    <n v="368.21"/>
    <n v="0.12"/>
    <n v="344.38"/>
    <n v="0.11"/>
    <n v="5"/>
    <n v="719.58"/>
    <n v="43"/>
    <n v="0"/>
    <n v="227.6"/>
    <n v="1570.88"/>
    <x v="1"/>
    <n v="1127.31"/>
    <x v="4"/>
    <x v="0"/>
    <n v="82.8"/>
    <s v="Low"/>
    <n v="0"/>
    <n v="0"/>
  </r>
  <r>
    <x v="58"/>
    <x v="56"/>
    <n v="1583"/>
    <n v="3661.73"/>
    <n v="2472.35"/>
    <n v="1189.3800000000001"/>
    <n v="0.68"/>
    <n v="0.31"/>
    <n v="3060.18"/>
    <x v="1"/>
    <n v="664"/>
    <n v="0.54"/>
    <n v="635"/>
    <n v="0.17"/>
    <n v="294.95999999999998"/>
    <n v="0.08"/>
    <n v="1"/>
    <n v="1219.51"/>
    <n v="86"/>
    <n v="0"/>
    <n v="278.5"/>
    <n v="2474.15"/>
    <x v="1"/>
    <n v="636.09"/>
    <x v="6"/>
    <x v="1"/>
    <n v="19.899999999999999"/>
    <s v="Low"/>
    <n v="1189.3800000000001"/>
    <n v="0"/>
  </r>
  <r>
    <x v="58"/>
    <x v="56"/>
    <n v="1514"/>
    <n v="4197.8999999999996"/>
    <n v="2379.33"/>
    <n v="1818.57"/>
    <n v="0.56999999999999995"/>
    <n v="0.19"/>
    <n v="2995.86"/>
    <x v="0"/>
    <n v="657"/>
    <n v="0.31"/>
    <n v="735.43"/>
    <n v="0.18"/>
    <n v="222.66"/>
    <n v="0.05"/>
    <n v="1"/>
    <n v="1026.72"/>
    <n v="54"/>
    <n v="0"/>
    <n v="552.89"/>
    <n v="2730.31"/>
    <x v="2"/>
    <n v="1060.23"/>
    <x v="7"/>
    <x v="0"/>
    <n v="92.3"/>
    <s v="Medium"/>
    <n v="1818.57"/>
    <n v="0"/>
  </r>
  <r>
    <x v="58"/>
    <x v="56"/>
    <n v="1728"/>
    <n v="3257.15"/>
    <n v="3760.08"/>
    <n v="-502.93"/>
    <n v="1.1499999999999999"/>
    <n v="0.31"/>
    <n v="3867.5"/>
    <x v="1"/>
    <n v="727"/>
    <n v="0.4"/>
    <n v="0"/>
    <n v="0"/>
    <n v="83.95"/>
    <n v="0.03"/>
    <n v="4"/>
    <n v="1661.76"/>
    <n v="70"/>
    <n v="0"/>
    <n v="246.4"/>
    <n v="1222.9100000000001"/>
    <x v="0"/>
    <n v="747.08"/>
    <x v="4"/>
    <x v="0"/>
    <n v="96.3"/>
    <s v="Low"/>
    <n v="0"/>
    <n v="0"/>
  </r>
  <r>
    <x v="58"/>
    <x v="56"/>
    <n v="1811"/>
    <n v="4854.04"/>
    <n v="3668.64"/>
    <n v="1185.4000000000001"/>
    <n v="0.76"/>
    <n v="0.15"/>
    <n v="2842.35"/>
    <x v="1"/>
    <n v="643"/>
    <n v="0.43"/>
    <n v="377.64"/>
    <n v="0.08"/>
    <n v="851.14"/>
    <n v="0.18"/>
    <n v="5"/>
    <n v="1611.73"/>
    <n v="73"/>
    <n v="0"/>
    <n v="387.9"/>
    <n v="1973.57"/>
    <x v="1"/>
    <n v="1389.02"/>
    <x v="2"/>
    <x v="1"/>
    <n v="11.2"/>
    <s v="Low"/>
    <n v="1185.4000000000001"/>
    <n v="0"/>
  </r>
  <r>
    <x v="58"/>
    <x v="56"/>
    <n v="1223"/>
    <n v="4291"/>
    <n v="3549.45"/>
    <n v="741.55"/>
    <n v="0.83"/>
    <n v="0.09"/>
    <n v="1847.11"/>
    <x v="1"/>
    <n v="736"/>
    <n v="0.4"/>
    <n v="485.58"/>
    <n v="0.11"/>
    <n v="932.51"/>
    <n v="0.22"/>
    <n v="9"/>
    <n v="1565.97"/>
    <n v="66"/>
    <n v="0"/>
    <n v="592.51"/>
    <n v="2230.04"/>
    <x v="1"/>
    <n v="1323.82"/>
    <x v="9"/>
    <x v="2"/>
    <n v="57.2"/>
    <s v="Low"/>
    <n v="741.55"/>
    <n v="0"/>
  </r>
  <r>
    <x v="58"/>
    <x v="56"/>
    <n v="1194"/>
    <n v="2527.4499999999998"/>
    <n v="2186.44"/>
    <n v="341.01"/>
    <n v="0.87"/>
    <n v="0.08"/>
    <n v="2687.78"/>
    <x v="1"/>
    <n v="744"/>
    <n v="0.22"/>
    <n v="652.42999999999995"/>
    <n v="0.26"/>
    <n v="349.25"/>
    <n v="0.14000000000000001"/>
    <n v="4"/>
    <n v="1800.38"/>
    <n v="57"/>
    <n v="0"/>
    <n v="704.94"/>
    <n v="1917.09"/>
    <x v="1"/>
    <n v="1421.32"/>
    <x v="1"/>
    <x v="2"/>
    <n v="57.9"/>
    <s v="Medium"/>
    <n v="341.01"/>
    <n v="0"/>
  </r>
  <r>
    <x v="58"/>
    <x v="56"/>
    <n v="1028"/>
    <n v="2202.11"/>
    <n v="1916.99"/>
    <n v="285.12"/>
    <n v="0.87"/>
    <n v="0.35"/>
    <n v="2166.9"/>
    <x v="0"/>
    <n v="707"/>
    <n v="0.27"/>
    <n v="614.86"/>
    <n v="0.28000000000000003"/>
    <n v="277.25"/>
    <n v="0.13"/>
    <n v="2"/>
    <n v="1634.6"/>
    <n v="30"/>
    <n v="0"/>
    <n v="224.33"/>
    <n v="2760.52"/>
    <x v="1"/>
    <n v="511.56"/>
    <x v="4"/>
    <x v="0"/>
    <n v="74"/>
    <s v="Medium"/>
    <n v="285.12"/>
    <n v="0"/>
  </r>
  <r>
    <x v="58"/>
    <x v="56"/>
    <n v="1075"/>
    <n v="3005"/>
    <n v="3515.83"/>
    <n v="-510.83"/>
    <n v="1.17"/>
    <n v="0.16"/>
    <n v="2947.88"/>
    <x v="0"/>
    <n v="691"/>
    <n v="0.46"/>
    <n v="325.10000000000002"/>
    <n v="0.11"/>
    <n v="403.75"/>
    <n v="0.13"/>
    <n v="9"/>
    <n v="778.46"/>
    <n v="95"/>
    <n v="0"/>
    <n v="762.79"/>
    <n v="2293.56"/>
    <x v="2"/>
    <n v="1689.84"/>
    <x v="6"/>
    <x v="0"/>
    <n v="45.1"/>
    <s v="High"/>
    <n v="0"/>
    <n v="0"/>
  </r>
  <r>
    <x v="58"/>
    <x v="56"/>
    <n v="1821"/>
    <n v="3771.84"/>
    <n v="3244.96"/>
    <n v="526.88"/>
    <n v="0.86"/>
    <n v="0.08"/>
    <n v="2780.08"/>
    <x v="2"/>
    <n v="667"/>
    <n v="0.39"/>
    <n v="421.53"/>
    <n v="0.11"/>
    <n v="557.29"/>
    <n v="0.15"/>
    <n v="8"/>
    <n v="794.06"/>
    <n v="41"/>
    <n v="0"/>
    <n v="479.25"/>
    <n v="2849.38"/>
    <x v="1"/>
    <n v="1104.26"/>
    <x v="1"/>
    <x v="1"/>
    <n v="8.5"/>
    <s v="Low"/>
    <n v="526.88"/>
    <n v="0"/>
  </r>
  <r>
    <x v="58"/>
    <x v="56"/>
    <n v="1933"/>
    <n v="6079.53"/>
    <n v="4533.26"/>
    <n v="1546.27"/>
    <n v="0.75"/>
    <n v="0.22"/>
    <n v="2864.57"/>
    <x v="1"/>
    <n v="685"/>
    <n v="0.51"/>
    <n v="447.13"/>
    <n v="7.0000000000000007E-2"/>
    <n v="664"/>
    <n v="0.11"/>
    <n v="1"/>
    <n v="1045.78"/>
    <n v="20"/>
    <n v="0"/>
    <n v="439.98"/>
    <n v="2437.29"/>
    <x v="2"/>
    <n v="1262.53"/>
    <x v="0"/>
    <x v="1"/>
    <n v="74.099999999999994"/>
    <s v="High"/>
    <n v="1546.27"/>
    <n v="0"/>
  </r>
  <r>
    <x v="58"/>
    <x v="56"/>
    <n v="1317"/>
    <n v="3198.63"/>
    <n v="3813.3"/>
    <n v="-614.66999999999996"/>
    <n v="1.19"/>
    <n v="0.31"/>
    <n v="3126.13"/>
    <x v="1"/>
    <n v="624"/>
    <n v="0.53"/>
    <n v="620.29999999999995"/>
    <n v="0.19"/>
    <n v="561.44000000000005"/>
    <n v="0.18"/>
    <n v="1"/>
    <n v="1007.28"/>
    <n v="99"/>
    <n v="0"/>
    <n v="648.54"/>
    <n v="2034.08"/>
    <x v="1"/>
    <n v="1482.48"/>
    <x v="9"/>
    <x v="0"/>
    <n v="89"/>
    <s v="Low"/>
    <n v="0"/>
    <n v="0"/>
  </r>
  <r>
    <x v="58"/>
    <x v="56"/>
    <n v="1265"/>
    <n v="3703.98"/>
    <n v="2988.52"/>
    <n v="715.46"/>
    <n v="0.81"/>
    <n v="0.15"/>
    <n v="3138.36"/>
    <x v="0"/>
    <n v="627"/>
    <n v="0.12"/>
    <n v="133.25"/>
    <n v="0.04"/>
    <n v="524.12"/>
    <n v="0.14000000000000001"/>
    <n v="6"/>
    <n v="794.85"/>
    <n v="59"/>
    <n v="0"/>
    <n v="1029.8399999999999"/>
    <n v="2069.5100000000002"/>
    <x v="2"/>
    <n v="1895.62"/>
    <x v="6"/>
    <x v="0"/>
    <n v="18.100000000000001"/>
    <s v="Medium"/>
    <n v="715.46"/>
    <n v="0"/>
  </r>
  <r>
    <x v="58"/>
    <x v="56"/>
    <n v="1346"/>
    <n v="3133.24"/>
    <n v="4335.72"/>
    <n v="-1202.48"/>
    <n v="1.38"/>
    <n v="0.08"/>
    <n v="2854.72"/>
    <x v="0"/>
    <n v="628"/>
    <n v="0.42"/>
    <n v="650.23"/>
    <n v="0.21"/>
    <n v="966.6"/>
    <n v="0.31"/>
    <n v="2"/>
    <n v="712.12"/>
    <n v="92"/>
    <n v="0"/>
    <n v="373.85"/>
    <n v="2305.14"/>
    <x v="1"/>
    <n v="903.82"/>
    <x v="4"/>
    <x v="0"/>
    <n v="57.1"/>
    <s v="Low"/>
    <n v="0"/>
    <n v="0"/>
  </r>
  <r>
    <x v="59"/>
    <x v="57"/>
    <n v="1585"/>
    <n v="5466.77"/>
    <n v="3518.15"/>
    <n v="1948.62"/>
    <n v="0.64"/>
    <n v="0.15"/>
    <n v="3075.67"/>
    <x v="1"/>
    <n v="675"/>
    <n v="0.33"/>
    <n v="300.01"/>
    <n v="0.05"/>
    <n v="419.52"/>
    <n v="0.08"/>
    <n v="8"/>
    <n v="872.66"/>
    <n v="29"/>
    <n v="0"/>
    <n v="555.20000000000005"/>
    <n v="2010.92"/>
    <x v="1"/>
    <n v="1257.5"/>
    <x v="5"/>
    <x v="0"/>
    <n v="87.6"/>
    <s v="Low"/>
    <n v="1948.62"/>
    <n v="0"/>
  </r>
  <r>
    <x v="59"/>
    <x v="57"/>
    <n v="1389"/>
    <n v="3360.3"/>
    <n v="5853.2"/>
    <n v="-2492.9"/>
    <n v="1.74"/>
    <n v="0.12"/>
    <n v="3016.99"/>
    <x v="1"/>
    <n v="693"/>
    <n v="0.56999999999999995"/>
    <n v="565.83000000000004"/>
    <n v="0.17"/>
    <n v="392.04"/>
    <n v="0.12"/>
    <n v="5"/>
    <n v="1104.1400000000001"/>
    <n v="50"/>
    <n v="0"/>
    <n v="887.86"/>
    <n v="2093.06"/>
    <x v="1"/>
    <n v="1119.7"/>
    <x v="2"/>
    <x v="0"/>
    <n v="31.7"/>
    <s v="Medium"/>
    <n v="0"/>
    <n v="0"/>
  </r>
  <r>
    <x v="59"/>
    <x v="57"/>
    <n v="1848"/>
    <n v="4581.92"/>
    <n v="4121.99"/>
    <n v="459.93"/>
    <n v="0.9"/>
    <n v="0.39"/>
    <n v="2635.18"/>
    <x v="1"/>
    <n v="680"/>
    <n v="0.51"/>
    <n v="475.71"/>
    <n v="0.1"/>
    <n v="81.650000000000006"/>
    <n v="0.02"/>
    <n v="3"/>
    <n v="2116.1"/>
    <n v="81"/>
    <n v="0"/>
    <n v="300.61"/>
    <n v="2129.0700000000002"/>
    <x v="1"/>
    <n v="1371.69"/>
    <x v="2"/>
    <x v="0"/>
    <n v="28.7"/>
    <s v="High"/>
    <n v="459.93"/>
    <n v="0"/>
  </r>
  <r>
    <x v="59"/>
    <x v="57"/>
    <n v="1676"/>
    <n v="3441.61"/>
    <n v="3902.53"/>
    <n v="-460.92"/>
    <n v="1.1299999999999999"/>
    <n v="0.18"/>
    <n v="2686.9"/>
    <x v="0"/>
    <n v="720"/>
    <n v="0.37"/>
    <n v="362.76"/>
    <n v="0.11"/>
    <n v="726.65"/>
    <n v="0.21"/>
    <n v="9"/>
    <n v="1653.31"/>
    <n v="46"/>
    <n v="0"/>
    <n v="538.13"/>
    <n v="2155.96"/>
    <x v="2"/>
    <n v="1816.79"/>
    <x v="2"/>
    <x v="0"/>
    <n v="71"/>
    <s v="Medium"/>
    <n v="0"/>
    <n v="0"/>
  </r>
  <r>
    <x v="59"/>
    <x v="57"/>
    <n v="1037"/>
    <n v="4140.54"/>
    <n v="2259.2399999999998"/>
    <n v="1881.3"/>
    <n v="0.55000000000000004"/>
    <n v="0.38"/>
    <n v="2878.09"/>
    <x v="1"/>
    <n v="695"/>
    <n v="0.48"/>
    <n v="580.84"/>
    <n v="0.14000000000000001"/>
    <n v="512.94000000000005"/>
    <n v="0.12"/>
    <n v="8"/>
    <n v="184.94"/>
    <n v="74"/>
    <n v="0"/>
    <n v="302.81"/>
    <n v="2611.3200000000002"/>
    <x v="1"/>
    <n v="1370.45"/>
    <x v="0"/>
    <x v="0"/>
    <n v="26"/>
    <s v="High"/>
    <n v="1881.3"/>
    <n v="0"/>
  </r>
  <r>
    <x v="59"/>
    <x v="57"/>
    <n v="1924"/>
    <n v="4760.7700000000004"/>
    <n v="2188.63"/>
    <n v="2572.14"/>
    <n v="0.46"/>
    <n v="0.32"/>
    <n v="2455.71"/>
    <x v="2"/>
    <n v="663"/>
    <n v="0.11"/>
    <n v="491.41"/>
    <n v="0.1"/>
    <n v="284.51"/>
    <n v="0.06"/>
    <n v="4"/>
    <n v="1162.7"/>
    <n v="94"/>
    <n v="0"/>
    <n v="528.26"/>
    <n v="2426.13"/>
    <x v="1"/>
    <n v="1330.08"/>
    <x v="2"/>
    <x v="0"/>
    <n v="88.4"/>
    <s v="Medium"/>
    <n v="2572.14"/>
    <n v="1"/>
  </r>
  <r>
    <x v="59"/>
    <x v="57"/>
    <n v="1103"/>
    <n v="3993.72"/>
    <n v="3079.16"/>
    <n v="914.56"/>
    <n v="0.77"/>
    <n v="0.1"/>
    <n v="3330.02"/>
    <x v="1"/>
    <n v="660"/>
    <n v="0.12"/>
    <n v="615.86"/>
    <n v="0.15"/>
    <n v="452.5"/>
    <n v="0.11"/>
    <n v="3"/>
    <n v="1459.83"/>
    <n v="26"/>
    <n v="0"/>
    <n v="727.98"/>
    <n v="2721.92"/>
    <x v="1"/>
    <n v="1241.8800000000001"/>
    <x v="1"/>
    <x v="0"/>
    <n v="24.3"/>
    <s v="Low"/>
    <n v="914.56"/>
    <n v="0"/>
  </r>
  <r>
    <x v="59"/>
    <x v="57"/>
    <n v="1253"/>
    <n v="3540.81"/>
    <n v="3080.81"/>
    <n v="460"/>
    <n v="0.87"/>
    <n v="0.09"/>
    <n v="2182.71"/>
    <x v="1"/>
    <n v="591"/>
    <n v="0.55000000000000004"/>
    <n v="493.2"/>
    <n v="0.14000000000000001"/>
    <n v="320.02"/>
    <n v="0.09"/>
    <n v="7"/>
    <n v="674.35"/>
    <n v="33"/>
    <n v="0"/>
    <n v="512.78"/>
    <n v="2341.85"/>
    <x v="2"/>
    <n v="865.64"/>
    <x v="1"/>
    <x v="0"/>
    <n v="75.599999999999994"/>
    <s v="Low"/>
    <n v="460"/>
    <n v="0"/>
  </r>
  <r>
    <x v="59"/>
    <x v="57"/>
    <n v="1673"/>
    <n v="5169.3900000000003"/>
    <n v="2540.2600000000002"/>
    <n v="2629.13"/>
    <n v="0.49"/>
    <n v="0.22"/>
    <n v="3386.44"/>
    <x v="2"/>
    <n v="653"/>
    <n v="0.51"/>
    <n v="225.26"/>
    <n v="0.04"/>
    <n v="544.15"/>
    <n v="0.11"/>
    <n v="1"/>
    <n v="2129.11"/>
    <n v="76"/>
    <n v="0"/>
    <n v="304.83999999999997"/>
    <n v="2456.7399999999998"/>
    <x v="1"/>
    <n v="1697.81"/>
    <x v="0"/>
    <x v="0"/>
    <n v="74"/>
    <s v="Low"/>
    <n v="2629.13"/>
    <n v="0"/>
  </r>
  <r>
    <x v="59"/>
    <x v="57"/>
    <n v="1933"/>
    <n v="4019.7"/>
    <n v="2752.15"/>
    <n v="1267.55"/>
    <n v="0.68"/>
    <n v="0.28000000000000003"/>
    <n v="2701.8"/>
    <x v="1"/>
    <n v="689"/>
    <n v="0.33"/>
    <n v="426.17"/>
    <n v="0.11"/>
    <n v="353.85"/>
    <n v="0.09"/>
    <n v="7"/>
    <n v="1568.92"/>
    <n v="25"/>
    <n v="0"/>
    <n v="593.34"/>
    <n v="1068.6400000000001"/>
    <x v="1"/>
    <n v="1865.37"/>
    <x v="3"/>
    <x v="0"/>
    <n v="82.2"/>
    <s v="Low"/>
    <n v="1267.55"/>
    <n v="0"/>
  </r>
  <r>
    <x v="59"/>
    <x v="57"/>
    <n v="1925"/>
    <n v="4917.63"/>
    <n v="3581.68"/>
    <n v="1335.95"/>
    <n v="0.73"/>
    <n v="0.24"/>
    <n v="3443.1"/>
    <x v="1"/>
    <n v="596"/>
    <n v="0.22"/>
    <n v="349.85"/>
    <n v="7.0000000000000007E-2"/>
    <n v="429.32"/>
    <n v="0.09"/>
    <n v="8"/>
    <n v="1504.53"/>
    <n v="95"/>
    <n v="0"/>
    <n v="134.81"/>
    <n v="2684.61"/>
    <x v="1"/>
    <n v="1184.6300000000001"/>
    <x v="3"/>
    <x v="2"/>
    <n v="55.8"/>
    <s v="Medium"/>
    <n v="1335.95"/>
    <n v="0"/>
  </r>
  <r>
    <x v="59"/>
    <x v="57"/>
    <n v="1865"/>
    <n v="3535.77"/>
    <n v="3728.75"/>
    <n v="-192.98"/>
    <n v="1.05"/>
    <n v="0.38"/>
    <n v="3244.4"/>
    <x v="0"/>
    <n v="692"/>
    <n v="0.2"/>
    <n v="568.16999999999996"/>
    <n v="0.16"/>
    <n v="727.25"/>
    <n v="0.21"/>
    <n v="4"/>
    <n v="784.2"/>
    <n v="82"/>
    <n v="0"/>
    <n v="223.32"/>
    <n v="2538.4499999999998"/>
    <x v="1"/>
    <n v="1466.76"/>
    <x v="7"/>
    <x v="0"/>
    <n v="34.9"/>
    <s v="Low"/>
    <n v="0"/>
    <n v="0"/>
  </r>
  <r>
    <x v="59"/>
    <x v="57"/>
    <n v="1784"/>
    <n v="4705.75"/>
    <n v="3407.7"/>
    <n v="1298.05"/>
    <n v="0.72"/>
    <n v="0.14000000000000001"/>
    <n v="3156.19"/>
    <x v="0"/>
    <n v="515"/>
    <n v="0.24"/>
    <n v="598.24"/>
    <n v="0.13"/>
    <n v="191.9"/>
    <n v="0.04"/>
    <n v="2"/>
    <n v="1033.55"/>
    <n v="26"/>
    <n v="0"/>
    <n v="213.2"/>
    <n v="1526.11"/>
    <x v="1"/>
    <n v="879.13"/>
    <x v="8"/>
    <x v="1"/>
    <n v="36.6"/>
    <s v="High"/>
    <n v="1298.05"/>
    <n v="0"/>
  </r>
  <r>
    <x v="59"/>
    <x v="57"/>
    <n v="1217"/>
    <n v="7085.77"/>
    <n v="2634.49"/>
    <n v="4451.28"/>
    <n v="0.37"/>
    <n v="0.2"/>
    <n v="3372.32"/>
    <x v="1"/>
    <n v="591"/>
    <n v="0.15"/>
    <n v="277.08999999999997"/>
    <n v="0.04"/>
    <n v="249.5"/>
    <n v="0.04"/>
    <n v="5"/>
    <n v="1285.7"/>
    <n v="68"/>
    <n v="0"/>
    <n v="935.51"/>
    <n v="2036.02"/>
    <x v="2"/>
    <n v="1961.03"/>
    <x v="2"/>
    <x v="2"/>
    <n v="79.2"/>
    <s v="Medium"/>
    <n v="4451.28"/>
    <n v="1"/>
  </r>
  <r>
    <x v="59"/>
    <x v="57"/>
    <n v="1613"/>
    <n v="3821.93"/>
    <n v="1798.56"/>
    <n v="2023.37"/>
    <n v="0.47"/>
    <n v="0.36"/>
    <n v="2854.14"/>
    <x v="1"/>
    <n v="621"/>
    <n v="0.1"/>
    <n v="396.48"/>
    <n v="0.1"/>
    <n v="621.16"/>
    <n v="0.16"/>
    <n v="9"/>
    <n v="1107.3800000000001"/>
    <n v="59"/>
    <n v="0"/>
    <n v="920.25"/>
    <n v="2021.03"/>
    <x v="1"/>
    <n v="1274.3399999999999"/>
    <x v="3"/>
    <x v="2"/>
    <n v="77.8"/>
    <s v="Low"/>
    <n v="2023.37"/>
    <n v="0"/>
  </r>
  <r>
    <x v="59"/>
    <x v="57"/>
    <n v="1277"/>
    <n v="3717.91"/>
    <n v="2049.8000000000002"/>
    <n v="1668.11"/>
    <n v="0.55000000000000004"/>
    <n v="0.31"/>
    <n v="2998.43"/>
    <x v="1"/>
    <n v="692"/>
    <n v="0.32"/>
    <n v="413"/>
    <n v="0.11"/>
    <n v="626.19000000000005"/>
    <n v="0.17"/>
    <n v="2"/>
    <n v="817.84"/>
    <n v="97"/>
    <n v="0"/>
    <n v="572.41999999999996"/>
    <n v="1529.86"/>
    <x v="1"/>
    <n v="1238.01"/>
    <x v="3"/>
    <x v="0"/>
    <n v="10.5"/>
    <s v="Medium"/>
    <n v="1668.11"/>
    <n v="0"/>
  </r>
  <r>
    <x v="59"/>
    <x v="57"/>
    <n v="1955"/>
    <n v="3076.59"/>
    <n v="2690.71"/>
    <n v="385.88"/>
    <n v="0.87"/>
    <n v="0.28999999999999998"/>
    <n v="3164.19"/>
    <x v="2"/>
    <n v="764"/>
    <n v="0.43"/>
    <n v="707.03"/>
    <n v="0.23"/>
    <n v="284.49"/>
    <n v="0.09"/>
    <n v="4"/>
    <n v="1590.81"/>
    <n v="61"/>
    <n v="0"/>
    <n v="327.61"/>
    <n v="1421.09"/>
    <x v="0"/>
    <n v="921.86"/>
    <x v="2"/>
    <x v="0"/>
    <n v="70.900000000000006"/>
    <s v="Low"/>
    <n v="385.88"/>
    <n v="0"/>
  </r>
  <r>
    <x v="59"/>
    <x v="57"/>
    <n v="1607"/>
    <n v="4085.13"/>
    <n v="3709.59"/>
    <n v="375.54"/>
    <n v="0.91"/>
    <n v="0.14000000000000001"/>
    <n v="3127.78"/>
    <x v="2"/>
    <n v="608"/>
    <n v="0.46"/>
    <n v="464.2"/>
    <n v="0.11"/>
    <n v="449.21"/>
    <n v="0.11"/>
    <n v="3"/>
    <n v="1672.94"/>
    <n v="95"/>
    <n v="0"/>
    <n v="263.63"/>
    <n v="2501.9499999999998"/>
    <x v="1"/>
    <n v="1501.33"/>
    <x v="3"/>
    <x v="2"/>
    <n v="99"/>
    <s v="Low"/>
    <n v="375.54"/>
    <n v="0"/>
  </r>
  <r>
    <x v="59"/>
    <x v="57"/>
    <n v="1961"/>
    <n v="6130.53"/>
    <n v="2355.21"/>
    <n v="3775.32"/>
    <n v="0.38"/>
    <n v="0.31"/>
    <n v="1752.34"/>
    <x v="1"/>
    <n v="625"/>
    <n v="0.39"/>
    <n v="377.35"/>
    <n v="0.06"/>
    <n v="27.32"/>
    <n v="0"/>
    <n v="1"/>
    <n v="1003.21"/>
    <n v="33"/>
    <n v="0"/>
    <n v="535.32000000000005"/>
    <n v="1544.37"/>
    <x v="1"/>
    <n v="1004.25"/>
    <x v="8"/>
    <x v="1"/>
    <n v="7.7"/>
    <s v="Medium"/>
    <n v="3775.32"/>
    <n v="1"/>
  </r>
  <r>
    <x v="59"/>
    <x v="57"/>
    <n v="1280"/>
    <n v="5019.8500000000004"/>
    <n v="3903.22"/>
    <n v="1116.6300000000001"/>
    <n v="0.78"/>
    <n v="0.22"/>
    <n v="2802.2"/>
    <x v="1"/>
    <n v="688"/>
    <n v="0.35"/>
    <n v="319.39999999999998"/>
    <n v="0.06"/>
    <n v="842.65"/>
    <n v="0.17"/>
    <n v="7"/>
    <n v="818.09"/>
    <n v="48"/>
    <n v="0"/>
    <n v="732.69"/>
    <n v="1353.04"/>
    <x v="2"/>
    <n v="1379.58"/>
    <x v="5"/>
    <x v="1"/>
    <n v="43.2"/>
    <s v="Low"/>
    <n v="1116.6300000000001"/>
    <n v="0"/>
  </r>
  <r>
    <x v="59"/>
    <x v="57"/>
    <n v="1743"/>
    <n v="5293.43"/>
    <n v="3244.6"/>
    <n v="2048.83"/>
    <n v="0.61"/>
    <n v="0.21"/>
    <n v="3186.01"/>
    <x v="1"/>
    <n v="675"/>
    <n v="0.24"/>
    <n v="446.59"/>
    <n v="0.08"/>
    <n v="571.69000000000005"/>
    <n v="0.11"/>
    <n v="8"/>
    <n v="1089.06"/>
    <n v="69"/>
    <n v="0"/>
    <n v="349.78"/>
    <n v="1712.78"/>
    <x v="1"/>
    <n v="818.61"/>
    <x v="7"/>
    <x v="2"/>
    <n v="30.5"/>
    <s v="Medium"/>
    <n v="2048.83"/>
    <n v="0"/>
  </r>
  <r>
    <x v="59"/>
    <x v="57"/>
    <n v="1097"/>
    <n v="3821.33"/>
    <n v="2415.4"/>
    <n v="1405.93"/>
    <n v="0.63"/>
    <n v="0.22"/>
    <n v="3811.81"/>
    <x v="1"/>
    <n v="649"/>
    <n v="0.47"/>
    <n v="395.1"/>
    <n v="0.1"/>
    <n v="531.62"/>
    <n v="0.14000000000000001"/>
    <n v="6"/>
    <n v="1327.73"/>
    <n v="71"/>
    <n v="0"/>
    <n v="374.75"/>
    <n v="1864.64"/>
    <x v="1"/>
    <n v="786.62"/>
    <x v="6"/>
    <x v="0"/>
    <n v="30.6"/>
    <s v="Low"/>
    <n v="1405.93"/>
    <n v="0"/>
  </r>
  <r>
    <x v="59"/>
    <x v="57"/>
    <n v="1321"/>
    <n v="4537.59"/>
    <n v="3100.27"/>
    <n v="1437.32"/>
    <n v="0.68"/>
    <n v="0.24"/>
    <n v="2650.22"/>
    <x v="1"/>
    <n v="546"/>
    <n v="0.17"/>
    <n v="779.36"/>
    <n v="0.17"/>
    <n v="214.66"/>
    <n v="0.05"/>
    <n v="2"/>
    <n v="942.52"/>
    <n v="89"/>
    <n v="0"/>
    <n v="333.35"/>
    <n v="1960.12"/>
    <x v="2"/>
    <n v="1519.75"/>
    <x v="6"/>
    <x v="0"/>
    <n v="26.5"/>
    <s v="Low"/>
    <n v="1437.32"/>
    <n v="0"/>
  </r>
  <r>
    <x v="59"/>
    <x v="57"/>
    <n v="1970"/>
    <n v="4707.74"/>
    <n v="3634.79"/>
    <n v="1072.95"/>
    <n v="0.77"/>
    <n v="0.19"/>
    <n v="3333.43"/>
    <x v="0"/>
    <n v="689"/>
    <n v="0.12"/>
    <n v="491.14"/>
    <n v="0.1"/>
    <n v="408.65"/>
    <n v="0.09"/>
    <n v="7"/>
    <n v="643.49"/>
    <n v="31"/>
    <n v="0"/>
    <n v="416.49"/>
    <n v="1849.32"/>
    <x v="1"/>
    <n v="1623.36"/>
    <x v="0"/>
    <x v="2"/>
    <n v="64"/>
    <s v="High"/>
    <n v="1072.95"/>
    <n v="0"/>
  </r>
  <r>
    <x v="59"/>
    <x v="57"/>
    <n v="1246"/>
    <n v="5105.78"/>
    <n v="4312.92"/>
    <n v="792.86"/>
    <n v="0.84"/>
    <n v="0.27"/>
    <n v="2546.52"/>
    <x v="0"/>
    <n v="669"/>
    <n v="0.33"/>
    <n v="365.65"/>
    <n v="7.0000000000000007E-2"/>
    <n v="450.53"/>
    <n v="0.09"/>
    <n v="6"/>
    <n v="951.81"/>
    <n v="33"/>
    <n v="0"/>
    <n v="279.31"/>
    <n v="1543.7"/>
    <x v="1"/>
    <n v="1112.81"/>
    <x v="2"/>
    <x v="1"/>
    <n v="20.2"/>
    <s v="Low"/>
    <n v="792.86"/>
    <n v="0"/>
  </r>
  <r>
    <x v="59"/>
    <x v="57"/>
    <n v="1329"/>
    <n v="5344.28"/>
    <n v="2860.93"/>
    <n v="2483.35"/>
    <n v="0.54"/>
    <n v="0.15"/>
    <n v="3085.08"/>
    <x v="1"/>
    <n v="633"/>
    <n v="0.42"/>
    <n v="491.61"/>
    <n v="0.09"/>
    <n v="494.4"/>
    <n v="0.09"/>
    <n v="1"/>
    <n v="1745.29"/>
    <n v="71"/>
    <n v="0"/>
    <n v="505.87"/>
    <n v="2400.02"/>
    <x v="0"/>
    <n v="864.91"/>
    <x v="1"/>
    <x v="0"/>
    <n v="13"/>
    <s v="Medium"/>
    <n v="2483.35"/>
    <n v="0"/>
  </r>
  <r>
    <x v="59"/>
    <x v="57"/>
    <n v="1897"/>
    <n v="5045.76"/>
    <n v="2943.55"/>
    <n v="2102.21"/>
    <n v="0.57999999999999996"/>
    <n v="0.32"/>
    <n v="3155.78"/>
    <x v="2"/>
    <n v="650"/>
    <n v="0.53"/>
    <n v="144.9"/>
    <n v="0.03"/>
    <n v="252.05"/>
    <n v="0.05"/>
    <n v="7"/>
    <n v="916.85"/>
    <n v="74"/>
    <n v="0"/>
    <n v="236.15"/>
    <n v="2533.14"/>
    <x v="0"/>
    <n v="1414.57"/>
    <x v="4"/>
    <x v="0"/>
    <n v="16.8"/>
    <s v="Low"/>
    <n v="2102.21"/>
    <n v="0"/>
  </r>
  <r>
    <x v="59"/>
    <x v="57"/>
    <n v="1492"/>
    <n v="4878.8900000000003"/>
    <n v="3662.04"/>
    <n v="1216.8499999999999"/>
    <n v="0.75"/>
    <n v="0.35"/>
    <n v="2757.33"/>
    <x v="1"/>
    <n v="672"/>
    <n v="0.51"/>
    <n v="756.85"/>
    <n v="0.16"/>
    <n v="727.19"/>
    <n v="0.15"/>
    <n v="4"/>
    <n v="1055.98"/>
    <n v="95"/>
    <n v="0"/>
    <n v="757.55"/>
    <n v="1119.4000000000001"/>
    <x v="1"/>
    <n v="1139.55"/>
    <x v="6"/>
    <x v="0"/>
    <n v="18"/>
    <s v="Low"/>
    <n v="1216.8499999999999"/>
    <n v="0"/>
  </r>
  <r>
    <x v="59"/>
    <x v="57"/>
    <n v="1013"/>
    <n v="3254.2"/>
    <n v="2740"/>
    <n v="514.20000000000005"/>
    <n v="0.84"/>
    <n v="0.16"/>
    <n v="2253.54"/>
    <x v="2"/>
    <n v="602"/>
    <n v="0.21"/>
    <n v="681.61"/>
    <n v="0.21"/>
    <n v="537.53"/>
    <n v="0.17"/>
    <n v="8"/>
    <n v="886.88"/>
    <n v="97"/>
    <n v="0"/>
    <n v="477.01"/>
    <n v="1921.14"/>
    <x v="2"/>
    <n v="1299.95"/>
    <x v="4"/>
    <x v="1"/>
    <n v="9.1"/>
    <s v="Low"/>
    <n v="514.20000000000005"/>
    <n v="0"/>
  </r>
  <r>
    <x v="59"/>
    <x v="57"/>
    <n v="1827"/>
    <n v="4226.82"/>
    <n v="4527.5200000000004"/>
    <n v="-300.7"/>
    <n v="1.07"/>
    <n v="0.24"/>
    <n v="2301.23"/>
    <x v="1"/>
    <n v="656"/>
    <n v="0.46"/>
    <n v="683.38"/>
    <n v="0.16"/>
    <n v="646.02"/>
    <n v="0.15"/>
    <n v="1"/>
    <n v="512.03"/>
    <n v="88"/>
    <n v="0"/>
    <n v="91.09"/>
    <n v="2126.5"/>
    <x v="1"/>
    <n v="1049.1300000000001"/>
    <x v="1"/>
    <x v="0"/>
    <n v="79.8"/>
    <s v="Low"/>
    <n v="0"/>
    <n v="0"/>
  </r>
  <r>
    <x v="59"/>
    <x v="57"/>
    <n v="1891"/>
    <n v="2791.51"/>
    <n v="4801.3900000000003"/>
    <n v="-2009.88"/>
    <n v="1.72"/>
    <n v="0.38"/>
    <n v="2442.02"/>
    <x v="1"/>
    <n v="688"/>
    <n v="0.35"/>
    <n v="559.33000000000004"/>
    <n v="0.2"/>
    <n v="622.26"/>
    <n v="0.22"/>
    <n v="5"/>
    <n v="848.97"/>
    <n v="71"/>
    <n v="0"/>
    <n v="810"/>
    <n v="1501.37"/>
    <x v="1"/>
    <n v="1672.34"/>
    <x v="9"/>
    <x v="0"/>
    <n v="99.9"/>
    <s v="Low"/>
    <n v="0"/>
    <n v="0"/>
  </r>
  <r>
    <x v="59"/>
    <x v="57"/>
    <n v="1897"/>
    <n v="4253.97"/>
    <n v="2055.75"/>
    <n v="2198.2199999999998"/>
    <n v="0.48"/>
    <n v="0.35"/>
    <n v="3253.34"/>
    <x v="1"/>
    <n v="646"/>
    <n v="0.56000000000000005"/>
    <n v="420.35"/>
    <n v="0.1"/>
    <n v="477.02"/>
    <n v="0.11"/>
    <n v="8"/>
    <n v="682.06"/>
    <n v="87"/>
    <n v="0"/>
    <n v="692.93"/>
    <n v="2005.84"/>
    <x v="1"/>
    <n v="1007.35"/>
    <x v="2"/>
    <x v="0"/>
    <n v="28.7"/>
    <s v="Low"/>
    <n v="2198.2199999999998"/>
    <n v="0"/>
  </r>
  <r>
    <x v="59"/>
    <x v="57"/>
    <n v="1355"/>
    <n v="3512.92"/>
    <n v="2574.23"/>
    <n v="938.69"/>
    <n v="0.73"/>
    <n v="7.0000000000000007E-2"/>
    <n v="3035.28"/>
    <x v="2"/>
    <n v="620"/>
    <n v="0.52"/>
    <n v="937.52"/>
    <n v="0.27"/>
    <n v="376.35"/>
    <n v="0.11"/>
    <n v="9"/>
    <n v="1263.92"/>
    <n v="76"/>
    <n v="0"/>
    <n v="784.23"/>
    <n v="2539.04"/>
    <x v="1"/>
    <n v="1150.8399999999999"/>
    <x v="5"/>
    <x v="2"/>
    <n v="69.900000000000006"/>
    <s v="Low"/>
    <n v="938.69"/>
    <n v="0"/>
  </r>
  <r>
    <x v="59"/>
    <x v="57"/>
    <n v="1811"/>
    <n v="4347.2299999999996"/>
    <n v="3037.27"/>
    <n v="1309.96"/>
    <n v="0.7"/>
    <n v="0.34"/>
    <n v="3340.02"/>
    <x v="1"/>
    <n v="692"/>
    <n v="0.11"/>
    <n v="843.25"/>
    <n v="0.19"/>
    <n v="201.37"/>
    <n v="0.05"/>
    <n v="4"/>
    <n v="1815.56"/>
    <n v="43"/>
    <n v="0"/>
    <n v="657.06"/>
    <n v="2414.84"/>
    <x v="1"/>
    <n v="921.1"/>
    <x v="7"/>
    <x v="0"/>
    <n v="31.4"/>
    <s v="Low"/>
    <n v="1309.96"/>
    <n v="0"/>
  </r>
  <r>
    <x v="59"/>
    <x v="57"/>
    <n v="1343"/>
    <n v="5797.88"/>
    <n v="4329.41"/>
    <n v="1468.47"/>
    <n v="0.75"/>
    <n v="0.06"/>
    <n v="2497.1799999999998"/>
    <x v="0"/>
    <n v="600"/>
    <n v="0.23"/>
    <n v="423.71"/>
    <n v="7.0000000000000007E-2"/>
    <n v="97.52"/>
    <n v="0.02"/>
    <n v="5"/>
    <n v="1641.01"/>
    <n v="80"/>
    <n v="0"/>
    <n v="0"/>
    <n v="2625.18"/>
    <x v="0"/>
    <n v="1061.48"/>
    <x v="6"/>
    <x v="0"/>
    <n v="25.6"/>
    <s v="Low"/>
    <n v="1468.47"/>
    <n v="0"/>
  </r>
  <r>
    <x v="59"/>
    <x v="57"/>
    <n v="1780"/>
    <n v="5169.9399999999996"/>
    <n v="2739.42"/>
    <n v="2430.52"/>
    <n v="0.53"/>
    <n v="0.34"/>
    <n v="2583.0700000000002"/>
    <x v="0"/>
    <n v="742"/>
    <n v="0.15"/>
    <n v="626.79"/>
    <n v="0.12"/>
    <n v="0"/>
    <n v="0"/>
    <n v="4"/>
    <n v="882.85"/>
    <n v="21"/>
    <n v="0"/>
    <n v="661.37"/>
    <n v="2025.34"/>
    <x v="1"/>
    <n v="616.79999999999995"/>
    <x v="7"/>
    <x v="2"/>
    <n v="1.6"/>
    <s v="Low"/>
    <n v="2430.52"/>
    <n v="0"/>
  </r>
  <r>
    <x v="59"/>
    <x v="57"/>
    <n v="1707"/>
    <n v="3192.26"/>
    <n v="2997.43"/>
    <n v="194.83"/>
    <n v="0.94"/>
    <n v="0.33"/>
    <n v="3083.63"/>
    <x v="1"/>
    <n v="685"/>
    <n v="0.26"/>
    <n v="641.14"/>
    <n v="0.2"/>
    <n v="220.62"/>
    <n v="7.0000000000000007E-2"/>
    <n v="1"/>
    <n v="1617.45"/>
    <n v="67"/>
    <n v="0"/>
    <n v="513.13"/>
    <n v="1076.3399999999999"/>
    <x v="1"/>
    <n v="1246.56"/>
    <x v="9"/>
    <x v="0"/>
    <n v="86.4"/>
    <s v="High"/>
    <n v="194.83"/>
    <n v="0"/>
  </r>
  <r>
    <x v="59"/>
    <x v="57"/>
    <n v="1834"/>
    <n v="3284.41"/>
    <n v="2811.95"/>
    <n v="472.46"/>
    <n v="0.86"/>
    <n v="0.17"/>
    <n v="2479.6799999999998"/>
    <x v="1"/>
    <n v="609"/>
    <n v="0.27"/>
    <n v="347.2"/>
    <n v="0.11"/>
    <n v="207.8"/>
    <n v="0.06"/>
    <n v="2"/>
    <n v="1442.11"/>
    <n v="89"/>
    <n v="0"/>
    <n v="606.5"/>
    <n v="1970.58"/>
    <x v="1"/>
    <n v="1292.2"/>
    <x v="7"/>
    <x v="1"/>
    <n v="12"/>
    <s v="Low"/>
    <n v="472.46"/>
    <n v="0"/>
  </r>
  <r>
    <x v="59"/>
    <x v="57"/>
    <n v="1259"/>
    <n v="4053.15"/>
    <n v="2630.87"/>
    <n v="1422.28"/>
    <n v="0.65"/>
    <n v="0.37"/>
    <n v="3306.3"/>
    <x v="1"/>
    <n v="686"/>
    <n v="0.32"/>
    <n v="376.17"/>
    <n v="0.09"/>
    <n v="50.44"/>
    <n v="0.01"/>
    <n v="9"/>
    <n v="1663.81"/>
    <n v="85"/>
    <n v="0"/>
    <n v="612.62"/>
    <n v="2412.8200000000002"/>
    <x v="1"/>
    <n v="1050.02"/>
    <x v="3"/>
    <x v="2"/>
    <n v="47.1"/>
    <s v="Low"/>
    <n v="1422.28"/>
    <n v="0"/>
  </r>
  <r>
    <x v="59"/>
    <x v="57"/>
    <n v="1777"/>
    <n v="2370.23"/>
    <n v="2163.91"/>
    <n v="206.32"/>
    <n v="0.91"/>
    <n v="0.09"/>
    <n v="3943.01"/>
    <x v="1"/>
    <n v="668"/>
    <n v="0.3"/>
    <n v="0"/>
    <n v="0"/>
    <n v="594.87"/>
    <n v="0.25"/>
    <n v="2"/>
    <n v="1146.28"/>
    <n v="56"/>
    <n v="0"/>
    <n v="683.55"/>
    <n v="1742.87"/>
    <x v="2"/>
    <n v="968.74"/>
    <x v="2"/>
    <x v="1"/>
    <n v="2.7"/>
    <s v="Low"/>
    <n v="206.32"/>
    <n v="0"/>
  </r>
  <r>
    <x v="59"/>
    <x v="57"/>
    <n v="1871"/>
    <n v="5061.6499999999996"/>
    <n v="2452.19"/>
    <n v="2609.46"/>
    <n v="0.48"/>
    <n v="0.13"/>
    <n v="1593.19"/>
    <x v="2"/>
    <n v="661"/>
    <n v="0.15"/>
    <n v="444.09"/>
    <n v="0.09"/>
    <n v="365.03"/>
    <n v="7.0000000000000007E-2"/>
    <n v="8"/>
    <n v="713.16"/>
    <n v="76"/>
    <n v="0"/>
    <n v="356.85"/>
    <n v="2260.37"/>
    <x v="1"/>
    <n v="687.92"/>
    <x v="8"/>
    <x v="2"/>
    <n v="45.2"/>
    <s v="Low"/>
    <n v="2609.46"/>
    <n v="1"/>
  </r>
  <r>
    <x v="59"/>
    <x v="57"/>
    <n v="1506"/>
    <n v="4418.16"/>
    <n v="2315.04"/>
    <n v="2103.12"/>
    <n v="0.52"/>
    <n v="0.12"/>
    <n v="3166.28"/>
    <x v="2"/>
    <n v="696"/>
    <n v="0.21"/>
    <n v="652.11"/>
    <n v="0.15"/>
    <n v="0"/>
    <n v="0"/>
    <n v="5"/>
    <n v="438.74"/>
    <n v="37"/>
    <n v="0"/>
    <n v="722.9"/>
    <n v="3358.05"/>
    <x v="1"/>
    <n v="1663.98"/>
    <x v="5"/>
    <x v="1"/>
    <n v="56.3"/>
    <s v="Low"/>
    <n v="2103.12"/>
    <n v="0"/>
  </r>
  <r>
    <x v="59"/>
    <x v="57"/>
    <n v="1371"/>
    <n v="3751.63"/>
    <n v="4124.7"/>
    <n v="-373.07"/>
    <n v="1.1000000000000001"/>
    <n v="0.18"/>
    <n v="2508.1"/>
    <x v="1"/>
    <n v="591"/>
    <n v="0.47"/>
    <n v="807.68"/>
    <n v="0.22"/>
    <n v="313.76"/>
    <n v="0.08"/>
    <n v="7"/>
    <n v="425.34"/>
    <n v="70"/>
    <n v="0"/>
    <n v="764.69"/>
    <n v="2006.19"/>
    <x v="1"/>
    <n v="919.07"/>
    <x v="8"/>
    <x v="0"/>
    <n v="67.5"/>
    <s v="Medium"/>
    <n v="0"/>
    <n v="0"/>
  </r>
  <r>
    <x v="59"/>
    <x v="57"/>
    <n v="1979"/>
    <n v="4675.2299999999996"/>
    <n v="3685.93"/>
    <n v="989.3"/>
    <n v="0.79"/>
    <n v="0.22"/>
    <n v="2877.53"/>
    <x v="1"/>
    <n v="716"/>
    <n v="0.22"/>
    <n v="335.96"/>
    <n v="7.0000000000000007E-2"/>
    <n v="194.28"/>
    <n v="0.04"/>
    <n v="2"/>
    <n v="1091.0999999999999"/>
    <n v="51"/>
    <n v="0"/>
    <n v="616.83000000000004"/>
    <n v="1514.07"/>
    <x v="1"/>
    <n v="987.65"/>
    <x v="2"/>
    <x v="0"/>
    <n v="84.8"/>
    <s v="Low"/>
    <n v="989.3"/>
    <n v="0"/>
  </r>
  <r>
    <x v="59"/>
    <x v="57"/>
    <n v="1502"/>
    <n v="4444.28"/>
    <n v="3586.98"/>
    <n v="857.3"/>
    <n v="0.81"/>
    <n v="0.16"/>
    <n v="3158.17"/>
    <x v="0"/>
    <n v="658"/>
    <n v="0.43"/>
    <n v="243.02"/>
    <n v="0.05"/>
    <n v="0"/>
    <n v="0"/>
    <n v="6"/>
    <n v="573.79999999999995"/>
    <n v="62"/>
    <n v="0"/>
    <n v="634.53"/>
    <n v="2430.87"/>
    <x v="1"/>
    <n v="1651.43"/>
    <x v="4"/>
    <x v="1"/>
    <n v="92.2"/>
    <s v="High"/>
    <n v="857.3"/>
    <n v="0"/>
  </r>
  <r>
    <x v="59"/>
    <x v="57"/>
    <n v="1582"/>
    <n v="4735.7299999999996"/>
    <n v="1392.36"/>
    <n v="3343.37"/>
    <n v="0.28999999999999998"/>
    <n v="0.18"/>
    <n v="2826.4"/>
    <x v="0"/>
    <n v="671"/>
    <n v="0.49"/>
    <n v="428.61"/>
    <n v="0.09"/>
    <n v="748.8"/>
    <n v="0.16"/>
    <n v="5"/>
    <n v="874.75"/>
    <n v="68"/>
    <n v="0"/>
    <n v="150.96"/>
    <n v="3448.23"/>
    <x v="1"/>
    <n v="1142.43"/>
    <x v="8"/>
    <x v="1"/>
    <n v="96.6"/>
    <s v="Medium"/>
    <n v="3343.37"/>
    <n v="1"/>
  </r>
  <r>
    <x v="59"/>
    <x v="57"/>
    <n v="1241"/>
    <n v="3771.22"/>
    <n v="4103.3999999999996"/>
    <n v="-332.18"/>
    <n v="1.0900000000000001"/>
    <n v="0.32"/>
    <n v="2979.76"/>
    <x v="2"/>
    <n v="727"/>
    <n v="0.46"/>
    <n v="459.2"/>
    <n v="0.12"/>
    <n v="541.03"/>
    <n v="0.14000000000000001"/>
    <n v="6"/>
    <n v="1602.49"/>
    <n v="73"/>
    <n v="0"/>
    <n v="270.14999999999998"/>
    <n v="1849.38"/>
    <x v="1"/>
    <n v="1400.58"/>
    <x v="6"/>
    <x v="0"/>
    <n v="39.1"/>
    <s v="Low"/>
    <n v="0"/>
    <n v="0"/>
  </r>
  <r>
    <x v="59"/>
    <x v="57"/>
    <n v="1579"/>
    <n v="4783.3900000000003"/>
    <n v="3650.01"/>
    <n v="1133.3800000000001"/>
    <n v="0.76"/>
    <n v="0.39"/>
    <n v="1480.23"/>
    <x v="1"/>
    <n v="609"/>
    <n v="0.28000000000000003"/>
    <n v="480.78"/>
    <n v="0.1"/>
    <n v="664.2"/>
    <n v="0.14000000000000001"/>
    <n v="4"/>
    <n v="2225.8200000000002"/>
    <n v="33"/>
    <n v="0"/>
    <n v="522.71"/>
    <n v="2563.09"/>
    <x v="1"/>
    <n v="1076.6199999999999"/>
    <x v="0"/>
    <x v="1"/>
    <n v="77.5"/>
    <s v="Low"/>
    <n v="1133.3800000000001"/>
    <n v="0"/>
  </r>
  <r>
    <x v="59"/>
    <x v="57"/>
    <n v="1027"/>
    <n v="3598.08"/>
    <n v="2577.1999999999998"/>
    <n v="1020.88"/>
    <n v="0.72"/>
    <n v="0.21"/>
    <n v="3437.93"/>
    <x v="2"/>
    <n v="640"/>
    <n v="0.32"/>
    <n v="591.17999999999995"/>
    <n v="0.16"/>
    <n v="779.54"/>
    <n v="0.22"/>
    <n v="5"/>
    <n v="686.19"/>
    <n v="48"/>
    <n v="0"/>
    <n v="611.64"/>
    <n v="1729.19"/>
    <x v="1"/>
    <n v="1202.26"/>
    <x v="3"/>
    <x v="0"/>
    <n v="44.3"/>
    <s v="High"/>
    <n v="1020.88"/>
    <n v="0"/>
  </r>
  <r>
    <x v="59"/>
    <x v="57"/>
    <n v="1140"/>
    <n v="4090.06"/>
    <n v="3546.83"/>
    <n v="543.23"/>
    <n v="0.87"/>
    <n v="0.23"/>
    <n v="2365.61"/>
    <x v="1"/>
    <n v="655"/>
    <n v="0.46"/>
    <n v="117.15"/>
    <n v="0.03"/>
    <n v="0"/>
    <n v="0"/>
    <n v="5"/>
    <n v="902.69"/>
    <n v="78"/>
    <n v="0"/>
    <n v="695.36"/>
    <n v="3142.37"/>
    <x v="1"/>
    <n v="316.24"/>
    <x v="9"/>
    <x v="0"/>
    <n v="54.8"/>
    <s v="Low"/>
    <n v="543.2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4C96D-925A-48DB-B3EB-4DA06C8D9E00}" name="PivotTable1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C34"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dataField="1"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Fields count="1">
    <field x="-2"/>
  </colFields>
  <colItems count="2">
    <i>
      <x/>
    </i>
    <i i="1">
      <x v="1"/>
    </i>
  </colItems>
  <dataFields count="2">
    <dataField name="Sum of Actual_Savings" fld="28" baseField="0" baseItem="0"/>
    <dataField name="Sum of Budget_Goal" fld="8"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E161E1-6A21-4CD4-9F93-67DCF1DE7EA9}" name="PivotTable2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A14"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dataField="1"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Net_Savings" fld="5"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D8FF6-D747-44F5-A188-368E17557DB9}" name="PivotTable1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2:B68" firstHeaderRow="1"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dataField="1"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Items count="1">
    <i/>
  </colItems>
  <dataFields count="1">
    <dataField name="Sum of Fraud_Flag" fld="19"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D218ED-1CAD-42BE-8115-6BCCB421B735}" name="PivotTable2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A2"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Monthly_Income" fld="3"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297F7A-049A-4D07-8608-9632BDB15934}" name="PivotTable2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D6"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dataField="1"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Emergency_Fund"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F86A7A-52C3-4469-A128-03D7F0802DEE}" name="PivotTable2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D12"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dataField="1"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Subscription_Services"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A91F8C-6C69-4DFB-A7BE-DA0B873E35B2}"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C23"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Fields count="1">
    <field x="-2"/>
  </colFields>
  <colItems count="2">
    <i>
      <x/>
    </i>
    <i i="1">
      <x v="1"/>
    </i>
  </colItems>
  <dataFields count="2">
    <dataField name="Sum of Monthly_Income" fld="3" baseField="0" baseItem="0" numFmtId="8"/>
    <dataField name="Sum of Monthly_Expense_Total" fld="4" baseField="0" baseItem="0" numFmtId="8"/>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621EF-AB30-4804-AA61-C4643B0C6F1C}" name="PivotTable1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4:C58"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dataField="1" numFmtId="8" showAll="0"/>
    <pivotField dataField="1" showAll="0"/>
    <pivotField showAll="0"/>
    <pivotField axis="axisRow"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4">
    <i>
      <x/>
    </i>
    <i>
      <x v="1"/>
    </i>
    <i>
      <x v="2"/>
    </i>
    <i t="grand">
      <x/>
    </i>
  </rowItems>
  <colFields count="1">
    <field x="-2"/>
  </colFields>
  <colItems count="2">
    <i>
      <x/>
    </i>
    <i i="1">
      <x v="1"/>
    </i>
  </colItems>
  <dataFields count="2">
    <dataField name="Average of Savings_Rate" fld="7" subtotal="average" baseField="9" baseItem="0"/>
    <dataField name="Average of Expense_Ratio" fld="6" subtotal="average" baseField="9" baseItem="0" numFmtId="8"/>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06173F-9A0E-449D-9D72-8AF7753AD21B}" name="PivotTable2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A8"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Monthly_Income" fld="3" subtotal="average"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294190-5EAA-4878-A257-55CA12C9C070}" name="PivotTable2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D3"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dataField="1"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Fraud_Flag"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41ECA1-10EE-42AE-9445-13A9F9BA1DD5}" name="PivotTable2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4:C78"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dataField="1"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axis="axisRow"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4">
    <i>
      <x/>
    </i>
    <i>
      <x v="1"/>
    </i>
    <i>
      <x v="2"/>
    </i>
    <i t="grand">
      <x/>
    </i>
  </rowItems>
  <colFields count="1">
    <field x="-2"/>
  </colFields>
  <colItems count="2">
    <i>
      <x/>
    </i>
    <i i="1">
      <x v="1"/>
    </i>
  </colItems>
  <dataFields count="2">
    <dataField name="Average of Monthly_Income" fld="3" subtotal="average" baseField="22" baseItem="0" numFmtId="8"/>
    <dataField name="Average of Savings_Rate" fld="7" subtotal="average" baseField="22"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4CBBBC-D118-4346-B49E-1759164ECF21}" name="PivotTable2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A5"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Monthly_Expense_Total" fld="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0836D2-22F7-4992-BB8F-FE12E6898E63}" name="PivotTable2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A11"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Monthly_Expense_Total" fld="4" subtotal="average"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84DF033-AFF4-4361-A7C0-208E1371FFE4}"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B50" firstHeaderRow="1"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axis="axisRow" showAll="0">
      <items count="11">
        <item x="2"/>
        <item x="5"/>
        <item x="9"/>
        <item x="7"/>
        <item x="6"/>
        <item x="1"/>
        <item x="0"/>
        <item x="8"/>
        <item x="3"/>
        <item x="4"/>
        <item t="default"/>
      </items>
    </pivotField>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11">
    <i>
      <x/>
    </i>
    <i>
      <x v="1"/>
    </i>
    <i>
      <x v="2"/>
    </i>
    <i>
      <x v="3"/>
    </i>
    <i>
      <x v="4"/>
    </i>
    <i>
      <x v="5"/>
    </i>
    <i>
      <x v="6"/>
    </i>
    <i>
      <x v="7"/>
    </i>
    <i>
      <x v="8"/>
    </i>
    <i>
      <x v="9"/>
    </i>
    <i t="grand">
      <x/>
    </i>
  </rowItems>
  <colItems count="1">
    <i/>
  </colItems>
  <dataFields count="1">
    <dataField name="Sum of Monthly_Expense_Total" fld="4" baseField="0" baseItem="0" numFmtId="8"/>
  </dataFields>
  <chartFormats count="12">
    <chartFormat chart="2"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4" count="1" selected="0">
            <x v="0"/>
          </reference>
        </references>
      </pivotArea>
    </chartFormat>
    <chartFormat chart="4" format="14">
      <pivotArea type="data" outline="0" fieldPosition="0">
        <references count="2">
          <reference field="4294967294" count="1" selected="0">
            <x v="0"/>
          </reference>
          <reference field="24" count="1" selected="0">
            <x v="1"/>
          </reference>
        </references>
      </pivotArea>
    </chartFormat>
    <chartFormat chart="4" format="15">
      <pivotArea type="data" outline="0" fieldPosition="0">
        <references count="2">
          <reference field="4294967294" count="1" selected="0">
            <x v="0"/>
          </reference>
          <reference field="24" count="1" selected="0">
            <x v="2"/>
          </reference>
        </references>
      </pivotArea>
    </chartFormat>
    <chartFormat chart="4" format="16">
      <pivotArea type="data" outline="0" fieldPosition="0">
        <references count="2">
          <reference field="4294967294" count="1" selected="0">
            <x v="0"/>
          </reference>
          <reference field="24" count="1" selected="0">
            <x v="3"/>
          </reference>
        </references>
      </pivotArea>
    </chartFormat>
    <chartFormat chart="4" format="17">
      <pivotArea type="data" outline="0" fieldPosition="0">
        <references count="2">
          <reference field="4294967294" count="1" selected="0">
            <x v="0"/>
          </reference>
          <reference field="24" count="1" selected="0">
            <x v="4"/>
          </reference>
        </references>
      </pivotArea>
    </chartFormat>
    <chartFormat chart="4" format="18">
      <pivotArea type="data" outline="0" fieldPosition="0">
        <references count="2">
          <reference field="4294967294" count="1" selected="0">
            <x v="0"/>
          </reference>
          <reference field="24" count="1" selected="0">
            <x v="5"/>
          </reference>
        </references>
      </pivotArea>
    </chartFormat>
    <chartFormat chart="4" format="19">
      <pivotArea type="data" outline="0" fieldPosition="0">
        <references count="2">
          <reference field="4294967294" count="1" selected="0">
            <x v="0"/>
          </reference>
          <reference field="24" count="1" selected="0">
            <x v="6"/>
          </reference>
        </references>
      </pivotArea>
    </chartFormat>
    <chartFormat chart="4" format="20">
      <pivotArea type="data" outline="0" fieldPosition="0">
        <references count="2">
          <reference field="4294967294" count="1" selected="0">
            <x v="0"/>
          </reference>
          <reference field="24" count="1" selected="0">
            <x v="7"/>
          </reference>
        </references>
      </pivotArea>
    </chartFormat>
    <chartFormat chart="4" format="21">
      <pivotArea type="data" outline="0" fieldPosition="0">
        <references count="2">
          <reference field="4294967294" count="1" selected="0">
            <x v="0"/>
          </reference>
          <reference field="24" count="1" selected="0">
            <x v="8"/>
          </reference>
        </references>
      </pivotArea>
    </chartFormat>
    <chartFormat chart="4" format="22">
      <pivotArea type="data" outline="0" fieldPosition="0">
        <references count="2">
          <reference field="4294967294" count="1" selected="0">
            <x v="0"/>
          </reference>
          <reference field="2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DEE381-9970-4A0E-A714-5B4A814C65E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7:E8"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dataField="1"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Emergency_Fund" fld="17" subtotal="average" baseField="0" baseItem="0"/>
  </dataFields>
  <formats count="3">
    <format dxfId="658">
      <pivotArea type="all" dataOnly="0" outline="0" fieldPosition="0"/>
    </format>
    <format dxfId="657">
      <pivotArea outline="0" collapsedLevelsAreSubtotals="1" fieldPosition="0"/>
    </format>
    <format dxfId="65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4ED6F73-3296-47DA-A7B2-18A54E077FDC}"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3:E14"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dataField="1"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Net_Savings" fld="5" baseField="0" baseItem="0" numFmtId="8"/>
  </dataFields>
  <formats count="3">
    <format dxfId="661">
      <pivotArea type="all" dataOnly="0" outline="0" fieldPosition="0"/>
    </format>
    <format dxfId="660">
      <pivotArea outline="0" collapsedLevelsAreSubtotals="1" fieldPosition="0"/>
    </format>
    <format dxfId="659">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3B7B8F0-31D8-46B1-9FE3-B244FD1E56BC}"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27:I31"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dataField="1" numFmtId="8" showAll="0"/>
    <pivotField dataField="1" showAll="0"/>
    <pivotField showAll="0"/>
    <pivotField axis="axisRow"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4">
    <i>
      <x/>
    </i>
    <i>
      <x v="1"/>
    </i>
    <i>
      <x v="2"/>
    </i>
    <i t="grand">
      <x/>
    </i>
  </rowItems>
  <colFields count="1">
    <field x="-2"/>
  </colFields>
  <colItems count="2">
    <i>
      <x/>
    </i>
    <i i="1">
      <x v="1"/>
    </i>
  </colItems>
  <dataFields count="2">
    <dataField name="Average of Savings_Rate" fld="7" subtotal="average" baseField="9" baseItem="0"/>
    <dataField name="Average of Expense_Ratio" fld="6" subtotal="average" baseField="9" baseItem="0" numFmtId="8"/>
  </dataFields>
  <formats count="20">
    <format dxfId="681">
      <pivotArea type="all" dataOnly="0" outline="0" fieldPosition="0"/>
    </format>
    <format dxfId="680">
      <pivotArea outline="0" collapsedLevelsAreSubtotals="1" fieldPosition="0"/>
    </format>
    <format dxfId="679">
      <pivotArea field="9" type="button" dataOnly="0" labelOnly="1" outline="0" axis="axisRow" fieldPosition="0"/>
    </format>
    <format dxfId="678">
      <pivotArea dataOnly="0" labelOnly="1" fieldPosition="0">
        <references count="1">
          <reference field="9" count="0"/>
        </references>
      </pivotArea>
    </format>
    <format dxfId="677">
      <pivotArea dataOnly="0" labelOnly="1" grandRow="1" outline="0" fieldPosition="0"/>
    </format>
    <format dxfId="676">
      <pivotArea dataOnly="0" labelOnly="1" outline="0" fieldPosition="0">
        <references count="1">
          <reference field="4294967294" count="2">
            <x v="0"/>
            <x v="1"/>
          </reference>
        </references>
      </pivotArea>
    </format>
    <format dxfId="675">
      <pivotArea type="all" dataOnly="0" outline="0" fieldPosition="0"/>
    </format>
    <format dxfId="674">
      <pivotArea outline="0" collapsedLevelsAreSubtotals="1" fieldPosition="0"/>
    </format>
    <format dxfId="673">
      <pivotArea field="9" type="button" dataOnly="0" labelOnly="1" outline="0" axis="axisRow" fieldPosition="0"/>
    </format>
    <format dxfId="672">
      <pivotArea dataOnly="0" labelOnly="1" fieldPosition="0">
        <references count="1">
          <reference field="9" count="0"/>
        </references>
      </pivotArea>
    </format>
    <format dxfId="671">
      <pivotArea dataOnly="0" labelOnly="1" grandRow="1" outline="0" fieldPosition="0"/>
    </format>
    <format dxfId="670">
      <pivotArea dataOnly="0" labelOnly="1" outline="0" fieldPosition="0">
        <references count="1">
          <reference field="4294967294" count="2">
            <x v="0"/>
            <x v="1"/>
          </reference>
        </references>
      </pivotArea>
    </format>
    <format dxfId="669">
      <pivotArea type="all" dataOnly="0" outline="0" fieldPosition="0"/>
    </format>
    <format dxfId="668">
      <pivotArea type="all" dataOnly="0" outline="0" fieldPosition="0"/>
    </format>
    <format dxfId="667">
      <pivotArea outline="0" collapsedLevelsAreSubtotals="1" fieldPosition="0"/>
    </format>
    <format dxfId="666">
      <pivotArea dataOnly="0" labelOnly="1" fieldPosition="0">
        <references count="1">
          <reference field="9" count="0"/>
        </references>
      </pivotArea>
    </format>
    <format dxfId="665">
      <pivotArea field="9" type="button" dataOnly="0" labelOnly="1" outline="0" axis="axisRow" fieldPosition="0"/>
    </format>
    <format dxfId="664">
      <pivotArea dataOnly="0" labelOnly="1" outline="0" fieldPosition="0">
        <references count="1">
          <reference field="4294967294" count="2">
            <x v="0"/>
            <x v="1"/>
          </reference>
        </references>
      </pivotArea>
    </format>
    <format dxfId="663">
      <pivotArea grandRow="1" outline="0" collapsedLevelsAreSubtotals="1" fieldPosition="0"/>
    </format>
    <format dxfId="662">
      <pivotArea dataOnly="0" labelOnly="1" grandRow="1" outline="0"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998316-F975-477E-B37D-647939D9CEE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0:C11"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Monthly_Income" fld="3" subtotal="average" baseField="0" baseItem="0" numFmtId="8"/>
  </dataFields>
  <formats count="3">
    <format dxfId="684">
      <pivotArea type="all" dataOnly="0" outline="0" fieldPosition="0"/>
    </format>
    <format dxfId="683">
      <pivotArea outline="0" collapsedLevelsAreSubtotals="1" fieldPosition="0"/>
    </format>
    <format dxfId="68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3F6D0CE-81ED-443E-A20F-B416F16D2821}"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8:H24" firstHeaderRow="1"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dataField="1"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Items count="1">
    <i/>
  </colItems>
  <dataFields count="1">
    <dataField name="Sum of Fraud_Flag" fld="19" baseField="0" baseItem="0"/>
  </dataFields>
  <formats count="18">
    <format dxfId="702">
      <pivotArea type="all" dataOnly="0" outline="0" fieldPosition="0"/>
    </format>
    <format dxfId="701">
      <pivotArea outline="0" collapsedLevelsAreSubtotals="1" fieldPosition="0"/>
    </format>
    <format dxfId="700">
      <pivotArea field="32" type="button" dataOnly="0" labelOnly="1" outline="0" axis="axisRow" fieldPosition="0"/>
    </format>
    <format dxfId="699">
      <pivotArea dataOnly="0" labelOnly="1" fieldPosition="0">
        <references count="1">
          <reference field="32" count="5">
            <x v="1"/>
            <x v="2"/>
            <x v="3"/>
            <x v="4"/>
            <x v="5"/>
          </reference>
        </references>
      </pivotArea>
    </format>
    <format dxfId="698">
      <pivotArea dataOnly="0" labelOnly="1" grandRow="1" outline="0" fieldPosition="0"/>
    </format>
    <format dxfId="697">
      <pivotArea dataOnly="0" labelOnly="1" outline="0" axis="axisValues" fieldPosition="0"/>
    </format>
    <format dxfId="696">
      <pivotArea type="all" dataOnly="0" outline="0" fieldPosition="0"/>
    </format>
    <format dxfId="695">
      <pivotArea outline="0" collapsedLevelsAreSubtotals="1" fieldPosition="0"/>
    </format>
    <format dxfId="694">
      <pivotArea field="32" type="button" dataOnly="0" labelOnly="1" outline="0" axis="axisRow" fieldPosition="0"/>
    </format>
    <format dxfId="693">
      <pivotArea dataOnly="0" labelOnly="1" fieldPosition="0">
        <references count="1">
          <reference field="32" count="5">
            <x v="1"/>
            <x v="2"/>
            <x v="3"/>
            <x v="4"/>
            <x v="5"/>
          </reference>
        </references>
      </pivotArea>
    </format>
    <format dxfId="692">
      <pivotArea dataOnly="0" labelOnly="1" grandRow="1" outline="0" fieldPosition="0"/>
    </format>
    <format dxfId="691">
      <pivotArea dataOnly="0" labelOnly="1" outline="0" axis="axisValues" fieldPosition="0"/>
    </format>
    <format dxfId="690">
      <pivotArea type="all" dataOnly="0" outline="0" fieldPosition="0"/>
    </format>
    <format dxfId="689">
      <pivotArea outline="0" collapsedLevelsAreSubtotals="1" fieldPosition="0"/>
    </format>
    <format dxfId="688">
      <pivotArea dataOnly="0" labelOnly="1" fieldPosition="0">
        <references count="1">
          <reference field="32" count="5">
            <x v="1"/>
            <x v="2"/>
            <x v="3"/>
            <x v="4"/>
            <x v="5"/>
          </reference>
        </references>
      </pivotArea>
    </format>
    <format dxfId="687">
      <pivotArea dataOnly="0" labelOnly="1" grandRow="1" outline="0" fieldPosition="0"/>
    </format>
    <format dxfId="686">
      <pivotArea field="32" type="button" dataOnly="0" labelOnly="1" outline="0" axis="axisRow" fieldPosition="0"/>
    </format>
    <format dxfId="68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ED8914-2AF1-456B-99B2-4C201DDDBCFF}"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7:C8"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Monthly_Expense_Total" fld="4" baseField="0" baseItem="0" numFmtId="8"/>
  </dataFields>
  <formats count="3">
    <format dxfId="705">
      <pivotArea type="all" dataOnly="0" outline="0" fieldPosition="0"/>
    </format>
    <format dxfId="704">
      <pivotArea outline="0" collapsedLevelsAreSubtotals="1" fieldPosition="0"/>
    </format>
    <format dxfId="703">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11A7D71-C1EB-466D-B033-248E15D4AC2C}"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3:C14"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Monthly_Expense_Total" fld="4" subtotal="average" baseField="0" baseItem="0" numFmtId="8"/>
  </dataFields>
  <formats count="3">
    <format dxfId="708">
      <pivotArea type="all" dataOnly="0" outline="0" fieldPosition="0"/>
    </format>
    <format dxfId="707">
      <pivotArea outline="0" collapsedLevelsAreSubtotals="1" fieldPosition="0"/>
    </format>
    <format dxfId="70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9C57E1C-2EBA-4E8E-8449-1D357A9FE470}"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4:H15" firstHeaderRow="1"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axis="axisRow" showAll="0">
      <items count="11">
        <item x="2"/>
        <item x="5"/>
        <item x="9"/>
        <item x="7"/>
        <item x="6"/>
        <item x="1"/>
        <item x="0"/>
        <item x="8"/>
        <item x="3"/>
        <item x="4"/>
        <item t="default"/>
      </items>
    </pivotField>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4"/>
  </rowFields>
  <rowItems count="11">
    <i>
      <x/>
    </i>
    <i>
      <x v="1"/>
    </i>
    <i>
      <x v="2"/>
    </i>
    <i>
      <x v="3"/>
    </i>
    <i>
      <x v="4"/>
    </i>
    <i>
      <x v="5"/>
    </i>
    <i>
      <x v="6"/>
    </i>
    <i>
      <x v="7"/>
    </i>
    <i>
      <x v="8"/>
    </i>
    <i>
      <x v="9"/>
    </i>
    <i t="grand">
      <x/>
    </i>
  </rowItems>
  <colItems count="1">
    <i/>
  </colItems>
  <dataFields count="1">
    <dataField name="Sum of Monthly_Expense_Total" fld="4" baseField="0" baseItem="0" numFmtId="8"/>
  </dataFields>
  <chartFormats count="12">
    <chartFormat chart="2"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4" count="1" selected="0">
            <x v="0"/>
          </reference>
        </references>
      </pivotArea>
    </chartFormat>
    <chartFormat chart="4" format="14">
      <pivotArea type="data" outline="0" fieldPosition="0">
        <references count="2">
          <reference field="4294967294" count="1" selected="0">
            <x v="0"/>
          </reference>
          <reference field="24" count="1" selected="0">
            <x v="1"/>
          </reference>
        </references>
      </pivotArea>
    </chartFormat>
    <chartFormat chart="4" format="15">
      <pivotArea type="data" outline="0" fieldPosition="0">
        <references count="2">
          <reference field="4294967294" count="1" selected="0">
            <x v="0"/>
          </reference>
          <reference field="24" count="1" selected="0">
            <x v="2"/>
          </reference>
        </references>
      </pivotArea>
    </chartFormat>
    <chartFormat chart="4" format="16">
      <pivotArea type="data" outline="0" fieldPosition="0">
        <references count="2">
          <reference field="4294967294" count="1" selected="0">
            <x v="0"/>
          </reference>
          <reference field="24" count="1" selected="0">
            <x v="3"/>
          </reference>
        </references>
      </pivotArea>
    </chartFormat>
    <chartFormat chart="4" format="17">
      <pivotArea type="data" outline="0" fieldPosition="0">
        <references count="2">
          <reference field="4294967294" count="1" selected="0">
            <x v="0"/>
          </reference>
          <reference field="24" count="1" selected="0">
            <x v="4"/>
          </reference>
        </references>
      </pivotArea>
    </chartFormat>
    <chartFormat chart="4" format="18">
      <pivotArea type="data" outline="0" fieldPosition="0">
        <references count="2">
          <reference field="4294967294" count="1" selected="0">
            <x v="0"/>
          </reference>
          <reference field="24" count="1" selected="0">
            <x v="5"/>
          </reference>
        </references>
      </pivotArea>
    </chartFormat>
    <chartFormat chart="4" format="19">
      <pivotArea type="data" outline="0" fieldPosition="0">
        <references count="2">
          <reference field="4294967294" count="1" selected="0">
            <x v="0"/>
          </reference>
          <reference field="24" count="1" selected="0">
            <x v="6"/>
          </reference>
        </references>
      </pivotArea>
    </chartFormat>
    <chartFormat chart="4" format="20">
      <pivotArea type="data" outline="0" fieldPosition="0">
        <references count="2">
          <reference field="4294967294" count="1" selected="0">
            <x v="0"/>
          </reference>
          <reference field="24" count="1" selected="0">
            <x v="7"/>
          </reference>
        </references>
      </pivotArea>
    </chartFormat>
    <chartFormat chart="4" format="21">
      <pivotArea type="data" outline="0" fieldPosition="0">
        <references count="2">
          <reference field="4294967294" count="1" selected="0">
            <x v="0"/>
          </reference>
          <reference field="24" count="1" selected="0">
            <x v="8"/>
          </reference>
        </references>
      </pivotArea>
    </chartFormat>
    <chartFormat chart="4" format="22">
      <pivotArea type="data" outline="0" fieldPosition="0">
        <references count="2">
          <reference field="4294967294" count="1" selected="0">
            <x v="0"/>
          </reference>
          <reference field="24" count="1" selected="0">
            <x v="9"/>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CF77F41-0177-4F66-B9AC-C29A2F871DA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26:E32"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dataField="1"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Fields count="1">
    <field x="-2"/>
  </colFields>
  <colItems count="2">
    <i>
      <x/>
    </i>
    <i i="1">
      <x v="1"/>
    </i>
  </colItems>
  <dataFields count="2">
    <dataField name="Sum of Actual_Savings" fld="28" baseField="0" baseItem="0"/>
    <dataField name="Sum of Budget_Goal" fld="8"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CC75FFA-DB57-44BD-9426-F21C2FCE7235}"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7:E23"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dataField="1"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4">
    <field x="32"/>
    <field x="31"/>
    <field x="30"/>
    <field x="1"/>
  </rowFields>
  <rowItems count="6">
    <i>
      <x v="1"/>
    </i>
    <i>
      <x v="2"/>
    </i>
    <i>
      <x v="3"/>
    </i>
    <i>
      <x v="4"/>
    </i>
    <i>
      <x v="5"/>
    </i>
    <i t="grand">
      <x/>
    </i>
  </rowItems>
  <colFields count="1">
    <field x="-2"/>
  </colFields>
  <colItems count="2">
    <i>
      <x/>
    </i>
    <i i="1">
      <x v="1"/>
    </i>
  </colItems>
  <dataFields count="2">
    <dataField name="Sum of Monthly_Income" fld="3" baseField="0" baseItem="0" numFmtId="8"/>
    <dataField name="Sum of Monthly_Expense_Total" fld="4" baseField="0" baseItem="0" numFmtId="8"/>
  </dataFields>
  <formats count="20">
    <format dxfId="728">
      <pivotArea type="all" dataOnly="0" outline="0" fieldPosition="0"/>
    </format>
    <format dxfId="727">
      <pivotArea outline="0" collapsedLevelsAreSubtotals="1" fieldPosition="0"/>
    </format>
    <format dxfId="726">
      <pivotArea field="32" type="button" dataOnly="0" labelOnly="1" outline="0" axis="axisRow" fieldPosition="0"/>
    </format>
    <format dxfId="725">
      <pivotArea dataOnly="0" labelOnly="1" fieldPosition="0">
        <references count="1">
          <reference field="32" count="5">
            <x v="1"/>
            <x v="2"/>
            <x v="3"/>
            <x v="4"/>
            <x v="5"/>
          </reference>
        </references>
      </pivotArea>
    </format>
    <format dxfId="724">
      <pivotArea dataOnly="0" labelOnly="1" grandRow="1" outline="0" fieldPosition="0"/>
    </format>
    <format dxfId="723">
      <pivotArea dataOnly="0" labelOnly="1" outline="0" fieldPosition="0">
        <references count="1">
          <reference field="4294967294" count="2">
            <x v="0"/>
            <x v="1"/>
          </reference>
        </references>
      </pivotArea>
    </format>
    <format dxfId="722">
      <pivotArea type="all" dataOnly="0" outline="0" fieldPosition="0"/>
    </format>
    <format dxfId="721">
      <pivotArea outline="0" collapsedLevelsAreSubtotals="1" fieldPosition="0"/>
    </format>
    <format dxfId="720">
      <pivotArea field="32" type="button" dataOnly="0" labelOnly="1" outline="0" axis="axisRow" fieldPosition="0"/>
    </format>
    <format dxfId="719">
      <pivotArea dataOnly="0" labelOnly="1" fieldPosition="0">
        <references count="1">
          <reference field="32" count="5">
            <x v="1"/>
            <x v="2"/>
            <x v="3"/>
            <x v="4"/>
            <x v="5"/>
          </reference>
        </references>
      </pivotArea>
    </format>
    <format dxfId="718">
      <pivotArea dataOnly="0" labelOnly="1" grandRow="1" outline="0" fieldPosition="0"/>
    </format>
    <format dxfId="717">
      <pivotArea dataOnly="0" labelOnly="1" outline="0" fieldPosition="0">
        <references count="1">
          <reference field="4294967294" count="2">
            <x v="0"/>
            <x v="1"/>
          </reference>
        </references>
      </pivotArea>
    </format>
    <format dxfId="716">
      <pivotArea type="all" dataOnly="0" outline="0" fieldPosition="0"/>
    </format>
    <format dxfId="715">
      <pivotArea outline="0" collapsedLevelsAreSubtotals="1" fieldPosition="0"/>
    </format>
    <format dxfId="714">
      <pivotArea dataOnly="0" labelOnly="1" fieldPosition="0">
        <references count="1">
          <reference field="32" count="5">
            <x v="1"/>
            <x v="2"/>
            <x v="3"/>
            <x v="4"/>
            <x v="5"/>
          </reference>
        </references>
      </pivotArea>
    </format>
    <format dxfId="713">
      <pivotArea dataOnly="0" labelOnly="1" grandRow="1" outline="0" fieldPosition="0"/>
    </format>
    <format dxfId="712">
      <pivotArea field="32" grandRow="1" outline="0" collapsedLevelsAreSubtotals="1" axis="axisRow" fieldPosition="0">
        <references count="1">
          <reference field="4294967294" count="1" selected="0">
            <x v="0"/>
          </reference>
        </references>
      </pivotArea>
    </format>
    <format dxfId="711">
      <pivotArea field="32" grandRow="1" outline="0" collapsedLevelsAreSubtotals="1" axis="axisRow" fieldPosition="0">
        <references count="1">
          <reference field="4294967294" count="1" selected="0">
            <x v="1"/>
          </reference>
        </references>
      </pivotArea>
    </format>
    <format dxfId="710">
      <pivotArea field="32" type="button" dataOnly="0" labelOnly="1" outline="0" axis="axisRow" fieldPosition="0"/>
    </format>
    <format dxfId="709">
      <pivotArea dataOnly="0" labelOnly="1" outline="0" fieldPosition="0">
        <references count="1">
          <reference field="4294967294" count="2">
            <x v="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E284798-F446-427A-85AF-3CB909560F71}"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4:C5"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Monthly_Income" fld="3" baseField="0" baseItem="0" numFmtId="8"/>
  </dataFields>
  <formats count="3">
    <format dxfId="731">
      <pivotArea type="all" dataOnly="0" outline="0" fieldPosition="0"/>
    </format>
    <format dxfId="730">
      <pivotArea outline="0" collapsedLevelsAreSubtotals="1" fieldPosition="0"/>
    </format>
    <format dxfId="729">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BF4DE42-EAF4-4FED-94E6-921609097DF7}"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E5"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dataField="1"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Fraud_Flag" fld="19" baseField="0" baseItem="0"/>
  </dataFields>
  <formats count="3">
    <format dxfId="734">
      <pivotArea type="all" dataOnly="0" outline="0" fieldPosition="0"/>
    </format>
    <format dxfId="733">
      <pivotArea outline="0" collapsedLevelsAreSubtotals="1" fieldPosition="0"/>
    </format>
    <format dxfId="73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BA1B2B4-48B6-4564-AADD-9D50377E911C}"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6:E40" firstHeaderRow="0" firstDataRow="1" firstDataCol="1"/>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dataField="1" numFmtId="8" showAll="0"/>
    <pivotField numFmtId="8" showAll="0"/>
    <pivotField numFmtId="8" showAll="0"/>
    <pivotField numFmtId="8" showAll="0"/>
    <pivotField dataField="1"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showAll="0"/>
    <pivotField showAll="0"/>
    <pivotField showAll="0"/>
    <pivotField showAll="0"/>
    <pivotField showAll="0"/>
    <pivotField showAll="0"/>
    <pivotField axis="axisRow"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4">
    <i>
      <x/>
    </i>
    <i>
      <x v="1"/>
    </i>
    <i>
      <x v="2"/>
    </i>
    <i t="grand">
      <x/>
    </i>
  </rowItems>
  <colFields count="1">
    <field x="-2"/>
  </colFields>
  <colItems count="2">
    <i>
      <x/>
    </i>
    <i i="1">
      <x v="1"/>
    </i>
  </colItems>
  <dataFields count="2">
    <dataField name="Average of Monthly_Income" fld="3" subtotal="average" baseField="22" baseItem="0" numFmtId="8"/>
    <dataField name="Average of Savings_Rate" fld="7" subtotal="average" baseField="22"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76AE340-5E3F-4884-8052-55E1412DB18D}"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0:E11" firstHeaderRow="1" firstDataRow="1" firstDataCol="0"/>
  <pivotFields count="36">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7"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showAll="0"/>
    <pivotField numFmtId="8" showAll="0"/>
    <pivotField numFmtId="8" showAll="0"/>
    <pivotField numFmtId="8" showAll="0"/>
    <pivotField numFmtId="8" showAll="0"/>
    <pivotField showAll="0"/>
    <pivotField showAll="0"/>
    <pivotField showAll="0">
      <items count="4">
        <item x="0"/>
        <item x="1"/>
        <item x="2"/>
        <item t="default"/>
      </items>
    </pivotField>
    <pivotField showAll="0"/>
    <pivotField showAll="0"/>
    <pivotField numFmtId="8" showAll="0"/>
    <pivotField numFmtId="8" showAll="0"/>
    <pivotField numFmtId="8" showAll="0"/>
    <pivotField numFmtId="8" showAll="0"/>
    <pivotField dataField="1" showAll="0"/>
    <pivotField showAll="0"/>
    <pivotField showAll="0"/>
    <pivotField showAll="0"/>
    <pivotField showAll="0"/>
    <pivotField showAll="0"/>
    <pivotField showAll="0">
      <items count="4">
        <item x="1"/>
        <item x="0"/>
        <item x="2"/>
        <item t="default"/>
      </items>
    </pivotField>
    <pivotField numFmtId="8" showAll="0"/>
    <pivotField showAll="0"/>
    <pivotField showAll="0">
      <items count="4">
        <item x="2"/>
        <item x="1"/>
        <item x="0"/>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Average of Subscription_Services" fld="16" subtotal="average" baseField="0" baseItem="0"/>
  </dataFields>
  <formats count="3">
    <format dxfId="737">
      <pivotArea type="all" dataOnly="0" outline="0" fieldPosition="0"/>
    </format>
    <format dxfId="736">
      <pivotArea outline="0" collapsedLevelsAreSubtotals="1" fieldPosition="0"/>
    </format>
    <format dxfId="735">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Type1" xr10:uid="{5C8DF676-A72E-4F72-ADC4-BAED5A3C8070}" sourceName="Income_Type">
  <pivotTables>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7" name="PivotTable1"/>
    <pivotTable tabId="7" name="PivotTable2"/>
    <pivotTable tabId="7" name="PivotTable3"/>
    <pivotTable tabId="7" name="PivotTable4"/>
    <pivotTable tabId="7" name="PivotTable5"/>
    <pivotTable tabId="7" name="PivotTable6"/>
    <pivotTable tabId="7" name="PivotTable7"/>
    <pivotTable tabId="7" name="PivotTable9"/>
    <pivotTable tabId="7" name="PivotTable10"/>
    <pivotTable tabId="7" name="PivotTable11"/>
    <pivotTable tabId="7" name="PivotTable12"/>
    <pivotTable tabId="7" name="PivotTable13"/>
    <pivotTable tabId="7" name="PivotTable14"/>
  </pivotTables>
  <data>
    <tabular pivotCacheId="98617728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cenario1" xr10:uid="{1BAB598F-640E-44B1-AA93-722B66EC92A9}" sourceName="Financial_Scenario">
  <pivotTables>
    <pivotTable tabId="6" name="PivotTable20"/>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1"/>
    <pivotTable tabId="7" name="PivotTable12"/>
    <pivotTable tabId="7" name="PivotTable13"/>
    <pivotTable tabId="7" name="PivotTable14"/>
  </pivotTables>
  <data>
    <tabular pivotCacheId="9861772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Flow_Status1" xr10:uid="{0121818C-78A3-48D1-B9F7-9370F2DE62C4}" sourceName="Cash_Flow_Status">
  <pivotTables>
    <pivotTable tabId="6" name="PivotTable20"/>
    <pivotTable tabId="6" name="PivotTable15"/>
    <pivotTable tabId="6" name="PivotTable16"/>
    <pivotTable tabId="6" name="PivotTable17"/>
    <pivotTable tabId="6" name="PivotTable18"/>
    <pivotTable tabId="6" name="PivotTable19"/>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7" name="PivotTable11"/>
    <pivotTable tabId="7" name="PivotTable12"/>
    <pivotTable tabId="7" name="PivotTable13"/>
    <pivotTable tabId="7" name="PivotTable14"/>
  </pivotTables>
  <data>
    <tabular pivotCacheId="98617728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Type 1" xr10:uid="{B7FD0041-89DE-433A-8FA3-BD131E8AB03E}" cache="Slicer_Income_Type1" caption="Income_Type" style="SlicerStyleOther2 2" rowHeight="241300"/>
  <slicer name="Financial_Scenario 1" xr10:uid="{580DF76D-76CC-4E90-A83E-8B80A9EAE6A8}" cache="Slicer_Financial_Scenario1" caption="Financial_Scenario" columnCount="3" style="SlicerStyleOther2 2" rowHeight="241300"/>
  <slicer name="Cash_Flow_Status 1" xr10:uid="{94F135A1-79CF-4A92-BA5A-0E026DCDEB00}" cache="Slicer_Cash_Flow_Status1" caption="Cash_Flow_Status" style="SlicerStyleOther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2DB1B-207E-42FD-A07F-0755D7616D9D}" name="Table1" displayName="Table1" ref="C1:AF3001" totalsRowShown="0">
  <autoFilter ref="C1:AF3001" xr:uid="{A282DB1B-207E-42FD-A07F-0755D7616D9D}"/>
  <tableColumns count="30">
    <tableColumn id="1" xr3:uid="{EB67DA21-3412-49A7-A97B-7BA005FC41D8}" name="Date" dataDxfId="748"/>
    <tableColumn id="2" xr3:uid="{67C5B4FE-EA33-4ED1-9845-B74317AF8FC8}" name="Month" dataDxfId="747"/>
    <tableColumn id="3" xr3:uid="{F4EFB745-BC56-415A-9C66-FF4A25EA9A39}" name="User_Id"/>
    <tableColumn id="4" xr3:uid="{1489E931-8448-4854-BAB9-587F3D374EB1}" name="Monthly_Income" dataDxfId="746"/>
    <tableColumn id="5" xr3:uid="{F1CA7435-FA27-4158-B5D3-5F03576558B0}" name="Monthly_Expense_Total" dataDxfId="745"/>
    <tableColumn id="6" xr3:uid="{A1054F33-5F32-4EE4-9378-0DEC727338BA}" name="Net_Savings" dataDxfId="744"/>
    <tableColumn id="7" xr3:uid="{D8F3EB32-DB7A-41B3-A864-8C0CB97791CB}" name="Expense_Ratio" dataDxfId="743"/>
    <tableColumn id="8" xr3:uid="{938DF13A-BEDD-4152-A462-F923189DCD58}" name="Savings_Rate"/>
    <tableColumn id="9" xr3:uid="{607329BF-AF18-4F57-85B4-6C24D3B54A47}" name="Budget_Goal"/>
    <tableColumn id="10" xr3:uid="{9B6F237C-0485-4864-9F95-39D20BB20C48}" name="Financial_Scenario"/>
    <tableColumn id="11" xr3:uid="{AE789100-8CAD-4554-B481-4BC056B636D2}" name="Credit_Score"/>
    <tableColumn id="12" xr3:uid="{84951E4E-B98D-4E32-9C1C-2DB734DD8522}" name="Debt_To_Income_Ratio"/>
    <tableColumn id="13" xr3:uid="{37249506-E935-4155-BEDD-146A6BBAB95B}" name="Loan_Payment" dataDxfId="742"/>
    <tableColumn id="14" xr3:uid="{FB9A6450-977E-4A88-93E6-7DDFAF8C3D93}" name="Debit_Ratio" dataDxfId="741"/>
    <tableColumn id="15" xr3:uid="{D8F4FCF6-AD99-4D2D-8B33-2C7D08F9C3D8}" name="Investment_Amount" dataDxfId="740"/>
    <tableColumn id="16" xr3:uid="{A41BDAD9-6EB4-4145-B460-49F2DCB5DF13}" name="Investment_Ratio" dataDxfId="739"/>
    <tableColumn id="17" xr3:uid="{3BE7F337-A069-411F-971E-560F07C2DB12}" name="Subscription_Services"/>
    <tableColumn id="18" xr3:uid="{A21D1D1F-5029-4186-9AA6-DA5C978228DE}" name="Emergency_Fund"/>
    <tableColumn id="19" xr3:uid="{B789BE74-7B88-438B-A67B-7A40A0369142}" name="Transaction_Count"/>
    <tableColumn id="20" xr3:uid="{C9F08FCC-284B-485C-969B-3C4C761A61C2}" name="Fraud_Flag"/>
    <tableColumn id="21" xr3:uid="{98D160F9-03B8-4CA1-9AE5-4B68096933D4}" name="Discretionary_Spending"/>
    <tableColumn id="22" xr3:uid="{C86B5FB0-D4C0-4D1D-AF9B-4FB7A8444A5F}" name="Essential_Spending"/>
    <tableColumn id="23" xr3:uid="{3F6EBA28-DC50-421D-908F-B696C2D327DF}" name="Income_Type"/>
    <tableColumn id="24" xr3:uid="{1A0425D3-71A8-41C5-8921-BEE5EE806C74}" name="Rent_Or_Mortgage" dataDxfId="738"/>
    <tableColumn id="25" xr3:uid="{8F54DF85-EC41-494B-8DE0-1979736AFA74}" name="Category"/>
    <tableColumn id="26" xr3:uid="{CAA42157-8109-4233-A4B2-7545AD80859B}" name="Cash_Flow_Status"/>
    <tableColumn id="27" xr3:uid="{3B7A52A1-CACA-47A8-B9A2-283BE998FCF7}" name="Financial_Advice_Score"/>
    <tableColumn id="28" xr3:uid="{F6138B27-D75B-4ACB-B0D6-40E80C07B497}" name="Financial_Stress_Level"/>
    <tableColumn id="29" xr3:uid="{EA9D5BF2-14D6-4AD0-B66B-C4DA766B90CF}" name="Actual_Savings"/>
    <tableColumn id="30" xr3:uid="{7F3FF63D-A0E5-45E5-B241-CF2366B2FA01}" name="Savings_Goal_M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pivotTable" Target="../pivotTables/pivotTable27.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5" Type="http://schemas.openxmlformats.org/officeDocument/2006/relationships/drawing" Target="../drawings/drawing5.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67A8-17FE-45EF-8387-E46F7B812DF0}">
  <dimension ref="A1"/>
  <sheetViews>
    <sheetView tabSelected="1" topLeftCell="B5" zoomScale="86" zoomScaleNormal="86" workbookViewId="0">
      <selection activeCell="V8" sqref="V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460E-D5CA-492F-9339-42607218E580}">
  <dimension ref="C1:AF3001"/>
  <sheetViews>
    <sheetView workbookViewId="0">
      <selection activeCell="G16" sqref="G16"/>
    </sheetView>
  </sheetViews>
  <sheetFormatPr defaultRowHeight="14.5" x14ac:dyDescent="0.35"/>
  <cols>
    <col min="3" max="3" width="10.08984375" bestFit="1" customWidth="1"/>
    <col min="4" max="4" width="8.81640625" bestFit="1" customWidth="1"/>
    <col min="5" max="5" width="9.26953125" customWidth="1"/>
    <col min="6" max="6" width="17.08984375" customWidth="1"/>
    <col min="7" max="7" width="23.08984375" customWidth="1"/>
    <col min="8" max="8" width="12.90625" customWidth="1"/>
    <col min="9" max="9" width="15.08984375" customWidth="1"/>
    <col min="10" max="10" width="13.7265625" customWidth="1"/>
    <col min="11" max="11" width="13.54296875" customWidth="1"/>
    <col min="12" max="12" width="18.1796875" customWidth="1"/>
    <col min="13" max="13" width="13.453125" customWidth="1"/>
    <col min="14" max="14" width="22.54296875" customWidth="1"/>
    <col min="15" max="15" width="15.26953125" customWidth="1"/>
    <col min="16" max="16" width="12.7265625" customWidth="1"/>
    <col min="17" max="17" width="20.1796875" customWidth="1"/>
    <col min="18" max="18" width="17.7265625" customWidth="1"/>
    <col min="19" max="19" width="20.81640625" customWidth="1"/>
    <col min="20" max="20" width="17.08984375" customWidth="1"/>
    <col min="21" max="21" width="18.7265625" customWidth="1"/>
    <col min="22" max="22" width="11.90625" customWidth="1"/>
    <col min="23" max="23" width="22.54296875" customWidth="1"/>
    <col min="24" max="24" width="18.81640625" customWidth="1"/>
    <col min="25" max="25" width="14" customWidth="1"/>
    <col min="26" max="26" width="18.90625" customWidth="1"/>
    <col min="27" max="27" width="10.26953125" customWidth="1"/>
    <col min="28" max="28" width="18" customWidth="1"/>
    <col min="29" max="29" width="22.08984375" customWidth="1"/>
    <col min="30" max="30" width="21.26953125" customWidth="1"/>
    <col min="31" max="31" width="15.1796875" customWidth="1"/>
    <col min="32" max="32" width="18.1796875" customWidth="1"/>
  </cols>
  <sheetData>
    <row r="1" spans="3:32" x14ac:dyDescent="0.35">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row>
    <row r="2" spans="3:32" x14ac:dyDescent="0.35">
      <c r="C2" s="1">
        <v>43466</v>
      </c>
      <c r="D2" s="2">
        <v>43466</v>
      </c>
      <c r="E2">
        <v>1584</v>
      </c>
      <c r="F2" s="3">
        <v>3119.58</v>
      </c>
      <c r="G2" s="3">
        <v>3212.07</v>
      </c>
      <c r="H2" s="3">
        <v>-92.49</v>
      </c>
      <c r="I2" s="3">
        <v>1.03</v>
      </c>
      <c r="J2">
        <v>0.38</v>
      </c>
      <c r="K2">
        <v>3676.11</v>
      </c>
      <c r="L2" t="s">
        <v>30</v>
      </c>
      <c r="M2">
        <v>721</v>
      </c>
      <c r="N2">
        <v>0.56000000000000005</v>
      </c>
      <c r="O2" s="3">
        <v>125.77</v>
      </c>
      <c r="P2" s="3">
        <v>0.04</v>
      </c>
      <c r="Q2" s="3">
        <v>689.22</v>
      </c>
      <c r="R2" s="3">
        <v>0.22</v>
      </c>
      <c r="S2">
        <v>3</v>
      </c>
      <c r="T2">
        <v>510.58</v>
      </c>
      <c r="U2">
        <v>68</v>
      </c>
      <c r="V2">
        <v>0</v>
      </c>
      <c r="W2">
        <v>857.55</v>
      </c>
      <c r="X2">
        <v>1910.85</v>
      </c>
      <c r="Y2" t="s">
        <v>31</v>
      </c>
      <c r="Z2" s="3">
        <v>1501.65</v>
      </c>
      <c r="AA2" t="s">
        <v>32</v>
      </c>
      <c r="AB2" t="s">
        <v>33</v>
      </c>
      <c r="AC2">
        <v>8.3000000000000007</v>
      </c>
      <c r="AD2" t="s">
        <v>34</v>
      </c>
      <c r="AE2">
        <v>0</v>
      </c>
      <c r="AF2">
        <v>0</v>
      </c>
    </row>
    <row r="3" spans="3:32" x14ac:dyDescent="0.35">
      <c r="C3" s="1">
        <v>43466</v>
      </c>
      <c r="D3" s="2">
        <v>43466</v>
      </c>
      <c r="E3">
        <v>1177</v>
      </c>
      <c r="F3" s="3">
        <v>3593.89</v>
      </c>
      <c r="G3" s="3">
        <v>3401.82</v>
      </c>
      <c r="H3" s="3">
        <v>192.07</v>
      </c>
      <c r="I3" s="3">
        <v>0.95</v>
      </c>
      <c r="J3">
        <v>0.25</v>
      </c>
      <c r="K3">
        <v>2155.52</v>
      </c>
      <c r="L3" t="s">
        <v>35</v>
      </c>
      <c r="M3">
        <v>619</v>
      </c>
      <c r="N3">
        <v>0.13</v>
      </c>
      <c r="O3" s="3">
        <v>725.61</v>
      </c>
      <c r="P3" s="3">
        <v>0.2</v>
      </c>
      <c r="Q3" s="3">
        <v>698.79</v>
      </c>
      <c r="R3" s="3">
        <v>0.19</v>
      </c>
      <c r="S3">
        <v>7</v>
      </c>
      <c r="T3">
        <v>1860.17</v>
      </c>
      <c r="U3">
        <v>96</v>
      </c>
      <c r="V3">
        <v>0</v>
      </c>
      <c r="W3">
        <v>348.61</v>
      </c>
      <c r="X3">
        <v>3220.52</v>
      </c>
      <c r="Y3" t="s">
        <v>36</v>
      </c>
      <c r="Z3" s="3">
        <v>862.47</v>
      </c>
      <c r="AA3" t="s">
        <v>37</v>
      </c>
      <c r="AB3" t="s">
        <v>33</v>
      </c>
      <c r="AC3">
        <v>68.3</v>
      </c>
      <c r="AD3" t="s">
        <v>38</v>
      </c>
      <c r="AE3">
        <v>192.07</v>
      </c>
      <c r="AF3">
        <v>0</v>
      </c>
    </row>
    <row r="4" spans="3:32" x14ac:dyDescent="0.35">
      <c r="C4" s="1">
        <v>43466</v>
      </c>
      <c r="D4" s="2">
        <v>43466</v>
      </c>
      <c r="E4">
        <v>1997</v>
      </c>
      <c r="F4" s="3">
        <v>2578.1799999999998</v>
      </c>
      <c r="G4" s="3">
        <v>2314.4</v>
      </c>
      <c r="H4" s="3">
        <v>263.77999999999997</v>
      </c>
      <c r="I4" s="3">
        <v>0.9</v>
      </c>
      <c r="J4">
        <v>7.0000000000000007E-2</v>
      </c>
      <c r="K4">
        <v>2979.66</v>
      </c>
      <c r="L4" t="s">
        <v>39</v>
      </c>
      <c r="M4">
        <v>771</v>
      </c>
      <c r="N4">
        <v>0.33</v>
      </c>
      <c r="O4" s="3">
        <v>487.37</v>
      </c>
      <c r="P4" s="3">
        <v>0.19</v>
      </c>
      <c r="Q4" s="3">
        <v>654.57000000000005</v>
      </c>
      <c r="R4" s="3">
        <v>0.25</v>
      </c>
      <c r="S4">
        <v>2</v>
      </c>
      <c r="T4">
        <v>1538.03</v>
      </c>
      <c r="U4">
        <v>32</v>
      </c>
      <c r="V4">
        <v>0</v>
      </c>
      <c r="W4">
        <v>449.34</v>
      </c>
      <c r="X4">
        <v>1991.85</v>
      </c>
      <c r="Y4" t="s">
        <v>36</v>
      </c>
      <c r="Z4" s="3">
        <v>1062.5999999999999</v>
      </c>
      <c r="AA4" t="s">
        <v>40</v>
      </c>
      <c r="AB4" t="s">
        <v>33</v>
      </c>
      <c r="AC4">
        <v>31.5</v>
      </c>
      <c r="AD4" t="s">
        <v>38</v>
      </c>
      <c r="AE4">
        <v>263.77999999999997</v>
      </c>
      <c r="AF4">
        <v>0</v>
      </c>
    </row>
    <row r="5" spans="3:32" x14ac:dyDescent="0.35">
      <c r="C5" s="1">
        <v>43466</v>
      </c>
      <c r="D5" s="2">
        <v>43466</v>
      </c>
      <c r="E5">
        <v>1254</v>
      </c>
      <c r="F5" s="3">
        <v>2335.3200000000002</v>
      </c>
      <c r="G5" s="3">
        <v>3350.56</v>
      </c>
      <c r="H5" s="3">
        <v>-1015.24</v>
      </c>
      <c r="I5" s="3">
        <v>1.43</v>
      </c>
      <c r="J5">
        <v>0.06</v>
      </c>
      <c r="K5">
        <v>2856.34</v>
      </c>
      <c r="L5" t="s">
        <v>30</v>
      </c>
      <c r="M5">
        <v>659</v>
      </c>
      <c r="N5">
        <v>0.23</v>
      </c>
      <c r="O5" s="3">
        <v>813.66</v>
      </c>
      <c r="P5" s="3">
        <v>0.35</v>
      </c>
      <c r="Q5" s="3">
        <v>388.09</v>
      </c>
      <c r="R5" s="3">
        <v>0.17</v>
      </c>
      <c r="S5">
        <v>7</v>
      </c>
      <c r="T5">
        <v>1200.1300000000001</v>
      </c>
      <c r="U5">
        <v>31</v>
      </c>
      <c r="V5">
        <v>0</v>
      </c>
      <c r="W5">
        <v>624.75</v>
      </c>
      <c r="X5">
        <v>2607.9299999999998</v>
      </c>
      <c r="Y5" t="s">
        <v>36</v>
      </c>
      <c r="Z5" s="3">
        <v>1172.8</v>
      </c>
      <c r="AA5" t="s">
        <v>41</v>
      </c>
      <c r="AB5" t="s">
        <v>42</v>
      </c>
      <c r="AC5">
        <v>5.2</v>
      </c>
      <c r="AD5" t="s">
        <v>43</v>
      </c>
      <c r="AE5">
        <v>0</v>
      </c>
      <c r="AF5">
        <v>0</v>
      </c>
    </row>
    <row r="6" spans="3:32" x14ac:dyDescent="0.35">
      <c r="C6" s="1">
        <v>43466</v>
      </c>
      <c r="D6" s="2">
        <v>43466</v>
      </c>
      <c r="E6">
        <v>1180</v>
      </c>
      <c r="F6" s="3">
        <v>2739.6</v>
      </c>
      <c r="G6" s="3">
        <v>3771.22</v>
      </c>
      <c r="H6" s="3">
        <v>-1031.6199999999999</v>
      </c>
      <c r="I6" s="3">
        <v>1.38</v>
      </c>
      <c r="J6">
        <v>0.2</v>
      </c>
      <c r="K6">
        <v>2381.3200000000002</v>
      </c>
      <c r="L6" t="s">
        <v>30</v>
      </c>
      <c r="M6">
        <v>699</v>
      </c>
      <c r="N6">
        <v>0.12</v>
      </c>
      <c r="O6" s="3">
        <v>202.75</v>
      </c>
      <c r="P6" s="3">
        <v>7.0000000000000007E-2</v>
      </c>
      <c r="Q6" s="3">
        <v>132.88</v>
      </c>
      <c r="R6" s="3">
        <v>0.05</v>
      </c>
      <c r="S6">
        <v>9</v>
      </c>
      <c r="T6">
        <v>143.83000000000001</v>
      </c>
      <c r="U6">
        <v>39</v>
      </c>
      <c r="V6">
        <v>0</v>
      </c>
      <c r="W6">
        <v>187.94</v>
      </c>
      <c r="X6">
        <v>1717.87</v>
      </c>
      <c r="Y6" t="s">
        <v>36</v>
      </c>
      <c r="Z6" s="3">
        <v>1093.5899999999999</v>
      </c>
      <c r="AA6" t="s">
        <v>40</v>
      </c>
      <c r="AB6" t="s">
        <v>33</v>
      </c>
      <c r="AC6">
        <v>15.4</v>
      </c>
      <c r="AD6" t="s">
        <v>34</v>
      </c>
      <c r="AE6">
        <v>0</v>
      </c>
      <c r="AF6">
        <v>0</v>
      </c>
    </row>
    <row r="7" spans="3:32" x14ac:dyDescent="0.35">
      <c r="C7" s="1">
        <v>43466</v>
      </c>
      <c r="D7" s="2">
        <v>43466</v>
      </c>
      <c r="E7">
        <v>1165</v>
      </c>
      <c r="F7" s="3">
        <v>4134.92</v>
      </c>
      <c r="G7" s="3">
        <v>2963.51</v>
      </c>
      <c r="H7" s="3">
        <v>1171.4100000000001</v>
      </c>
      <c r="I7" s="3">
        <v>0.72</v>
      </c>
      <c r="J7">
        <v>0.19</v>
      </c>
      <c r="K7">
        <v>3462.74</v>
      </c>
      <c r="L7" t="s">
        <v>35</v>
      </c>
      <c r="M7">
        <v>647</v>
      </c>
      <c r="N7">
        <v>0.59</v>
      </c>
      <c r="O7" s="3">
        <v>308.83</v>
      </c>
      <c r="P7" s="3">
        <v>7.0000000000000007E-2</v>
      </c>
      <c r="Q7" s="3">
        <v>0</v>
      </c>
      <c r="R7" s="3">
        <v>0</v>
      </c>
      <c r="S7">
        <v>1</v>
      </c>
      <c r="T7">
        <v>2210.6799999999998</v>
      </c>
      <c r="U7">
        <v>67</v>
      </c>
      <c r="V7">
        <v>0</v>
      </c>
      <c r="W7">
        <v>194.65</v>
      </c>
      <c r="X7">
        <v>1858.83</v>
      </c>
      <c r="Y7" t="s">
        <v>36</v>
      </c>
      <c r="Z7" s="3">
        <v>944.59</v>
      </c>
      <c r="AA7" t="s">
        <v>41</v>
      </c>
      <c r="AB7" t="s">
        <v>44</v>
      </c>
      <c r="AC7">
        <v>42.9</v>
      </c>
      <c r="AD7" t="s">
        <v>38</v>
      </c>
      <c r="AE7">
        <v>1171.4100000000001</v>
      </c>
      <c r="AF7">
        <v>0</v>
      </c>
    </row>
    <row r="8" spans="3:32" x14ac:dyDescent="0.35">
      <c r="C8" s="1">
        <v>43466</v>
      </c>
      <c r="D8" s="2">
        <v>43466</v>
      </c>
      <c r="E8">
        <v>1819</v>
      </c>
      <c r="F8" s="3">
        <v>3635.83</v>
      </c>
      <c r="G8" s="3">
        <v>3067.73</v>
      </c>
      <c r="H8" s="3">
        <v>568.1</v>
      </c>
      <c r="I8" s="3">
        <v>0.84</v>
      </c>
      <c r="J8">
        <v>0.11</v>
      </c>
      <c r="K8">
        <v>3131.99</v>
      </c>
      <c r="L8" t="s">
        <v>35</v>
      </c>
      <c r="M8">
        <v>626</v>
      </c>
      <c r="N8">
        <v>0.54</v>
      </c>
      <c r="O8" s="3">
        <v>508.12</v>
      </c>
      <c r="P8" s="3">
        <v>0.14000000000000001</v>
      </c>
      <c r="Q8" s="3">
        <v>461.83</v>
      </c>
      <c r="R8" s="3">
        <v>0.13</v>
      </c>
      <c r="S8">
        <v>4</v>
      </c>
      <c r="T8">
        <v>1554.26</v>
      </c>
      <c r="U8">
        <v>74</v>
      </c>
      <c r="V8">
        <v>0</v>
      </c>
      <c r="W8">
        <v>551.08000000000004</v>
      </c>
      <c r="X8">
        <v>1494.98</v>
      </c>
      <c r="Y8" t="s">
        <v>36</v>
      </c>
      <c r="Z8" s="3">
        <v>978.42</v>
      </c>
      <c r="AA8" t="s">
        <v>45</v>
      </c>
      <c r="AB8" t="s">
        <v>42</v>
      </c>
      <c r="AC8">
        <v>10.8</v>
      </c>
      <c r="AD8" t="s">
        <v>43</v>
      </c>
      <c r="AE8">
        <v>568.1</v>
      </c>
      <c r="AF8">
        <v>0</v>
      </c>
    </row>
    <row r="9" spans="3:32" x14ac:dyDescent="0.35">
      <c r="C9" s="1">
        <v>43466</v>
      </c>
      <c r="D9" s="2">
        <v>43466</v>
      </c>
      <c r="E9">
        <v>1230</v>
      </c>
      <c r="F9" s="3">
        <v>4456.07</v>
      </c>
      <c r="G9" s="3">
        <v>2530.98</v>
      </c>
      <c r="H9" s="3">
        <v>1925.09</v>
      </c>
      <c r="I9" s="3">
        <v>0.56999999999999995</v>
      </c>
      <c r="J9">
        <v>0.33</v>
      </c>
      <c r="K9">
        <v>1668.02</v>
      </c>
      <c r="L9" t="s">
        <v>35</v>
      </c>
      <c r="M9">
        <v>781</v>
      </c>
      <c r="N9">
        <v>0.23</v>
      </c>
      <c r="O9" s="3">
        <v>546.29999999999995</v>
      </c>
      <c r="P9" s="3">
        <v>0.12</v>
      </c>
      <c r="Q9" s="3">
        <v>0</v>
      </c>
      <c r="R9" s="3">
        <v>0</v>
      </c>
      <c r="S9">
        <v>8</v>
      </c>
      <c r="T9">
        <v>1089.78</v>
      </c>
      <c r="U9">
        <v>77</v>
      </c>
      <c r="V9">
        <v>0</v>
      </c>
      <c r="W9">
        <v>462.19</v>
      </c>
      <c r="X9">
        <v>2619.34</v>
      </c>
      <c r="Y9" t="s">
        <v>31</v>
      </c>
      <c r="Z9" s="3">
        <v>756.83</v>
      </c>
      <c r="AA9" t="s">
        <v>46</v>
      </c>
      <c r="AB9" t="s">
        <v>33</v>
      </c>
      <c r="AC9">
        <v>2.2999999999999998</v>
      </c>
      <c r="AD9" t="s">
        <v>34</v>
      </c>
      <c r="AE9">
        <v>1925.09</v>
      </c>
      <c r="AF9">
        <v>1</v>
      </c>
    </row>
    <row r="10" spans="3:32" x14ac:dyDescent="0.35">
      <c r="C10" s="1">
        <v>43466</v>
      </c>
      <c r="D10" s="2">
        <v>43466</v>
      </c>
      <c r="E10">
        <v>1352</v>
      </c>
      <c r="F10" s="3">
        <v>4559.3900000000003</v>
      </c>
      <c r="G10" s="3">
        <v>2823.23</v>
      </c>
      <c r="H10" s="3">
        <v>1736.16</v>
      </c>
      <c r="I10" s="3">
        <v>0.62</v>
      </c>
      <c r="J10">
        <v>0.2</v>
      </c>
      <c r="K10">
        <v>2840.67</v>
      </c>
      <c r="L10" t="s">
        <v>39</v>
      </c>
      <c r="M10">
        <v>724</v>
      </c>
      <c r="N10">
        <v>0.27</v>
      </c>
      <c r="O10" s="3">
        <v>581.49</v>
      </c>
      <c r="P10" s="3">
        <v>0.13</v>
      </c>
      <c r="Q10" s="3">
        <v>156.21</v>
      </c>
      <c r="R10" s="3">
        <v>0.03</v>
      </c>
      <c r="S10">
        <v>8</v>
      </c>
      <c r="T10">
        <v>2388.6</v>
      </c>
      <c r="U10">
        <v>52</v>
      </c>
      <c r="V10">
        <v>0</v>
      </c>
      <c r="W10">
        <v>66.84</v>
      </c>
      <c r="X10">
        <v>1151.96</v>
      </c>
      <c r="Y10" t="s">
        <v>36</v>
      </c>
      <c r="Z10" s="3">
        <v>1157.3900000000001</v>
      </c>
      <c r="AA10" t="s">
        <v>47</v>
      </c>
      <c r="AB10" t="s">
        <v>33</v>
      </c>
      <c r="AC10">
        <v>11.1</v>
      </c>
      <c r="AD10" t="s">
        <v>43</v>
      </c>
      <c r="AE10">
        <v>1736.16</v>
      </c>
      <c r="AF10">
        <v>0</v>
      </c>
    </row>
    <row r="11" spans="3:32" x14ac:dyDescent="0.35">
      <c r="C11" s="1">
        <v>43466</v>
      </c>
      <c r="D11" s="2">
        <v>43466</v>
      </c>
      <c r="E11">
        <v>1806</v>
      </c>
      <c r="F11" s="3">
        <v>5574.38</v>
      </c>
      <c r="G11" s="3">
        <v>2789.8</v>
      </c>
      <c r="H11" s="3">
        <v>2784.58</v>
      </c>
      <c r="I11" s="3">
        <v>0.5</v>
      </c>
      <c r="J11">
        <v>0.27</v>
      </c>
      <c r="K11">
        <v>2541.36</v>
      </c>
      <c r="L11" t="s">
        <v>35</v>
      </c>
      <c r="M11">
        <v>710</v>
      </c>
      <c r="N11">
        <v>0.23</v>
      </c>
      <c r="O11" s="3">
        <v>660.87</v>
      </c>
      <c r="P11" s="3">
        <v>0.12</v>
      </c>
      <c r="Q11" s="3">
        <v>273.5</v>
      </c>
      <c r="R11" s="3">
        <v>0.05</v>
      </c>
      <c r="S11">
        <v>4</v>
      </c>
      <c r="T11">
        <v>1084.25</v>
      </c>
      <c r="U11">
        <v>46</v>
      </c>
      <c r="V11">
        <v>0</v>
      </c>
      <c r="W11">
        <v>193.39</v>
      </c>
      <c r="X11">
        <v>2027.66</v>
      </c>
      <c r="Y11" t="s">
        <v>36</v>
      </c>
      <c r="Z11" s="3">
        <v>1335.17</v>
      </c>
      <c r="AA11" t="s">
        <v>41</v>
      </c>
      <c r="AB11" t="s">
        <v>33</v>
      </c>
      <c r="AC11">
        <v>14.8</v>
      </c>
      <c r="AD11" t="s">
        <v>34</v>
      </c>
      <c r="AE11">
        <v>2784.58</v>
      </c>
      <c r="AF11">
        <v>1</v>
      </c>
    </row>
    <row r="12" spans="3:32" x14ac:dyDescent="0.35">
      <c r="C12" s="1">
        <v>43466</v>
      </c>
      <c r="D12" s="2">
        <v>43466</v>
      </c>
      <c r="E12">
        <v>1666</v>
      </c>
      <c r="F12" s="3">
        <v>3258.17</v>
      </c>
      <c r="G12" s="3">
        <v>2480.44</v>
      </c>
      <c r="H12" s="3">
        <v>777.73</v>
      </c>
      <c r="I12" s="3">
        <v>0.76</v>
      </c>
      <c r="J12">
        <v>0.16</v>
      </c>
      <c r="K12">
        <v>2906.09</v>
      </c>
      <c r="L12" t="s">
        <v>35</v>
      </c>
      <c r="M12">
        <v>597</v>
      </c>
      <c r="N12">
        <v>0.54</v>
      </c>
      <c r="O12" s="3">
        <v>387</v>
      </c>
      <c r="P12" s="3">
        <v>0.12</v>
      </c>
      <c r="Q12" s="3">
        <v>517.52</v>
      </c>
      <c r="R12" s="3">
        <v>0.16</v>
      </c>
      <c r="S12">
        <v>6</v>
      </c>
      <c r="T12">
        <v>1103.6600000000001</v>
      </c>
      <c r="U12">
        <v>30</v>
      </c>
      <c r="V12">
        <v>0</v>
      </c>
      <c r="W12">
        <v>662.83</v>
      </c>
      <c r="X12">
        <v>1857.09</v>
      </c>
      <c r="Y12" t="s">
        <v>36</v>
      </c>
      <c r="Z12" s="3">
        <v>932.19</v>
      </c>
      <c r="AA12" t="s">
        <v>32</v>
      </c>
      <c r="AB12" t="s">
        <v>44</v>
      </c>
      <c r="AC12">
        <v>20</v>
      </c>
      <c r="AD12" t="s">
        <v>34</v>
      </c>
      <c r="AE12">
        <v>777.73</v>
      </c>
      <c r="AF12">
        <v>0</v>
      </c>
    </row>
    <row r="13" spans="3:32" x14ac:dyDescent="0.35">
      <c r="C13" s="1">
        <v>43466</v>
      </c>
      <c r="D13" s="2">
        <v>43466</v>
      </c>
      <c r="E13">
        <v>1599</v>
      </c>
      <c r="F13" s="3">
        <v>1891.43</v>
      </c>
      <c r="G13" s="3">
        <v>2912.34</v>
      </c>
      <c r="H13" s="3">
        <v>-1020.91</v>
      </c>
      <c r="I13" s="3">
        <v>1.54</v>
      </c>
      <c r="J13">
        <v>0.27</v>
      </c>
      <c r="K13">
        <v>2565.96</v>
      </c>
      <c r="L13" t="s">
        <v>39</v>
      </c>
      <c r="M13">
        <v>699</v>
      </c>
      <c r="N13">
        <v>0.15</v>
      </c>
      <c r="O13" s="3">
        <v>489.13</v>
      </c>
      <c r="P13" s="3">
        <v>0.26</v>
      </c>
      <c r="Q13" s="3">
        <v>477.14</v>
      </c>
      <c r="R13" s="3">
        <v>0.25</v>
      </c>
      <c r="S13">
        <v>2</v>
      </c>
      <c r="T13">
        <v>1110.6099999999999</v>
      </c>
      <c r="U13">
        <v>59</v>
      </c>
      <c r="V13">
        <v>0</v>
      </c>
      <c r="W13">
        <v>432.13</v>
      </c>
      <c r="X13">
        <v>2626.89</v>
      </c>
      <c r="Y13" t="s">
        <v>31</v>
      </c>
      <c r="Z13" s="3">
        <v>1393.5</v>
      </c>
      <c r="AA13" t="s">
        <v>41</v>
      </c>
      <c r="AB13" t="s">
        <v>42</v>
      </c>
      <c r="AC13">
        <v>71.5</v>
      </c>
      <c r="AD13" t="s">
        <v>38</v>
      </c>
      <c r="AE13">
        <v>0</v>
      </c>
      <c r="AF13">
        <v>0</v>
      </c>
    </row>
    <row r="14" spans="3:32" x14ac:dyDescent="0.35">
      <c r="C14" s="1">
        <v>43466</v>
      </c>
      <c r="D14" s="2">
        <v>43466</v>
      </c>
      <c r="E14">
        <v>1173</v>
      </c>
      <c r="F14" s="3">
        <v>6160.82</v>
      </c>
      <c r="G14" s="3">
        <v>2177.59</v>
      </c>
      <c r="H14" s="3">
        <v>3983.23</v>
      </c>
      <c r="I14" s="3">
        <v>0.35</v>
      </c>
      <c r="J14">
        <v>0.38</v>
      </c>
      <c r="K14">
        <v>2551.2199999999998</v>
      </c>
      <c r="L14" t="s">
        <v>30</v>
      </c>
      <c r="M14">
        <v>654</v>
      </c>
      <c r="N14">
        <v>0.41</v>
      </c>
      <c r="O14" s="3">
        <v>519.04</v>
      </c>
      <c r="P14" s="3">
        <v>0.08</v>
      </c>
      <c r="Q14" s="3">
        <v>283.93</v>
      </c>
      <c r="R14" s="3">
        <v>0.05</v>
      </c>
      <c r="S14">
        <v>3</v>
      </c>
      <c r="T14">
        <v>1178.22</v>
      </c>
      <c r="U14">
        <v>92</v>
      </c>
      <c r="V14">
        <v>0</v>
      </c>
      <c r="W14">
        <v>522.14</v>
      </c>
      <c r="X14">
        <v>1888.79</v>
      </c>
      <c r="Y14" t="s">
        <v>36</v>
      </c>
      <c r="Z14" s="3">
        <v>1668.33</v>
      </c>
      <c r="AA14" t="s">
        <v>48</v>
      </c>
      <c r="AB14" t="s">
        <v>33</v>
      </c>
      <c r="AC14">
        <v>47.5</v>
      </c>
      <c r="AD14" t="s">
        <v>38</v>
      </c>
      <c r="AE14">
        <v>3983.23</v>
      </c>
      <c r="AF14">
        <v>1</v>
      </c>
    </row>
    <row r="15" spans="3:32" x14ac:dyDescent="0.35">
      <c r="C15" s="1">
        <v>43466</v>
      </c>
      <c r="D15" s="2">
        <v>43466</v>
      </c>
      <c r="E15">
        <v>1310</v>
      </c>
      <c r="F15" s="3">
        <v>2957.68</v>
      </c>
      <c r="G15" s="3">
        <v>3047.28</v>
      </c>
      <c r="H15" s="3">
        <v>-89.6</v>
      </c>
      <c r="I15" s="3">
        <v>1.03</v>
      </c>
      <c r="J15">
        <v>0.23</v>
      </c>
      <c r="K15">
        <v>3158.17</v>
      </c>
      <c r="L15" t="s">
        <v>35</v>
      </c>
      <c r="M15">
        <v>712</v>
      </c>
      <c r="N15">
        <v>0.33</v>
      </c>
      <c r="O15" s="3">
        <v>454.62</v>
      </c>
      <c r="P15" s="3">
        <v>0.15</v>
      </c>
      <c r="Q15" s="3">
        <v>222.19</v>
      </c>
      <c r="R15" s="3">
        <v>0.08</v>
      </c>
      <c r="S15">
        <v>2</v>
      </c>
      <c r="T15">
        <v>729.34</v>
      </c>
      <c r="U15">
        <v>38</v>
      </c>
      <c r="V15">
        <v>0</v>
      </c>
      <c r="W15">
        <v>680.62</v>
      </c>
      <c r="X15">
        <v>3148.5</v>
      </c>
      <c r="Y15" t="s">
        <v>31</v>
      </c>
      <c r="Z15" s="3">
        <v>1761.49</v>
      </c>
      <c r="AA15" t="s">
        <v>41</v>
      </c>
      <c r="AB15" t="s">
        <v>44</v>
      </c>
      <c r="AC15">
        <v>27.7</v>
      </c>
      <c r="AD15" t="s">
        <v>43</v>
      </c>
      <c r="AE15">
        <v>0</v>
      </c>
      <c r="AF15">
        <v>0</v>
      </c>
    </row>
    <row r="16" spans="3:32" x14ac:dyDescent="0.35">
      <c r="C16" s="1">
        <v>43466</v>
      </c>
      <c r="D16" s="2">
        <v>43466</v>
      </c>
      <c r="E16">
        <v>1833</v>
      </c>
      <c r="F16" s="3">
        <v>5779.01</v>
      </c>
      <c r="G16" s="3">
        <v>3841.64</v>
      </c>
      <c r="H16" s="3">
        <v>1937.37</v>
      </c>
      <c r="I16" s="3">
        <v>0.66</v>
      </c>
      <c r="J16">
        <v>0.26</v>
      </c>
      <c r="K16">
        <v>3175.8</v>
      </c>
      <c r="L16" t="s">
        <v>39</v>
      </c>
      <c r="M16">
        <v>771</v>
      </c>
      <c r="N16">
        <v>0.57999999999999996</v>
      </c>
      <c r="O16" s="3">
        <v>707.67</v>
      </c>
      <c r="P16" s="3">
        <v>0.12</v>
      </c>
      <c r="Q16" s="3">
        <v>194.65</v>
      </c>
      <c r="R16" s="3">
        <v>0.03</v>
      </c>
      <c r="S16">
        <v>6</v>
      </c>
      <c r="T16">
        <v>1744.2</v>
      </c>
      <c r="U16">
        <v>34</v>
      </c>
      <c r="V16">
        <v>0</v>
      </c>
      <c r="W16">
        <v>775.79</v>
      </c>
      <c r="X16">
        <v>2857.63</v>
      </c>
      <c r="Y16" t="s">
        <v>36</v>
      </c>
      <c r="Z16" s="3">
        <v>1665.34</v>
      </c>
      <c r="AA16" t="s">
        <v>37</v>
      </c>
      <c r="AB16" t="s">
        <v>33</v>
      </c>
      <c r="AC16">
        <v>62</v>
      </c>
      <c r="AD16" t="s">
        <v>38</v>
      </c>
      <c r="AE16">
        <v>1937.37</v>
      </c>
      <c r="AF16">
        <v>0</v>
      </c>
    </row>
    <row r="17" spans="3:32" x14ac:dyDescent="0.35">
      <c r="C17" s="1">
        <v>43466</v>
      </c>
      <c r="D17" s="2">
        <v>43466</v>
      </c>
      <c r="E17">
        <v>1131</v>
      </c>
      <c r="F17" s="3">
        <v>3922.4</v>
      </c>
      <c r="G17" s="3">
        <v>3430.29</v>
      </c>
      <c r="H17" s="3">
        <v>492.11</v>
      </c>
      <c r="I17" s="3">
        <v>0.87</v>
      </c>
      <c r="J17">
        <v>0.09</v>
      </c>
      <c r="K17">
        <v>2430</v>
      </c>
      <c r="L17" t="s">
        <v>35</v>
      </c>
      <c r="M17">
        <v>702</v>
      </c>
      <c r="N17">
        <v>0.38</v>
      </c>
      <c r="O17" s="3">
        <v>512.24</v>
      </c>
      <c r="P17" s="3">
        <v>0.13</v>
      </c>
      <c r="Q17" s="3">
        <v>509.9</v>
      </c>
      <c r="R17" s="3">
        <v>0.13</v>
      </c>
      <c r="S17">
        <v>2</v>
      </c>
      <c r="T17">
        <v>631.21</v>
      </c>
      <c r="U17">
        <v>65</v>
      </c>
      <c r="V17">
        <v>0</v>
      </c>
      <c r="W17">
        <v>296.17</v>
      </c>
      <c r="X17">
        <v>2594.23</v>
      </c>
      <c r="Y17" t="s">
        <v>36</v>
      </c>
      <c r="Z17" s="3">
        <v>1398.74</v>
      </c>
      <c r="AA17" t="s">
        <v>47</v>
      </c>
      <c r="AB17" t="s">
        <v>33</v>
      </c>
      <c r="AC17">
        <v>12.4</v>
      </c>
      <c r="AD17" t="s">
        <v>34</v>
      </c>
      <c r="AE17">
        <v>492.11</v>
      </c>
      <c r="AF17">
        <v>0</v>
      </c>
    </row>
    <row r="18" spans="3:32" x14ac:dyDescent="0.35">
      <c r="C18" s="1">
        <v>43466</v>
      </c>
      <c r="D18" s="2">
        <v>43466</v>
      </c>
      <c r="E18">
        <v>1193</v>
      </c>
      <c r="F18" s="3">
        <v>2459.4499999999998</v>
      </c>
      <c r="G18" s="3">
        <v>1997.77</v>
      </c>
      <c r="H18" s="3">
        <v>461.68</v>
      </c>
      <c r="I18" s="3">
        <v>0.81</v>
      </c>
      <c r="J18">
        <v>0.11</v>
      </c>
      <c r="K18">
        <v>2848.08</v>
      </c>
      <c r="L18" t="s">
        <v>35</v>
      </c>
      <c r="M18">
        <v>594</v>
      </c>
      <c r="N18">
        <v>0.53</v>
      </c>
      <c r="O18" s="3">
        <v>710.37</v>
      </c>
      <c r="P18" s="3">
        <v>0.28999999999999998</v>
      </c>
      <c r="Q18" s="3">
        <v>573.77</v>
      </c>
      <c r="R18" s="3">
        <v>0.23</v>
      </c>
      <c r="S18">
        <v>2</v>
      </c>
      <c r="T18">
        <v>481</v>
      </c>
      <c r="U18">
        <v>41</v>
      </c>
      <c r="V18">
        <v>0</v>
      </c>
      <c r="W18">
        <v>639.13</v>
      </c>
      <c r="X18">
        <v>3561.47</v>
      </c>
      <c r="Y18" t="s">
        <v>31</v>
      </c>
      <c r="Z18" s="3">
        <v>875.71</v>
      </c>
      <c r="AA18" t="s">
        <v>47</v>
      </c>
      <c r="AB18" t="s">
        <v>42</v>
      </c>
      <c r="AC18">
        <v>50.4</v>
      </c>
      <c r="AD18" t="s">
        <v>34</v>
      </c>
      <c r="AE18">
        <v>461.68</v>
      </c>
      <c r="AF18">
        <v>0</v>
      </c>
    </row>
    <row r="19" spans="3:32" x14ac:dyDescent="0.35">
      <c r="C19" s="1">
        <v>43466</v>
      </c>
      <c r="D19" s="2">
        <v>43466</v>
      </c>
      <c r="E19">
        <v>1673</v>
      </c>
      <c r="F19" s="3">
        <v>2999.61</v>
      </c>
      <c r="G19" s="3">
        <v>4736.83</v>
      </c>
      <c r="H19" s="3">
        <v>-1737.22</v>
      </c>
      <c r="I19" s="3">
        <v>1.58</v>
      </c>
      <c r="J19">
        <v>0.09</v>
      </c>
      <c r="K19">
        <v>3268.06</v>
      </c>
      <c r="L19" t="s">
        <v>39</v>
      </c>
      <c r="M19">
        <v>643</v>
      </c>
      <c r="N19">
        <v>0.12</v>
      </c>
      <c r="O19" s="3">
        <v>575.37</v>
      </c>
      <c r="P19" s="3">
        <v>0.19</v>
      </c>
      <c r="Q19" s="3">
        <v>116.1</v>
      </c>
      <c r="R19" s="3">
        <v>0.04</v>
      </c>
      <c r="S19">
        <v>4</v>
      </c>
      <c r="T19">
        <v>1951.79</v>
      </c>
      <c r="U19">
        <v>34</v>
      </c>
      <c r="V19">
        <v>0</v>
      </c>
      <c r="W19">
        <v>193.82</v>
      </c>
      <c r="X19">
        <v>1924.92</v>
      </c>
      <c r="Y19" t="s">
        <v>31</v>
      </c>
      <c r="Z19" s="3">
        <v>1257.1300000000001</v>
      </c>
      <c r="AA19" t="s">
        <v>48</v>
      </c>
      <c r="AB19" t="s">
        <v>44</v>
      </c>
      <c r="AC19">
        <v>63</v>
      </c>
      <c r="AD19" t="s">
        <v>34</v>
      </c>
      <c r="AE19">
        <v>0</v>
      </c>
      <c r="AF19">
        <v>0</v>
      </c>
    </row>
    <row r="20" spans="3:32" x14ac:dyDescent="0.35">
      <c r="C20" s="1">
        <v>43466</v>
      </c>
      <c r="D20" s="2">
        <v>43466</v>
      </c>
      <c r="E20">
        <v>1530</v>
      </c>
      <c r="F20" s="3">
        <v>3348.85</v>
      </c>
      <c r="G20" s="3">
        <v>3000.73</v>
      </c>
      <c r="H20" s="3">
        <v>348.12</v>
      </c>
      <c r="I20" s="3">
        <v>0.9</v>
      </c>
      <c r="J20">
        <v>0.31</v>
      </c>
      <c r="K20">
        <v>2887.71</v>
      </c>
      <c r="L20" t="s">
        <v>35</v>
      </c>
      <c r="M20">
        <v>721</v>
      </c>
      <c r="N20">
        <v>0.6</v>
      </c>
      <c r="O20" s="3">
        <v>380.74</v>
      </c>
      <c r="P20" s="3">
        <v>0.11</v>
      </c>
      <c r="Q20" s="3">
        <v>749.31</v>
      </c>
      <c r="R20" s="3">
        <v>0.22</v>
      </c>
      <c r="S20">
        <v>5</v>
      </c>
      <c r="T20">
        <v>479.99</v>
      </c>
      <c r="U20">
        <v>44</v>
      </c>
      <c r="V20">
        <v>0</v>
      </c>
      <c r="W20">
        <v>1020.01</v>
      </c>
      <c r="X20">
        <v>1072.4000000000001</v>
      </c>
      <c r="Y20" t="s">
        <v>36</v>
      </c>
      <c r="Z20" s="3">
        <v>1172.8699999999999</v>
      </c>
      <c r="AA20" t="s">
        <v>32</v>
      </c>
      <c r="AB20" t="s">
        <v>33</v>
      </c>
      <c r="AC20">
        <v>36.5</v>
      </c>
      <c r="AD20" t="s">
        <v>43</v>
      </c>
      <c r="AE20">
        <v>348.12</v>
      </c>
      <c r="AF20">
        <v>0</v>
      </c>
    </row>
    <row r="21" spans="3:32" x14ac:dyDescent="0.35">
      <c r="C21" s="1">
        <v>43466</v>
      </c>
      <c r="D21" s="2">
        <v>43466</v>
      </c>
      <c r="E21">
        <v>1720</v>
      </c>
      <c r="F21" s="3">
        <v>3816.71</v>
      </c>
      <c r="G21" s="3">
        <v>4674.74</v>
      </c>
      <c r="H21" s="3">
        <v>-858.03</v>
      </c>
      <c r="I21" s="3">
        <v>1.22</v>
      </c>
      <c r="J21">
        <v>0.37</v>
      </c>
      <c r="K21">
        <v>2947.07</v>
      </c>
      <c r="L21" t="s">
        <v>35</v>
      </c>
      <c r="M21">
        <v>813</v>
      </c>
      <c r="N21">
        <v>0.22</v>
      </c>
      <c r="O21" s="3">
        <v>618.08000000000004</v>
      </c>
      <c r="P21" s="3">
        <v>0.16</v>
      </c>
      <c r="Q21" s="3">
        <v>528.04999999999995</v>
      </c>
      <c r="R21" s="3">
        <v>0.14000000000000001</v>
      </c>
      <c r="S21">
        <v>7</v>
      </c>
      <c r="T21">
        <v>768.09</v>
      </c>
      <c r="U21">
        <v>88</v>
      </c>
      <c r="V21">
        <v>0</v>
      </c>
      <c r="W21">
        <v>463.53</v>
      </c>
      <c r="X21">
        <v>2600.8200000000002</v>
      </c>
      <c r="Y21" t="s">
        <v>36</v>
      </c>
      <c r="Z21" s="3">
        <v>1002.12</v>
      </c>
      <c r="AA21" t="s">
        <v>37</v>
      </c>
      <c r="AB21" t="s">
        <v>33</v>
      </c>
      <c r="AC21">
        <v>54.6</v>
      </c>
      <c r="AD21" t="s">
        <v>38</v>
      </c>
      <c r="AE21">
        <v>0</v>
      </c>
      <c r="AF21">
        <v>0</v>
      </c>
    </row>
    <row r="22" spans="3:32" x14ac:dyDescent="0.35">
      <c r="C22" s="1">
        <v>43466</v>
      </c>
      <c r="D22" s="2">
        <v>43466</v>
      </c>
      <c r="E22">
        <v>1097</v>
      </c>
      <c r="F22" s="3">
        <v>3693.96</v>
      </c>
      <c r="G22" s="3">
        <v>4150.9399999999996</v>
      </c>
      <c r="H22" s="3">
        <v>-456.98</v>
      </c>
      <c r="I22" s="3">
        <v>1.1200000000000001</v>
      </c>
      <c r="J22">
        <v>0.31</v>
      </c>
      <c r="K22">
        <v>2558.6</v>
      </c>
      <c r="L22" t="s">
        <v>30</v>
      </c>
      <c r="M22">
        <v>696</v>
      </c>
      <c r="N22">
        <v>0.55000000000000004</v>
      </c>
      <c r="O22" s="3">
        <v>413.66</v>
      </c>
      <c r="P22" s="3">
        <v>0.11</v>
      </c>
      <c r="Q22" s="3">
        <v>267.5</v>
      </c>
      <c r="R22" s="3">
        <v>7.0000000000000007E-2</v>
      </c>
      <c r="S22">
        <v>1</v>
      </c>
      <c r="T22">
        <v>1720.4</v>
      </c>
      <c r="U22">
        <v>44</v>
      </c>
      <c r="V22">
        <v>0</v>
      </c>
      <c r="W22">
        <v>465.89</v>
      </c>
      <c r="X22">
        <v>3177.43</v>
      </c>
      <c r="Y22" t="s">
        <v>36</v>
      </c>
      <c r="Z22" s="3">
        <v>2153.59</v>
      </c>
      <c r="AA22" t="s">
        <v>41</v>
      </c>
      <c r="AB22" t="s">
        <v>44</v>
      </c>
      <c r="AC22">
        <v>13.6</v>
      </c>
      <c r="AD22" t="s">
        <v>34</v>
      </c>
      <c r="AE22">
        <v>0</v>
      </c>
      <c r="AF22">
        <v>0</v>
      </c>
    </row>
    <row r="23" spans="3:32" x14ac:dyDescent="0.35">
      <c r="C23" s="1">
        <v>43466</v>
      </c>
      <c r="D23" s="2">
        <v>43466</v>
      </c>
      <c r="E23">
        <v>1288</v>
      </c>
      <c r="F23" s="3">
        <v>2157.06</v>
      </c>
      <c r="G23" s="3">
        <v>3956.38</v>
      </c>
      <c r="H23" s="3">
        <v>-1799.32</v>
      </c>
      <c r="I23" s="3">
        <v>1.83</v>
      </c>
      <c r="J23">
        <v>0.06</v>
      </c>
      <c r="K23">
        <v>3239.51</v>
      </c>
      <c r="L23" t="s">
        <v>35</v>
      </c>
      <c r="M23">
        <v>618</v>
      </c>
      <c r="N23">
        <v>0.49</v>
      </c>
      <c r="O23" s="3">
        <v>267.83</v>
      </c>
      <c r="P23" s="3">
        <v>0.12</v>
      </c>
      <c r="Q23" s="3">
        <v>740.34</v>
      </c>
      <c r="R23" s="3">
        <v>0.34</v>
      </c>
      <c r="S23">
        <v>4</v>
      </c>
      <c r="T23">
        <v>0</v>
      </c>
      <c r="U23">
        <v>70</v>
      </c>
      <c r="V23">
        <v>0</v>
      </c>
      <c r="W23">
        <v>446.96</v>
      </c>
      <c r="X23">
        <v>3407.45</v>
      </c>
      <c r="Y23" t="s">
        <v>49</v>
      </c>
      <c r="Z23" s="3">
        <v>1805.61</v>
      </c>
      <c r="AA23" t="s">
        <v>45</v>
      </c>
      <c r="AB23" t="s">
        <v>33</v>
      </c>
      <c r="AC23">
        <v>43.2</v>
      </c>
      <c r="AD23" t="s">
        <v>34</v>
      </c>
      <c r="AE23">
        <v>0</v>
      </c>
      <c r="AF23">
        <v>0</v>
      </c>
    </row>
    <row r="24" spans="3:32" x14ac:dyDescent="0.35">
      <c r="C24" s="1">
        <v>43466</v>
      </c>
      <c r="D24" s="2">
        <v>43466</v>
      </c>
      <c r="E24">
        <v>1577</v>
      </c>
      <c r="F24" s="3">
        <v>4672.18</v>
      </c>
      <c r="G24" s="3">
        <v>2794.87</v>
      </c>
      <c r="H24" s="3">
        <v>1877.31</v>
      </c>
      <c r="I24" s="3">
        <v>0.6</v>
      </c>
      <c r="J24">
        <v>0.31</v>
      </c>
      <c r="K24">
        <v>2740.43</v>
      </c>
      <c r="L24" t="s">
        <v>30</v>
      </c>
      <c r="M24">
        <v>625</v>
      </c>
      <c r="N24">
        <v>0.59</v>
      </c>
      <c r="O24" s="3">
        <v>359.29</v>
      </c>
      <c r="P24" s="3">
        <v>0.08</v>
      </c>
      <c r="Q24" s="3">
        <v>300.44</v>
      </c>
      <c r="R24" s="3">
        <v>0.06</v>
      </c>
      <c r="S24">
        <v>8</v>
      </c>
      <c r="T24">
        <v>1628.21</v>
      </c>
      <c r="U24">
        <v>54</v>
      </c>
      <c r="V24">
        <v>0</v>
      </c>
      <c r="W24">
        <v>421.97</v>
      </c>
      <c r="X24">
        <v>1000</v>
      </c>
      <c r="Y24" t="s">
        <v>36</v>
      </c>
      <c r="Z24" s="3">
        <v>1595.89</v>
      </c>
      <c r="AA24" t="s">
        <v>37</v>
      </c>
      <c r="AB24" t="s">
        <v>33</v>
      </c>
      <c r="AC24">
        <v>74.3</v>
      </c>
      <c r="AD24" t="s">
        <v>34</v>
      </c>
      <c r="AE24">
        <v>1877.31</v>
      </c>
      <c r="AF24">
        <v>0</v>
      </c>
    </row>
    <row r="25" spans="3:32" x14ac:dyDescent="0.35">
      <c r="C25" s="1">
        <v>43466</v>
      </c>
      <c r="D25" s="2">
        <v>43466</v>
      </c>
      <c r="E25">
        <v>1228</v>
      </c>
      <c r="F25" s="3">
        <v>4937.58</v>
      </c>
      <c r="G25" s="3">
        <v>3562.69</v>
      </c>
      <c r="H25" s="3">
        <v>1374.89</v>
      </c>
      <c r="I25" s="3">
        <v>0.72</v>
      </c>
      <c r="J25">
        <v>0.3</v>
      </c>
      <c r="K25">
        <v>2414.91</v>
      </c>
      <c r="L25" t="s">
        <v>35</v>
      </c>
      <c r="M25">
        <v>644</v>
      </c>
      <c r="N25">
        <v>0.47</v>
      </c>
      <c r="O25" s="3">
        <v>881.86</v>
      </c>
      <c r="P25" s="3">
        <v>0.18</v>
      </c>
      <c r="Q25" s="3">
        <v>374.51</v>
      </c>
      <c r="R25" s="3">
        <v>0.08</v>
      </c>
      <c r="S25">
        <v>4</v>
      </c>
      <c r="T25">
        <v>2061.7399999999998</v>
      </c>
      <c r="U25">
        <v>66</v>
      </c>
      <c r="V25">
        <v>0</v>
      </c>
      <c r="W25">
        <v>0</v>
      </c>
      <c r="X25">
        <v>1000</v>
      </c>
      <c r="Y25" t="s">
        <v>36</v>
      </c>
      <c r="Z25" s="3">
        <v>848.69</v>
      </c>
      <c r="AA25" t="s">
        <v>37</v>
      </c>
      <c r="AB25" t="s">
        <v>44</v>
      </c>
      <c r="AC25">
        <v>45.2</v>
      </c>
      <c r="AD25" t="s">
        <v>43</v>
      </c>
      <c r="AE25">
        <v>1374.89</v>
      </c>
      <c r="AF25">
        <v>0</v>
      </c>
    </row>
    <row r="26" spans="3:32" x14ac:dyDescent="0.35">
      <c r="C26" s="1">
        <v>43466</v>
      </c>
      <c r="D26" s="2">
        <v>43466</v>
      </c>
      <c r="E26">
        <v>1123</v>
      </c>
      <c r="F26" s="3">
        <v>4839.78</v>
      </c>
      <c r="G26" s="3">
        <v>2357.6</v>
      </c>
      <c r="H26" s="3">
        <v>2482.1799999999998</v>
      </c>
      <c r="I26" s="3">
        <v>0.49</v>
      </c>
      <c r="J26">
        <v>0.11</v>
      </c>
      <c r="K26">
        <v>2300.54</v>
      </c>
      <c r="L26" t="s">
        <v>35</v>
      </c>
      <c r="M26">
        <v>748</v>
      </c>
      <c r="N26">
        <v>0.36</v>
      </c>
      <c r="O26" s="3">
        <v>558.02</v>
      </c>
      <c r="P26" s="3">
        <v>0.12</v>
      </c>
      <c r="Q26" s="3">
        <v>346.12</v>
      </c>
      <c r="R26" s="3">
        <v>7.0000000000000007E-2</v>
      </c>
      <c r="S26">
        <v>5</v>
      </c>
      <c r="T26">
        <v>1544.24</v>
      </c>
      <c r="U26">
        <v>82</v>
      </c>
      <c r="V26">
        <v>0</v>
      </c>
      <c r="W26">
        <v>437.86</v>
      </c>
      <c r="X26">
        <v>3222.2</v>
      </c>
      <c r="Y26" t="s">
        <v>31</v>
      </c>
      <c r="Z26" s="3">
        <v>1310.54</v>
      </c>
      <c r="AA26" t="s">
        <v>48</v>
      </c>
      <c r="AB26" t="s">
        <v>44</v>
      </c>
      <c r="AC26">
        <v>52.8</v>
      </c>
      <c r="AD26" t="s">
        <v>34</v>
      </c>
      <c r="AE26">
        <v>2482.1799999999998</v>
      </c>
      <c r="AF26">
        <v>1</v>
      </c>
    </row>
    <row r="27" spans="3:32" x14ac:dyDescent="0.35">
      <c r="C27" s="1">
        <v>43466</v>
      </c>
      <c r="D27" s="2">
        <v>43466</v>
      </c>
      <c r="E27">
        <v>1979</v>
      </c>
      <c r="F27" s="3">
        <v>3546.93</v>
      </c>
      <c r="G27" s="3">
        <v>2565.39</v>
      </c>
      <c r="H27" s="3">
        <v>981.54</v>
      </c>
      <c r="I27" s="3">
        <v>0.72</v>
      </c>
      <c r="J27">
        <v>0.36</v>
      </c>
      <c r="K27">
        <v>3219.1</v>
      </c>
      <c r="L27" t="s">
        <v>30</v>
      </c>
      <c r="M27">
        <v>736</v>
      </c>
      <c r="N27">
        <v>0.3</v>
      </c>
      <c r="O27" s="3">
        <v>761.05</v>
      </c>
      <c r="P27" s="3">
        <v>0.21</v>
      </c>
      <c r="Q27" s="3">
        <v>330.43</v>
      </c>
      <c r="R27" s="3">
        <v>0.09</v>
      </c>
      <c r="S27">
        <v>2</v>
      </c>
      <c r="T27">
        <v>1736.01</v>
      </c>
      <c r="U27">
        <v>33</v>
      </c>
      <c r="V27">
        <v>0</v>
      </c>
      <c r="W27">
        <v>862.19</v>
      </c>
      <c r="X27">
        <v>1095.06</v>
      </c>
      <c r="Y27" t="s">
        <v>36</v>
      </c>
      <c r="Z27" s="3">
        <v>1197.4000000000001</v>
      </c>
      <c r="AA27" t="s">
        <v>45</v>
      </c>
      <c r="AB27" t="s">
        <v>44</v>
      </c>
      <c r="AC27">
        <v>17.3</v>
      </c>
      <c r="AD27" t="s">
        <v>43</v>
      </c>
      <c r="AE27">
        <v>981.54</v>
      </c>
      <c r="AF27">
        <v>0</v>
      </c>
    </row>
    <row r="28" spans="3:32" x14ac:dyDescent="0.35">
      <c r="C28" s="1">
        <v>43466</v>
      </c>
      <c r="D28" s="2">
        <v>43466</v>
      </c>
      <c r="E28">
        <v>1830</v>
      </c>
      <c r="F28" s="3">
        <v>4607.04</v>
      </c>
      <c r="G28" s="3">
        <v>2408</v>
      </c>
      <c r="H28" s="3">
        <v>2199.04</v>
      </c>
      <c r="I28" s="3">
        <v>0.52</v>
      </c>
      <c r="J28">
        <v>0.32</v>
      </c>
      <c r="K28">
        <v>3268.39</v>
      </c>
      <c r="L28" t="s">
        <v>35</v>
      </c>
      <c r="M28">
        <v>726</v>
      </c>
      <c r="N28">
        <v>0.34</v>
      </c>
      <c r="O28" s="3">
        <v>626.08000000000004</v>
      </c>
      <c r="P28" s="3">
        <v>0.14000000000000001</v>
      </c>
      <c r="Q28" s="3">
        <v>504.93</v>
      </c>
      <c r="R28" s="3">
        <v>0.11</v>
      </c>
      <c r="S28">
        <v>1</v>
      </c>
      <c r="T28">
        <v>234.64</v>
      </c>
      <c r="U28">
        <v>23</v>
      </c>
      <c r="V28">
        <v>0</v>
      </c>
      <c r="W28">
        <v>669.5</v>
      </c>
      <c r="X28">
        <v>1434.77</v>
      </c>
      <c r="Y28" t="s">
        <v>36</v>
      </c>
      <c r="Z28" s="3">
        <v>1220.57</v>
      </c>
      <c r="AA28" t="s">
        <v>40</v>
      </c>
      <c r="AB28" t="s">
        <v>33</v>
      </c>
      <c r="AC28">
        <v>59.7</v>
      </c>
      <c r="AD28" t="s">
        <v>38</v>
      </c>
      <c r="AE28">
        <v>2199.04</v>
      </c>
      <c r="AF28">
        <v>0</v>
      </c>
    </row>
    <row r="29" spans="3:32" x14ac:dyDescent="0.35">
      <c r="C29" s="1">
        <v>43466</v>
      </c>
      <c r="D29" s="2">
        <v>43466</v>
      </c>
      <c r="E29">
        <v>1350</v>
      </c>
      <c r="F29" s="3">
        <v>4321.3500000000004</v>
      </c>
      <c r="G29" s="3">
        <v>2625.65</v>
      </c>
      <c r="H29" s="3">
        <v>1695.7</v>
      </c>
      <c r="I29" s="3">
        <v>0.61</v>
      </c>
      <c r="J29">
        <v>0.31</v>
      </c>
      <c r="K29">
        <v>2295.58</v>
      </c>
      <c r="L29" t="s">
        <v>35</v>
      </c>
      <c r="M29">
        <v>730</v>
      </c>
      <c r="N29">
        <v>0.36</v>
      </c>
      <c r="O29" s="3">
        <v>17.829999999999998</v>
      </c>
      <c r="P29" s="3">
        <v>0</v>
      </c>
      <c r="Q29" s="3">
        <v>390.25</v>
      </c>
      <c r="R29" s="3">
        <v>0.09</v>
      </c>
      <c r="S29">
        <v>3</v>
      </c>
      <c r="T29">
        <v>1227.29</v>
      </c>
      <c r="U29">
        <v>35</v>
      </c>
      <c r="V29">
        <v>0</v>
      </c>
      <c r="W29">
        <v>815.99</v>
      </c>
      <c r="X29">
        <v>2339.96</v>
      </c>
      <c r="Y29" t="s">
        <v>36</v>
      </c>
      <c r="Z29" s="3">
        <v>2038.91</v>
      </c>
      <c r="AA29" t="s">
        <v>48</v>
      </c>
      <c r="AB29" t="s">
        <v>33</v>
      </c>
      <c r="AC29">
        <v>25.3</v>
      </c>
      <c r="AD29" t="s">
        <v>43</v>
      </c>
      <c r="AE29">
        <v>1695.7</v>
      </c>
      <c r="AF29">
        <v>0</v>
      </c>
    </row>
    <row r="30" spans="3:32" x14ac:dyDescent="0.35">
      <c r="C30" s="1">
        <v>43466</v>
      </c>
      <c r="D30" s="2">
        <v>43466</v>
      </c>
      <c r="E30">
        <v>1547</v>
      </c>
      <c r="F30" s="3">
        <v>4486.6400000000003</v>
      </c>
      <c r="G30" s="3">
        <v>3309.16</v>
      </c>
      <c r="H30" s="3">
        <v>1177.48</v>
      </c>
      <c r="I30" s="3">
        <v>0.74</v>
      </c>
      <c r="J30">
        <v>0.4</v>
      </c>
      <c r="K30">
        <v>2662.39</v>
      </c>
      <c r="L30" t="s">
        <v>30</v>
      </c>
      <c r="M30">
        <v>625</v>
      </c>
      <c r="N30">
        <v>0.59</v>
      </c>
      <c r="O30" s="3">
        <v>894.23</v>
      </c>
      <c r="P30" s="3">
        <v>0.2</v>
      </c>
      <c r="Q30" s="3">
        <v>349.4</v>
      </c>
      <c r="R30" s="3">
        <v>0.08</v>
      </c>
      <c r="S30">
        <v>3</v>
      </c>
      <c r="T30">
        <v>1227.33</v>
      </c>
      <c r="U30">
        <v>37</v>
      </c>
      <c r="V30">
        <v>0</v>
      </c>
      <c r="W30">
        <v>721.19</v>
      </c>
      <c r="X30">
        <v>2475.4699999999998</v>
      </c>
      <c r="Y30" t="s">
        <v>49</v>
      </c>
      <c r="Z30" s="3">
        <v>1374.43</v>
      </c>
      <c r="AA30" t="s">
        <v>50</v>
      </c>
      <c r="AB30" t="s">
        <v>33</v>
      </c>
      <c r="AC30">
        <v>95.4</v>
      </c>
      <c r="AD30" t="s">
        <v>43</v>
      </c>
      <c r="AE30">
        <v>1177.48</v>
      </c>
      <c r="AF30">
        <v>0</v>
      </c>
    </row>
    <row r="31" spans="3:32" x14ac:dyDescent="0.35">
      <c r="C31" s="1">
        <v>43466</v>
      </c>
      <c r="D31" s="2">
        <v>43466</v>
      </c>
      <c r="E31">
        <v>1217</v>
      </c>
      <c r="F31" s="3">
        <v>3649.63</v>
      </c>
      <c r="G31" s="3">
        <v>1594.93</v>
      </c>
      <c r="H31" s="3">
        <v>2054.6999999999998</v>
      </c>
      <c r="I31" s="3">
        <v>0.44</v>
      </c>
      <c r="J31">
        <v>0.16</v>
      </c>
      <c r="K31">
        <v>3263.3</v>
      </c>
      <c r="L31" t="s">
        <v>35</v>
      </c>
      <c r="M31">
        <v>595</v>
      </c>
      <c r="N31">
        <v>0.11</v>
      </c>
      <c r="O31" s="3">
        <v>336.61</v>
      </c>
      <c r="P31" s="3">
        <v>0.09</v>
      </c>
      <c r="Q31" s="3">
        <v>669.47</v>
      </c>
      <c r="R31" s="3">
        <v>0.18</v>
      </c>
      <c r="S31">
        <v>7</v>
      </c>
      <c r="T31">
        <v>1181.8800000000001</v>
      </c>
      <c r="U31">
        <v>23</v>
      </c>
      <c r="V31">
        <v>0</v>
      </c>
      <c r="W31">
        <v>439.21</v>
      </c>
      <c r="X31">
        <v>1000</v>
      </c>
      <c r="Y31" t="s">
        <v>36</v>
      </c>
      <c r="Z31" s="3">
        <v>1172.3499999999999</v>
      </c>
      <c r="AA31" t="s">
        <v>48</v>
      </c>
      <c r="AB31" t="s">
        <v>33</v>
      </c>
      <c r="AC31">
        <v>46.2</v>
      </c>
      <c r="AD31" t="s">
        <v>38</v>
      </c>
      <c r="AE31">
        <v>2054.6999999999998</v>
      </c>
      <c r="AF31">
        <v>0</v>
      </c>
    </row>
    <row r="32" spans="3:32" x14ac:dyDescent="0.35">
      <c r="C32" s="1">
        <v>43466</v>
      </c>
      <c r="D32" s="2">
        <v>43466</v>
      </c>
      <c r="E32">
        <v>1332</v>
      </c>
      <c r="F32" s="3">
        <v>3100.33</v>
      </c>
      <c r="G32" s="3">
        <v>1970.17</v>
      </c>
      <c r="H32" s="3">
        <v>1130.1600000000001</v>
      </c>
      <c r="I32" s="3">
        <v>0.64</v>
      </c>
      <c r="J32">
        <v>0.12</v>
      </c>
      <c r="K32">
        <v>2793.26</v>
      </c>
      <c r="L32" t="s">
        <v>30</v>
      </c>
      <c r="M32">
        <v>681</v>
      </c>
      <c r="N32">
        <v>0.28000000000000003</v>
      </c>
      <c r="O32" s="3">
        <v>607.58000000000004</v>
      </c>
      <c r="P32" s="3">
        <v>0.2</v>
      </c>
      <c r="Q32" s="3">
        <v>778.53</v>
      </c>
      <c r="R32" s="3">
        <v>0.25</v>
      </c>
      <c r="S32">
        <v>4</v>
      </c>
      <c r="T32">
        <v>535.53</v>
      </c>
      <c r="U32">
        <v>75</v>
      </c>
      <c r="V32">
        <v>0</v>
      </c>
      <c r="W32">
        <v>598.01</v>
      </c>
      <c r="X32">
        <v>1935.92</v>
      </c>
      <c r="Y32" t="s">
        <v>36</v>
      </c>
      <c r="Z32" s="3">
        <v>1061.58</v>
      </c>
      <c r="AA32" t="s">
        <v>47</v>
      </c>
      <c r="AB32" t="s">
        <v>33</v>
      </c>
      <c r="AC32">
        <v>61.9</v>
      </c>
      <c r="AD32" t="s">
        <v>34</v>
      </c>
      <c r="AE32">
        <v>1130.1600000000001</v>
      </c>
      <c r="AF32">
        <v>0</v>
      </c>
    </row>
    <row r="33" spans="3:32" x14ac:dyDescent="0.35">
      <c r="C33" s="1">
        <v>43466</v>
      </c>
      <c r="D33" s="2">
        <v>43466</v>
      </c>
      <c r="E33">
        <v>1297</v>
      </c>
      <c r="F33" s="3">
        <v>4442.01</v>
      </c>
      <c r="G33" s="3">
        <v>3199.04</v>
      </c>
      <c r="H33" s="3">
        <v>1242.97</v>
      </c>
      <c r="I33" s="3">
        <v>0.72</v>
      </c>
      <c r="J33">
        <v>0.26</v>
      </c>
      <c r="K33">
        <v>3945.33</v>
      </c>
      <c r="L33" t="s">
        <v>30</v>
      </c>
      <c r="M33">
        <v>754</v>
      </c>
      <c r="N33">
        <v>0.26</v>
      </c>
      <c r="O33" s="3">
        <v>363.8</v>
      </c>
      <c r="P33" s="3">
        <v>0.08</v>
      </c>
      <c r="Q33" s="3">
        <v>0</v>
      </c>
      <c r="R33" s="3">
        <v>0</v>
      </c>
      <c r="S33">
        <v>4</v>
      </c>
      <c r="T33">
        <v>359.89</v>
      </c>
      <c r="U33">
        <v>55</v>
      </c>
      <c r="V33">
        <v>0</v>
      </c>
      <c r="W33">
        <v>733.97</v>
      </c>
      <c r="X33">
        <v>2697.83</v>
      </c>
      <c r="Y33" t="s">
        <v>36</v>
      </c>
      <c r="Z33" s="3">
        <v>336.38</v>
      </c>
      <c r="AA33" t="s">
        <v>37</v>
      </c>
      <c r="AB33" t="s">
        <v>33</v>
      </c>
      <c r="AC33">
        <v>82.5</v>
      </c>
      <c r="AD33" t="s">
        <v>43</v>
      </c>
      <c r="AE33">
        <v>1242.97</v>
      </c>
      <c r="AF33">
        <v>0</v>
      </c>
    </row>
    <row r="34" spans="3:32" x14ac:dyDescent="0.35">
      <c r="C34" s="1">
        <v>43466</v>
      </c>
      <c r="D34" s="2">
        <v>43466</v>
      </c>
      <c r="E34">
        <v>1355</v>
      </c>
      <c r="F34" s="3">
        <v>4101.2299999999996</v>
      </c>
      <c r="G34" s="3">
        <v>3030</v>
      </c>
      <c r="H34" s="3">
        <v>1071.23</v>
      </c>
      <c r="I34" s="3">
        <v>0.74</v>
      </c>
      <c r="J34">
        <v>0.19</v>
      </c>
      <c r="K34">
        <v>3292.83</v>
      </c>
      <c r="L34" t="s">
        <v>35</v>
      </c>
      <c r="M34">
        <v>680</v>
      </c>
      <c r="N34">
        <v>0.24</v>
      </c>
      <c r="O34" s="3">
        <v>249.2</v>
      </c>
      <c r="P34" s="3">
        <v>0.06</v>
      </c>
      <c r="Q34" s="3">
        <v>595.33000000000004</v>
      </c>
      <c r="R34" s="3">
        <v>0.15</v>
      </c>
      <c r="S34">
        <v>6</v>
      </c>
      <c r="T34">
        <v>1218.43</v>
      </c>
      <c r="U34">
        <v>84</v>
      </c>
      <c r="V34">
        <v>0</v>
      </c>
      <c r="W34">
        <v>951.43</v>
      </c>
      <c r="X34">
        <v>2533.75</v>
      </c>
      <c r="Y34" t="s">
        <v>36</v>
      </c>
      <c r="Z34" s="3">
        <v>618.07000000000005</v>
      </c>
      <c r="AA34" t="s">
        <v>32</v>
      </c>
      <c r="AB34" t="s">
        <v>33</v>
      </c>
      <c r="AC34">
        <v>70</v>
      </c>
      <c r="AD34" t="s">
        <v>34</v>
      </c>
      <c r="AE34">
        <v>1071.23</v>
      </c>
      <c r="AF34">
        <v>0</v>
      </c>
    </row>
    <row r="35" spans="3:32" x14ac:dyDescent="0.35">
      <c r="C35" s="1">
        <v>43466</v>
      </c>
      <c r="D35" s="2">
        <v>43466</v>
      </c>
      <c r="E35">
        <v>1346</v>
      </c>
      <c r="F35" s="3">
        <v>2569.35</v>
      </c>
      <c r="G35" s="3">
        <v>2413.5100000000002</v>
      </c>
      <c r="H35" s="3">
        <v>155.84</v>
      </c>
      <c r="I35" s="3">
        <v>0.94</v>
      </c>
      <c r="J35">
        <v>0.24</v>
      </c>
      <c r="K35">
        <v>3130.67</v>
      </c>
      <c r="L35" t="s">
        <v>35</v>
      </c>
      <c r="M35">
        <v>610</v>
      </c>
      <c r="N35">
        <v>0.44</v>
      </c>
      <c r="O35" s="3">
        <v>644.91999999999996</v>
      </c>
      <c r="P35" s="3">
        <v>0.25</v>
      </c>
      <c r="Q35" s="3">
        <v>852.58</v>
      </c>
      <c r="R35" s="3">
        <v>0.33</v>
      </c>
      <c r="S35">
        <v>6</v>
      </c>
      <c r="T35">
        <v>634.96</v>
      </c>
      <c r="U35">
        <v>30</v>
      </c>
      <c r="V35">
        <v>0</v>
      </c>
      <c r="W35">
        <v>442.93</v>
      </c>
      <c r="X35">
        <v>1584.51</v>
      </c>
      <c r="Y35" t="s">
        <v>36</v>
      </c>
      <c r="Z35" s="3">
        <v>1666.78</v>
      </c>
      <c r="AA35" t="s">
        <v>47</v>
      </c>
      <c r="AB35" t="s">
        <v>44</v>
      </c>
      <c r="AC35">
        <v>83.2</v>
      </c>
      <c r="AD35" t="s">
        <v>43</v>
      </c>
      <c r="AE35">
        <v>155.84</v>
      </c>
      <c r="AF35">
        <v>0</v>
      </c>
    </row>
    <row r="36" spans="3:32" x14ac:dyDescent="0.35">
      <c r="C36" s="1">
        <v>43466</v>
      </c>
      <c r="D36" s="2">
        <v>43466</v>
      </c>
      <c r="E36">
        <v>1863</v>
      </c>
      <c r="F36" s="3">
        <v>3832.25</v>
      </c>
      <c r="G36" s="3">
        <v>3462.4</v>
      </c>
      <c r="H36" s="3">
        <v>369.85</v>
      </c>
      <c r="I36" s="3">
        <v>0.9</v>
      </c>
      <c r="J36">
        <v>0.32</v>
      </c>
      <c r="K36">
        <v>2411.91</v>
      </c>
      <c r="L36" t="s">
        <v>30</v>
      </c>
      <c r="M36">
        <v>716</v>
      </c>
      <c r="N36">
        <v>0.56000000000000005</v>
      </c>
      <c r="O36" s="3">
        <v>306.51</v>
      </c>
      <c r="P36" s="3">
        <v>0.08</v>
      </c>
      <c r="Q36" s="3">
        <v>995.09</v>
      </c>
      <c r="R36" s="3">
        <v>0.26</v>
      </c>
      <c r="S36">
        <v>3</v>
      </c>
      <c r="T36">
        <v>1317.62</v>
      </c>
      <c r="U36">
        <v>72</v>
      </c>
      <c r="V36">
        <v>0</v>
      </c>
      <c r="W36">
        <v>565.85</v>
      </c>
      <c r="X36">
        <v>1922.92</v>
      </c>
      <c r="Y36" t="s">
        <v>36</v>
      </c>
      <c r="Z36" s="3">
        <v>1348</v>
      </c>
      <c r="AA36" t="s">
        <v>45</v>
      </c>
      <c r="AB36" t="s">
        <v>33</v>
      </c>
      <c r="AC36">
        <v>74.099999999999994</v>
      </c>
      <c r="AD36" t="s">
        <v>34</v>
      </c>
      <c r="AE36">
        <v>369.85</v>
      </c>
      <c r="AF36">
        <v>0</v>
      </c>
    </row>
    <row r="37" spans="3:32" x14ac:dyDescent="0.35">
      <c r="C37" s="1">
        <v>43466</v>
      </c>
      <c r="D37" s="2">
        <v>43466</v>
      </c>
      <c r="E37">
        <v>1598</v>
      </c>
      <c r="F37" s="3">
        <v>3885.22</v>
      </c>
      <c r="G37" s="3">
        <v>3587.26</v>
      </c>
      <c r="H37" s="3">
        <v>297.95999999999998</v>
      </c>
      <c r="I37" s="3">
        <v>0.92</v>
      </c>
      <c r="J37">
        <v>0.39</v>
      </c>
      <c r="K37">
        <v>3361.55</v>
      </c>
      <c r="L37" t="s">
        <v>35</v>
      </c>
      <c r="M37">
        <v>672</v>
      </c>
      <c r="N37">
        <v>0.49</v>
      </c>
      <c r="O37" s="3">
        <v>142.01</v>
      </c>
      <c r="P37" s="3">
        <v>0.04</v>
      </c>
      <c r="Q37" s="3">
        <v>226.14</v>
      </c>
      <c r="R37" s="3">
        <v>0.06</v>
      </c>
      <c r="S37">
        <v>2</v>
      </c>
      <c r="T37">
        <v>1318.69</v>
      </c>
      <c r="U37">
        <v>84</v>
      </c>
      <c r="V37">
        <v>0</v>
      </c>
      <c r="W37">
        <v>636.85</v>
      </c>
      <c r="X37">
        <v>1400.07</v>
      </c>
      <c r="Y37" t="s">
        <v>31</v>
      </c>
      <c r="Z37" s="3">
        <v>1030.49</v>
      </c>
      <c r="AA37" t="s">
        <v>45</v>
      </c>
      <c r="AB37" t="s">
        <v>44</v>
      </c>
      <c r="AC37">
        <v>14.2</v>
      </c>
      <c r="AD37" t="s">
        <v>38</v>
      </c>
      <c r="AE37">
        <v>297.95999999999998</v>
      </c>
      <c r="AF37">
        <v>0</v>
      </c>
    </row>
    <row r="38" spans="3:32" x14ac:dyDescent="0.35">
      <c r="C38" s="1">
        <v>43466</v>
      </c>
      <c r="D38" s="2">
        <v>43466</v>
      </c>
      <c r="E38">
        <v>1153</v>
      </c>
      <c r="F38" s="3">
        <v>4286.53</v>
      </c>
      <c r="G38" s="3">
        <v>3065.76</v>
      </c>
      <c r="H38" s="3">
        <v>1220.77</v>
      </c>
      <c r="I38" s="3">
        <v>0.72</v>
      </c>
      <c r="J38">
        <v>7.0000000000000007E-2</v>
      </c>
      <c r="K38">
        <v>2376.08</v>
      </c>
      <c r="L38" t="s">
        <v>30</v>
      </c>
      <c r="M38">
        <v>766</v>
      </c>
      <c r="N38">
        <v>0.42</v>
      </c>
      <c r="O38" s="3">
        <v>410.79</v>
      </c>
      <c r="P38" s="3">
        <v>0.1</v>
      </c>
      <c r="Q38" s="3">
        <v>544.59</v>
      </c>
      <c r="R38" s="3">
        <v>0.13</v>
      </c>
      <c r="S38">
        <v>3</v>
      </c>
      <c r="T38">
        <v>1378.15</v>
      </c>
      <c r="U38">
        <v>45</v>
      </c>
      <c r="V38">
        <v>0</v>
      </c>
      <c r="W38">
        <v>0</v>
      </c>
      <c r="X38">
        <v>1408.31</v>
      </c>
      <c r="Y38" t="s">
        <v>49</v>
      </c>
      <c r="Z38" s="3">
        <v>1681.75</v>
      </c>
      <c r="AA38" t="s">
        <v>32</v>
      </c>
      <c r="AB38" t="s">
        <v>33</v>
      </c>
      <c r="AC38">
        <v>47.2</v>
      </c>
      <c r="AD38" t="s">
        <v>38</v>
      </c>
      <c r="AE38">
        <v>1220.77</v>
      </c>
      <c r="AF38">
        <v>0</v>
      </c>
    </row>
    <row r="39" spans="3:32" x14ac:dyDescent="0.35">
      <c r="C39" s="1">
        <v>43466</v>
      </c>
      <c r="D39" s="2">
        <v>43466</v>
      </c>
      <c r="E39">
        <v>1359</v>
      </c>
      <c r="F39" s="3">
        <v>6802.41</v>
      </c>
      <c r="G39" s="3">
        <v>2881.49</v>
      </c>
      <c r="H39" s="3">
        <v>3920.92</v>
      </c>
      <c r="I39" s="3">
        <v>0.42</v>
      </c>
      <c r="J39">
        <v>0.12</v>
      </c>
      <c r="K39">
        <v>2901.81</v>
      </c>
      <c r="L39" t="s">
        <v>39</v>
      </c>
      <c r="M39">
        <v>657</v>
      </c>
      <c r="N39">
        <v>0.38</v>
      </c>
      <c r="O39" s="3">
        <v>468.66</v>
      </c>
      <c r="P39" s="3">
        <v>7.0000000000000007E-2</v>
      </c>
      <c r="Q39" s="3">
        <v>189.62</v>
      </c>
      <c r="R39" s="3">
        <v>0.03</v>
      </c>
      <c r="S39">
        <v>7</v>
      </c>
      <c r="T39">
        <v>1145.32</v>
      </c>
      <c r="U39">
        <v>79</v>
      </c>
      <c r="V39">
        <v>0</v>
      </c>
      <c r="W39">
        <v>606.91999999999996</v>
      </c>
      <c r="X39">
        <v>2246.1</v>
      </c>
      <c r="Y39" t="s">
        <v>36</v>
      </c>
      <c r="Z39" s="3">
        <v>1281.81</v>
      </c>
      <c r="AA39" t="s">
        <v>40</v>
      </c>
      <c r="AB39" t="s">
        <v>33</v>
      </c>
      <c r="AC39">
        <v>11.5</v>
      </c>
      <c r="AD39" t="s">
        <v>34</v>
      </c>
      <c r="AE39">
        <v>3920.92</v>
      </c>
      <c r="AF39">
        <v>1</v>
      </c>
    </row>
    <row r="40" spans="3:32" x14ac:dyDescent="0.35">
      <c r="C40" s="1">
        <v>43466</v>
      </c>
      <c r="D40" s="2">
        <v>43466</v>
      </c>
      <c r="E40">
        <v>1235</v>
      </c>
      <c r="F40" s="3">
        <v>2400.4</v>
      </c>
      <c r="G40" s="3">
        <v>1700.57</v>
      </c>
      <c r="H40" s="3">
        <v>699.83</v>
      </c>
      <c r="I40" s="3">
        <v>0.71</v>
      </c>
      <c r="J40">
        <v>0.27</v>
      </c>
      <c r="K40">
        <v>3172.36</v>
      </c>
      <c r="L40" t="s">
        <v>35</v>
      </c>
      <c r="M40">
        <v>599</v>
      </c>
      <c r="N40">
        <v>0.42</v>
      </c>
      <c r="O40" s="3">
        <v>479.42</v>
      </c>
      <c r="P40" s="3">
        <v>0.2</v>
      </c>
      <c r="Q40" s="3">
        <v>248.1</v>
      </c>
      <c r="R40" s="3">
        <v>0.1</v>
      </c>
      <c r="S40">
        <v>4</v>
      </c>
      <c r="T40">
        <v>309.58999999999997</v>
      </c>
      <c r="U40">
        <v>48</v>
      </c>
      <c r="V40">
        <v>0</v>
      </c>
      <c r="W40">
        <v>76.45</v>
      </c>
      <c r="X40">
        <v>2245.34</v>
      </c>
      <c r="Y40" t="s">
        <v>36</v>
      </c>
      <c r="Z40" s="3">
        <v>787.57</v>
      </c>
      <c r="AA40" t="s">
        <v>45</v>
      </c>
      <c r="AB40" t="s">
        <v>42</v>
      </c>
      <c r="AC40">
        <v>2.6</v>
      </c>
      <c r="AD40" t="s">
        <v>43</v>
      </c>
      <c r="AE40">
        <v>699.83</v>
      </c>
      <c r="AF40">
        <v>0</v>
      </c>
    </row>
    <row r="41" spans="3:32" x14ac:dyDescent="0.35">
      <c r="C41" s="1">
        <v>43466</v>
      </c>
      <c r="D41" s="2">
        <v>43466</v>
      </c>
      <c r="E41">
        <v>1065</v>
      </c>
      <c r="F41" s="3">
        <v>4716.88</v>
      </c>
      <c r="G41" s="3">
        <v>1939.61</v>
      </c>
      <c r="H41" s="3">
        <v>2777.27</v>
      </c>
      <c r="I41" s="3">
        <v>0.41</v>
      </c>
      <c r="J41">
        <v>0.32</v>
      </c>
      <c r="K41">
        <v>2532.38</v>
      </c>
      <c r="L41" t="s">
        <v>39</v>
      </c>
      <c r="M41">
        <v>614</v>
      </c>
      <c r="N41">
        <v>0.23</v>
      </c>
      <c r="O41" s="3">
        <v>739.9</v>
      </c>
      <c r="P41" s="3">
        <v>0.16</v>
      </c>
      <c r="Q41" s="3">
        <v>406.37</v>
      </c>
      <c r="R41" s="3">
        <v>0.09</v>
      </c>
      <c r="S41">
        <v>6</v>
      </c>
      <c r="T41">
        <v>1147.6400000000001</v>
      </c>
      <c r="U41">
        <v>83</v>
      </c>
      <c r="V41">
        <v>0</v>
      </c>
      <c r="W41">
        <v>603.27</v>
      </c>
      <c r="X41">
        <v>2407.0300000000002</v>
      </c>
      <c r="Y41" t="s">
        <v>31</v>
      </c>
      <c r="Z41" s="3">
        <v>1415.09</v>
      </c>
      <c r="AA41" t="s">
        <v>37</v>
      </c>
      <c r="AB41" t="s">
        <v>33</v>
      </c>
      <c r="AC41">
        <v>73.8</v>
      </c>
      <c r="AD41" t="s">
        <v>34</v>
      </c>
      <c r="AE41">
        <v>2777.27</v>
      </c>
      <c r="AF41">
        <v>1</v>
      </c>
    </row>
    <row r="42" spans="3:32" x14ac:dyDescent="0.35">
      <c r="C42" s="1">
        <v>43466</v>
      </c>
      <c r="D42" s="2">
        <v>43466</v>
      </c>
      <c r="E42">
        <v>1997</v>
      </c>
      <c r="F42" s="3">
        <v>4077.03</v>
      </c>
      <c r="G42" s="3">
        <v>2092.29</v>
      </c>
      <c r="H42" s="3">
        <v>1984.74</v>
      </c>
      <c r="I42" s="3">
        <v>0.51</v>
      </c>
      <c r="J42">
        <v>0.32</v>
      </c>
      <c r="K42">
        <v>3866.26</v>
      </c>
      <c r="L42" t="s">
        <v>35</v>
      </c>
      <c r="M42">
        <v>598</v>
      </c>
      <c r="N42">
        <v>0.52</v>
      </c>
      <c r="O42" s="3">
        <v>851.89</v>
      </c>
      <c r="P42" s="3">
        <v>0.21</v>
      </c>
      <c r="Q42" s="3">
        <v>34.880000000000003</v>
      </c>
      <c r="R42" s="3">
        <v>0.01</v>
      </c>
      <c r="S42">
        <v>1</v>
      </c>
      <c r="T42">
        <v>1514.95</v>
      </c>
      <c r="U42">
        <v>28</v>
      </c>
      <c r="V42">
        <v>0</v>
      </c>
      <c r="W42">
        <v>610.22</v>
      </c>
      <c r="X42">
        <v>2537.79</v>
      </c>
      <c r="Y42" t="s">
        <v>31</v>
      </c>
      <c r="Z42" s="3">
        <v>1219.77</v>
      </c>
      <c r="AA42" t="s">
        <v>47</v>
      </c>
      <c r="AB42" t="s">
        <v>42</v>
      </c>
      <c r="AC42">
        <v>46.6</v>
      </c>
      <c r="AD42" t="s">
        <v>43</v>
      </c>
      <c r="AE42">
        <v>1984.74</v>
      </c>
      <c r="AF42">
        <v>0</v>
      </c>
    </row>
    <row r="43" spans="3:32" x14ac:dyDescent="0.35">
      <c r="C43" s="1">
        <v>43466</v>
      </c>
      <c r="D43" s="2">
        <v>43466</v>
      </c>
      <c r="E43">
        <v>1571</v>
      </c>
      <c r="F43" s="3">
        <v>3743</v>
      </c>
      <c r="G43" s="3">
        <v>2666.98</v>
      </c>
      <c r="H43" s="3">
        <v>1076.02</v>
      </c>
      <c r="I43" s="3">
        <v>0.71</v>
      </c>
      <c r="J43">
        <v>0.38</v>
      </c>
      <c r="K43">
        <v>2531.5500000000002</v>
      </c>
      <c r="L43" t="s">
        <v>35</v>
      </c>
      <c r="M43">
        <v>605</v>
      </c>
      <c r="N43">
        <v>0.22</v>
      </c>
      <c r="O43" s="3">
        <v>521.94000000000005</v>
      </c>
      <c r="P43" s="3">
        <v>0.14000000000000001</v>
      </c>
      <c r="Q43" s="3">
        <v>63.79</v>
      </c>
      <c r="R43" s="3">
        <v>0.02</v>
      </c>
      <c r="S43">
        <v>1</v>
      </c>
      <c r="T43">
        <v>400.83</v>
      </c>
      <c r="U43">
        <v>74</v>
      </c>
      <c r="V43">
        <v>0</v>
      </c>
      <c r="W43">
        <v>645.28</v>
      </c>
      <c r="X43">
        <v>1994.8</v>
      </c>
      <c r="Y43" t="s">
        <v>36</v>
      </c>
      <c r="Z43" s="3">
        <v>722.44</v>
      </c>
      <c r="AA43" t="s">
        <v>40</v>
      </c>
      <c r="AB43" t="s">
        <v>33</v>
      </c>
      <c r="AC43">
        <v>63.4</v>
      </c>
      <c r="AD43" t="s">
        <v>34</v>
      </c>
      <c r="AE43">
        <v>1076.02</v>
      </c>
      <c r="AF43">
        <v>0</v>
      </c>
    </row>
    <row r="44" spans="3:32" x14ac:dyDescent="0.35">
      <c r="C44" s="1">
        <v>43466</v>
      </c>
      <c r="D44" s="2">
        <v>43466</v>
      </c>
      <c r="E44">
        <v>1653</v>
      </c>
      <c r="F44" s="3">
        <v>5651.4</v>
      </c>
      <c r="G44" s="3">
        <v>3416.37</v>
      </c>
      <c r="H44" s="3">
        <v>2235.0300000000002</v>
      </c>
      <c r="I44" s="3">
        <v>0.6</v>
      </c>
      <c r="J44">
        <v>0.11</v>
      </c>
      <c r="K44">
        <v>2165.29</v>
      </c>
      <c r="L44" t="s">
        <v>35</v>
      </c>
      <c r="M44">
        <v>704</v>
      </c>
      <c r="N44">
        <v>0.41</v>
      </c>
      <c r="O44" s="3">
        <v>521.17999999999995</v>
      </c>
      <c r="P44" s="3">
        <v>0.09</v>
      </c>
      <c r="Q44" s="3">
        <v>268.36</v>
      </c>
      <c r="R44" s="3">
        <v>0.05</v>
      </c>
      <c r="S44">
        <v>3</v>
      </c>
      <c r="T44">
        <v>679.87</v>
      </c>
      <c r="U44">
        <v>22</v>
      </c>
      <c r="V44">
        <v>1</v>
      </c>
      <c r="W44">
        <v>660.94</v>
      </c>
      <c r="X44">
        <v>1000</v>
      </c>
      <c r="Y44" t="s">
        <v>36</v>
      </c>
      <c r="Z44" s="3">
        <v>984.35</v>
      </c>
      <c r="AA44" t="s">
        <v>37</v>
      </c>
      <c r="AB44" t="s">
        <v>33</v>
      </c>
      <c r="AC44">
        <v>84.5</v>
      </c>
      <c r="AD44" t="s">
        <v>43</v>
      </c>
      <c r="AE44">
        <v>2235.0300000000002</v>
      </c>
      <c r="AF44">
        <v>1</v>
      </c>
    </row>
    <row r="45" spans="3:32" x14ac:dyDescent="0.35">
      <c r="C45" s="1">
        <v>43466</v>
      </c>
      <c r="D45" s="2">
        <v>43466</v>
      </c>
      <c r="E45">
        <v>1620</v>
      </c>
      <c r="F45" s="3">
        <v>2530.0300000000002</v>
      </c>
      <c r="G45" s="3">
        <v>2429.15</v>
      </c>
      <c r="H45" s="3">
        <v>100.88</v>
      </c>
      <c r="I45" s="3">
        <v>0.96</v>
      </c>
      <c r="J45">
        <v>0.08</v>
      </c>
      <c r="K45">
        <v>2791.76</v>
      </c>
      <c r="L45" t="s">
        <v>30</v>
      </c>
      <c r="M45">
        <v>679</v>
      </c>
      <c r="N45">
        <v>0.32</v>
      </c>
      <c r="O45" s="3">
        <v>301.92</v>
      </c>
      <c r="P45" s="3">
        <v>0.12</v>
      </c>
      <c r="Q45" s="3">
        <v>483.91</v>
      </c>
      <c r="R45" s="3">
        <v>0.19</v>
      </c>
      <c r="S45">
        <v>8</v>
      </c>
      <c r="T45">
        <v>511.17</v>
      </c>
      <c r="U45">
        <v>66</v>
      </c>
      <c r="V45">
        <v>0</v>
      </c>
      <c r="W45">
        <v>727.22</v>
      </c>
      <c r="X45">
        <v>2539.15</v>
      </c>
      <c r="Y45" t="s">
        <v>36</v>
      </c>
      <c r="Z45" s="3">
        <v>1271.9000000000001</v>
      </c>
      <c r="AA45" t="s">
        <v>50</v>
      </c>
      <c r="AB45" t="s">
        <v>33</v>
      </c>
      <c r="AC45">
        <v>44.4</v>
      </c>
      <c r="AD45" t="s">
        <v>34</v>
      </c>
      <c r="AE45">
        <v>100.88</v>
      </c>
      <c r="AF45">
        <v>0</v>
      </c>
    </row>
    <row r="46" spans="3:32" x14ac:dyDescent="0.35">
      <c r="C46" s="1">
        <v>43466</v>
      </c>
      <c r="D46" s="2">
        <v>43466</v>
      </c>
      <c r="E46">
        <v>1465</v>
      </c>
      <c r="F46" s="3">
        <v>4784.6400000000003</v>
      </c>
      <c r="G46" s="3">
        <v>2873.62</v>
      </c>
      <c r="H46" s="3">
        <v>1911.02</v>
      </c>
      <c r="I46" s="3">
        <v>0.6</v>
      </c>
      <c r="J46">
        <v>7.0000000000000007E-2</v>
      </c>
      <c r="K46">
        <v>2847.63</v>
      </c>
      <c r="L46" t="s">
        <v>30</v>
      </c>
      <c r="M46">
        <v>629</v>
      </c>
      <c r="N46">
        <v>0.49</v>
      </c>
      <c r="O46" s="3">
        <v>741.76</v>
      </c>
      <c r="P46" s="3">
        <v>0.16</v>
      </c>
      <c r="Q46" s="3">
        <v>616.82000000000005</v>
      </c>
      <c r="R46" s="3">
        <v>0.13</v>
      </c>
      <c r="S46">
        <v>7</v>
      </c>
      <c r="T46">
        <v>1483.28</v>
      </c>
      <c r="U46">
        <v>82</v>
      </c>
      <c r="V46">
        <v>0</v>
      </c>
      <c r="W46">
        <v>710.58</v>
      </c>
      <c r="X46">
        <v>2170.36</v>
      </c>
      <c r="Y46" t="s">
        <v>31</v>
      </c>
      <c r="Z46" s="3">
        <v>1306.07</v>
      </c>
      <c r="AA46" t="s">
        <v>48</v>
      </c>
      <c r="AB46" t="s">
        <v>42</v>
      </c>
      <c r="AC46">
        <v>9.8000000000000007</v>
      </c>
      <c r="AD46" t="s">
        <v>43</v>
      </c>
      <c r="AE46">
        <v>1911.02</v>
      </c>
      <c r="AF46">
        <v>0</v>
      </c>
    </row>
    <row r="47" spans="3:32" x14ac:dyDescent="0.35">
      <c r="C47" s="1">
        <v>43466</v>
      </c>
      <c r="D47" s="2">
        <v>43466</v>
      </c>
      <c r="E47">
        <v>1048</v>
      </c>
      <c r="F47" s="3">
        <v>5026.76</v>
      </c>
      <c r="G47" s="3">
        <v>3636.73</v>
      </c>
      <c r="H47" s="3">
        <v>1390.03</v>
      </c>
      <c r="I47" s="3">
        <v>0.72</v>
      </c>
      <c r="J47">
        <v>0.32</v>
      </c>
      <c r="K47">
        <v>3216.36</v>
      </c>
      <c r="L47" t="s">
        <v>35</v>
      </c>
      <c r="M47">
        <v>657</v>
      </c>
      <c r="N47">
        <v>0.38</v>
      </c>
      <c r="O47" s="3">
        <v>750.73</v>
      </c>
      <c r="P47" s="3">
        <v>0.15</v>
      </c>
      <c r="Q47" s="3">
        <v>529.29</v>
      </c>
      <c r="R47" s="3">
        <v>0.11</v>
      </c>
      <c r="S47">
        <v>4</v>
      </c>
      <c r="T47">
        <v>2373.34</v>
      </c>
      <c r="U47">
        <v>69</v>
      </c>
      <c r="V47">
        <v>0</v>
      </c>
      <c r="W47">
        <v>576.9</v>
      </c>
      <c r="X47">
        <v>2100.3200000000002</v>
      </c>
      <c r="Y47" t="s">
        <v>49</v>
      </c>
      <c r="Z47" s="3">
        <v>863.26</v>
      </c>
      <c r="AA47" t="s">
        <v>48</v>
      </c>
      <c r="AB47" t="s">
        <v>33</v>
      </c>
      <c r="AC47">
        <v>65</v>
      </c>
      <c r="AD47" t="s">
        <v>34</v>
      </c>
      <c r="AE47">
        <v>1390.03</v>
      </c>
      <c r="AF47">
        <v>0</v>
      </c>
    </row>
    <row r="48" spans="3:32" x14ac:dyDescent="0.35">
      <c r="C48" s="1">
        <v>43466</v>
      </c>
      <c r="D48" s="2">
        <v>43466</v>
      </c>
      <c r="E48">
        <v>1780</v>
      </c>
      <c r="F48" s="3">
        <v>3664.19</v>
      </c>
      <c r="G48" s="3">
        <v>1462.03</v>
      </c>
      <c r="H48" s="3">
        <v>2202.16</v>
      </c>
      <c r="I48" s="3">
        <v>0.4</v>
      </c>
      <c r="J48">
        <v>0.2</v>
      </c>
      <c r="K48">
        <v>2326.1999999999998</v>
      </c>
      <c r="L48" t="s">
        <v>35</v>
      </c>
      <c r="M48">
        <v>598</v>
      </c>
      <c r="N48">
        <v>0.23</v>
      </c>
      <c r="O48" s="3">
        <v>169.87</v>
      </c>
      <c r="P48" s="3">
        <v>0.05</v>
      </c>
      <c r="Q48" s="3">
        <v>674.51</v>
      </c>
      <c r="R48" s="3">
        <v>0.18</v>
      </c>
      <c r="S48">
        <v>7</v>
      </c>
      <c r="T48">
        <v>796.65</v>
      </c>
      <c r="U48">
        <v>29</v>
      </c>
      <c r="V48">
        <v>0</v>
      </c>
      <c r="W48">
        <v>395.86</v>
      </c>
      <c r="X48">
        <v>2541.8200000000002</v>
      </c>
      <c r="Y48" t="s">
        <v>36</v>
      </c>
      <c r="Z48" s="3">
        <v>1141.8</v>
      </c>
      <c r="AA48" t="s">
        <v>45</v>
      </c>
      <c r="AB48" t="s">
        <v>44</v>
      </c>
      <c r="AC48">
        <v>36.5</v>
      </c>
      <c r="AD48" t="s">
        <v>38</v>
      </c>
      <c r="AE48">
        <v>2202.16</v>
      </c>
      <c r="AF48">
        <v>0</v>
      </c>
    </row>
    <row r="49" spans="3:32" x14ac:dyDescent="0.35">
      <c r="C49" s="1">
        <v>43466</v>
      </c>
      <c r="D49" s="2">
        <v>43466</v>
      </c>
      <c r="E49">
        <v>1017</v>
      </c>
      <c r="F49" s="3">
        <v>3589.97</v>
      </c>
      <c r="G49" s="3">
        <v>2726.37</v>
      </c>
      <c r="H49" s="3">
        <v>863.6</v>
      </c>
      <c r="I49" s="3">
        <v>0.76</v>
      </c>
      <c r="J49">
        <v>0.05</v>
      </c>
      <c r="K49">
        <v>3083.59</v>
      </c>
      <c r="L49" t="s">
        <v>30</v>
      </c>
      <c r="M49">
        <v>608</v>
      </c>
      <c r="N49">
        <v>0.25</v>
      </c>
      <c r="O49" s="3">
        <v>257.02</v>
      </c>
      <c r="P49" s="3">
        <v>7.0000000000000007E-2</v>
      </c>
      <c r="Q49" s="3">
        <v>312.7</v>
      </c>
      <c r="R49" s="3">
        <v>0.09</v>
      </c>
      <c r="S49">
        <v>1</v>
      </c>
      <c r="T49">
        <v>855.49</v>
      </c>
      <c r="U49">
        <v>80</v>
      </c>
      <c r="V49">
        <v>0</v>
      </c>
      <c r="W49">
        <v>547.19000000000005</v>
      </c>
      <c r="X49">
        <v>2914.13</v>
      </c>
      <c r="Y49" t="s">
        <v>36</v>
      </c>
      <c r="Z49" s="3">
        <v>855.44</v>
      </c>
      <c r="AA49" t="s">
        <v>46</v>
      </c>
      <c r="AB49" t="s">
        <v>44</v>
      </c>
      <c r="AC49">
        <v>83.6</v>
      </c>
      <c r="AD49" t="s">
        <v>43</v>
      </c>
      <c r="AE49">
        <v>863.6</v>
      </c>
      <c r="AF49">
        <v>0</v>
      </c>
    </row>
    <row r="50" spans="3:32" x14ac:dyDescent="0.35">
      <c r="C50" s="1">
        <v>43466</v>
      </c>
      <c r="D50" s="2">
        <v>43466</v>
      </c>
      <c r="E50">
        <v>1889</v>
      </c>
      <c r="F50" s="3">
        <v>3046.65</v>
      </c>
      <c r="G50" s="3">
        <v>3646.54</v>
      </c>
      <c r="H50" s="3">
        <v>-599.89</v>
      </c>
      <c r="I50" s="3">
        <v>1.2</v>
      </c>
      <c r="J50">
        <v>0.33</v>
      </c>
      <c r="K50">
        <v>2908.95</v>
      </c>
      <c r="L50" t="s">
        <v>35</v>
      </c>
      <c r="M50">
        <v>621</v>
      </c>
      <c r="N50">
        <v>0.4</v>
      </c>
      <c r="O50" s="3">
        <v>523.53</v>
      </c>
      <c r="P50" s="3">
        <v>0.17</v>
      </c>
      <c r="Q50" s="3">
        <v>598.52</v>
      </c>
      <c r="R50" s="3">
        <v>0.2</v>
      </c>
      <c r="S50">
        <v>3</v>
      </c>
      <c r="T50">
        <v>748.87</v>
      </c>
      <c r="U50">
        <v>73</v>
      </c>
      <c r="V50">
        <v>0</v>
      </c>
      <c r="W50">
        <v>792.46</v>
      </c>
      <c r="X50">
        <v>2696.17</v>
      </c>
      <c r="Y50" t="s">
        <v>36</v>
      </c>
      <c r="Z50" s="3">
        <v>1697.84</v>
      </c>
      <c r="AA50" t="s">
        <v>41</v>
      </c>
      <c r="AB50" t="s">
        <v>33</v>
      </c>
      <c r="AC50">
        <v>77.400000000000006</v>
      </c>
      <c r="AD50" t="s">
        <v>34</v>
      </c>
      <c r="AE50">
        <v>0</v>
      </c>
      <c r="AF50">
        <v>0</v>
      </c>
    </row>
    <row r="51" spans="3:32" x14ac:dyDescent="0.35">
      <c r="C51" s="1">
        <v>43466</v>
      </c>
      <c r="D51" s="2">
        <v>43466</v>
      </c>
      <c r="E51">
        <v>1080</v>
      </c>
      <c r="F51" s="3">
        <v>4545.3599999999997</v>
      </c>
      <c r="G51" s="3">
        <v>2532.77</v>
      </c>
      <c r="H51" s="3">
        <v>2012.59</v>
      </c>
      <c r="I51" s="3">
        <v>0.56000000000000005</v>
      </c>
      <c r="J51">
        <v>0.34</v>
      </c>
      <c r="K51">
        <v>2466.77</v>
      </c>
      <c r="L51" t="s">
        <v>39</v>
      </c>
      <c r="M51">
        <v>763</v>
      </c>
      <c r="N51">
        <v>0.34</v>
      </c>
      <c r="O51" s="3">
        <v>457.27</v>
      </c>
      <c r="P51" s="3">
        <v>0.1</v>
      </c>
      <c r="Q51" s="3">
        <v>420.3</v>
      </c>
      <c r="R51" s="3">
        <v>0.09</v>
      </c>
      <c r="S51">
        <v>3</v>
      </c>
      <c r="T51">
        <v>1138.46</v>
      </c>
      <c r="U51">
        <v>60</v>
      </c>
      <c r="V51">
        <v>0</v>
      </c>
      <c r="W51">
        <v>423.1</v>
      </c>
      <c r="X51">
        <v>2366.1999999999998</v>
      </c>
      <c r="Y51" t="s">
        <v>31</v>
      </c>
      <c r="Z51" s="3">
        <v>1685.28</v>
      </c>
      <c r="AA51" t="s">
        <v>48</v>
      </c>
      <c r="AB51" t="s">
        <v>33</v>
      </c>
      <c r="AC51">
        <v>33.6</v>
      </c>
      <c r="AD51" t="s">
        <v>34</v>
      </c>
      <c r="AE51">
        <v>2012.59</v>
      </c>
      <c r="AF51">
        <v>0</v>
      </c>
    </row>
    <row r="52" spans="3:32" x14ac:dyDescent="0.35">
      <c r="C52" s="1">
        <v>43496</v>
      </c>
      <c r="D52" s="2">
        <v>43466</v>
      </c>
      <c r="E52">
        <v>1045</v>
      </c>
      <c r="F52" s="3">
        <v>3262.44</v>
      </c>
      <c r="G52" s="3">
        <v>3732.81</v>
      </c>
      <c r="H52" s="3">
        <v>-470.37</v>
      </c>
      <c r="I52" s="3">
        <v>1.1399999999999999</v>
      </c>
      <c r="J52">
        <v>0.1</v>
      </c>
      <c r="K52">
        <v>2607.17</v>
      </c>
      <c r="L52" t="s">
        <v>30</v>
      </c>
      <c r="M52">
        <v>670</v>
      </c>
      <c r="N52">
        <v>0.42</v>
      </c>
      <c r="O52" s="3">
        <v>454.19</v>
      </c>
      <c r="P52" s="3">
        <v>0.14000000000000001</v>
      </c>
      <c r="Q52" s="3">
        <v>360.34</v>
      </c>
      <c r="R52" s="3">
        <v>0.11</v>
      </c>
      <c r="S52">
        <v>4</v>
      </c>
      <c r="T52">
        <v>1154.4100000000001</v>
      </c>
      <c r="U52">
        <v>41</v>
      </c>
      <c r="V52">
        <v>0</v>
      </c>
      <c r="W52">
        <v>534.51</v>
      </c>
      <c r="X52">
        <v>3165.2</v>
      </c>
      <c r="Y52" t="s">
        <v>36</v>
      </c>
      <c r="Z52" s="3">
        <v>1603.17</v>
      </c>
      <c r="AA52" t="s">
        <v>32</v>
      </c>
      <c r="AB52" t="s">
        <v>33</v>
      </c>
      <c r="AC52">
        <v>22.6</v>
      </c>
      <c r="AD52" t="s">
        <v>34</v>
      </c>
      <c r="AE52">
        <v>0</v>
      </c>
      <c r="AF52">
        <v>0</v>
      </c>
    </row>
    <row r="53" spans="3:32" x14ac:dyDescent="0.35">
      <c r="C53" s="1">
        <v>43496</v>
      </c>
      <c r="D53" s="2">
        <v>43466</v>
      </c>
      <c r="E53">
        <v>1900</v>
      </c>
      <c r="F53" s="3">
        <v>5216.32</v>
      </c>
      <c r="G53" s="3">
        <v>3003.14</v>
      </c>
      <c r="H53" s="3">
        <v>2213.1799999999998</v>
      </c>
      <c r="I53" s="3">
        <v>0.57999999999999996</v>
      </c>
      <c r="J53">
        <v>0.25</v>
      </c>
      <c r="K53">
        <v>3287.03</v>
      </c>
      <c r="L53" t="s">
        <v>35</v>
      </c>
      <c r="M53">
        <v>695</v>
      </c>
      <c r="N53">
        <v>0.25</v>
      </c>
      <c r="O53" s="3">
        <v>322.61</v>
      </c>
      <c r="P53" s="3">
        <v>0.06</v>
      </c>
      <c r="Q53" s="3">
        <v>207.54</v>
      </c>
      <c r="R53" s="3">
        <v>0.04</v>
      </c>
      <c r="S53">
        <v>4</v>
      </c>
      <c r="T53">
        <v>429.86</v>
      </c>
      <c r="U53">
        <v>25</v>
      </c>
      <c r="V53">
        <v>0</v>
      </c>
      <c r="W53">
        <v>152.69</v>
      </c>
      <c r="X53">
        <v>1446.48</v>
      </c>
      <c r="Y53" t="s">
        <v>49</v>
      </c>
      <c r="Z53" s="3">
        <v>1084.08</v>
      </c>
      <c r="AA53" t="s">
        <v>51</v>
      </c>
      <c r="AB53" t="s">
        <v>44</v>
      </c>
      <c r="AC53">
        <v>77.3</v>
      </c>
      <c r="AD53" t="s">
        <v>34</v>
      </c>
      <c r="AE53">
        <v>2213.1799999999998</v>
      </c>
      <c r="AF53">
        <v>0</v>
      </c>
    </row>
    <row r="54" spans="3:32" x14ac:dyDescent="0.35">
      <c r="C54" s="1">
        <v>43496</v>
      </c>
      <c r="D54" s="2">
        <v>43466</v>
      </c>
      <c r="E54">
        <v>1577</v>
      </c>
      <c r="F54" s="3">
        <v>4532.96</v>
      </c>
      <c r="G54" s="3">
        <v>2762.25</v>
      </c>
      <c r="H54" s="3">
        <v>1770.71</v>
      </c>
      <c r="I54" s="3">
        <v>0.61</v>
      </c>
      <c r="J54">
        <v>0.36</v>
      </c>
      <c r="K54">
        <v>2286.6</v>
      </c>
      <c r="L54" t="s">
        <v>35</v>
      </c>
      <c r="M54">
        <v>664</v>
      </c>
      <c r="N54">
        <v>0.37</v>
      </c>
      <c r="O54" s="3">
        <v>509.45</v>
      </c>
      <c r="P54" s="3">
        <v>0.11</v>
      </c>
      <c r="Q54" s="3">
        <v>299.82</v>
      </c>
      <c r="R54" s="3">
        <v>7.0000000000000007E-2</v>
      </c>
      <c r="S54">
        <v>9</v>
      </c>
      <c r="T54">
        <v>1262</v>
      </c>
      <c r="U54">
        <v>92</v>
      </c>
      <c r="V54">
        <v>0</v>
      </c>
      <c r="W54">
        <v>366.62</v>
      </c>
      <c r="X54">
        <v>2385.7399999999998</v>
      </c>
      <c r="Y54" t="s">
        <v>36</v>
      </c>
      <c r="Z54" s="3">
        <v>1465.27</v>
      </c>
      <c r="AA54" t="s">
        <v>45</v>
      </c>
      <c r="AB54" t="s">
        <v>42</v>
      </c>
      <c r="AC54">
        <v>19.100000000000001</v>
      </c>
      <c r="AD54" t="s">
        <v>43</v>
      </c>
      <c r="AE54">
        <v>1770.71</v>
      </c>
      <c r="AF54">
        <v>0</v>
      </c>
    </row>
    <row r="55" spans="3:32" x14ac:dyDescent="0.35">
      <c r="C55" s="1">
        <v>43496</v>
      </c>
      <c r="D55" s="2">
        <v>43466</v>
      </c>
      <c r="E55">
        <v>1984</v>
      </c>
      <c r="F55" s="3">
        <v>4529.28</v>
      </c>
      <c r="G55" s="3">
        <v>3330.63</v>
      </c>
      <c r="H55" s="3">
        <v>1198.6500000000001</v>
      </c>
      <c r="I55" s="3">
        <v>0.74</v>
      </c>
      <c r="J55">
        <v>0.21</v>
      </c>
      <c r="K55">
        <v>3601.6</v>
      </c>
      <c r="L55" t="s">
        <v>35</v>
      </c>
      <c r="M55">
        <v>674</v>
      </c>
      <c r="N55">
        <v>0.41</v>
      </c>
      <c r="O55" s="3">
        <v>497.97</v>
      </c>
      <c r="P55" s="3">
        <v>0.11</v>
      </c>
      <c r="Q55" s="3">
        <v>415.73</v>
      </c>
      <c r="R55" s="3">
        <v>0.09</v>
      </c>
      <c r="S55">
        <v>8</v>
      </c>
      <c r="T55">
        <v>1029</v>
      </c>
      <c r="U55">
        <v>34</v>
      </c>
      <c r="V55">
        <v>0</v>
      </c>
      <c r="W55">
        <v>623.42999999999995</v>
      </c>
      <c r="X55">
        <v>2072.06</v>
      </c>
      <c r="Y55" t="s">
        <v>36</v>
      </c>
      <c r="Z55" s="3">
        <v>1605.25</v>
      </c>
      <c r="AA55" t="s">
        <v>51</v>
      </c>
      <c r="AB55" t="s">
        <v>44</v>
      </c>
      <c r="AC55">
        <v>35.9</v>
      </c>
      <c r="AD55" t="s">
        <v>34</v>
      </c>
      <c r="AE55">
        <v>1198.6500000000001</v>
      </c>
      <c r="AF55">
        <v>0</v>
      </c>
    </row>
    <row r="56" spans="3:32" x14ac:dyDescent="0.35">
      <c r="C56" s="1">
        <v>43496</v>
      </c>
      <c r="D56" s="2">
        <v>43466</v>
      </c>
      <c r="E56">
        <v>1384</v>
      </c>
      <c r="F56" s="3">
        <v>3548.86</v>
      </c>
      <c r="G56" s="3">
        <v>2081.2600000000002</v>
      </c>
      <c r="H56" s="3">
        <v>1467.6</v>
      </c>
      <c r="I56" s="3">
        <v>0.59</v>
      </c>
      <c r="J56">
        <v>0.15</v>
      </c>
      <c r="K56">
        <v>2753.81</v>
      </c>
      <c r="L56" t="s">
        <v>39</v>
      </c>
      <c r="M56">
        <v>641</v>
      </c>
      <c r="N56">
        <v>0.46</v>
      </c>
      <c r="O56" s="3">
        <v>481.66</v>
      </c>
      <c r="P56" s="3">
        <v>0.14000000000000001</v>
      </c>
      <c r="Q56" s="3">
        <v>418.19</v>
      </c>
      <c r="R56" s="3">
        <v>0.12</v>
      </c>
      <c r="S56">
        <v>2</v>
      </c>
      <c r="T56">
        <v>919.14</v>
      </c>
      <c r="U56">
        <v>36</v>
      </c>
      <c r="V56">
        <v>0</v>
      </c>
      <c r="W56">
        <v>538.73</v>
      </c>
      <c r="X56">
        <v>1818.82</v>
      </c>
      <c r="Y56" t="s">
        <v>31</v>
      </c>
      <c r="Z56" s="3">
        <v>1814.45</v>
      </c>
      <c r="AA56" t="s">
        <v>51</v>
      </c>
      <c r="AB56" t="s">
        <v>33</v>
      </c>
      <c r="AC56">
        <v>81.7</v>
      </c>
      <c r="AD56" t="s">
        <v>43</v>
      </c>
      <c r="AE56">
        <v>1467.6</v>
      </c>
      <c r="AF56">
        <v>0</v>
      </c>
    </row>
    <row r="57" spans="3:32" x14ac:dyDescent="0.35">
      <c r="C57" s="1">
        <v>43496</v>
      </c>
      <c r="D57" s="2">
        <v>43466</v>
      </c>
      <c r="E57">
        <v>1391</v>
      </c>
      <c r="F57" s="3">
        <v>3991.48</v>
      </c>
      <c r="G57" s="3">
        <v>2873.48</v>
      </c>
      <c r="H57" s="3">
        <v>1118</v>
      </c>
      <c r="I57" s="3">
        <v>0.72</v>
      </c>
      <c r="J57">
        <v>0.27</v>
      </c>
      <c r="K57">
        <v>2994.05</v>
      </c>
      <c r="L57" t="s">
        <v>35</v>
      </c>
      <c r="M57">
        <v>705</v>
      </c>
      <c r="N57">
        <v>0.44</v>
      </c>
      <c r="O57" s="3">
        <v>780.34</v>
      </c>
      <c r="P57" s="3">
        <v>0.2</v>
      </c>
      <c r="Q57" s="3">
        <v>572.82000000000005</v>
      </c>
      <c r="R57" s="3">
        <v>0.14000000000000001</v>
      </c>
      <c r="S57">
        <v>7</v>
      </c>
      <c r="T57">
        <v>1736.92</v>
      </c>
      <c r="U57">
        <v>40</v>
      </c>
      <c r="V57">
        <v>0</v>
      </c>
      <c r="W57">
        <v>452.17</v>
      </c>
      <c r="X57">
        <v>2284.59</v>
      </c>
      <c r="Y57" t="s">
        <v>31</v>
      </c>
      <c r="Z57" s="3">
        <v>988.51</v>
      </c>
      <c r="AA57" t="s">
        <v>47</v>
      </c>
      <c r="AB57" t="s">
        <v>42</v>
      </c>
      <c r="AC57">
        <v>64.7</v>
      </c>
      <c r="AD57" t="s">
        <v>43</v>
      </c>
      <c r="AE57">
        <v>1118</v>
      </c>
      <c r="AF57">
        <v>0</v>
      </c>
    </row>
    <row r="58" spans="3:32" x14ac:dyDescent="0.35">
      <c r="C58" s="1">
        <v>43496</v>
      </c>
      <c r="D58" s="2">
        <v>43466</v>
      </c>
      <c r="E58">
        <v>1478</v>
      </c>
      <c r="F58" s="3">
        <v>2733.02</v>
      </c>
      <c r="G58" s="3">
        <v>3121.64</v>
      </c>
      <c r="H58" s="3">
        <v>-388.62</v>
      </c>
      <c r="I58" s="3">
        <v>1.1399999999999999</v>
      </c>
      <c r="J58">
        <v>0.18</v>
      </c>
      <c r="K58">
        <v>2019.2</v>
      </c>
      <c r="L58" t="s">
        <v>35</v>
      </c>
      <c r="M58">
        <v>669</v>
      </c>
      <c r="N58">
        <v>0.6</v>
      </c>
      <c r="O58" s="3">
        <v>664.38</v>
      </c>
      <c r="P58" s="3">
        <v>0.24</v>
      </c>
      <c r="Q58" s="3">
        <v>45.75</v>
      </c>
      <c r="R58" s="3">
        <v>0.02</v>
      </c>
      <c r="S58">
        <v>9</v>
      </c>
      <c r="T58">
        <v>1460.63</v>
      </c>
      <c r="U58">
        <v>44</v>
      </c>
      <c r="V58">
        <v>0</v>
      </c>
      <c r="W58">
        <v>392.16</v>
      </c>
      <c r="X58">
        <v>1831.01</v>
      </c>
      <c r="Y58" t="s">
        <v>36</v>
      </c>
      <c r="Z58" s="3">
        <v>723.41</v>
      </c>
      <c r="AA58" t="s">
        <v>51</v>
      </c>
      <c r="AB58" t="s">
        <v>33</v>
      </c>
      <c r="AC58">
        <v>95.1</v>
      </c>
      <c r="AD58" t="s">
        <v>34</v>
      </c>
      <c r="AE58">
        <v>0</v>
      </c>
      <c r="AF58">
        <v>0</v>
      </c>
    </row>
    <row r="59" spans="3:32" x14ac:dyDescent="0.35">
      <c r="C59" s="1">
        <v>43496</v>
      </c>
      <c r="D59" s="2">
        <v>43466</v>
      </c>
      <c r="E59">
        <v>1890</v>
      </c>
      <c r="F59" s="3">
        <v>4598.8100000000004</v>
      </c>
      <c r="G59" s="3">
        <v>4402.53</v>
      </c>
      <c r="H59" s="3">
        <v>196.28</v>
      </c>
      <c r="I59" s="3">
        <v>0.96</v>
      </c>
      <c r="J59">
        <v>0.26</v>
      </c>
      <c r="K59">
        <v>2887.66</v>
      </c>
      <c r="L59" t="s">
        <v>39</v>
      </c>
      <c r="M59">
        <v>722</v>
      </c>
      <c r="N59">
        <v>0.22</v>
      </c>
      <c r="O59" s="3">
        <v>335.82</v>
      </c>
      <c r="P59" s="3">
        <v>7.0000000000000007E-2</v>
      </c>
      <c r="Q59" s="3">
        <v>489.07</v>
      </c>
      <c r="R59" s="3">
        <v>0.11</v>
      </c>
      <c r="S59">
        <v>1</v>
      </c>
      <c r="T59">
        <v>725.49</v>
      </c>
      <c r="U59">
        <v>83</v>
      </c>
      <c r="V59">
        <v>0</v>
      </c>
      <c r="W59">
        <v>361.57</v>
      </c>
      <c r="X59">
        <v>2177.7600000000002</v>
      </c>
      <c r="Y59" t="s">
        <v>36</v>
      </c>
      <c r="Z59" s="3">
        <v>962.91</v>
      </c>
      <c r="AA59" t="s">
        <v>32</v>
      </c>
      <c r="AB59" t="s">
        <v>42</v>
      </c>
      <c r="AC59">
        <v>54.8</v>
      </c>
      <c r="AD59" t="s">
        <v>34</v>
      </c>
      <c r="AE59">
        <v>196.28</v>
      </c>
      <c r="AF59">
        <v>0</v>
      </c>
    </row>
    <row r="60" spans="3:32" x14ac:dyDescent="0.35">
      <c r="C60" s="1">
        <v>43496</v>
      </c>
      <c r="D60" s="2">
        <v>43466</v>
      </c>
      <c r="E60">
        <v>1431</v>
      </c>
      <c r="F60" s="3">
        <v>3630.76</v>
      </c>
      <c r="G60" s="3">
        <v>1650.04</v>
      </c>
      <c r="H60" s="3">
        <v>1980.72</v>
      </c>
      <c r="I60" s="3">
        <v>0.45</v>
      </c>
      <c r="J60">
        <v>0.1</v>
      </c>
      <c r="K60">
        <v>3668.85</v>
      </c>
      <c r="L60" t="s">
        <v>35</v>
      </c>
      <c r="M60">
        <v>689</v>
      </c>
      <c r="N60">
        <v>0.44</v>
      </c>
      <c r="O60" s="3">
        <v>326.45999999999998</v>
      </c>
      <c r="P60" s="3">
        <v>0.09</v>
      </c>
      <c r="Q60" s="3">
        <v>142.77000000000001</v>
      </c>
      <c r="R60" s="3">
        <v>0.04</v>
      </c>
      <c r="S60">
        <v>6</v>
      </c>
      <c r="T60">
        <v>1699.12</v>
      </c>
      <c r="U60">
        <v>95</v>
      </c>
      <c r="V60">
        <v>0</v>
      </c>
      <c r="W60">
        <v>723.39</v>
      </c>
      <c r="X60">
        <v>1930.39</v>
      </c>
      <c r="Y60" t="s">
        <v>36</v>
      </c>
      <c r="Z60" s="3">
        <v>1142.6600000000001</v>
      </c>
      <c r="AA60" t="s">
        <v>47</v>
      </c>
      <c r="AB60" t="s">
        <v>33</v>
      </c>
      <c r="AC60">
        <v>40.200000000000003</v>
      </c>
      <c r="AD60" t="s">
        <v>43</v>
      </c>
      <c r="AE60">
        <v>1980.72</v>
      </c>
      <c r="AF60">
        <v>0</v>
      </c>
    </row>
    <row r="61" spans="3:32" x14ac:dyDescent="0.35">
      <c r="C61" s="1">
        <v>43496</v>
      </c>
      <c r="D61" s="2">
        <v>43466</v>
      </c>
      <c r="E61">
        <v>1683</v>
      </c>
      <c r="F61" s="3">
        <v>3425.75</v>
      </c>
      <c r="G61" s="3">
        <v>2161.29</v>
      </c>
      <c r="H61" s="3">
        <v>1264.46</v>
      </c>
      <c r="I61" s="3">
        <v>0.63</v>
      </c>
      <c r="J61">
        <v>0.09</v>
      </c>
      <c r="K61">
        <v>2771.5</v>
      </c>
      <c r="L61" t="s">
        <v>30</v>
      </c>
      <c r="M61">
        <v>703</v>
      </c>
      <c r="N61">
        <v>0.32</v>
      </c>
      <c r="O61" s="3">
        <v>240.75</v>
      </c>
      <c r="P61" s="3">
        <v>7.0000000000000007E-2</v>
      </c>
      <c r="Q61" s="3">
        <v>0</v>
      </c>
      <c r="R61" s="3">
        <v>0</v>
      </c>
      <c r="S61">
        <v>7</v>
      </c>
      <c r="T61">
        <v>530.92999999999995</v>
      </c>
      <c r="U61">
        <v>60</v>
      </c>
      <c r="V61">
        <v>0</v>
      </c>
      <c r="W61">
        <v>568.41</v>
      </c>
      <c r="X61">
        <v>1791.74</v>
      </c>
      <c r="Y61" t="s">
        <v>36</v>
      </c>
      <c r="Z61" s="3">
        <v>397.19</v>
      </c>
      <c r="AA61" t="s">
        <v>45</v>
      </c>
      <c r="AB61" t="s">
        <v>42</v>
      </c>
      <c r="AC61">
        <v>34.200000000000003</v>
      </c>
      <c r="AD61" t="s">
        <v>43</v>
      </c>
      <c r="AE61">
        <v>1264.46</v>
      </c>
      <c r="AF61">
        <v>0</v>
      </c>
    </row>
    <row r="62" spans="3:32" x14ac:dyDescent="0.35">
      <c r="C62" s="1">
        <v>43496</v>
      </c>
      <c r="D62" s="2">
        <v>43466</v>
      </c>
      <c r="E62">
        <v>1789</v>
      </c>
      <c r="F62" s="3">
        <v>2768.86</v>
      </c>
      <c r="G62" s="3">
        <v>1750.8</v>
      </c>
      <c r="H62" s="3">
        <v>1018.06</v>
      </c>
      <c r="I62" s="3">
        <v>0.63</v>
      </c>
      <c r="J62">
        <v>0.28999999999999998</v>
      </c>
      <c r="K62">
        <v>3560.72</v>
      </c>
      <c r="L62" t="s">
        <v>35</v>
      </c>
      <c r="M62">
        <v>702</v>
      </c>
      <c r="N62">
        <v>0.45</v>
      </c>
      <c r="O62" s="3">
        <v>516.47</v>
      </c>
      <c r="P62" s="3">
        <v>0.19</v>
      </c>
      <c r="Q62" s="3">
        <v>1051.06</v>
      </c>
      <c r="R62" s="3">
        <v>0.38</v>
      </c>
      <c r="S62">
        <v>5</v>
      </c>
      <c r="T62">
        <v>1230.7</v>
      </c>
      <c r="U62">
        <v>25</v>
      </c>
      <c r="V62">
        <v>0</v>
      </c>
      <c r="W62">
        <v>220.35</v>
      </c>
      <c r="X62">
        <v>2918.28</v>
      </c>
      <c r="Y62" t="s">
        <v>36</v>
      </c>
      <c r="Z62" s="3">
        <v>300</v>
      </c>
      <c r="AA62" t="s">
        <v>50</v>
      </c>
      <c r="AB62" t="s">
        <v>33</v>
      </c>
      <c r="AC62">
        <v>9.9</v>
      </c>
      <c r="AD62" t="s">
        <v>38</v>
      </c>
      <c r="AE62">
        <v>1018.06</v>
      </c>
      <c r="AF62">
        <v>0</v>
      </c>
    </row>
    <row r="63" spans="3:32" x14ac:dyDescent="0.35">
      <c r="C63" s="1">
        <v>43496</v>
      </c>
      <c r="D63" s="2">
        <v>43466</v>
      </c>
      <c r="E63">
        <v>1958</v>
      </c>
      <c r="F63" s="3">
        <v>5080.4399999999996</v>
      </c>
      <c r="G63" s="3">
        <v>2690.79</v>
      </c>
      <c r="H63" s="3">
        <v>2389.65</v>
      </c>
      <c r="I63" s="3">
        <v>0.53</v>
      </c>
      <c r="J63">
        <v>0.4</v>
      </c>
      <c r="K63">
        <v>2733.13</v>
      </c>
      <c r="L63" t="s">
        <v>30</v>
      </c>
      <c r="M63">
        <v>628</v>
      </c>
      <c r="N63">
        <v>0.59</v>
      </c>
      <c r="O63" s="3">
        <v>656.59</v>
      </c>
      <c r="P63" s="3">
        <v>0.13</v>
      </c>
      <c r="Q63" s="3">
        <v>712.86</v>
      </c>
      <c r="R63" s="3">
        <v>0.14000000000000001</v>
      </c>
      <c r="S63">
        <v>3</v>
      </c>
      <c r="T63">
        <v>1083.98</v>
      </c>
      <c r="U63">
        <v>43</v>
      </c>
      <c r="V63">
        <v>0</v>
      </c>
      <c r="W63">
        <v>684.2</v>
      </c>
      <c r="X63">
        <v>2351.38</v>
      </c>
      <c r="Y63" t="s">
        <v>36</v>
      </c>
      <c r="Z63" s="3">
        <v>647.99</v>
      </c>
      <c r="AA63" t="s">
        <v>37</v>
      </c>
      <c r="AB63" t="s">
        <v>33</v>
      </c>
      <c r="AC63">
        <v>9.4</v>
      </c>
      <c r="AD63" t="s">
        <v>38</v>
      </c>
      <c r="AE63">
        <v>2389.65</v>
      </c>
      <c r="AF63">
        <v>0</v>
      </c>
    </row>
    <row r="64" spans="3:32" x14ac:dyDescent="0.35">
      <c r="C64" s="1">
        <v>43496</v>
      </c>
      <c r="D64" s="2">
        <v>43466</v>
      </c>
      <c r="E64">
        <v>1020</v>
      </c>
      <c r="F64" s="3">
        <v>4298.5</v>
      </c>
      <c r="G64" s="3">
        <v>3221.17</v>
      </c>
      <c r="H64" s="3">
        <v>1077.33</v>
      </c>
      <c r="I64" s="3">
        <v>0.75</v>
      </c>
      <c r="J64">
        <v>0.38</v>
      </c>
      <c r="K64">
        <v>2354.88</v>
      </c>
      <c r="L64" t="s">
        <v>30</v>
      </c>
      <c r="M64">
        <v>673</v>
      </c>
      <c r="N64">
        <v>0.23</v>
      </c>
      <c r="O64" s="3">
        <v>414.92</v>
      </c>
      <c r="P64" s="3">
        <v>0.1</v>
      </c>
      <c r="Q64" s="3">
        <v>534.78</v>
      </c>
      <c r="R64" s="3">
        <v>0.12</v>
      </c>
      <c r="S64">
        <v>3</v>
      </c>
      <c r="T64">
        <v>1888.48</v>
      </c>
      <c r="U64">
        <v>66</v>
      </c>
      <c r="V64">
        <v>0</v>
      </c>
      <c r="W64">
        <v>779.58</v>
      </c>
      <c r="X64">
        <v>2321.7600000000002</v>
      </c>
      <c r="Y64" t="s">
        <v>36</v>
      </c>
      <c r="Z64" s="3">
        <v>1846.04</v>
      </c>
      <c r="AA64" t="s">
        <v>37</v>
      </c>
      <c r="AB64" t="s">
        <v>33</v>
      </c>
      <c r="AC64">
        <v>58.8</v>
      </c>
      <c r="AD64" t="s">
        <v>38</v>
      </c>
      <c r="AE64">
        <v>1077.33</v>
      </c>
      <c r="AF64">
        <v>0</v>
      </c>
    </row>
    <row r="65" spans="3:32" x14ac:dyDescent="0.35">
      <c r="C65" s="1">
        <v>43496</v>
      </c>
      <c r="D65" s="2">
        <v>43466</v>
      </c>
      <c r="E65">
        <v>1611</v>
      </c>
      <c r="F65" s="3">
        <v>4443.78</v>
      </c>
      <c r="G65" s="3">
        <v>3417.91</v>
      </c>
      <c r="H65" s="3">
        <v>1025.8699999999999</v>
      </c>
      <c r="I65" s="3">
        <v>0.77</v>
      </c>
      <c r="J65">
        <v>0.27</v>
      </c>
      <c r="K65">
        <v>2814.65</v>
      </c>
      <c r="L65" t="s">
        <v>30</v>
      </c>
      <c r="M65">
        <v>625</v>
      </c>
      <c r="N65">
        <v>0.38</v>
      </c>
      <c r="O65" s="3">
        <v>934.69</v>
      </c>
      <c r="P65" s="3">
        <v>0.21</v>
      </c>
      <c r="Q65" s="3">
        <v>624.30999999999995</v>
      </c>
      <c r="R65" s="3">
        <v>0.14000000000000001</v>
      </c>
      <c r="S65">
        <v>4</v>
      </c>
      <c r="T65">
        <v>1552.85</v>
      </c>
      <c r="U65">
        <v>77</v>
      </c>
      <c r="V65">
        <v>0</v>
      </c>
      <c r="W65">
        <v>729.66</v>
      </c>
      <c r="X65">
        <v>2436.83</v>
      </c>
      <c r="Y65" t="s">
        <v>36</v>
      </c>
      <c r="Z65" s="3">
        <v>1250.6300000000001</v>
      </c>
      <c r="AA65" t="s">
        <v>50</v>
      </c>
      <c r="AB65" t="s">
        <v>44</v>
      </c>
      <c r="AC65">
        <v>27.1</v>
      </c>
      <c r="AD65" t="s">
        <v>34</v>
      </c>
      <c r="AE65">
        <v>1025.8699999999999</v>
      </c>
      <c r="AF65">
        <v>0</v>
      </c>
    </row>
    <row r="66" spans="3:32" x14ac:dyDescent="0.35">
      <c r="C66" s="1">
        <v>43496</v>
      </c>
      <c r="D66" s="2">
        <v>43466</v>
      </c>
      <c r="E66">
        <v>1331</v>
      </c>
      <c r="F66" s="3">
        <v>3647.96</v>
      </c>
      <c r="G66" s="3">
        <v>4097.17</v>
      </c>
      <c r="H66" s="3">
        <v>-449.21</v>
      </c>
      <c r="I66" s="3">
        <v>1.1200000000000001</v>
      </c>
      <c r="J66">
        <v>0.06</v>
      </c>
      <c r="K66">
        <v>2428.0100000000002</v>
      </c>
      <c r="L66" t="s">
        <v>35</v>
      </c>
      <c r="M66">
        <v>755</v>
      </c>
      <c r="N66">
        <v>0.43</v>
      </c>
      <c r="O66" s="3">
        <v>278.47000000000003</v>
      </c>
      <c r="P66" s="3">
        <v>0.08</v>
      </c>
      <c r="Q66" s="3">
        <v>468.21</v>
      </c>
      <c r="R66" s="3">
        <v>0.13</v>
      </c>
      <c r="S66">
        <v>6</v>
      </c>
      <c r="T66">
        <v>1218.43</v>
      </c>
      <c r="U66">
        <v>70</v>
      </c>
      <c r="V66">
        <v>0</v>
      </c>
      <c r="W66">
        <v>661.48</v>
      </c>
      <c r="X66">
        <v>1910.69</v>
      </c>
      <c r="Y66" t="s">
        <v>49</v>
      </c>
      <c r="Z66" s="3">
        <v>824.43</v>
      </c>
      <c r="AA66" t="s">
        <v>41</v>
      </c>
      <c r="AB66" t="s">
        <v>33</v>
      </c>
      <c r="AC66">
        <v>14.8</v>
      </c>
      <c r="AD66" t="s">
        <v>43</v>
      </c>
      <c r="AE66">
        <v>0</v>
      </c>
      <c r="AF66">
        <v>0</v>
      </c>
    </row>
    <row r="67" spans="3:32" x14ac:dyDescent="0.35">
      <c r="C67" s="1">
        <v>43496</v>
      </c>
      <c r="D67" s="2">
        <v>43466</v>
      </c>
      <c r="E67">
        <v>1814</v>
      </c>
      <c r="F67" s="3">
        <v>3830.55</v>
      </c>
      <c r="G67" s="3">
        <v>4707.09</v>
      </c>
      <c r="H67" s="3">
        <v>-876.54</v>
      </c>
      <c r="I67" s="3">
        <v>1.23</v>
      </c>
      <c r="J67">
        <v>0.21</v>
      </c>
      <c r="K67">
        <v>2961.18</v>
      </c>
      <c r="L67" t="s">
        <v>35</v>
      </c>
      <c r="M67">
        <v>660</v>
      </c>
      <c r="N67">
        <v>0.19</v>
      </c>
      <c r="O67" s="3">
        <v>525.79999999999995</v>
      </c>
      <c r="P67" s="3">
        <v>0.14000000000000001</v>
      </c>
      <c r="Q67" s="3">
        <v>369.84</v>
      </c>
      <c r="R67" s="3">
        <v>0.1</v>
      </c>
      <c r="S67">
        <v>7</v>
      </c>
      <c r="T67">
        <v>1337.6</v>
      </c>
      <c r="U67">
        <v>81</v>
      </c>
      <c r="V67">
        <v>0</v>
      </c>
      <c r="W67">
        <v>533.05999999999995</v>
      </c>
      <c r="X67">
        <v>2239.88</v>
      </c>
      <c r="Y67" t="s">
        <v>31</v>
      </c>
      <c r="Z67" s="3">
        <v>875.58</v>
      </c>
      <c r="AA67" t="s">
        <v>37</v>
      </c>
      <c r="AB67" t="s">
        <v>33</v>
      </c>
      <c r="AC67">
        <v>65.900000000000006</v>
      </c>
      <c r="AD67" t="s">
        <v>34</v>
      </c>
      <c r="AE67">
        <v>0</v>
      </c>
      <c r="AF67">
        <v>0</v>
      </c>
    </row>
    <row r="68" spans="3:32" x14ac:dyDescent="0.35">
      <c r="C68" s="1">
        <v>43496</v>
      </c>
      <c r="D68" s="2">
        <v>43466</v>
      </c>
      <c r="E68">
        <v>1774</v>
      </c>
      <c r="F68" s="3">
        <v>5296.21</v>
      </c>
      <c r="G68" s="3">
        <v>3338.49</v>
      </c>
      <c r="H68" s="3">
        <v>1957.72</v>
      </c>
      <c r="I68" s="3">
        <v>0.63</v>
      </c>
      <c r="J68">
        <v>0.32</v>
      </c>
      <c r="K68">
        <v>2407.96</v>
      </c>
      <c r="L68" t="s">
        <v>30</v>
      </c>
      <c r="M68">
        <v>725</v>
      </c>
      <c r="N68">
        <v>0.18</v>
      </c>
      <c r="O68" s="3">
        <v>315.97000000000003</v>
      </c>
      <c r="P68" s="3">
        <v>0.06</v>
      </c>
      <c r="Q68" s="3">
        <v>911.24</v>
      </c>
      <c r="R68" s="3">
        <v>0.17</v>
      </c>
      <c r="S68">
        <v>9</v>
      </c>
      <c r="T68">
        <v>649.54</v>
      </c>
      <c r="U68">
        <v>35</v>
      </c>
      <c r="V68">
        <v>0</v>
      </c>
      <c r="W68">
        <v>940.39</v>
      </c>
      <c r="X68">
        <v>1386.12</v>
      </c>
      <c r="Y68" t="s">
        <v>49</v>
      </c>
      <c r="Z68" s="3">
        <v>1469.31</v>
      </c>
      <c r="AA68" t="s">
        <v>46</v>
      </c>
      <c r="AB68" t="s">
        <v>44</v>
      </c>
      <c r="AC68">
        <v>89.7</v>
      </c>
      <c r="AD68" t="s">
        <v>34</v>
      </c>
      <c r="AE68">
        <v>1957.72</v>
      </c>
      <c r="AF68">
        <v>0</v>
      </c>
    </row>
    <row r="69" spans="3:32" x14ac:dyDescent="0.35">
      <c r="C69" s="1">
        <v>43496</v>
      </c>
      <c r="D69" s="2">
        <v>43466</v>
      </c>
      <c r="E69">
        <v>1790</v>
      </c>
      <c r="F69" s="3">
        <v>1649.12</v>
      </c>
      <c r="G69" s="3">
        <v>3616.05</v>
      </c>
      <c r="H69" s="3">
        <v>-1966.93</v>
      </c>
      <c r="I69" s="3">
        <v>2.19</v>
      </c>
      <c r="J69">
        <v>0.34</v>
      </c>
      <c r="K69">
        <v>3228.48</v>
      </c>
      <c r="L69" t="s">
        <v>35</v>
      </c>
      <c r="M69">
        <v>645</v>
      </c>
      <c r="N69">
        <v>0.46</v>
      </c>
      <c r="O69" s="3">
        <v>856.95</v>
      </c>
      <c r="P69" s="3">
        <v>0.52</v>
      </c>
      <c r="Q69" s="3">
        <v>0</v>
      </c>
      <c r="R69" s="3">
        <v>0</v>
      </c>
      <c r="S69">
        <v>2</v>
      </c>
      <c r="T69">
        <v>0</v>
      </c>
      <c r="U69">
        <v>55</v>
      </c>
      <c r="V69">
        <v>0</v>
      </c>
      <c r="W69">
        <v>408.32</v>
      </c>
      <c r="X69">
        <v>2647.16</v>
      </c>
      <c r="Y69" t="s">
        <v>31</v>
      </c>
      <c r="Z69" s="3">
        <v>2062.87</v>
      </c>
      <c r="AA69" t="s">
        <v>50</v>
      </c>
      <c r="AB69" t="s">
        <v>33</v>
      </c>
      <c r="AC69">
        <v>89.2</v>
      </c>
      <c r="AD69" t="s">
        <v>38</v>
      </c>
      <c r="AE69">
        <v>0</v>
      </c>
      <c r="AF69">
        <v>0</v>
      </c>
    </row>
    <row r="70" spans="3:32" x14ac:dyDescent="0.35">
      <c r="C70" s="1">
        <v>43496</v>
      </c>
      <c r="D70" s="2">
        <v>43466</v>
      </c>
      <c r="E70">
        <v>1452</v>
      </c>
      <c r="F70" s="3">
        <v>4614.66</v>
      </c>
      <c r="G70" s="3">
        <v>4071.72</v>
      </c>
      <c r="H70" s="3">
        <v>542.94000000000005</v>
      </c>
      <c r="I70" s="3">
        <v>0.88</v>
      </c>
      <c r="J70">
        <v>0.34</v>
      </c>
      <c r="K70">
        <v>2531.6999999999998</v>
      </c>
      <c r="L70" t="s">
        <v>39</v>
      </c>
      <c r="M70">
        <v>729</v>
      </c>
      <c r="N70">
        <v>0.33</v>
      </c>
      <c r="O70" s="3">
        <v>772.85</v>
      </c>
      <c r="P70" s="3">
        <v>0.17</v>
      </c>
      <c r="Q70" s="3">
        <v>297.7</v>
      </c>
      <c r="R70" s="3">
        <v>0.06</v>
      </c>
      <c r="S70">
        <v>3</v>
      </c>
      <c r="T70">
        <v>841.1</v>
      </c>
      <c r="U70">
        <v>66</v>
      </c>
      <c r="V70">
        <v>0</v>
      </c>
      <c r="W70">
        <v>398.07</v>
      </c>
      <c r="X70">
        <v>1825.02</v>
      </c>
      <c r="Y70" t="s">
        <v>36</v>
      </c>
      <c r="Z70" s="3">
        <v>1172.22</v>
      </c>
      <c r="AA70" t="s">
        <v>51</v>
      </c>
      <c r="AB70" t="s">
        <v>33</v>
      </c>
      <c r="AC70">
        <v>75.2</v>
      </c>
      <c r="AD70" t="s">
        <v>38</v>
      </c>
      <c r="AE70">
        <v>542.94000000000005</v>
      </c>
      <c r="AF70">
        <v>0</v>
      </c>
    </row>
    <row r="71" spans="3:32" x14ac:dyDescent="0.35">
      <c r="C71" s="1">
        <v>43496</v>
      </c>
      <c r="D71" s="2">
        <v>43466</v>
      </c>
      <c r="E71">
        <v>1878</v>
      </c>
      <c r="F71" s="3">
        <v>4423.41</v>
      </c>
      <c r="G71" s="3">
        <v>2900.19</v>
      </c>
      <c r="H71" s="3">
        <v>1523.22</v>
      </c>
      <c r="I71" s="3">
        <v>0.66</v>
      </c>
      <c r="J71">
        <v>0.08</v>
      </c>
      <c r="K71">
        <v>3457.16</v>
      </c>
      <c r="L71" t="s">
        <v>35</v>
      </c>
      <c r="M71">
        <v>658</v>
      </c>
      <c r="N71">
        <v>0.32</v>
      </c>
      <c r="O71" s="3">
        <v>999.11</v>
      </c>
      <c r="P71" s="3">
        <v>0.23</v>
      </c>
      <c r="Q71" s="3">
        <v>461.53</v>
      </c>
      <c r="R71" s="3">
        <v>0.1</v>
      </c>
      <c r="S71">
        <v>4</v>
      </c>
      <c r="T71">
        <v>367.15</v>
      </c>
      <c r="U71">
        <v>22</v>
      </c>
      <c r="V71">
        <v>0</v>
      </c>
      <c r="W71">
        <v>405.98</v>
      </c>
      <c r="X71">
        <v>3021.31</v>
      </c>
      <c r="Y71" t="s">
        <v>36</v>
      </c>
      <c r="Z71" s="3">
        <v>549.99</v>
      </c>
      <c r="AA71" t="s">
        <v>32</v>
      </c>
      <c r="AB71" t="s">
        <v>33</v>
      </c>
      <c r="AC71">
        <v>90.8</v>
      </c>
      <c r="AD71" t="s">
        <v>34</v>
      </c>
      <c r="AE71">
        <v>1523.22</v>
      </c>
      <c r="AF71">
        <v>0</v>
      </c>
    </row>
    <row r="72" spans="3:32" x14ac:dyDescent="0.35">
      <c r="C72" s="1">
        <v>43496</v>
      </c>
      <c r="D72" s="2">
        <v>43466</v>
      </c>
      <c r="E72">
        <v>1951</v>
      </c>
      <c r="F72" s="3">
        <v>3879.11</v>
      </c>
      <c r="G72" s="3">
        <v>3075.42</v>
      </c>
      <c r="H72" s="3">
        <v>803.69</v>
      </c>
      <c r="I72" s="3">
        <v>0.79</v>
      </c>
      <c r="J72">
        <v>0.18</v>
      </c>
      <c r="K72">
        <v>2775.74</v>
      </c>
      <c r="L72" t="s">
        <v>30</v>
      </c>
      <c r="M72">
        <v>800</v>
      </c>
      <c r="N72">
        <v>0.59</v>
      </c>
      <c r="O72" s="3">
        <v>829.8</v>
      </c>
      <c r="P72" s="3">
        <v>0.21</v>
      </c>
      <c r="Q72" s="3">
        <v>756.54</v>
      </c>
      <c r="R72" s="3">
        <v>0.2</v>
      </c>
      <c r="S72">
        <v>4</v>
      </c>
      <c r="T72">
        <v>794.99</v>
      </c>
      <c r="U72">
        <v>58</v>
      </c>
      <c r="V72">
        <v>0</v>
      </c>
      <c r="W72">
        <v>563.54</v>
      </c>
      <c r="X72">
        <v>2204.59</v>
      </c>
      <c r="Y72" t="s">
        <v>36</v>
      </c>
      <c r="Z72" s="3">
        <v>1300.29</v>
      </c>
      <c r="AA72" t="s">
        <v>48</v>
      </c>
      <c r="AB72" t="s">
        <v>33</v>
      </c>
      <c r="AC72">
        <v>69.7</v>
      </c>
      <c r="AD72" t="s">
        <v>38</v>
      </c>
      <c r="AE72">
        <v>803.69</v>
      </c>
      <c r="AF72">
        <v>0</v>
      </c>
    </row>
    <row r="73" spans="3:32" x14ac:dyDescent="0.35">
      <c r="C73" s="1">
        <v>43496</v>
      </c>
      <c r="D73" s="2">
        <v>43466</v>
      </c>
      <c r="E73">
        <v>1203</v>
      </c>
      <c r="F73" s="3">
        <v>3092.56</v>
      </c>
      <c r="G73" s="3">
        <v>2392.35</v>
      </c>
      <c r="H73" s="3">
        <v>700.21</v>
      </c>
      <c r="I73" s="3">
        <v>0.77</v>
      </c>
      <c r="J73">
        <v>0.36</v>
      </c>
      <c r="K73">
        <v>1669.36</v>
      </c>
      <c r="L73" t="s">
        <v>30</v>
      </c>
      <c r="M73">
        <v>687</v>
      </c>
      <c r="N73">
        <v>0.56000000000000005</v>
      </c>
      <c r="O73" s="3">
        <v>516.91</v>
      </c>
      <c r="P73" s="3">
        <v>0.17</v>
      </c>
      <c r="Q73" s="3">
        <v>585.79</v>
      </c>
      <c r="R73" s="3">
        <v>0.19</v>
      </c>
      <c r="S73">
        <v>1</v>
      </c>
      <c r="T73">
        <v>934.39</v>
      </c>
      <c r="U73">
        <v>26</v>
      </c>
      <c r="V73">
        <v>0</v>
      </c>
      <c r="W73">
        <v>428.42</v>
      </c>
      <c r="X73">
        <v>1874.71</v>
      </c>
      <c r="Y73" t="s">
        <v>36</v>
      </c>
      <c r="Z73" s="3">
        <v>1976.77</v>
      </c>
      <c r="AA73" t="s">
        <v>41</v>
      </c>
      <c r="AB73" t="s">
        <v>33</v>
      </c>
      <c r="AC73">
        <v>22.6</v>
      </c>
      <c r="AD73" t="s">
        <v>34</v>
      </c>
      <c r="AE73">
        <v>700.21</v>
      </c>
      <c r="AF73">
        <v>0</v>
      </c>
    </row>
    <row r="74" spans="3:32" x14ac:dyDescent="0.35">
      <c r="C74" s="1">
        <v>43496</v>
      </c>
      <c r="D74" s="2">
        <v>43466</v>
      </c>
      <c r="E74">
        <v>1566</v>
      </c>
      <c r="F74" s="3">
        <v>3524.82</v>
      </c>
      <c r="G74" s="3">
        <v>4439.3999999999996</v>
      </c>
      <c r="H74" s="3">
        <v>-914.58</v>
      </c>
      <c r="I74" s="3">
        <v>1.26</v>
      </c>
      <c r="J74">
        <v>0.3</v>
      </c>
      <c r="K74">
        <v>3118.63</v>
      </c>
      <c r="L74" t="s">
        <v>30</v>
      </c>
      <c r="M74">
        <v>662</v>
      </c>
      <c r="N74">
        <v>0.26</v>
      </c>
      <c r="O74" s="3">
        <v>420.65</v>
      </c>
      <c r="P74" s="3">
        <v>0.12</v>
      </c>
      <c r="Q74" s="3">
        <v>274.62</v>
      </c>
      <c r="R74" s="3">
        <v>0.08</v>
      </c>
      <c r="S74">
        <v>8</v>
      </c>
      <c r="T74">
        <v>1035.28</v>
      </c>
      <c r="U74">
        <v>93</v>
      </c>
      <c r="V74">
        <v>0</v>
      </c>
      <c r="W74">
        <v>244.44</v>
      </c>
      <c r="X74">
        <v>1365.41</v>
      </c>
      <c r="Y74" t="s">
        <v>36</v>
      </c>
      <c r="Z74" s="3">
        <v>1492.34</v>
      </c>
      <c r="AA74" t="s">
        <v>45</v>
      </c>
      <c r="AB74" t="s">
        <v>33</v>
      </c>
      <c r="AC74">
        <v>68</v>
      </c>
      <c r="AD74" t="s">
        <v>34</v>
      </c>
      <c r="AE74">
        <v>0</v>
      </c>
      <c r="AF74">
        <v>0</v>
      </c>
    </row>
    <row r="75" spans="3:32" x14ac:dyDescent="0.35">
      <c r="C75" s="1">
        <v>43496</v>
      </c>
      <c r="D75" s="2">
        <v>43466</v>
      </c>
      <c r="E75">
        <v>1966</v>
      </c>
      <c r="F75" s="3">
        <v>3647.02</v>
      </c>
      <c r="G75" s="3">
        <v>3742.27</v>
      </c>
      <c r="H75" s="3">
        <v>-95.25</v>
      </c>
      <c r="I75" s="3">
        <v>1.03</v>
      </c>
      <c r="J75">
        <v>0.35</v>
      </c>
      <c r="K75">
        <v>3184.25</v>
      </c>
      <c r="L75" t="s">
        <v>35</v>
      </c>
      <c r="M75">
        <v>657</v>
      </c>
      <c r="N75">
        <v>0.3</v>
      </c>
      <c r="O75" s="3">
        <v>550.32000000000005</v>
      </c>
      <c r="P75" s="3">
        <v>0.15</v>
      </c>
      <c r="Q75" s="3">
        <v>238.25</v>
      </c>
      <c r="R75" s="3">
        <v>7.0000000000000007E-2</v>
      </c>
      <c r="S75">
        <v>3</v>
      </c>
      <c r="T75">
        <v>1815.39</v>
      </c>
      <c r="U75">
        <v>55</v>
      </c>
      <c r="V75">
        <v>0</v>
      </c>
      <c r="W75">
        <v>218.73</v>
      </c>
      <c r="X75">
        <v>1692.16</v>
      </c>
      <c r="Y75" t="s">
        <v>36</v>
      </c>
      <c r="Z75" s="3">
        <v>864.83</v>
      </c>
      <c r="AA75" t="s">
        <v>40</v>
      </c>
      <c r="AB75" t="s">
        <v>33</v>
      </c>
      <c r="AC75">
        <v>92.1</v>
      </c>
      <c r="AD75" t="s">
        <v>34</v>
      </c>
      <c r="AE75">
        <v>0</v>
      </c>
      <c r="AF75">
        <v>0</v>
      </c>
    </row>
    <row r="76" spans="3:32" x14ac:dyDescent="0.35">
      <c r="C76" s="1">
        <v>43496</v>
      </c>
      <c r="D76" s="2">
        <v>43466</v>
      </c>
      <c r="E76">
        <v>1378</v>
      </c>
      <c r="F76" s="3">
        <v>4933.33</v>
      </c>
      <c r="G76" s="3">
        <v>2122.9299999999998</v>
      </c>
      <c r="H76" s="3">
        <v>2810.4</v>
      </c>
      <c r="I76" s="3">
        <v>0.43</v>
      </c>
      <c r="J76">
        <v>0.39</v>
      </c>
      <c r="K76">
        <v>3231.95</v>
      </c>
      <c r="L76" t="s">
        <v>39</v>
      </c>
      <c r="M76">
        <v>670</v>
      </c>
      <c r="N76">
        <v>0.48</v>
      </c>
      <c r="O76" s="3">
        <v>807.72</v>
      </c>
      <c r="P76" s="3">
        <v>0.16</v>
      </c>
      <c r="Q76" s="3">
        <v>839.83</v>
      </c>
      <c r="R76" s="3">
        <v>0.17</v>
      </c>
      <c r="S76">
        <v>7</v>
      </c>
      <c r="T76">
        <v>1130.81</v>
      </c>
      <c r="U76">
        <v>28</v>
      </c>
      <c r="V76">
        <v>0</v>
      </c>
      <c r="W76">
        <v>563.66</v>
      </c>
      <c r="X76">
        <v>2140.5300000000002</v>
      </c>
      <c r="Y76" t="s">
        <v>36</v>
      </c>
      <c r="Z76" s="3">
        <v>1577.08</v>
      </c>
      <c r="AA76" t="s">
        <v>51</v>
      </c>
      <c r="AB76" t="s">
        <v>42</v>
      </c>
      <c r="AC76">
        <v>38.799999999999997</v>
      </c>
      <c r="AD76" t="s">
        <v>34</v>
      </c>
      <c r="AE76">
        <v>2810.4</v>
      </c>
      <c r="AF76">
        <v>0</v>
      </c>
    </row>
    <row r="77" spans="3:32" x14ac:dyDescent="0.35">
      <c r="C77" s="1">
        <v>43496</v>
      </c>
      <c r="D77" s="2">
        <v>43466</v>
      </c>
      <c r="E77">
        <v>1793</v>
      </c>
      <c r="F77" s="3">
        <v>4808.93</v>
      </c>
      <c r="G77" s="3">
        <v>4535.17</v>
      </c>
      <c r="H77" s="3">
        <v>273.76</v>
      </c>
      <c r="I77" s="3">
        <v>0.94</v>
      </c>
      <c r="J77">
        <v>0.25</v>
      </c>
      <c r="K77">
        <v>3415.1</v>
      </c>
      <c r="L77" t="s">
        <v>35</v>
      </c>
      <c r="M77">
        <v>693</v>
      </c>
      <c r="N77">
        <v>0.24</v>
      </c>
      <c r="O77" s="3">
        <v>870.05</v>
      </c>
      <c r="P77" s="3">
        <v>0.18</v>
      </c>
      <c r="Q77" s="3">
        <v>0</v>
      </c>
      <c r="R77" s="3">
        <v>0</v>
      </c>
      <c r="S77">
        <v>3</v>
      </c>
      <c r="T77">
        <v>954.88</v>
      </c>
      <c r="U77">
        <v>96</v>
      </c>
      <c r="V77">
        <v>0</v>
      </c>
      <c r="W77">
        <v>589.77</v>
      </c>
      <c r="X77">
        <v>1605.36</v>
      </c>
      <c r="Y77" t="s">
        <v>36</v>
      </c>
      <c r="Z77" s="3">
        <v>1237.53</v>
      </c>
      <c r="AA77" t="s">
        <v>47</v>
      </c>
      <c r="AB77" t="s">
        <v>42</v>
      </c>
      <c r="AC77">
        <v>45.4</v>
      </c>
      <c r="AD77" t="s">
        <v>38</v>
      </c>
      <c r="AE77">
        <v>273.76</v>
      </c>
      <c r="AF77">
        <v>0</v>
      </c>
    </row>
    <row r="78" spans="3:32" x14ac:dyDescent="0.35">
      <c r="C78" s="1">
        <v>43496</v>
      </c>
      <c r="D78" s="2">
        <v>43466</v>
      </c>
      <c r="E78">
        <v>1949</v>
      </c>
      <c r="F78" s="3">
        <v>2766.05</v>
      </c>
      <c r="G78" s="3">
        <v>3005.96</v>
      </c>
      <c r="H78" s="3">
        <v>-239.91</v>
      </c>
      <c r="I78" s="3">
        <v>1.0900000000000001</v>
      </c>
      <c r="J78">
        <v>0.4</v>
      </c>
      <c r="K78">
        <v>2759.26</v>
      </c>
      <c r="L78" t="s">
        <v>35</v>
      </c>
      <c r="M78">
        <v>646</v>
      </c>
      <c r="N78">
        <v>0.28999999999999998</v>
      </c>
      <c r="O78" s="3">
        <v>423.82</v>
      </c>
      <c r="P78" s="3">
        <v>0.15</v>
      </c>
      <c r="Q78" s="3">
        <v>312.63</v>
      </c>
      <c r="R78" s="3">
        <v>0.11</v>
      </c>
      <c r="S78">
        <v>7</v>
      </c>
      <c r="T78">
        <v>1420.04</v>
      </c>
      <c r="U78">
        <v>47</v>
      </c>
      <c r="V78">
        <v>0</v>
      </c>
      <c r="W78">
        <v>601.36</v>
      </c>
      <c r="X78">
        <v>2113.19</v>
      </c>
      <c r="Y78" t="s">
        <v>31</v>
      </c>
      <c r="Z78" s="3">
        <v>1360.71</v>
      </c>
      <c r="AA78" t="s">
        <v>47</v>
      </c>
      <c r="AB78" t="s">
        <v>33</v>
      </c>
      <c r="AC78">
        <v>84.4</v>
      </c>
      <c r="AD78" t="s">
        <v>34</v>
      </c>
      <c r="AE78">
        <v>0</v>
      </c>
      <c r="AF78">
        <v>0</v>
      </c>
    </row>
    <row r="79" spans="3:32" x14ac:dyDescent="0.35">
      <c r="C79" s="1">
        <v>43496</v>
      </c>
      <c r="D79" s="2">
        <v>43466</v>
      </c>
      <c r="E79">
        <v>1468</v>
      </c>
      <c r="F79" s="3">
        <v>3564.99</v>
      </c>
      <c r="G79" s="3">
        <v>3331.22</v>
      </c>
      <c r="H79" s="3">
        <v>233.77</v>
      </c>
      <c r="I79" s="3">
        <v>0.93</v>
      </c>
      <c r="J79">
        <v>0.39</v>
      </c>
      <c r="K79">
        <v>2794.13</v>
      </c>
      <c r="L79" t="s">
        <v>30</v>
      </c>
      <c r="M79">
        <v>716</v>
      </c>
      <c r="N79">
        <v>0.38</v>
      </c>
      <c r="O79" s="3">
        <v>632.30999999999995</v>
      </c>
      <c r="P79" s="3">
        <v>0.18</v>
      </c>
      <c r="Q79" s="3">
        <v>93.92</v>
      </c>
      <c r="R79" s="3">
        <v>0.03</v>
      </c>
      <c r="S79">
        <v>6</v>
      </c>
      <c r="T79">
        <v>386.61</v>
      </c>
      <c r="U79">
        <v>60</v>
      </c>
      <c r="V79">
        <v>0</v>
      </c>
      <c r="W79">
        <v>452.95</v>
      </c>
      <c r="X79">
        <v>1503.92</v>
      </c>
      <c r="Y79" t="s">
        <v>31</v>
      </c>
      <c r="Z79" s="3">
        <v>1488.96</v>
      </c>
      <c r="AA79" t="s">
        <v>51</v>
      </c>
      <c r="AB79" t="s">
        <v>33</v>
      </c>
      <c r="AC79">
        <v>88.5</v>
      </c>
      <c r="AD79" t="s">
        <v>34</v>
      </c>
      <c r="AE79">
        <v>233.77</v>
      </c>
      <c r="AF79">
        <v>0</v>
      </c>
    </row>
    <row r="80" spans="3:32" x14ac:dyDescent="0.35">
      <c r="C80" s="1">
        <v>43496</v>
      </c>
      <c r="D80" s="2">
        <v>43466</v>
      </c>
      <c r="E80">
        <v>1676</v>
      </c>
      <c r="F80" s="3">
        <v>4599.8999999999996</v>
      </c>
      <c r="G80" s="3">
        <v>3836.31</v>
      </c>
      <c r="H80" s="3">
        <v>763.59</v>
      </c>
      <c r="I80" s="3">
        <v>0.83</v>
      </c>
      <c r="J80">
        <v>7.0000000000000007E-2</v>
      </c>
      <c r="K80">
        <v>2807.84</v>
      </c>
      <c r="L80" t="s">
        <v>30</v>
      </c>
      <c r="M80">
        <v>697</v>
      </c>
      <c r="N80">
        <v>0.46</v>
      </c>
      <c r="O80" s="3">
        <v>408.28</v>
      </c>
      <c r="P80" s="3">
        <v>0.09</v>
      </c>
      <c r="Q80" s="3">
        <v>725.24</v>
      </c>
      <c r="R80" s="3">
        <v>0.16</v>
      </c>
      <c r="S80">
        <v>7</v>
      </c>
      <c r="T80">
        <v>1307.79</v>
      </c>
      <c r="U80">
        <v>60</v>
      </c>
      <c r="V80">
        <v>0</v>
      </c>
      <c r="W80">
        <v>660.72</v>
      </c>
      <c r="X80">
        <v>1681.83</v>
      </c>
      <c r="Y80" t="s">
        <v>36</v>
      </c>
      <c r="Z80" s="3">
        <v>1987.73</v>
      </c>
      <c r="AA80" t="s">
        <v>37</v>
      </c>
      <c r="AB80" t="s">
        <v>44</v>
      </c>
      <c r="AC80">
        <v>22.9</v>
      </c>
      <c r="AD80" t="s">
        <v>43</v>
      </c>
      <c r="AE80">
        <v>763.59</v>
      </c>
      <c r="AF80">
        <v>0</v>
      </c>
    </row>
    <row r="81" spans="3:32" x14ac:dyDescent="0.35">
      <c r="C81" s="1">
        <v>43496</v>
      </c>
      <c r="D81" s="2">
        <v>43466</v>
      </c>
      <c r="E81">
        <v>1595</v>
      </c>
      <c r="F81" s="3">
        <v>2884.93</v>
      </c>
      <c r="G81" s="3">
        <v>2684.8</v>
      </c>
      <c r="H81" s="3">
        <v>200.13</v>
      </c>
      <c r="I81" s="3">
        <v>0.93</v>
      </c>
      <c r="J81">
        <v>0.36</v>
      </c>
      <c r="K81">
        <v>2735.89</v>
      </c>
      <c r="L81" t="s">
        <v>30</v>
      </c>
      <c r="M81">
        <v>719</v>
      </c>
      <c r="N81">
        <v>0.5</v>
      </c>
      <c r="O81" s="3">
        <v>651.87</v>
      </c>
      <c r="P81" s="3">
        <v>0.23</v>
      </c>
      <c r="Q81" s="3">
        <v>227.65</v>
      </c>
      <c r="R81" s="3">
        <v>0.08</v>
      </c>
      <c r="S81">
        <v>4</v>
      </c>
      <c r="T81">
        <v>1642.47</v>
      </c>
      <c r="U81">
        <v>48</v>
      </c>
      <c r="V81">
        <v>0</v>
      </c>
      <c r="W81">
        <v>840.95</v>
      </c>
      <c r="X81">
        <v>2479.87</v>
      </c>
      <c r="Y81" t="s">
        <v>31</v>
      </c>
      <c r="Z81" s="3">
        <v>1753.49</v>
      </c>
      <c r="AA81" t="s">
        <v>37</v>
      </c>
      <c r="AB81" t="s">
        <v>33</v>
      </c>
      <c r="AC81">
        <v>83.3</v>
      </c>
      <c r="AD81" t="s">
        <v>34</v>
      </c>
      <c r="AE81">
        <v>200.13</v>
      </c>
      <c r="AF81">
        <v>0</v>
      </c>
    </row>
    <row r="82" spans="3:32" x14ac:dyDescent="0.35">
      <c r="C82" s="1">
        <v>43496</v>
      </c>
      <c r="D82" s="2">
        <v>43466</v>
      </c>
      <c r="E82">
        <v>1663</v>
      </c>
      <c r="F82" s="3">
        <v>4236.99</v>
      </c>
      <c r="G82" s="3">
        <v>2504.12</v>
      </c>
      <c r="H82" s="3">
        <v>1732.87</v>
      </c>
      <c r="I82" s="3">
        <v>0.59</v>
      </c>
      <c r="J82">
        <v>0.18</v>
      </c>
      <c r="K82">
        <v>2546.9299999999998</v>
      </c>
      <c r="L82" t="s">
        <v>35</v>
      </c>
      <c r="M82">
        <v>692</v>
      </c>
      <c r="N82">
        <v>0.4</v>
      </c>
      <c r="O82" s="3">
        <v>262.39</v>
      </c>
      <c r="P82" s="3">
        <v>0.06</v>
      </c>
      <c r="Q82" s="3">
        <v>804.66</v>
      </c>
      <c r="R82" s="3">
        <v>0.19</v>
      </c>
      <c r="S82">
        <v>5</v>
      </c>
      <c r="T82">
        <v>1472.66</v>
      </c>
      <c r="U82">
        <v>84</v>
      </c>
      <c r="V82">
        <v>0</v>
      </c>
      <c r="W82">
        <v>441.42</v>
      </c>
      <c r="X82">
        <v>2626.31</v>
      </c>
      <c r="Y82" t="s">
        <v>36</v>
      </c>
      <c r="Z82" s="3">
        <v>802.95</v>
      </c>
      <c r="AA82" t="s">
        <v>47</v>
      </c>
      <c r="AB82" t="s">
        <v>42</v>
      </c>
      <c r="AC82">
        <v>16.899999999999999</v>
      </c>
      <c r="AD82" t="s">
        <v>34</v>
      </c>
      <c r="AE82">
        <v>1732.87</v>
      </c>
      <c r="AF82">
        <v>0</v>
      </c>
    </row>
    <row r="83" spans="3:32" x14ac:dyDescent="0.35">
      <c r="C83" s="1">
        <v>43496</v>
      </c>
      <c r="D83" s="2">
        <v>43466</v>
      </c>
      <c r="E83">
        <v>1427</v>
      </c>
      <c r="F83" s="3">
        <v>4349.07</v>
      </c>
      <c r="G83" s="3">
        <v>2447.8200000000002</v>
      </c>
      <c r="H83" s="3">
        <v>1901.25</v>
      </c>
      <c r="I83" s="3">
        <v>0.56000000000000005</v>
      </c>
      <c r="J83">
        <v>0.19</v>
      </c>
      <c r="K83">
        <v>3201.64</v>
      </c>
      <c r="L83" t="s">
        <v>35</v>
      </c>
      <c r="M83">
        <v>665</v>
      </c>
      <c r="N83">
        <v>0.35</v>
      </c>
      <c r="O83" s="3">
        <v>306.06</v>
      </c>
      <c r="P83" s="3">
        <v>7.0000000000000007E-2</v>
      </c>
      <c r="Q83" s="3">
        <v>450.06</v>
      </c>
      <c r="R83" s="3">
        <v>0.1</v>
      </c>
      <c r="S83">
        <v>6</v>
      </c>
      <c r="T83">
        <v>2078.38</v>
      </c>
      <c r="U83">
        <v>23</v>
      </c>
      <c r="V83">
        <v>0</v>
      </c>
      <c r="W83">
        <v>345.98</v>
      </c>
      <c r="X83">
        <v>2926.05</v>
      </c>
      <c r="Y83" t="s">
        <v>36</v>
      </c>
      <c r="Z83" s="3">
        <v>1795.66</v>
      </c>
      <c r="AA83" t="s">
        <v>37</v>
      </c>
      <c r="AB83" t="s">
        <v>42</v>
      </c>
      <c r="AC83">
        <v>82.9</v>
      </c>
      <c r="AD83" t="s">
        <v>34</v>
      </c>
      <c r="AE83">
        <v>1901.25</v>
      </c>
      <c r="AF83">
        <v>0</v>
      </c>
    </row>
    <row r="84" spans="3:32" x14ac:dyDescent="0.35">
      <c r="C84" s="1">
        <v>43496</v>
      </c>
      <c r="D84" s="2">
        <v>43466</v>
      </c>
      <c r="E84">
        <v>1141</v>
      </c>
      <c r="F84" s="3">
        <v>4410.45</v>
      </c>
      <c r="G84" s="3">
        <v>2844.18</v>
      </c>
      <c r="H84" s="3">
        <v>1566.27</v>
      </c>
      <c r="I84" s="3">
        <v>0.64</v>
      </c>
      <c r="J84">
        <v>0.26</v>
      </c>
      <c r="K84">
        <v>3512.81</v>
      </c>
      <c r="L84" t="s">
        <v>39</v>
      </c>
      <c r="M84">
        <v>689</v>
      </c>
      <c r="N84">
        <v>0.4</v>
      </c>
      <c r="O84" s="3">
        <v>279.10000000000002</v>
      </c>
      <c r="P84" s="3">
        <v>0.06</v>
      </c>
      <c r="Q84" s="3">
        <v>91.01</v>
      </c>
      <c r="R84" s="3">
        <v>0.02</v>
      </c>
      <c r="S84">
        <v>5</v>
      </c>
      <c r="T84">
        <v>1908.12</v>
      </c>
      <c r="U84">
        <v>62</v>
      </c>
      <c r="V84">
        <v>0</v>
      </c>
      <c r="W84">
        <v>544.12</v>
      </c>
      <c r="X84">
        <v>2362.86</v>
      </c>
      <c r="Y84" t="s">
        <v>36</v>
      </c>
      <c r="Z84" s="3">
        <v>1445.02</v>
      </c>
      <c r="AA84" t="s">
        <v>50</v>
      </c>
      <c r="AB84" t="s">
        <v>44</v>
      </c>
      <c r="AC84">
        <v>25.4</v>
      </c>
      <c r="AD84" t="s">
        <v>34</v>
      </c>
      <c r="AE84">
        <v>1566.27</v>
      </c>
      <c r="AF84">
        <v>0</v>
      </c>
    </row>
    <row r="85" spans="3:32" x14ac:dyDescent="0.35">
      <c r="C85" s="1">
        <v>43496</v>
      </c>
      <c r="D85" s="2">
        <v>43466</v>
      </c>
      <c r="E85">
        <v>1728</v>
      </c>
      <c r="F85" s="3">
        <v>4728.6000000000004</v>
      </c>
      <c r="G85" s="3">
        <v>3526.07</v>
      </c>
      <c r="H85" s="3">
        <v>1202.53</v>
      </c>
      <c r="I85" s="3">
        <v>0.75</v>
      </c>
      <c r="J85">
        <v>0.26</v>
      </c>
      <c r="K85">
        <v>3004.27</v>
      </c>
      <c r="L85" t="s">
        <v>30</v>
      </c>
      <c r="M85">
        <v>723</v>
      </c>
      <c r="N85">
        <v>0.53</v>
      </c>
      <c r="O85" s="3">
        <v>683.77</v>
      </c>
      <c r="P85" s="3">
        <v>0.14000000000000001</v>
      </c>
      <c r="Q85" s="3">
        <v>0</v>
      </c>
      <c r="R85" s="3">
        <v>0</v>
      </c>
      <c r="S85">
        <v>4</v>
      </c>
      <c r="T85">
        <v>989.76</v>
      </c>
      <c r="U85">
        <v>76</v>
      </c>
      <c r="V85">
        <v>0</v>
      </c>
      <c r="W85">
        <v>462.5</v>
      </c>
      <c r="X85">
        <v>1476.23</v>
      </c>
      <c r="Y85" t="s">
        <v>36</v>
      </c>
      <c r="Z85" s="3">
        <v>1058.97</v>
      </c>
      <c r="AA85" t="s">
        <v>37</v>
      </c>
      <c r="AB85" t="s">
        <v>44</v>
      </c>
      <c r="AC85">
        <v>49.4</v>
      </c>
      <c r="AD85" t="s">
        <v>34</v>
      </c>
      <c r="AE85">
        <v>1202.53</v>
      </c>
      <c r="AF85">
        <v>0</v>
      </c>
    </row>
    <row r="86" spans="3:32" x14ac:dyDescent="0.35">
      <c r="C86" s="1">
        <v>43496</v>
      </c>
      <c r="D86" s="2">
        <v>43466</v>
      </c>
      <c r="E86">
        <v>1696</v>
      </c>
      <c r="F86" s="3">
        <v>5797.78</v>
      </c>
      <c r="G86" s="3">
        <v>2499.48</v>
      </c>
      <c r="H86" s="3">
        <v>3298.3</v>
      </c>
      <c r="I86" s="3">
        <v>0.43</v>
      </c>
      <c r="J86">
        <v>0.39</v>
      </c>
      <c r="K86">
        <v>2686.42</v>
      </c>
      <c r="L86" t="s">
        <v>35</v>
      </c>
      <c r="M86">
        <v>667</v>
      </c>
      <c r="N86">
        <v>0.5</v>
      </c>
      <c r="O86" s="3">
        <v>600.4</v>
      </c>
      <c r="P86" s="3">
        <v>0.1</v>
      </c>
      <c r="Q86" s="3">
        <v>303.10000000000002</v>
      </c>
      <c r="R86" s="3">
        <v>0.05</v>
      </c>
      <c r="S86">
        <v>6</v>
      </c>
      <c r="T86">
        <v>1213.06</v>
      </c>
      <c r="U86">
        <v>77</v>
      </c>
      <c r="V86">
        <v>0</v>
      </c>
      <c r="W86">
        <v>713.38</v>
      </c>
      <c r="X86">
        <v>2434.1999999999998</v>
      </c>
      <c r="Y86" t="s">
        <v>36</v>
      </c>
      <c r="Z86" s="3">
        <v>590.36</v>
      </c>
      <c r="AA86" t="s">
        <v>41</v>
      </c>
      <c r="AB86" t="s">
        <v>33</v>
      </c>
      <c r="AC86">
        <v>21.3</v>
      </c>
      <c r="AD86" t="s">
        <v>43</v>
      </c>
      <c r="AE86">
        <v>3298.3</v>
      </c>
      <c r="AF86">
        <v>1</v>
      </c>
    </row>
    <row r="87" spans="3:32" x14ac:dyDescent="0.35">
      <c r="C87" s="1">
        <v>43496</v>
      </c>
      <c r="D87" s="2">
        <v>43466</v>
      </c>
      <c r="E87">
        <v>1777</v>
      </c>
      <c r="F87" s="3">
        <v>4127.99</v>
      </c>
      <c r="G87" s="3">
        <v>3678.6</v>
      </c>
      <c r="H87" s="3">
        <v>449.39</v>
      </c>
      <c r="I87" s="3">
        <v>0.89</v>
      </c>
      <c r="J87">
        <v>0.05</v>
      </c>
      <c r="K87">
        <v>3373.64</v>
      </c>
      <c r="L87" t="s">
        <v>39</v>
      </c>
      <c r="M87">
        <v>598</v>
      </c>
      <c r="N87">
        <v>0.21</v>
      </c>
      <c r="O87" s="3">
        <v>205.13</v>
      </c>
      <c r="P87" s="3">
        <v>0.05</v>
      </c>
      <c r="Q87" s="3">
        <v>285.97000000000003</v>
      </c>
      <c r="R87" s="3">
        <v>7.0000000000000007E-2</v>
      </c>
      <c r="S87">
        <v>1</v>
      </c>
      <c r="T87">
        <v>1019.86</v>
      </c>
      <c r="U87">
        <v>56</v>
      </c>
      <c r="V87">
        <v>0</v>
      </c>
      <c r="W87">
        <v>631.61</v>
      </c>
      <c r="X87">
        <v>3282.96</v>
      </c>
      <c r="Y87" t="s">
        <v>36</v>
      </c>
      <c r="Z87" s="3">
        <v>1518.06</v>
      </c>
      <c r="AA87" t="s">
        <v>32</v>
      </c>
      <c r="AB87" t="s">
        <v>33</v>
      </c>
      <c r="AC87">
        <v>89.5</v>
      </c>
      <c r="AD87" t="s">
        <v>34</v>
      </c>
      <c r="AE87">
        <v>449.39</v>
      </c>
      <c r="AF87">
        <v>0</v>
      </c>
    </row>
    <row r="88" spans="3:32" x14ac:dyDescent="0.35">
      <c r="C88" s="1">
        <v>43496</v>
      </c>
      <c r="D88" s="2">
        <v>43466</v>
      </c>
      <c r="E88">
        <v>1553</v>
      </c>
      <c r="F88" s="3">
        <v>3633.32</v>
      </c>
      <c r="G88" s="3">
        <v>4313</v>
      </c>
      <c r="H88" s="3">
        <v>-679.68</v>
      </c>
      <c r="I88" s="3">
        <v>1.19</v>
      </c>
      <c r="J88">
        <v>0.31</v>
      </c>
      <c r="K88">
        <v>2619.63</v>
      </c>
      <c r="L88" t="s">
        <v>35</v>
      </c>
      <c r="M88">
        <v>626</v>
      </c>
      <c r="N88">
        <v>0.19</v>
      </c>
      <c r="O88" s="3">
        <v>489.8</v>
      </c>
      <c r="P88" s="3">
        <v>0.13</v>
      </c>
      <c r="Q88" s="3">
        <v>268.66000000000003</v>
      </c>
      <c r="R88" s="3">
        <v>7.0000000000000007E-2</v>
      </c>
      <c r="S88">
        <v>7</v>
      </c>
      <c r="T88">
        <v>672.46</v>
      </c>
      <c r="U88">
        <v>29</v>
      </c>
      <c r="V88">
        <v>0</v>
      </c>
      <c r="W88">
        <v>266.13</v>
      </c>
      <c r="X88">
        <v>2140.62</v>
      </c>
      <c r="Y88" t="s">
        <v>36</v>
      </c>
      <c r="Z88" s="3">
        <v>1718.6</v>
      </c>
      <c r="AA88" t="s">
        <v>48</v>
      </c>
      <c r="AB88" t="s">
        <v>33</v>
      </c>
      <c r="AC88">
        <v>41.7</v>
      </c>
      <c r="AD88" t="s">
        <v>43</v>
      </c>
      <c r="AE88">
        <v>0</v>
      </c>
      <c r="AF88">
        <v>0</v>
      </c>
    </row>
    <row r="89" spans="3:32" x14ac:dyDescent="0.35">
      <c r="C89" s="1">
        <v>43496</v>
      </c>
      <c r="D89" s="2">
        <v>43466</v>
      </c>
      <c r="E89">
        <v>1802</v>
      </c>
      <c r="F89" s="3">
        <v>5017.84</v>
      </c>
      <c r="G89" s="3">
        <v>1696.8</v>
      </c>
      <c r="H89" s="3">
        <v>3321.04</v>
      </c>
      <c r="I89" s="3">
        <v>0.34</v>
      </c>
      <c r="J89">
        <v>0.13</v>
      </c>
      <c r="K89">
        <v>3292.51</v>
      </c>
      <c r="L89" t="s">
        <v>35</v>
      </c>
      <c r="M89">
        <v>682</v>
      </c>
      <c r="N89">
        <v>0.43</v>
      </c>
      <c r="O89" s="3">
        <v>662.23</v>
      </c>
      <c r="P89" s="3">
        <v>0.13</v>
      </c>
      <c r="Q89" s="3">
        <v>615.55999999999995</v>
      </c>
      <c r="R89" s="3">
        <v>0.12</v>
      </c>
      <c r="S89">
        <v>7</v>
      </c>
      <c r="T89">
        <v>1248.4100000000001</v>
      </c>
      <c r="U89">
        <v>51</v>
      </c>
      <c r="V89">
        <v>0</v>
      </c>
      <c r="W89">
        <v>482.81</v>
      </c>
      <c r="X89">
        <v>2076.11</v>
      </c>
      <c r="Y89" t="s">
        <v>31</v>
      </c>
      <c r="Z89" s="3">
        <v>1252.92</v>
      </c>
      <c r="AA89" t="s">
        <v>32</v>
      </c>
      <c r="AB89" t="s">
        <v>33</v>
      </c>
      <c r="AC89">
        <v>16</v>
      </c>
      <c r="AD89" t="s">
        <v>34</v>
      </c>
      <c r="AE89">
        <v>3321.04</v>
      </c>
      <c r="AF89">
        <v>1</v>
      </c>
    </row>
    <row r="90" spans="3:32" x14ac:dyDescent="0.35">
      <c r="C90" s="1">
        <v>43496</v>
      </c>
      <c r="D90" s="2">
        <v>43466</v>
      </c>
      <c r="E90">
        <v>1923</v>
      </c>
      <c r="F90" s="3">
        <v>5153.2700000000004</v>
      </c>
      <c r="G90" s="3">
        <v>3231.29</v>
      </c>
      <c r="H90" s="3">
        <v>1921.98</v>
      </c>
      <c r="I90" s="3">
        <v>0.63</v>
      </c>
      <c r="J90">
        <v>0.38</v>
      </c>
      <c r="K90">
        <v>2391.14</v>
      </c>
      <c r="L90" t="s">
        <v>35</v>
      </c>
      <c r="M90">
        <v>663</v>
      </c>
      <c r="N90">
        <v>0.36</v>
      </c>
      <c r="O90" s="3">
        <v>689.43</v>
      </c>
      <c r="P90" s="3">
        <v>0.13</v>
      </c>
      <c r="Q90" s="3">
        <v>791.17</v>
      </c>
      <c r="R90" s="3">
        <v>0.15</v>
      </c>
      <c r="S90">
        <v>6</v>
      </c>
      <c r="T90">
        <v>1456.19</v>
      </c>
      <c r="U90">
        <v>39</v>
      </c>
      <c r="V90">
        <v>0</v>
      </c>
      <c r="W90">
        <v>298.44</v>
      </c>
      <c r="X90">
        <v>1342.62</v>
      </c>
      <c r="Y90" t="s">
        <v>36</v>
      </c>
      <c r="Z90" s="3">
        <v>640.91</v>
      </c>
      <c r="AA90" t="s">
        <v>46</v>
      </c>
      <c r="AB90" t="s">
        <v>33</v>
      </c>
      <c r="AC90">
        <v>82.7</v>
      </c>
      <c r="AD90" t="s">
        <v>34</v>
      </c>
      <c r="AE90">
        <v>1921.98</v>
      </c>
      <c r="AF90">
        <v>0</v>
      </c>
    </row>
    <row r="91" spans="3:32" x14ac:dyDescent="0.35">
      <c r="C91" s="1">
        <v>43496</v>
      </c>
      <c r="D91" s="2">
        <v>43466</v>
      </c>
      <c r="E91">
        <v>1802</v>
      </c>
      <c r="F91" s="3">
        <v>1913.61</v>
      </c>
      <c r="G91" s="3">
        <v>2501.29</v>
      </c>
      <c r="H91" s="3">
        <v>-587.67999999999995</v>
      </c>
      <c r="I91" s="3">
        <v>1.31</v>
      </c>
      <c r="J91">
        <v>0.31</v>
      </c>
      <c r="K91">
        <v>2154.94</v>
      </c>
      <c r="L91" t="s">
        <v>35</v>
      </c>
      <c r="M91">
        <v>763</v>
      </c>
      <c r="N91">
        <v>0.55000000000000004</v>
      </c>
      <c r="O91" s="3">
        <v>538.39</v>
      </c>
      <c r="P91" s="3">
        <v>0.28000000000000003</v>
      </c>
      <c r="Q91" s="3">
        <v>276.41000000000003</v>
      </c>
      <c r="R91" s="3">
        <v>0.14000000000000001</v>
      </c>
      <c r="S91">
        <v>1</v>
      </c>
      <c r="T91">
        <v>230.62</v>
      </c>
      <c r="U91">
        <v>50</v>
      </c>
      <c r="V91">
        <v>0</v>
      </c>
      <c r="W91">
        <v>409.38</v>
      </c>
      <c r="X91">
        <v>2721.97</v>
      </c>
      <c r="Y91" t="s">
        <v>36</v>
      </c>
      <c r="Z91" s="3">
        <v>1835.18</v>
      </c>
      <c r="AA91" t="s">
        <v>50</v>
      </c>
      <c r="AB91" t="s">
        <v>33</v>
      </c>
      <c r="AC91">
        <v>28.6</v>
      </c>
      <c r="AD91" t="s">
        <v>34</v>
      </c>
      <c r="AE91">
        <v>0</v>
      </c>
      <c r="AF91">
        <v>0</v>
      </c>
    </row>
    <row r="92" spans="3:32" x14ac:dyDescent="0.35">
      <c r="C92" s="1">
        <v>43496</v>
      </c>
      <c r="D92" s="2">
        <v>43466</v>
      </c>
      <c r="E92">
        <v>1689</v>
      </c>
      <c r="F92" s="3">
        <v>3097.89</v>
      </c>
      <c r="G92" s="3">
        <v>3115.16</v>
      </c>
      <c r="H92" s="3">
        <v>-17.27</v>
      </c>
      <c r="I92" s="3">
        <v>1.01</v>
      </c>
      <c r="J92">
        <v>0.24</v>
      </c>
      <c r="K92">
        <v>2274.36</v>
      </c>
      <c r="L92" t="s">
        <v>35</v>
      </c>
      <c r="M92">
        <v>754</v>
      </c>
      <c r="N92">
        <v>0.34</v>
      </c>
      <c r="O92" s="3">
        <v>799.66</v>
      </c>
      <c r="P92" s="3">
        <v>0.26</v>
      </c>
      <c r="Q92" s="3">
        <v>644.77</v>
      </c>
      <c r="R92" s="3">
        <v>0.21</v>
      </c>
      <c r="S92">
        <v>4</v>
      </c>
      <c r="T92">
        <v>1540.51</v>
      </c>
      <c r="U92">
        <v>98</v>
      </c>
      <c r="V92">
        <v>0</v>
      </c>
      <c r="W92">
        <v>831.96</v>
      </c>
      <c r="X92">
        <v>1000</v>
      </c>
      <c r="Y92" t="s">
        <v>49</v>
      </c>
      <c r="Z92" s="3">
        <v>1360.87</v>
      </c>
      <c r="AA92" t="s">
        <v>41</v>
      </c>
      <c r="AB92" t="s">
        <v>44</v>
      </c>
      <c r="AC92">
        <v>16</v>
      </c>
      <c r="AD92" t="s">
        <v>34</v>
      </c>
      <c r="AE92">
        <v>0</v>
      </c>
      <c r="AF92">
        <v>0</v>
      </c>
    </row>
    <row r="93" spans="3:32" x14ac:dyDescent="0.35">
      <c r="C93" s="1">
        <v>43496</v>
      </c>
      <c r="D93" s="2">
        <v>43466</v>
      </c>
      <c r="E93">
        <v>1255</v>
      </c>
      <c r="F93" s="3">
        <v>2206.66</v>
      </c>
      <c r="G93" s="3">
        <v>2136.8000000000002</v>
      </c>
      <c r="H93" s="3">
        <v>69.86</v>
      </c>
      <c r="I93" s="3">
        <v>0.97</v>
      </c>
      <c r="J93">
        <v>0.33</v>
      </c>
      <c r="K93">
        <v>3112.42</v>
      </c>
      <c r="L93" t="s">
        <v>39</v>
      </c>
      <c r="M93">
        <v>688</v>
      </c>
      <c r="N93">
        <v>0.53</v>
      </c>
      <c r="O93" s="3">
        <v>130.30000000000001</v>
      </c>
      <c r="P93" s="3">
        <v>0.06</v>
      </c>
      <c r="Q93" s="3">
        <v>253.69</v>
      </c>
      <c r="R93" s="3">
        <v>0.11</v>
      </c>
      <c r="S93">
        <v>2</v>
      </c>
      <c r="T93">
        <v>1088.53</v>
      </c>
      <c r="U93">
        <v>55</v>
      </c>
      <c r="V93">
        <v>0</v>
      </c>
      <c r="W93">
        <v>667.28</v>
      </c>
      <c r="X93">
        <v>2447.7199999999998</v>
      </c>
      <c r="Y93" t="s">
        <v>36</v>
      </c>
      <c r="Z93" s="3">
        <v>1229.2</v>
      </c>
      <c r="AA93" t="s">
        <v>32</v>
      </c>
      <c r="AB93" t="s">
        <v>44</v>
      </c>
      <c r="AC93">
        <v>99.6</v>
      </c>
      <c r="AD93" t="s">
        <v>34</v>
      </c>
      <c r="AE93">
        <v>69.86</v>
      </c>
      <c r="AF93">
        <v>0</v>
      </c>
    </row>
    <row r="94" spans="3:32" x14ac:dyDescent="0.35">
      <c r="C94" s="1">
        <v>43496</v>
      </c>
      <c r="D94" s="2">
        <v>43466</v>
      </c>
      <c r="E94">
        <v>1627</v>
      </c>
      <c r="F94" s="3">
        <v>6483.49</v>
      </c>
      <c r="G94" s="3">
        <v>2616.04</v>
      </c>
      <c r="H94" s="3">
        <v>3867.45</v>
      </c>
      <c r="I94" s="3">
        <v>0.4</v>
      </c>
      <c r="J94">
        <v>0.32</v>
      </c>
      <c r="K94">
        <v>2914.5</v>
      </c>
      <c r="L94" t="s">
        <v>30</v>
      </c>
      <c r="M94">
        <v>587</v>
      </c>
      <c r="N94">
        <v>0.23</v>
      </c>
      <c r="O94" s="3">
        <v>418.56</v>
      </c>
      <c r="P94" s="3">
        <v>0.06</v>
      </c>
      <c r="Q94" s="3">
        <v>499.94</v>
      </c>
      <c r="R94" s="3">
        <v>0.08</v>
      </c>
      <c r="S94">
        <v>4</v>
      </c>
      <c r="T94">
        <v>462.01</v>
      </c>
      <c r="U94">
        <v>71</v>
      </c>
      <c r="V94">
        <v>0</v>
      </c>
      <c r="W94">
        <v>515.09</v>
      </c>
      <c r="X94">
        <v>1555.36</v>
      </c>
      <c r="Y94" t="s">
        <v>36</v>
      </c>
      <c r="Z94" s="3">
        <v>427.74</v>
      </c>
      <c r="AA94" t="s">
        <v>40</v>
      </c>
      <c r="AB94" t="s">
        <v>44</v>
      </c>
      <c r="AC94">
        <v>62</v>
      </c>
      <c r="AD94" t="s">
        <v>43</v>
      </c>
      <c r="AE94">
        <v>3867.45</v>
      </c>
      <c r="AF94">
        <v>1</v>
      </c>
    </row>
    <row r="95" spans="3:32" x14ac:dyDescent="0.35">
      <c r="C95" s="1">
        <v>43496</v>
      </c>
      <c r="D95" s="2">
        <v>43466</v>
      </c>
      <c r="E95">
        <v>1227</v>
      </c>
      <c r="F95" s="3">
        <v>3209.62</v>
      </c>
      <c r="G95" s="3">
        <v>3255.14</v>
      </c>
      <c r="H95" s="3">
        <v>-45.52</v>
      </c>
      <c r="I95" s="3">
        <v>1.01</v>
      </c>
      <c r="J95">
        <v>0.3</v>
      </c>
      <c r="K95">
        <v>3255.29</v>
      </c>
      <c r="L95" t="s">
        <v>35</v>
      </c>
      <c r="M95">
        <v>677</v>
      </c>
      <c r="N95">
        <v>0.45</v>
      </c>
      <c r="O95" s="3">
        <v>598.16999999999996</v>
      </c>
      <c r="P95" s="3">
        <v>0.19</v>
      </c>
      <c r="Q95" s="3">
        <v>0</v>
      </c>
      <c r="R95" s="3">
        <v>0</v>
      </c>
      <c r="S95">
        <v>9</v>
      </c>
      <c r="T95">
        <v>299.11</v>
      </c>
      <c r="U95">
        <v>47</v>
      </c>
      <c r="V95">
        <v>0</v>
      </c>
      <c r="W95">
        <v>456.84</v>
      </c>
      <c r="X95">
        <v>1170.54</v>
      </c>
      <c r="Y95" t="s">
        <v>36</v>
      </c>
      <c r="Z95" s="3">
        <v>472.97</v>
      </c>
      <c r="AA95" t="s">
        <v>46</v>
      </c>
      <c r="AB95" t="s">
        <v>44</v>
      </c>
      <c r="AC95">
        <v>14.8</v>
      </c>
      <c r="AD95" t="s">
        <v>43</v>
      </c>
      <c r="AE95">
        <v>0</v>
      </c>
      <c r="AF95">
        <v>0</v>
      </c>
    </row>
    <row r="96" spans="3:32" x14ac:dyDescent="0.35">
      <c r="C96" s="1">
        <v>43496</v>
      </c>
      <c r="D96" s="2">
        <v>43466</v>
      </c>
      <c r="E96">
        <v>1125</v>
      </c>
      <c r="F96" s="3">
        <v>5246.93</v>
      </c>
      <c r="G96" s="3">
        <v>3598.26</v>
      </c>
      <c r="H96" s="3">
        <v>1648.67</v>
      </c>
      <c r="I96" s="3">
        <v>0.69</v>
      </c>
      <c r="J96">
        <v>0.4</v>
      </c>
      <c r="K96">
        <v>2918.52</v>
      </c>
      <c r="L96" t="s">
        <v>30</v>
      </c>
      <c r="M96">
        <v>674</v>
      </c>
      <c r="N96">
        <v>0.2</v>
      </c>
      <c r="O96" s="3">
        <v>502.34</v>
      </c>
      <c r="P96" s="3">
        <v>0.1</v>
      </c>
      <c r="Q96" s="3">
        <v>519.54999999999995</v>
      </c>
      <c r="R96" s="3">
        <v>0.1</v>
      </c>
      <c r="S96">
        <v>3</v>
      </c>
      <c r="T96">
        <v>627.22</v>
      </c>
      <c r="U96">
        <v>93</v>
      </c>
      <c r="V96">
        <v>0</v>
      </c>
      <c r="W96">
        <v>467.73</v>
      </c>
      <c r="X96">
        <v>3083.49</v>
      </c>
      <c r="Y96" t="s">
        <v>36</v>
      </c>
      <c r="Z96" s="3">
        <v>902.14</v>
      </c>
      <c r="AA96" t="s">
        <v>51</v>
      </c>
      <c r="AB96" t="s">
        <v>33</v>
      </c>
      <c r="AC96">
        <v>61.6</v>
      </c>
      <c r="AD96" t="s">
        <v>34</v>
      </c>
      <c r="AE96">
        <v>1648.67</v>
      </c>
      <c r="AF96">
        <v>0</v>
      </c>
    </row>
    <row r="97" spans="3:32" x14ac:dyDescent="0.35">
      <c r="C97" s="1">
        <v>43496</v>
      </c>
      <c r="D97" s="2">
        <v>43466</v>
      </c>
      <c r="E97">
        <v>1696</v>
      </c>
      <c r="F97" s="3">
        <v>2656.73</v>
      </c>
      <c r="G97" s="3">
        <v>2325.14</v>
      </c>
      <c r="H97" s="3">
        <v>331.59</v>
      </c>
      <c r="I97" s="3">
        <v>0.88</v>
      </c>
      <c r="J97">
        <v>0.15</v>
      </c>
      <c r="K97">
        <v>2749.16</v>
      </c>
      <c r="L97" t="s">
        <v>30</v>
      </c>
      <c r="M97">
        <v>701</v>
      </c>
      <c r="N97">
        <v>0.41</v>
      </c>
      <c r="O97" s="3">
        <v>474.8</v>
      </c>
      <c r="P97" s="3">
        <v>0.18</v>
      </c>
      <c r="Q97" s="3">
        <v>763.89</v>
      </c>
      <c r="R97" s="3">
        <v>0.28999999999999998</v>
      </c>
      <c r="S97">
        <v>7</v>
      </c>
      <c r="T97">
        <v>1180.23</v>
      </c>
      <c r="U97">
        <v>72</v>
      </c>
      <c r="V97">
        <v>0</v>
      </c>
      <c r="W97">
        <v>357.14</v>
      </c>
      <c r="X97">
        <v>2505.23</v>
      </c>
      <c r="Y97" t="s">
        <v>36</v>
      </c>
      <c r="Z97" s="3">
        <v>1719.18</v>
      </c>
      <c r="AA97" t="s">
        <v>50</v>
      </c>
      <c r="AB97" t="s">
        <v>33</v>
      </c>
      <c r="AC97">
        <v>82.4</v>
      </c>
      <c r="AD97" t="s">
        <v>34</v>
      </c>
      <c r="AE97">
        <v>331.59</v>
      </c>
      <c r="AF97">
        <v>0</v>
      </c>
    </row>
    <row r="98" spans="3:32" x14ac:dyDescent="0.35">
      <c r="C98" s="1">
        <v>43496</v>
      </c>
      <c r="D98" s="2">
        <v>43466</v>
      </c>
      <c r="E98">
        <v>1374</v>
      </c>
      <c r="F98" s="3">
        <v>3885.63</v>
      </c>
      <c r="G98" s="3">
        <v>2852.55</v>
      </c>
      <c r="H98" s="3">
        <v>1033.08</v>
      </c>
      <c r="I98" s="3">
        <v>0.73</v>
      </c>
      <c r="J98">
        <v>0.09</v>
      </c>
      <c r="K98">
        <v>2441.69</v>
      </c>
      <c r="L98" t="s">
        <v>30</v>
      </c>
      <c r="M98">
        <v>737</v>
      </c>
      <c r="N98">
        <v>0.49</v>
      </c>
      <c r="O98" s="3">
        <v>619.97</v>
      </c>
      <c r="P98" s="3">
        <v>0.16</v>
      </c>
      <c r="Q98" s="3">
        <v>286.25</v>
      </c>
      <c r="R98" s="3">
        <v>7.0000000000000007E-2</v>
      </c>
      <c r="S98">
        <v>4</v>
      </c>
      <c r="T98">
        <v>1245.93</v>
      </c>
      <c r="U98">
        <v>76</v>
      </c>
      <c r="V98">
        <v>0</v>
      </c>
      <c r="W98">
        <v>738.47</v>
      </c>
      <c r="X98">
        <v>1101.1199999999999</v>
      </c>
      <c r="Y98" t="s">
        <v>31</v>
      </c>
      <c r="Z98" s="3">
        <v>1591.46</v>
      </c>
      <c r="AA98" t="s">
        <v>51</v>
      </c>
      <c r="AB98" t="s">
        <v>44</v>
      </c>
      <c r="AC98">
        <v>3.5</v>
      </c>
      <c r="AD98" t="s">
        <v>34</v>
      </c>
      <c r="AE98">
        <v>1033.08</v>
      </c>
      <c r="AF98">
        <v>0</v>
      </c>
    </row>
    <row r="99" spans="3:32" x14ac:dyDescent="0.35">
      <c r="C99" s="1">
        <v>43496</v>
      </c>
      <c r="D99" s="2">
        <v>43466</v>
      </c>
      <c r="E99">
        <v>1121</v>
      </c>
      <c r="F99" s="3">
        <v>3762.45</v>
      </c>
      <c r="G99" s="3">
        <v>1712.47</v>
      </c>
      <c r="H99" s="3">
        <v>2049.98</v>
      </c>
      <c r="I99" s="3">
        <v>0.46</v>
      </c>
      <c r="J99">
        <v>0.2</v>
      </c>
      <c r="K99">
        <v>3338.04</v>
      </c>
      <c r="L99" t="s">
        <v>35</v>
      </c>
      <c r="M99">
        <v>762</v>
      </c>
      <c r="N99">
        <v>0.46</v>
      </c>
      <c r="O99" s="3">
        <v>442.66</v>
      </c>
      <c r="P99" s="3">
        <v>0.12</v>
      </c>
      <c r="Q99" s="3">
        <v>701.87</v>
      </c>
      <c r="R99" s="3">
        <v>0.19</v>
      </c>
      <c r="S99">
        <v>1</v>
      </c>
      <c r="T99">
        <v>1271.44</v>
      </c>
      <c r="U99">
        <v>68</v>
      </c>
      <c r="V99">
        <v>0</v>
      </c>
      <c r="W99">
        <v>592.1</v>
      </c>
      <c r="X99">
        <v>2585.21</v>
      </c>
      <c r="Y99" t="s">
        <v>36</v>
      </c>
      <c r="Z99" s="3">
        <v>1302.8599999999999</v>
      </c>
      <c r="AA99" t="s">
        <v>41</v>
      </c>
      <c r="AB99" t="s">
        <v>33</v>
      </c>
      <c r="AC99">
        <v>48.9</v>
      </c>
      <c r="AD99" t="s">
        <v>43</v>
      </c>
      <c r="AE99">
        <v>2049.98</v>
      </c>
      <c r="AF99">
        <v>0</v>
      </c>
    </row>
    <row r="100" spans="3:32" x14ac:dyDescent="0.35">
      <c r="C100" s="1">
        <v>43496</v>
      </c>
      <c r="D100" s="2">
        <v>43466</v>
      </c>
      <c r="E100">
        <v>1140</v>
      </c>
      <c r="F100" s="3">
        <v>3857.63</v>
      </c>
      <c r="G100" s="3">
        <v>2069.9699999999998</v>
      </c>
      <c r="H100" s="3">
        <v>1787.66</v>
      </c>
      <c r="I100" s="3">
        <v>0.54</v>
      </c>
      <c r="J100">
        <v>0.31</v>
      </c>
      <c r="K100">
        <v>2982.6</v>
      </c>
      <c r="L100" t="s">
        <v>30</v>
      </c>
      <c r="M100">
        <v>639</v>
      </c>
      <c r="N100">
        <v>0.24</v>
      </c>
      <c r="O100" s="3">
        <v>560.63</v>
      </c>
      <c r="P100" s="3">
        <v>0.15</v>
      </c>
      <c r="Q100" s="3">
        <v>267.57</v>
      </c>
      <c r="R100" s="3">
        <v>7.0000000000000007E-2</v>
      </c>
      <c r="S100">
        <v>1</v>
      </c>
      <c r="T100">
        <v>335.28</v>
      </c>
      <c r="U100">
        <v>57</v>
      </c>
      <c r="V100">
        <v>0</v>
      </c>
      <c r="W100">
        <v>315.68</v>
      </c>
      <c r="X100">
        <v>1696.92</v>
      </c>
      <c r="Y100" t="s">
        <v>31</v>
      </c>
      <c r="Z100" s="3">
        <v>1866.63</v>
      </c>
      <c r="AA100" t="s">
        <v>46</v>
      </c>
      <c r="AB100" t="s">
        <v>33</v>
      </c>
      <c r="AC100">
        <v>35.6</v>
      </c>
      <c r="AD100" t="s">
        <v>38</v>
      </c>
      <c r="AE100">
        <v>1787.66</v>
      </c>
      <c r="AF100">
        <v>0</v>
      </c>
    </row>
    <row r="101" spans="3:32" x14ac:dyDescent="0.35">
      <c r="C101" s="1">
        <v>43496</v>
      </c>
      <c r="D101" s="2">
        <v>43466</v>
      </c>
      <c r="E101">
        <v>1581</v>
      </c>
      <c r="F101" s="3">
        <v>2892.75</v>
      </c>
      <c r="G101" s="3">
        <v>2785.55</v>
      </c>
      <c r="H101" s="3">
        <v>107.2</v>
      </c>
      <c r="I101" s="3">
        <v>0.96</v>
      </c>
      <c r="J101">
        <v>0.26</v>
      </c>
      <c r="K101">
        <v>2904.2</v>
      </c>
      <c r="L101" t="s">
        <v>35</v>
      </c>
      <c r="M101">
        <v>687</v>
      </c>
      <c r="N101">
        <v>0.35</v>
      </c>
      <c r="O101" s="3">
        <v>416.21</v>
      </c>
      <c r="P101" s="3">
        <v>0.14000000000000001</v>
      </c>
      <c r="Q101" s="3">
        <v>728.46</v>
      </c>
      <c r="R101" s="3">
        <v>0.25</v>
      </c>
      <c r="S101">
        <v>3</v>
      </c>
      <c r="T101">
        <v>701.69</v>
      </c>
      <c r="U101">
        <v>83</v>
      </c>
      <c r="V101">
        <v>0</v>
      </c>
      <c r="W101">
        <v>105.01</v>
      </c>
      <c r="X101">
        <v>2285</v>
      </c>
      <c r="Y101" t="s">
        <v>31</v>
      </c>
      <c r="Z101" s="3">
        <v>1114</v>
      </c>
      <c r="AA101" t="s">
        <v>40</v>
      </c>
      <c r="AB101" t="s">
        <v>42</v>
      </c>
      <c r="AC101">
        <v>37.1</v>
      </c>
      <c r="AD101" t="s">
        <v>34</v>
      </c>
      <c r="AE101">
        <v>107.2</v>
      </c>
      <c r="AF101">
        <v>0</v>
      </c>
    </row>
    <row r="102" spans="3:32" x14ac:dyDescent="0.35">
      <c r="C102" s="1">
        <v>43526</v>
      </c>
      <c r="D102" s="2">
        <v>43525</v>
      </c>
      <c r="E102">
        <v>1756</v>
      </c>
      <c r="F102" s="3">
        <v>2931.2</v>
      </c>
      <c r="G102" s="3">
        <v>3335.58</v>
      </c>
      <c r="H102" s="3">
        <v>-404.38</v>
      </c>
      <c r="I102" s="3">
        <v>1.1399999999999999</v>
      </c>
      <c r="J102">
        <v>0.15</v>
      </c>
      <c r="K102">
        <v>3004.14</v>
      </c>
      <c r="L102" t="s">
        <v>30</v>
      </c>
      <c r="M102">
        <v>691</v>
      </c>
      <c r="N102">
        <v>0.24</v>
      </c>
      <c r="O102" s="3">
        <v>971.82</v>
      </c>
      <c r="P102" s="3">
        <v>0.33</v>
      </c>
      <c r="Q102" s="3">
        <v>0</v>
      </c>
      <c r="R102" s="3">
        <v>0</v>
      </c>
      <c r="S102">
        <v>5</v>
      </c>
      <c r="T102">
        <v>1433.02</v>
      </c>
      <c r="U102">
        <v>90</v>
      </c>
      <c r="V102">
        <v>0</v>
      </c>
      <c r="W102">
        <v>353.67</v>
      </c>
      <c r="X102">
        <v>1504.56</v>
      </c>
      <c r="Y102" t="s">
        <v>31</v>
      </c>
      <c r="Z102" s="3">
        <v>1097.82</v>
      </c>
      <c r="AA102" t="s">
        <v>47</v>
      </c>
      <c r="AB102" t="s">
        <v>33</v>
      </c>
      <c r="AC102">
        <v>58.8</v>
      </c>
      <c r="AD102" t="s">
        <v>34</v>
      </c>
      <c r="AE102">
        <v>0</v>
      </c>
      <c r="AF102">
        <v>0</v>
      </c>
    </row>
    <row r="103" spans="3:32" x14ac:dyDescent="0.35">
      <c r="C103" s="1">
        <v>43526</v>
      </c>
      <c r="D103" s="2">
        <v>43525</v>
      </c>
      <c r="E103">
        <v>1213</v>
      </c>
      <c r="F103" s="3">
        <v>3997.43</v>
      </c>
      <c r="G103" s="3">
        <v>2243.56</v>
      </c>
      <c r="H103" s="3">
        <v>1753.87</v>
      </c>
      <c r="I103" s="3">
        <v>0.56000000000000005</v>
      </c>
      <c r="J103">
        <v>0.16</v>
      </c>
      <c r="K103">
        <v>2257.94</v>
      </c>
      <c r="L103" t="s">
        <v>35</v>
      </c>
      <c r="M103">
        <v>683</v>
      </c>
      <c r="N103">
        <v>0.45</v>
      </c>
      <c r="O103" s="3">
        <v>399.33</v>
      </c>
      <c r="P103" s="3">
        <v>0.1</v>
      </c>
      <c r="Q103" s="3">
        <v>705.24</v>
      </c>
      <c r="R103" s="3">
        <v>0.18</v>
      </c>
      <c r="S103">
        <v>2</v>
      </c>
      <c r="T103">
        <v>466.72</v>
      </c>
      <c r="U103">
        <v>32</v>
      </c>
      <c r="V103">
        <v>0</v>
      </c>
      <c r="W103">
        <v>776.76</v>
      </c>
      <c r="X103">
        <v>2170.5700000000002</v>
      </c>
      <c r="Y103" t="s">
        <v>36</v>
      </c>
      <c r="Z103" s="3">
        <v>2614.62</v>
      </c>
      <c r="AA103" t="s">
        <v>46</v>
      </c>
      <c r="AB103" t="s">
        <v>42</v>
      </c>
      <c r="AC103">
        <v>37.1</v>
      </c>
      <c r="AD103" t="s">
        <v>43</v>
      </c>
      <c r="AE103">
        <v>1753.87</v>
      </c>
      <c r="AF103">
        <v>0</v>
      </c>
    </row>
    <row r="104" spans="3:32" x14ac:dyDescent="0.35">
      <c r="C104" s="1">
        <v>43526</v>
      </c>
      <c r="D104" s="2">
        <v>43525</v>
      </c>
      <c r="E104">
        <v>1965</v>
      </c>
      <c r="F104" s="3">
        <v>6148.1</v>
      </c>
      <c r="G104" s="3">
        <v>3555.9</v>
      </c>
      <c r="H104" s="3">
        <v>2592.1999999999998</v>
      </c>
      <c r="I104" s="3">
        <v>0.57999999999999996</v>
      </c>
      <c r="J104">
        <v>0.25</v>
      </c>
      <c r="K104">
        <v>2624.66</v>
      </c>
      <c r="L104" t="s">
        <v>39</v>
      </c>
      <c r="M104">
        <v>660</v>
      </c>
      <c r="N104">
        <v>0.13</v>
      </c>
      <c r="O104" s="3">
        <v>978.84</v>
      </c>
      <c r="P104" s="3">
        <v>0.16</v>
      </c>
      <c r="Q104" s="3">
        <v>423.54</v>
      </c>
      <c r="R104" s="3">
        <v>7.0000000000000007E-2</v>
      </c>
      <c r="S104">
        <v>1</v>
      </c>
      <c r="T104">
        <v>178.61</v>
      </c>
      <c r="U104">
        <v>45</v>
      </c>
      <c r="V104">
        <v>0</v>
      </c>
      <c r="W104">
        <v>530.47</v>
      </c>
      <c r="X104">
        <v>2209.2199999999998</v>
      </c>
      <c r="Y104" t="s">
        <v>36</v>
      </c>
      <c r="Z104" s="3">
        <v>1199.77</v>
      </c>
      <c r="AA104" t="s">
        <v>32</v>
      </c>
      <c r="AB104" t="s">
        <v>44</v>
      </c>
      <c r="AC104">
        <v>1.3</v>
      </c>
      <c r="AD104" t="s">
        <v>34</v>
      </c>
      <c r="AE104">
        <v>2592.1999999999998</v>
      </c>
      <c r="AF104">
        <v>0</v>
      </c>
    </row>
    <row r="105" spans="3:32" x14ac:dyDescent="0.35">
      <c r="C105" s="1">
        <v>43526</v>
      </c>
      <c r="D105" s="2">
        <v>43525</v>
      </c>
      <c r="E105">
        <v>1810</v>
      </c>
      <c r="F105" s="3">
        <v>3107.16</v>
      </c>
      <c r="G105" s="3">
        <v>2657.15</v>
      </c>
      <c r="H105" s="3">
        <v>450.01</v>
      </c>
      <c r="I105" s="3">
        <v>0.86</v>
      </c>
      <c r="J105">
        <v>0.09</v>
      </c>
      <c r="K105">
        <v>2755</v>
      </c>
      <c r="L105" t="s">
        <v>35</v>
      </c>
      <c r="M105">
        <v>675</v>
      </c>
      <c r="N105">
        <v>0.37</v>
      </c>
      <c r="O105" s="3">
        <v>89.65</v>
      </c>
      <c r="P105" s="3">
        <v>0.03</v>
      </c>
      <c r="Q105" s="3">
        <v>365.92</v>
      </c>
      <c r="R105" s="3">
        <v>0.12</v>
      </c>
      <c r="S105">
        <v>7</v>
      </c>
      <c r="T105">
        <v>1137.77</v>
      </c>
      <c r="U105">
        <v>62</v>
      </c>
      <c r="V105">
        <v>0</v>
      </c>
      <c r="W105">
        <v>632.17999999999995</v>
      </c>
      <c r="X105">
        <v>1992.41</v>
      </c>
      <c r="Y105" t="s">
        <v>36</v>
      </c>
      <c r="Z105" s="3">
        <v>300</v>
      </c>
      <c r="AA105" t="s">
        <v>48</v>
      </c>
      <c r="AB105" t="s">
        <v>33</v>
      </c>
      <c r="AC105">
        <v>37.9</v>
      </c>
      <c r="AD105" t="s">
        <v>34</v>
      </c>
      <c r="AE105">
        <v>450.01</v>
      </c>
      <c r="AF105">
        <v>0</v>
      </c>
    </row>
    <row r="106" spans="3:32" x14ac:dyDescent="0.35">
      <c r="C106" s="1">
        <v>43526</v>
      </c>
      <c r="D106" s="2">
        <v>43525</v>
      </c>
      <c r="E106">
        <v>1585</v>
      </c>
      <c r="F106" s="3">
        <v>4373.16</v>
      </c>
      <c r="G106" s="3">
        <v>2110.0100000000002</v>
      </c>
      <c r="H106" s="3">
        <v>2263.15</v>
      </c>
      <c r="I106" s="3">
        <v>0.48</v>
      </c>
      <c r="J106">
        <v>0.09</v>
      </c>
      <c r="K106">
        <v>3177.66</v>
      </c>
      <c r="L106" t="s">
        <v>30</v>
      </c>
      <c r="M106">
        <v>652</v>
      </c>
      <c r="N106">
        <v>0.32</v>
      </c>
      <c r="O106" s="3">
        <v>541.47</v>
      </c>
      <c r="P106" s="3">
        <v>0.12</v>
      </c>
      <c r="Q106" s="3">
        <v>433.3</v>
      </c>
      <c r="R106" s="3">
        <v>0.1</v>
      </c>
      <c r="S106">
        <v>3</v>
      </c>
      <c r="T106">
        <v>568.34</v>
      </c>
      <c r="U106">
        <v>97</v>
      </c>
      <c r="V106">
        <v>0</v>
      </c>
      <c r="W106">
        <v>722.9</v>
      </c>
      <c r="X106">
        <v>2246.69</v>
      </c>
      <c r="Y106" t="s">
        <v>36</v>
      </c>
      <c r="Z106" s="3">
        <v>865.02</v>
      </c>
      <c r="AA106" t="s">
        <v>50</v>
      </c>
      <c r="AB106" t="s">
        <v>33</v>
      </c>
      <c r="AC106">
        <v>30.9</v>
      </c>
      <c r="AD106" t="s">
        <v>34</v>
      </c>
      <c r="AE106">
        <v>2263.15</v>
      </c>
      <c r="AF106">
        <v>0</v>
      </c>
    </row>
    <row r="107" spans="3:32" x14ac:dyDescent="0.35">
      <c r="C107" s="1">
        <v>43526</v>
      </c>
      <c r="D107" s="2">
        <v>43525</v>
      </c>
      <c r="E107">
        <v>1867</v>
      </c>
      <c r="F107" s="3">
        <v>4700.05</v>
      </c>
      <c r="G107" s="3">
        <v>2531.9499999999998</v>
      </c>
      <c r="H107" s="3">
        <v>2168.1</v>
      </c>
      <c r="I107" s="3">
        <v>0.54</v>
      </c>
      <c r="J107">
        <v>0.05</v>
      </c>
      <c r="K107">
        <v>2651.93</v>
      </c>
      <c r="L107" t="s">
        <v>39</v>
      </c>
      <c r="M107">
        <v>671</v>
      </c>
      <c r="N107">
        <v>0.41</v>
      </c>
      <c r="O107" s="3">
        <v>513.77</v>
      </c>
      <c r="P107" s="3">
        <v>0.11</v>
      </c>
      <c r="Q107" s="3">
        <v>251.49</v>
      </c>
      <c r="R107" s="3">
        <v>0.05</v>
      </c>
      <c r="S107">
        <v>9</v>
      </c>
      <c r="T107">
        <v>694.98</v>
      </c>
      <c r="U107">
        <v>97</v>
      </c>
      <c r="V107">
        <v>0</v>
      </c>
      <c r="W107">
        <v>426.9</v>
      </c>
      <c r="X107">
        <v>2637.38</v>
      </c>
      <c r="Y107" t="s">
        <v>36</v>
      </c>
      <c r="Z107" s="3">
        <v>1011.46</v>
      </c>
      <c r="AA107" t="s">
        <v>47</v>
      </c>
      <c r="AB107" t="s">
        <v>33</v>
      </c>
      <c r="AC107">
        <v>52.7</v>
      </c>
      <c r="AD107" t="s">
        <v>34</v>
      </c>
      <c r="AE107">
        <v>2168.1</v>
      </c>
      <c r="AF107">
        <v>0</v>
      </c>
    </row>
    <row r="108" spans="3:32" x14ac:dyDescent="0.35">
      <c r="C108" s="1">
        <v>43526</v>
      </c>
      <c r="D108" s="2">
        <v>43525</v>
      </c>
      <c r="E108">
        <v>1837</v>
      </c>
      <c r="F108" s="3">
        <v>3658.36</v>
      </c>
      <c r="G108" s="3">
        <v>3372.77</v>
      </c>
      <c r="H108" s="3">
        <v>285.58999999999997</v>
      </c>
      <c r="I108" s="3">
        <v>0.92</v>
      </c>
      <c r="J108">
        <v>0.27</v>
      </c>
      <c r="K108">
        <v>2680.35</v>
      </c>
      <c r="L108" t="s">
        <v>35</v>
      </c>
      <c r="M108">
        <v>676</v>
      </c>
      <c r="N108">
        <v>0.51</v>
      </c>
      <c r="O108" s="3">
        <v>449.01</v>
      </c>
      <c r="P108" s="3">
        <v>0.12</v>
      </c>
      <c r="Q108" s="3">
        <v>599.67999999999995</v>
      </c>
      <c r="R108" s="3">
        <v>0.16</v>
      </c>
      <c r="S108">
        <v>8</v>
      </c>
      <c r="T108">
        <v>208.49</v>
      </c>
      <c r="U108">
        <v>32</v>
      </c>
      <c r="V108">
        <v>0</v>
      </c>
      <c r="W108">
        <v>672.32</v>
      </c>
      <c r="X108">
        <v>2051.75</v>
      </c>
      <c r="Y108" t="s">
        <v>36</v>
      </c>
      <c r="Z108" s="3">
        <v>1662.03</v>
      </c>
      <c r="AA108" t="s">
        <v>51</v>
      </c>
      <c r="AB108" t="s">
        <v>33</v>
      </c>
      <c r="AC108">
        <v>28.8</v>
      </c>
      <c r="AD108" t="s">
        <v>34</v>
      </c>
      <c r="AE108">
        <v>285.58999999999997</v>
      </c>
      <c r="AF108">
        <v>0</v>
      </c>
    </row>
    <row r="109" spans="3:32" x14ac:dyDescent="0.35">
      <c r="C109" s="1">
        <v>43526</v>
      </c>
      <c r="D109" s="2">
        <v>43525</v>
      </c>
      <c r="E109">
        <v>1348</v>
      </c>
      <c r="F109" s="3">
        <v>3967.48</v>
      </c>
      <c r="G109" s="3">
        <v>4154.0200000000004</v>
      </c>
      <c r="H109" s="3">
        <v>-186.54</v>
      </c>
      <c r="I109" s="3">
        <v>1.05</v>
      </c>
      <c r="J109">
        <v>0.25</v>
      </c>
      <c r="K109">
        <v>2118.33</v>
      </c>
      <c r="L109" t="s">
        <v>35</v>
      </c>
      <c r="M109">
        <v>650</v>
      </c>
      <c r="N109">
        <v>0.23</v>
      </c>
      <c r="O109" s="3">
        <v>740.32</v>
      </c>
      <c r="P109" s="3">
        <v>0.19</v>
      </c>
      <c r="Q109" s="3">
        <v>434.18</v>
      </c>
      <c r="R109" s="3">
        <v>0.11</v>
      </c>
      <c r="S109">
        <v>8</v>
      </c>
      <c r="T109">
        <v>964.3</v>
      </c>
      <c r="U109">
        <v>94</v>
      </c>
      <c r="V109">
        <v>0</v>
      </c>
      <c r="W109">
        <v>362.88</v>
      </c>
      <c r="X109">
        <v>2166.14</v>
      </c>
      <c r="Y109" t="s">
        <v>36</v>
      </c>
      <c r="Z109" s="3">
        <v>1482.44</v>
      </c>
      <c r="AA109" t="s">
        <v>45</v>
      </c>
      <c r="AB109" t="s">
        <v>33</v>
      </c>
      <c r="AC109">
        <v>22.1</v>
      </c>
      <c r="AD109" t="s">
        <v>34</v>
      </c>
      <c r="AE109">
        <v>0</v>
      </c>
      <c r="AF109">
        <v>0</v>
      </c>
    </row>
    <row r="110" spans="3:32" x14ac:dyDescent="0.35">
      <c r="C110" s="1">
        <v>43526</v>
      </c>
      <c r="D110" s="2">
        <v>43525</v>
      </c>
      <c r="E110">
        <v>1314</v>
      </c>
      <c r="F110" s="3">
        <v>3752.85</v>
      </c>
      <c r="G110" s="3">
        <v>3125.99</v>
      </c>
      <c r="H110" s="3">
        <v>626.86</v>
      </c>
      <c r="I110" s="3">
        <v>0.83</v>
      </c>
      <c r="J110">
        <v>0.28000000000000003</v>
      </c>
      <c r="K110">
        <v>2904.43</v>
      </c>
      <c r="L110" t="s">
        <v>30</v>
      </c>
      <c r="M110">
        <v>721</v>
      </c>
      <c r="N110">
        <v>0.46</v>
      </c>
      <c r="O110" s="3">
        <v>469.88</v>
      </c>
      <c r="P110" s="3">
        <v>0.13</v>
      </c>
      <c r="Q110" s="3">
        <v>379.66</v>
      </c>
      <c r="R110" s="3">
        <v>0.1</v>
      </c>
      <c r="S110">
        <v>1</v>
      </c>
      <c r="T110">
        <v>1309.5999999999999</v>
      </c>
      <c r="U110">
        <v>65</v>
      </c>
      <c r="V110">
        <v>0</v>
      </c>
      <c r="W110">
        <v>286.02999999999997</v>
      </c>
      <c r="X110">
        <v>2221.6</v>
      </c>
      <c r="Y110" t="s">
        <v>36</v>
      </c>
      <c r="Z110" s="3">
        <v>1675.06</v>
      </c>
      <c r="AA110" t="s">
        <v>40</v>
      </c>
      <c r="AB110" t="s">
        <v>33</v>
      </c>
      <c r="AC110">
        <v>20.7</v>
      </c>
      <c r="AD110" t="s">
        <v>43</v>
      </c>
      <c r="AE110">
        <v>626.86</v>
      </c>
      <c r="AF110">
        <v>0</v>
      </c>
    </row>
    <row r="111" spans="3:32" x14ac:dyDescent="0.35">
      <c r="C111" s="1">
        <v>43526</v>
      </c>
      <c r="D111" s="2">
        <v>43525</v>
      </c>
      <c r="E111">
        <v>1705</v>
      </c>
      <c r="F111" s="3">
        <v>4331.7700000000004</v>
      </c>
      <c r="G111" s="3">
        <v>2399.08</v>
      </c>
      <c r="H111" s="3">
        <v>1932.69</v>
      </c>
      <c r="I111" s="3">
        <v>0.55000000000000004</v>
      </c>
      <c r="J111">
        <v>0.17</v>
      </c>
      <c r="K111">
        <v>3871.69</v>
      </c>
      <c r="L111" t="s">
        <v>35</v>
      </c>
      <c r="M111">
        <v>733</v>
      </c>
      <c r="N111">
        <v>0.31</v>
      </c>
      <c r="O111" s="3">
        <v>360.37</v>
      </c>
      <c r="P111" s="3">
        <v>0.08</v>
      </c>
      <c r="Q111" s="3">
        <v>237.71</v>
      </c>
      <c r="R111" s="3">
        <v>0.05</v>
      </c>
      <c r="S111">
        <v>7</v>
      </c>
      <c r="T111">
        <v>1830.07</v>
      </c>
      <c r="U111">
        <v>54</v>
      </c>
      <c r="V111">
        <v>0</v>
      </c>
      <c r="W111">
        <v>481.45</v>
      </c>
      <c r="X111">
        <v>2774.35</v>
      </c>
      <c r="Y111" t="s">
        <v>49</v>
      </c>
      <c r="Z111" s="3">
        <v>785.27</v>
      </c>
      <c r="AA111" t="s">
        <v>41</v>
      </c>
      <c r="AB111" t="s">
        <v>33</v>
      </c>
      <c r="AC111">
        <v>55.5</v>
      </c>
      <c r="AD111" t="s">
        <v>34</v>
      </c>
      <c r="AE111">
        <v>1932.69</v>
      </c>
      <c r="AF111">
        <v>0</v>
      </c>
    </row>
    <row r="112" spans="3:32" x14ac:dyDescent="0.35">
      <c r="C112" s="1">
        <v>43526</v>
      </c>
      <c r="D112" s="2">
        <v>43525</v>
      </c>
      <c r="E112">
        <v>1592</v>
      </c>
      <c r="F112" s="3">
        <v>3396.54</v>
      </c>
      <c r="G112" s="3">
        <v>2905.66</v>
      </c>
      <c r="H112" s="3">
        <v>490.88</v>
      </c>
      <c r="I112" s="3">
        <v>0.86</v>
      </c>
      <c r="J112">
        <v>0.06</v>
      </c>
      <c r="K112">
        <v>1994.39</v>
      </c>
      <c r="L112" t="s">
        <v>35</v>
      </c>
      <c r="M112">
        <v>657</v>
      </c>
      <c r="N112">
        <v>0.33</v>
      </c>
      <c r="O112" s="3">
        <v>758.64</v>
      </c>
      <c r="P112" s="3">
        <v>0.22</v>
      </c>
      <c r="Q112" s="3">
        <v>567.45000000000005</v>
      </c>
      <c r="R112" s="3">
        <v>0.17</v>
      </c>
      <c r="S112">
        <v>8</v>
      </c>
      <c r="T112">
        <v>1139.1400000000001</v>
      </c>
      <c r="U112">
        <v>48</v>
      </c>
      <c r="V112">
        <v>0</v>
      </c>
      <c r="W112">
        <v>611.24</v>
      </c>
      <c r="X112">
        <v>2083.19</v>
      </c>
      <c r="Y112" t="s">
        <v>49</v>
      </c>
      <c r="Z112" s="3">
        <v>1302.25</v>
      </c>
      <c r="AA112" t="s">
        <v>50</v>
      </c>
      <c r="AB112" t="s">
        <v>33</v>
      </c>
      <c r="AC112">
        <v>69.599999999999994</v>
      </c>
      <c r="AD112" t="s">
        <v>34</v>
      </c>
      <c r="AE112">
        <v>490.88</v>
      </c>
      <c r="AF112">
        <v>0</v>
      </c>
    </row>
    <row r="113" spans="3:32" x14ac:dyDescent="0.35">
      <c r="C113" s="1">
        <v>43526</v>
      </c>
      <c r="D113" s="2">
        <v>43525</v>
      </c>
      <c r="E113">
        <v>1870</v>
      </c>
      <c r="F113" s="3">
        <v>3509.17</v>
      </c>
      <c r="G113" s="3">
        <v>3512.01</v>
      </c>
      <c r="H113" s="3">
        <v>-2.84</v>
      </c>
      <c r="I113" s="3">
        <v>1</v>
      </c>
      <c r="J113">
        <v>0.16</v>
      </c>
      <c r="K113">
        <v>2814.4</v>
      </c>
      <c r="L113" t="s">
        <v>39</v>
      </c>
      <c r="M113">
        <v>614</v>
      </c>
      <c r="N113">
        <v>0.36</v>
      </c>
      <c r="O113" s="3">
        <v>301.77</v>
      </c>
      <c r="P113" s="3">
        <v>0.09</v>
      </c>
      <c r="Q113" s="3">
        <v>1188</v>
      </c>
      <c r="R113" s="3">
        <v>0.34</v>
      </c>
      <c r="S113">
        <v>8</v>
      </c>
      <c r="T113">
        <v>1561.23</v>
      </c>
      <c r="U113">
        <v>37</v>
      </c>
      <c r="V113">
        <v>0</v>
      </c>
      <c r="W113">
        <v>934.37</v>
      </c>
      <c r="X113">
        <v>2625.9</v>
      </c>
      <c r="Y113" t="s">
        <v>36</v>
      </c>
      <c r="Z113" s="3">
        <v>611.84</v>
      </c>
      <c r="AA113" t="s">
        <v>51</v>
      </c>
      <c r="AB113" t="s">
        <v>33</v>
      </c>
      <c r="AC113">
        <v>81.5</v>
      </c>
      <c r="AD113" t="s">
        <v>43</v>
      </c>
      <c r="AE113">
        <v>0</v>
      </c>
      <c r="AF113">
        <v>0</v>
      </c>
    </row>
    <row r="114" spans="3:32" x14ac:dyDescent="0.35">
      <c r="C114" s="1">
        <v>43526</v>
      </c>
      <c r="D114" s="2">
        <v>43525</v>
      </c>
      <c r="E114">
        <v>1047</v>
      </c>
      <c r="F114" s="3">
        <v>3702.54</v>
      </c>
      <c r="G114" s="3">
        <v>1112.1400000000001</v>
      </c>
      <c r="H114" s="3">
        <v>2590.4</v>
      </c>
      <c r="I114" s="3">
        <v>0.3</v>
      </c>
      <c r="J114">
        <v>0.31</v>
      </c>
      <c r="K114">
        <v>2001.96</v>
      </c>
      <c r="L114" t="s">
        <v>35</v>
      </c>
      <c r="M114">
        <v>774</v>
      </c>
      <c r="N114">
        <v>0.23</v>
      </c>
      <c r="O114" s="3">
        <v>292.23</v>
      </c>
      <c r="P114" s="3">
        <v>0.08</v>
      </c>
      <c r="Q114" s="3">
        <v>468.97</v>
      </c>
      <c r="R114" s="3">
        <v>0.13</v>
      </c>
      <c r="S114">
        <v>1</v>
      </c>
      <c r="T114">
        <v>439.36</v>
      </c>
      <c r="U114">
        <v>55</v>
      </c>
      <c r="V114">
        <v>0</v>
      </c>
      <c r="W114">
        <v>721.98</v>
      </c>
      <c r="X114">
        <v>3233.37</v>
      </c>
      <c r="Y114" t="s">
        <v>36</v>
      </c>
      <c r="Z114" s="3">
        <v>1775.24</v>
      </c>
      <c r="AA114" t="s">
        <v>32</v>
      </c>
      <c r="AB114" t="s">
        <v>33</v>
      </c>
      <c r="AC114">
        <v>44.3</v>
      </c>
      <c r="AD114" t="s">
        <v>34</v>
      </c>
      <c r="AE114">
        <v>2590.4</v>
      </c>
      <c r="AF114">
        <v>1</v>
      </c>
    </row>
    <row r="115" spans="3:32" x14ac:dyDescent="0.35">
      <c r="C115" s="1">
        <v>43526</v>
      </c>
      <c r="D115" s="2">
        <v>43525</v>
      </c>
      <c r="E115">
        <v>1601</v>
      </c>
      <c r="F115" s="3">
        <v>4779.42</v>
      </c>
      <c r="G115" s="3">
        <v>2656.18</v>
      </c>
      <c r="H115" s="3">
        <v>2123.2399999999998</v>
      </c>
      <c r="I115" s="3">
        <v>0.56000000000000005</v>
      </c>
      <c r="J115">
        <v>0.24</v>
      </c>
      <c r="K115">
        <v>2527.14</v>
      </c>
      <c r="L115" t="s">
        <v>35</v>
      </c>
      <c r="M115">
        <v>675</v>
      </c>
      <c r="N115">
        <v>0.32</v>
      </c>
      <c r="O115" s="3">
        <v>290.77999999999997</v>
      </c>
      <c r="P115" s="3">
        <v>0.06</v>
      </c>
      <c r="Q115" s="3">
        <v>617.21</v>
      </c>
      <c r="R115" s="3">
        <v>0.13</v>
      </c>
      <c r="S115">
        <v>3</v>
      </c>
      <c r="T115">
        <v>1611.5</v>
      </c>
      <c r="U115">
        <v>42</v>
      </c>
      <c r="V115">
        <v>0</v>
      </c>
      <c r="W115">
        <v>274.69</v>
      </c>
      <c r="X115">
        <v>1000</v>
      </c>
      <c r="Y115" t="s">
        <v>36</v>
      </c>
      <c r="Z115" s="3">
        <v>589.4</v>
      </c>
      <c r="AA115" t="s">
        <v>47</v>
      </c>
      <c r="AB115" t="s">
        <v>42</v>
      </c>
      <c r="AC115">
        <v>80.7</v>
      </c>
      <c r="AD115" t="s">
        <v>34</v>
      </c>
      <c r="AE115">
        <v>2123.2399999999998</v>
      </c>
      <c r="AF115">
        <v>0</v>
      </c>
    </row>
    <row r="116" spans="3:32" x14ac:dyDescent="0.35">
      <c r="C116" s="1">
        <v>43526</v>
      </c>
      <c r="D116" s="2">
        <v>43525</v>
      </c>
      <c r="E116">
        <v>1243</v>
      </c>
      <c r="F116" s="3">
        <v>4439.75</v>
      </c>
      <c r="G116" s="3">
        <v>2663.94</v>
      </c>
      <c r="H116" s="3">
        <v>1775.81</v>
      </c>
      <c r="I116" s="3">
        <v>0.6</v>
      </c>
      <c r="J116">
        <v>0.21</v>
      </c>
      <c r="K116">
        <v>2382.2600000000002</v>
      </c>
      <c r="L116" t="s">
        <v>35</v>
      </c>
      <c r="M116">
        <v>698</v>
      </c>
      <c r="N116">
        <v>0.59</v>
      </c>
      <c r="O116" s="3">
        <v>347.76</v>
      </c>
      <c r="P116" s="3">
        <v>0.08</v>
      </c>
      <c r="Q116" s="3">
        <v>685.64</v>
      </c>
      <c r="R116" s="3">
        <v>0.15</v>
      </c>
      <c r="S116">
        <v>3</v>
      </c>
      <c r="T116">
        <v>0</v>
      </c>
      <c r="U116">
        <v>84</v>
      </c>
      <c r="V116">
        <v>0</v>
      </c>
      <c r="W116">
        <v>212.93</v>
      </c>
      <c r="X116">
        <v>1590.17</v>
      </c>
      <c r="Y116" t="s">
        <v>36</v>
      </c>
      <c r="Z116" s="3">
        <v>2069.2800000000002</v>
      </c>
      <c r="AA116" t="s">
        <v>46</v>
      </c>
      <c r="AB116" t="s">
        <v>33</v>
      </c>
      <c r="AC116">
        <v>89.8</v>
      </c>
      <c r="AD116" t="s">
        <v>43</v>
      </c>
      <c r="AE116">
        <v>1775.81</v>
      </c>
      <c r="AF116">
        <v>0</v>
      </c>
    </row>
    <row r="117" spans="3:32" x14ac:dyDescent="0.35">
      <c r="C117" s="1">
        <v>43526</v>
      </c>
      <c r="D117" s="2">
        <v>43525</v>
      </c>
      <c r="E117">
        <v>1847</v>
      </c>
      <c r="F117" s="3">
        <v>6598.46</v>
      </c>
      <c r="G117" s="3">
        <v>2639.61</v>
      </c>
      <c r="H117" s="3">
        <v>3958.85</v>
      </c>
      <c r="I117" s="3">
        <v>0.4</v>
      </c>
      <c r="J117">
        <v>0.12</v>
      </c>
      <c r="K117">
        <v>2406.4499999999998</v>
      </c>
      <c r="L117" t="s">
        <v>35</v>
      </c>
      <c r="M117">
        <v>600</v>
      </c>
      <c r="N117">
        <v>0.5</v>
      </c>
      <c r="O117" s="3">
        <v>399.31</v>
      </c>
      <c r="P117" s="3">
        <v>0.06</v>
      </c>
      <c r="Q117" s="3">
        <v>389.35</v>
      </c>
      <c r="R117" s="3">
        <v>0.06</v>
      </c>
      <c r="S117">
        <v>3</v>
      </c>
      <c r="T117">
        <v>777.29</v>
      </c>
      <c r="U117">
        <v>93</v>
      </c>
      <c r="V117">
        <v>0</v>
      </c>
      <c r="W117">
        <v>536.23</v>
      </c>
      <c r="X117">
        <v>1852.61</v>
      </c>
      <c r="Y117" t="s">
        <v>31</v>
      </c>
      <c r="Z117" s="3">
        <v>757.78</v>
      </c>
      <c r="AA117" t="s">
        <v>47</v>
      </c>
      <c r="AB117" t="s">
        <v>33</v>
      </c>
      <c r="AC117">
        <v>26.3</v>
      </c>
      <c r="AD117" t="s">
        <v>43</v>
      </c>
      <c r="AE117">
        <v>3958.85</v>
      </c>
      <c r="AF117">
        <v>1</v>
      </c>
    </row>
    <row r="118" spans="3:32" x14ac:dyDescent="0.35">
      <c r="C118" s="1">
        <v>43526</v>
      </c>
      <c r="D118" s="2">
        <v>43525</v>
      </c>
      <c r="E118">
        <v>1057</v>
      </c>
      <c r="F118" s="3">
        <v>3900.81</v>
      </c>
      <c r="G118" s="3">
        <v>2658.08</v>
      </c>
      <c r="H118" s="3">
        <v>1242.73</v>
      </c>
      <c r="I118" s="3">
        <v>0.68</v>
      </c>
      <c r="J118">
        <v>0.08</v>
      </c>
      <c r="K118">
        <v>2204.6799999999998</v>
      </c>
      <c r="L118" t="s">
        <v>39</v>
      </c>
      <c r="M118">
        <v>624</v>
      </c>
      <c r="N118">
        <v>0.46</v>
      </c>
      <c r="O118" s="3">
        <v>268.88</v>
      </c>
      <c r="P118" s="3">
        <v>7.0000000000000007E-2</v>
      </c>
      <c r="Q118" s="3">
        <v>643.82000000000005</v>
      </c>
      <c r="R118" s="3">
        <v>0.17</v>
      </c>
      <c r="S118">
        <v>2</v>
      </c>
      <c r="T118">
        <v>1536.07</v>
      </c>
      <c r="U118">
        <v>45</v>
      </c>
      <c r="V118">
        <v>0</v>
      </c>
      <c r="W118">
        <v>857.51</v>
      </c>
      <c r="X118">
        <v>2660.64</v>
      </c>
      <c r="Y118" t="s">
        <v>36</v>
      </c>
      <c r="Z118" s="3">
        <v>1256.25</v>
      </c>
      <c r="AA118" t="s">
        <v>32</v>
      </c>
      <c r="AB118" t="s">
        <v>33</v>
      </c>
      <c r="AC118">
        <v>11.1</v>
      </c>
      <c r="AD118" t="s">
        <v>38</v>
      </c>
      <c r="AE118">
        <v>1242.73</v>
      </c>
      <c r="AF118">
        <v>0</v>
      </c>
    </row>
    <row r="119" spans="3:32" x14ac:dyDescent="0.35">
      <c r="C119" s="1">
        <v>43526</v>
      </c>
      <c r="D119" s="2">
        <v>43525</v>
      </c>
      <c r="E119">
        <v>1346</v>
      </c>
      <c r="F119" s="3">
        <v>3264.57</v>
      </c>
      <c r="G119" s="3">
        <v>2994.7</v>
      </c>
      <c r="H119" s="3">
        <v>269.87</v>
      </c>
      <c r="I119" s="3">
        <v>0.92</v>
      </c>
      <c r="J119">
        <v>0.33</v>
      </c>
      <c r="K119">
        <v>3207.62</v>
      </c>
      <c r="L119" t="s">
        <v>30</v>
      </c>
      <c r="M119">
        <v>607</v>
      </c>
      <c r="N119">
        <v>0.2</v>
      </c>
      <c r="O119" s="3">
        <v>1160.6300000000001</v>
      </c>
      <c r="P119" s="3">
        <v>0.36</v>
      </c>
      <c r="Q119" s="3">
        <v>553.91999999999996</v>
      </c>
      <c r="R119" s="3">
        <v>0.17</v>
      </c>
      <c r="S119">
        <v>3</v>
      </c>
      <c r="T119">
        <v>1244.48</v>
      </c>
      <c r="U119">
        <v>48</v>
      </c>
      <c r="V119">
        <v>0</v>
      </c>
      <c r="W119">
        <v>423.75</v>
      </c>
      <c r="X119">
        <v>1000</v>
      </c>
      <c r="Y119" t="s">
        <v>49</v>
      </c>
      <c r="Z119" s="3">
        <v>1624.65</v>
      </c>
      <c r="AA119" t="s">
        <v>50</v>
      </c>
      <c r="AB119" t="s">
        <v>33</v>
      </c>
      <c r="AC119">
        <v>54.1</v>
      </c>
      <c r="AD119" t="s">
        <v>34</v>
      </c>
      <c r="AE119">
        <v>269.87</v>
      </c>
      <c r="AF119">
        <v>0</v>
      </c>
    </row>
    <row r="120" spans="3:32" x14ac:dyDescent="0.35">
      <c r="C120" s="1">
        <v>43526</v>
      </c>
      <c r="D120" s="2">
        <v>43525</v>
      </c>
      <c r="E120">
        <v>1118</v>
      </c>
      <c r="F120" s="3">
        <v>3227.28</v>
      </c>
      <c r="G120" s="3">
        <v>3351.54</v>
      </c>
      <c r="H120" s="3">
        <v>-124.26</v>
      </c>
      <c r="I120" s="3">
        <v>1.04</v>
      </c>
      <c r="J120">
        <v>0.32</v>
      </c>
      <c r="K120">
        <v>2828.91</v>
      </c>
      <c r="L120" t="s">
        <v>35</v>
      </c>
      <c r="M120">
        <v>754</v>
      </c>
      <c r="N120">
        <v>0.35</v>
      </c>
      <c r="O120" s="3">
        <v>833.5</v>
      </c>
      <c r="P120" s="3">
        <v>0.26</v>
      </c>
      <c r="Q120" s="3">
        <v>228.91</v>
      </c>
      <c r="R120" s="3">
        <v>7.0000000000000007E-2</v>
      </c>
      <c r="S120">
        <v>2</v>
      </c>
      <c r="T120">
        <v>907.62</v>
      </c>
      <c r="U120">
        <v>80</v>
      </c>
      <c r="V120">
        <v>0</v>
      </c>
      <c r="W120">
        <v>338.73</v>
      </c>
      <c r="X120">
        <v>1000</v>
      </c>
      <c r="Y120" t="s">
        <v>36</v>
      </c>
      <c r="Z120" s="3">
        <v>1603.41</v>
      </c>
      <c r="AA120" t="s">
        <v>48</v>
      </c>
      <c r="AB120" t="s">
        <v>42</v>
      </c>
      <c r="AC120">
        <v>63.8</v>
      </c>
      <c r="AD120" t="s">
        <v>38</v>
      </c>
      <c r="AE120">
        <v>0</v>
      </c>
      <c r="AF120">
        <v>0</v>
      </c>
    </row>
    <row r="121" spans="3:32" x14ac:dyDescent="0.35">
      <c r="C121" s="1">
        <v>43526</v>
      </c>
      <c r="D121" s="2">
        <v>43525</v>
      </c>
      <c r="E121">
        <v>1864</v>
      </c>
      <c r="F121" s="3">
        <v>3706.82</v>
      </c>
      <c r="G121" s="3">
        <v>3881.34</v>
      </c>
      <c r="H121" s="3">
        <v>-174.52</v>
      </c>
      <c r="I121" s="3">
        <v>1.05</v>
      </c>
      <c r="J121">
        <v>0.26</v>
      </c>
      <c r="K121">
        <v>3122.51</v>
      </c>
      <c r="L121" t="s">
        <v>30</v>
      </c>
      <c r="M121">
        <v>631</v>
      </c>
      <c r="N121">
        <v>0.36</v>
      </c>
      <c r="O121" s="3">
        <v>612.25</v>
      </c>
      <c r="P121" s="3">
        <v>0.17</v>
      </c>
      <c r="Q121" s="3">
        <v>317.14</v>
      </c>
      <c r="R121" s="3">
        <v>0.09</v>
      </c>
      <c r="S121">
        <v>8</v>
      </c>
      <c r="T121">
        <v>1089.3900000000001</v>
      </c>
      <c r="U121">
        <v>98</v>
      </c>
      <c r="V121">
        <v>0</v>
      </c>
      <c r="W121">
        <v>809.9</v>
      </c>
      <c r="X121">
        <v>2385.13</v>
      </c>
      <c r="Y121" t="s">
        <v>36</v>
      </c>
      <c r="Z121" s="3">
        <v>2146.7199999999998</v>
      </c>
      <c r="AA121" t="s">
        <v>32</v>
      </c>
      <c r="AB121" t="s">
        <v>42</v>
      </c>
      <c r="AC121">
        <v>6.9</v>
      </c>
      <c r="AD121" t="s">
        <v>34</v>
      </c>
      <c r="AE121">
        <v>0</v>
      </c>
      <c r="AF121">
        <v>0</v>
      </c>
    </row>
    <row r="122" spans="3:32" x14ac:dyDescent="0.35">
      <c r="C122" s="1">
        <v>43526</v>
      </c>
      <c r="D122" s="2">
        <v>43525</v>
      </c>
      <c r="E122">
        <v>1055</v>
      </c>
      <c r="F122" s="3">
        <v>5020.37</v>
      </c>
      <c r="G122" s="3">
        <v>4119.83</v>
      </c>
      <c r="H122" s="3">
        <v>900.54</v>
      </c>
      <c r="I122" s="3">
        <v>0.82</v>
      </c>
      <c r="J122">
        <v>0.13</v>
      </c>
      <c r="K122">
        <v>3144.8</v>
      </c>
      <c r="L122" t="s">
        <v>35</v>
      </c>
      <c r="M122">
        <v>643</v>
      </c>
      <c r="N122">
        <v>0.32</v>
      </c>
      <c r="O122" s="3">
        <v>182.52</v>
      </c>
      <c r="P122" s="3">
        <v>0.04</v>
      </c>
      <c r="Q122" s="3">
        <v>406.66</v>
      </c>
      <c r="R122" s="3">
        <v>0.08</v>
      </c>
      <c r="S122">
        <v>4</v>
      </c>
      <c r="T122">
        <v>1344.45</v>
      </c>
      <c r="U122">
        <v>64</v>
      </c>
      <c r="V122">
        <v>0</v>
      </c>
      <c r="W122">
        <v>390.25</v>
      </c>
      <c r="X122">
        <v>1861.17</v>
      </c>
      <c r="Y122" t="s">
        <v>36</v>
      </c>
      <c r="Z122" s="3">
        <v>1875.95</v>
      </c>
      <c r="AA122" t="s">
        <v>32</v>
      </c>
      <c r="AB122" t="s">
        <v>44</v>
      </c>
      <c r="AC122">
        <v>70.900000000000006</v>
      </c>
      <c r="AD122" t="s">
        <v>34</v>
      </c>
      <c r="AE122">
        <v>900.54</v>
      </c>
      <c r="AF122">
        <v>0</v>
      </c>
    </row>
    <row r="123" spans="3:32" x14ac:dyDescent="0.35">
      <c r="C123" s="1">
        <v>43526</v>
      </c>
      <c r="D123" s="2">
        <v>43525</v>
      </c>
      <c r="E123">
        <v>1384</v>
      </c>
      <c r="F123" s="3">
        <v>4401.63</v>
      </c>
      <c r="G123" s="3">
        <v>3351.32</v>
      </c>
      <c r="H123" s="3">
        <v>1050.31</v>
      </c>
      <c r="I123" s="3">
        <v>0.76</v>
      </c>
      <c r="J123">
        <v>0.09</v>
      </c>
      <c r="K123">
        <v>3361.76</v>
      </c>
      <c r="L123" t="s">
        <v>39</v>
      </c>
      <c r="M123">
        <v>617</v>
      </c>
      <c r="N123">
        <v>0.5</v>
      </c>
      <c r="O123" s="3">
        <v>687.69</v>
      </c>
      <c r="P123" s="3">
        <v>0.16</v>
      </c>
      <c r="Q123" s="3">
        <v>887.93</v>
      </c>
      <c r="R123" s="3">
        <v>0.2</v>
      </c>
      <c r="S123">
        <v>5</v>
      </c>
      <c r="T123">
        <v>888.53</v>
      </c>
      <c r="U123">
        <v>28</v>
      </c>
      <c r="V123">
        <v>0</v>
      </c>
      <c r="W123">
        <v>572.69000000000005</v>
      </c>
      <c r="X123">
        <v>1915.37</v>
      </c>
      <c r="Y123" t="s">
        <v>36</v>
      </c>
      <c r="Z123" s="3">
        <v>1843.81</v>
      </c>
      <c r="AA123" t="s">
        <v>40</v>
      </c>
      <c r="AB123" t="s">
        <v>33</v>
      </c>
      <c r="AC123">
        <v>18.3</v>
      </c>
      <c r="AD123" t="s">
        <v>43</v>
      </c>
      <c r="AE123">
        <v>1050.31</v>
      </c>
      <c r="AF123">
        <v>0</v>
      </c>
    </row>
    <row r="124" spans="3:32" x14ac:dyDescent="0.35">
      <c r="C124" s="1">
        <v>43526</v>
      </c>
      <c r="D124" s="2">
        <v>43525</v>
      </c>
      <c r="E124">
        <v>1859</v>
      </c>
      <c r="F124" s="3">
        <v>3265.31</v>
      </c>
      <c r="G124" s="3">
        <v>2146.34</v>
      </c>
      <c r="H124" s="3">
        <v>1118.97</v>
      </c>
      <c r="I124" s="3">
        <v>0.66</v>
      </c>
      <c r="J124">
        <v>0.17</v>
      </c>
      <c r="K124">
        <v>3762.62</v>
      </c>
      <c r="L124" t="s">
        <v>35</v>
      </c>
      <c r="M124">
        <v>735</v>
      </c>
      <c r="N124">
        <v>0.14000000000000001</v>
      </c>
      <c r="O124" s="3">
        <v>812.44</v>
      </c>
      <c r="P124" s="3">
        <v>0.25</v>
      </c>
      <c r="Q124" s="3">
        <v>824.93</v>
      </c>
      <c r="R124" s="3">
        <v>0.25</v>
      </c>
      <c r="S124">
        <v>6</v>
      </c>
      <c r="T124">
        <v>1404.68</v>
      </c>
      <c r="U124">
        <v>80</v>
      </c>
      <c r="V124">
        <v>0</v>
      </c>
      <c r="W124">
        <v>535.01</v>
      </c>
      <c r="X124">
        <v>2356.9</v>
      </c>
      <c r="Y124" t="s">
        <v>36</v>
      </c>
      <c r="Z124" s="3">
        <v>462.49</v>
      </c>
      <c r="AA124" t="s">
        <v>48</v>
      </c>
      <c r="AB124" t="s">
        <v>33</v>
      </c>
      <c r="AC124">
        <v>30.4</v>
      </c>
      <c r="AD124" t="s">
        <v>43</v>
      </c>
      <c r="AE124">
        <v>1118.97</v>
      </c>
      <c r="AF124">
        <v>0</v>
      </c>
    </row>
    <row r="125" spans="3:32" x14ac:dyDescent="0.35">
      <c r="C125" s="1">
        <v>43526</v>
      </c>
      <c r="D125" s="2">
        <v>43525</v>
      </c>
      <c r="E125">
        <v>1087</v>
      </c>
      <c r="F125" s="3">
        <v>5266.24</v>
      </c>
      <c r="G125" s="3">
        <v>1951.74</v>
      </c>
      <c r="H125" s="3">
        <v>3314.5</v>
      </c>
      <c r="I125" s="3">
        <v>0.37</v>
      </c>
      <c r="J125">
        <v>0.28999999999999998</v>
      </c>
      <c r="K125">
        <v>3387.2</v>
      </c>
      <c r="L125" t="s">
        <v>35</v>
      </c>
      <c r="M125">
        <v>652</v>
      </c>
      <c r="N125">
        <v>0.3</v>
      </c>
      <c r="O125" s="3">
        <v>344.27</v>
      </c>
      <c r="P125" s="3">
        <v>7.0000000000000007E-2</v>
      </c>
      <c r="Q125" s="3">
        <v>243.44</v>
      </c>
      <c r="R125" s="3">
        <v>0.05</v>
      </c>
      <c r="S125">
        <v>7</v>
      </c>
      <c r="T125">
        <v>720.59</v>
      </c>
      <c r="U125">
        <v>21</v>
      </c>
      <c r="V125">
        <v>0</v>
      </c>
      <c r="W125">
        <v>583.29999999999995</v>
      </c>
      <c r="X125">
        <v>2640.58</v>
      </c>
      <c r="Y125" t="s">
        <v>49</v>
      </c>
      <c r="Z125" s="3">
        <v>1430.97</v>
      </c>
      <c r="AA125" t="s">
        <v>41</v>
      </c>
      <c r="AB125" t="s">
        <v>33</v>
      </c>
      <c r="AC125">
        <v>80.7</v>
      </c>
      <c r="AD125" t="s">
        <v>38</v>
      </c>
      <c r="AE125">
        <v>3314.5</v>
      </c>
      <c r="AF125">
        <v>0</v>
      </c>
    </row>
    <row r="126" spans="3:32" x14ac:dyDescent="0.35">
      <c r="C126" s="1">
        <v>43526</v>
      </c>
      <c r="D126" s="2">
        <v>43525</v>
      </c>
      <c r="E126">
        <v>1735</v>
      </c>
      <c r="F126" s="3">
        <v>2775.55</v>
      </c>
      <c r="G126" s="3">
        <v>2585.83</v>
      </c>
      <c r="H126" s="3">
        <v>189.72</v>
      </c>
      <c r="I126" s="3">
        <v>0.93</v>
      </c>
      <c r="J126">
        <v>0.1</v>
      </c>
      <c r="K126">
        <v>2729.68</v>
      </c>
      <c r="L126" t="s">
        <v>30</v>
      </c>
      <c r="M126">
        <v>663</v>
      </c>
      <c r="N126">
        <v>0.17</v>
      </c>
      <c r="O126" s="3">
        <v>535.74</v>
      </c>
      <c r="P126" s="3">
        <v>0.19</v>
      </c>
      <c r="Q126" s="3">
        <v>99.33</v>
      </c>
      <c r="R126" s="3">
        <v>0.04</v>
      </c>
      <c r="S126">
        <v>2</v>
      </c>
      <c r="T126">
        <v>936.81</v>
      </c>
      <c r="U126">
        <v>92</v>
      </c>
      <c r="V126">
        <v>0</v>
      </c>
      <c r="W126">
        <v>337.31</v>
      </c>
      <c r="X126">
        <v>1639.82</v>
      </c>
      <c r="Y126" t="s">
        <v>31</v>
      </c>
      <c r="Z126" s="3">
        <v>1094.8900000000001</v>
      </c>
      <c r="AA126" t="s">
        <v>46</v>
      </c>
      <c r="AB126" t="s">
        <v>44</v>
      </c>
      <c r="AC126">
        <v>3.9</v>
      </c>
      <c r="AD126" t="s">
        <v>43</v>
      </c>
      <c r="AE126">
        <v>189.72</v>
      </c>
      <c r="AF126">
        <v>0</v>
      </c>
    </row>
    <row r="127" spans="3:32" x14ac:dyDescent="0.35">
      <c r="C127" s="1">
        <v>43526</v>
      </c>
      <c r="D127" s="2">
        <v>43525</v>
      </c>
      <c r="E127">
        <v>1078</v>
      </c>
      <c r="F127" s="3">
        <v>3924.66</v>
      </c>
      <c r="G127" s="3">
        <v>4744.72</v>
      </c>
      <c r="H127" s="3">
        <v>-820.06</v>
      </c>
      <c r="I127" s="3">
        <v>1.21</v>
      </c>
      <c r="J127">
        <v>0.12</v>
      </c>
      <c r="K127">
        <v>3243.02</v>
      </c>
      <c r="L127" t="s">
        <v>35</v>
      </c>
      <c r="M127">
        <v>661</v>
      </c>
      <c r="N127">
        <v>0.12</v>
      </c>
      <c r="O127" s="3">
        <v>409.49</v>
      </c>
      <c r="P127" s="3">
        <v>0.1</v>
      </c>
      <c r="Q127" s="3">
        <v>498.13</v>
      </c>
      <c r="R127" s="3">
        <v>0.13</v>
      </c>
      <c r="S127">
        <v>9</v>
      </c>
      <c r="T127">
        <v>802.58</v>
      </c>
      <c r="U127">
        <v>69</v>
      </c>
      <c r="V127">
        <v>0</v>
      </c>
      <c r="W127">
        <v>714.13</v>
      </c>
      <c r="X127">
        <v>2134.8200000000002</v>
      </c>
      <c r="Y127" t="s">
        <v>36</v>
      </c>
      <c r="Z127" s="3">
        <v>2072.27</v>
      </c>
      <c r="AA127" t="s">
        <v>40</v>
      </c>
      <c r="AB127" t="s">
        <v>42</v>
      </c>
      <c r="AC127">
        <v>99.4</v>
      </c>
      <c r="AD127" t="s">
        <v>38</v>
      </c>
      <c r="AE127">
        <v>0</v>
      </c>
      <c r="AF127">
        <v>0</v>
      </c>
    </row>
    <row r="128" spans="3:32" x14ac:dyDescent="0.35">
      <c r="C128" s="1">
        <v>43526</v>
      </c>
      <c r="D128" s="2">
        <v>43525</v>
      </c>
      <c r="E128">
        <v>1603</v>
      </c>
      <c r="F128" s="3">
        <v>1109.22</v>
      </c>
      <c r="G128" s="3">
        <v>4081.71</v>
      </c>
      <c r="H128" s="3">
        <v>-2972.49</v>
      </c>
      <c r="I128" s="3">
        <v>3.68</v>
      </c>
      <c r="J128">
        <v>0.27</v>
      </c>
      <c r="K128">
        <v>2530.9299999999998</v>
      </c>
      <c r="L128" t="s">
        <v>39</v>
      </c>
      <c r="M128">
        <v>819</v>
      </c>
      <c r="N128">
        <v>0.13</v>
      </c>
      <c r="O128" s="3">
        <v>304.89</v>
      </c>
      <c r="P128" s="3">
        <v>0.27</v>
      </c>
      <c r="Q128" s="3">
        <v>969.37</v>
      </c>
      <c r="R128" s="3">
        <v>0.87</v>
      </c>
      <c r="S128">
        <v>9</v>
      </c>
      <c r="T128">
        <v>403.16</v>
      </c>
      <c r="U128">
        <v>33</v>
      </c>
      <c r="V128">
        <v>0</v>
      </c>
      <c r="W128">
        <v>518.14</v>
      </c>
      <c r="X128">
        <v>2066.86</v>
      </c>
      <c r="Y128" t="s">
        <v>31</v>
      </c>
      <c r="Z128" s="3">
        <v>1038.55</v>
      </c>
      <c r="AA128" t="s">
        <v>47</v>
      </c>
      <c r="AB128" t="s">
        <v>33</v>
      </c>
      <c r="AC128">
        <v>71.599999999999994</v>
      </c>
      <c r="AD128" t="s">
        <v>38</v>
      </c>
      <c r="AE128">
        <v>0</v>
      </c>
      <c r="AF128">
        <v>0</v>
      </c>
    </row>
    <row r="129" spans="3:32" x14ac:dyDescent="0.35">
      <c r="C129" s="1">
        <v>43526</v>
      </c>
      <c r="D129" s="2">
        <v>43525</v>
      </c>
      <c r="E129">
        <v>1248</v>
      </c>
      <c r="F129" s="3">
        <v>2892.45</v>
      </c>
      <c r="G129" s="3">
        <v>2130.2600000000002</v>
      </c>
      <c r="H129" s="3">
        <v>762.19</v>
      </c>
      <c r="I129" s="3">
        <v>0.74</v>
      </c>
      <c r="J129">
        <v>0.2</v>
      </c>
      <c r="K129">
        <v>2538.2199999999998</v>
      </c>
      <c r="L129" t="s">
        <v>35</v>
      </c>
      <c r="M129">
        <v>729</v>
      </c>
      <c r="N129">
        <v>0.18</v>
      </c>
      <c r="O129" s="3">
        <v>638.77</v>
      </c>
      <c r="P129" s="3">
        <v>0.22</v>
      </c>
      <c r="Q129" s="3">
        <v>214.55</v>
      </c>
      <c r="R129" s="3">
        <v>7.0000000000000007E-2</v>
      </c>
      <c r="S129">
        <v>7</v>
      </c>
      <c r="T129">
        <v>1180.42</v>
      </c>
      <c r="U129">
        <v>92</v>
      </c>
      <c r="V129">
        <v>0</v>
      </c>
      <c r="W129">
        <v>658.61</v>
      </c>
      <c r="X129">
        <v>1907.56</v>
      </c>
      <c r="Y129" t="s">
        <v>36</v>
      </c>
      <c r="Z129" s="3">
        <v>656.83</v>
      </c>
      <c r="AA129" t="s">
        <v>41</v>
      </c>
      <c r="AB129" t="s">
        <v>44</v>
      </c>
      <c r="AC129">
        <v>61.8</v>
      </c>
      <c r="AD129" t="s">
        <v>34</v>
      </c>
      <c r="AE129">
        <v>762.19</v>
      </c>
      <c r="AF129">
        <v>0</v>
      </c>
    </row>
    <row r="130" spans="3:32" x14ac:dyDescent="0.35">
      <c r="C130" s="1">
        <v>43526</v>
      </c>
      <c r="D130" s="2">
        <v>43525</v>
      </c>
      <c r="E130">
        <v>1239</v>
      </c>
      <c r="F130" s="3">
        <v>3062.79</v>
      </c>
      <c r="G130" s="3">
        <v>3741.42</v>
      </c>
      <c r="H130" s="3">
        <v>-678.63</v>
      </c>
      <c r="I130" s="3">
        <v>1.22</v>
      </c>
      <c r="J130">
        <v>0.26</v>
      </c>
      <c r="K130">
        <v>3332.33</v>
      </c>
      <c r="L130" t="s">
        <v>30</v>
      </c>
      <c r="M130">
        <v>658</v>
      </c>
      <c r="N130">
        <v>0.4</v>
      </c>
      <c r="O130" s="3">
        <v>433.57</v>
      </c>
      <c r="P130" s="3">
        <v>0.14000000000000001</v>
      </c>
      <c r="Q130" s="3">
        <v>317.36</v>
      </c>
      <c r="R130" s="3">
        <v>0.1</v>
      </c>
      <c r="S130">
        <v>6</v>
      </c>
      <c r="T130">
        <v>620.82000000000005</v>
      </c>
      <c r="U130">
        <v>84</v>
      </c>
      <c r="V130">
        <v>0</v>
      </c>
      <c r="W130">
        <v>396.67</v>
      </c>
      <c r="X130">
        <v>2563.9</v>
      </c>
      <c r="Y130" t="s">
        <v>36</v>
      </c>
      <c r="Z130" s="3">
        <v>958.89</v>
      </c>
      <c r="AA130" t="s">
        <v>46</v>
      </c>
      <c r="AB130" t="s">
        <v>33</v>
      </c>
      <c r="AC130">
        <v>45.4</v>
      </c>
      <c r="AD130" t="s">
        <v>38</v>
      </c>
      <c r="AE130">
        <v>0</v>
      </c>
      <c r="AF130">
        <v>0</v>
      </c>
    </row>
    <row r="131" spans="3:32" x14ac:dyDescent="0.35">
      <c r="C131" s="1">
        <v>43526</v>
      </c>
      <c r="D131" s="2">
        <v>43525</v>
      </c>
      <c r="E131">
        <v>1606</v>
      </c>
      <c r="F131" s="3">
        <v>4103.22</v>
      </c>
      <c r="G131" s="3">
        <v>3408.33</v>
      </c>
      <c r="H131" s="3">
        <v>694.89</v>
      </c>
      <c r="I131" s="3">
        <v>0.83</v>
      </c>
      <c r="J131">
        <v>0.28000000000000003</v>
      </c>
      <c r="K131">
        <v>2797.94</v>
      </c>
      <c r="L131" t="s">
        <v>35</v>
      </c>
      <c r="M131">
        <v>649</v>
      </c>
      <c r="N131">
        <v>0.44</v>
      </c>
      <c r="O131" s="3">
        <v>571.91999999999996</v>
      </c>
      <c r="P131" s="3">
        <v>0.14000000000000001</v>
      </c>
      <c r="Q131" s="3">
        <v>543.42999999999995</v>
      </c>
      <c r="R131" s="3">
        <v>0.13</v>
      </c>
      <c r="S131">
        <v>3</v>
      </c>
      <c r="T131">
        <v>1782.3</v>
      </c>
      <c r="U131">
        <v>36</v>
      </c>
      <c r="V131">
        <v>0</v>
      </c>
      <c r="W131">
        <v>351.47</v>
      </c>
      <c r="X131">
        <v>1366.01</v>
      </c>
      <c r="Y131" t="s">
        <v>36</v>
      </c>
      <c r="Z131" s="3">
        <v>1442.99</v>
      </c>
      <c r="AA131" t="s">
        <v>48</v>
      </c>
      <c r="AB131" t="s">
        <v>33</v>
      </c>
      <c r="AC131">
        <v>9.9</v>
      </c>
      <c r="AD131" t="s">
        <v>34</v>
      </c>
      <c r="AE131">
        <v>694.89</v>
      </c>
      <c r="AF131">
        <v>0</v>
      </c>
    </row>
    <row r="132" spans="3:32" x14ac:dyDescent="0.35">
      <c r="C132" s="1">
        <v>43526</v>
      </c>
      <c r="D132" s="2">
        <v>43525</v>
      </c>
      <c r="E132">
        <v>1126</v>
      </c>
      <c r="F132" s="3">
        <v>2922.2</v>
      </c>
      <c r="G132" s="3">
        <v>2701.92</v>
      </c>
      <c r="H132" s="3">
        <v>220.28</v>
      </c>
      <c r="I132" s="3">
        <v>0.92</v>
      </c>
      <c r="J132">
        <v>0.2</v>
      </c>
      <c r="K132">
        <v>2673.81</v>
      </c>
      <c r="L132" t="s">
        <v>35</v>
      </c>
      <c r="M132">
        <v>612</v>
      </c>
      <c r="N132">
        <v>0.25</v>
      </c>
      <c r="O132" s="3">
        <v>544.74</v>
      </c>
      <c r="P132" s="3">
        <v>0.19</v>
      </c>
      <c r="Q132" s="3">
        <v>199.25</v>
      </c>
      <c r="R132" s="3">
        <v>7.0000000000000007E-2</v>
      </c>
      <c r="S132">
        <v>3</v>
      </c>
      <c r="T132">
        <v>1588.49</v>
      </c>
      <c r="U132">
        <v>90</v>
      </c>
      <c r="V132">
        <v>0</v>
      </c>
      <c r="W132">
        <v>649.32000000000005</v>
      </c>
      <c r="X132">
        <v>2203.48</v>
      </c>
      <c r="Y132" t="s">
        <v>36</v>
      </c>
      <c r="Z132" s="3">
        <v>941.17</v>
      </c>
      <c r="AA132" t="s">
        <v>40</v>
      </c>
      <c r="AB132" t="s">
        <v>44</v>
      </c>
      <c r="AC132">
        <v>7.7</v>
      </c>
      <c r="AD132" t="s">
        <v>34</v>
      </c>
      <c r="AE132">
        <v>220.28</v>
      </c>
      <c r="AF132">
        <v>0</v>
      </c>
    </row>
    <row r="133" spans="3:32" x14ac:dyDescent="0.35">
      <c r="C133" s="1">
        <v>43526</v>
      </c>
      <c r="D133" s="2">
        <v>43525</v>
      </c>
      <c r="E133">
        <v>1979</v>
      </c>
      <c r="F133" s="3">
        <v>5034.7700000000004</v>
      </c>
      <c r="G133" s="3">
        <v>4323.99</v>
      </c>
      <c r="H133" s="3">
        <v>710.78</v>
      </c>
      <c r="I133" s="3">
        <v>0.86</v>
      </c>
      <c r="J133">
        <v>0.27</v>
      </c>
      <c r="K133">
        <v>3518.1</v>
      </c>
      <c r="L133" t="s">
        <v>35</v>
      </c>
      <c r="M133">
        <v>669</v>
      </c>
      <c r="N133">
        <v>0.37</v>
      </c>
      <c r="O133" s="3">
        <v>596.82000000000005</v>
      </c>
      <c r="P133" s="3">
        <v>0.12</v>
      </c>
      <c r="Q133" s="3">
        <v>148.88</v>
      </c>
      <c r="R133" s="3">
        <v>0.03</v>
      </c>
      <c r="S133">
        <v>5</v>
      </c>
      <c r="T133">
        <v>1302.1500000000001</v>
      </c>
      <c r="U133">
        <v>82</v>
      </c>
      <c r="V133">
        <v>0</v>
      </c>
      <c r="W133">
        <v>631.48</v>
      </c>
      <c r="X133">
        <v>2350.9899999999998</v>
      </c>
      <c r="Y133" t="s">
        <v>36</v>
      </c>
      <c r="Z133" s="3">
        <v>1375.3</v>
      </c>
      <c r="AA133" t="s">
        <v>48</v>
      </c>
      <c r="AB133" t="s">
        <v>33</v>
      </c>
      <c r="AC133">
        <v>91.2</v>
      </c>
      <c r="AD133" t="s">
        <v>38</v>
      </c>
      <c r="AE133">
        <v>710.78</v>
      </c>
      <c r="AF133">
        <v>0</v>
      </c>
    </row>
    <row r="134" spans="3:32" x14ac:dyDescent="0.35">
      <c r="C134" s="1">
        <v>43526</v>
      </c>
      <c r="D134" s="2">
        <v>43525</v>
      </c>
      <c r="E134">
        <v>1338</v>
      </c>
      <c r="F134" s="3">
        <v>3507.87</v>
      </c>
      <c r="G134" s="3">
        <v>3621.6</v>
      </c>
      <c r="H134" s="3">
        <v>-113.73</v>
      </c>
      <c r="I134" s="3">
        <v>1.03</v>
      </c>
      <c r="J134">
        <v>0.33</v>
      </c>
      <c r="K134">
        <v>2824.73</v>
      </c>
      <c r="L134" t="s">
        <v>35</v>
      </c>
      <c r="M134">
        <v>664</v>
      </c>
      <c r="N134">
        <v>0.45</v>
      </c>
      <c r="O134" s="3">
        <v>469.28</v>
      </c>
      <c r="P134" s="3">
        <v>0.13</v>
      </c>
      <c r="Q134" s="3">
        <v>93.11</v>
      </c>
      <c r="R134" s="3">
        <v>0.03</v>
      </c>
      <c r="S134">
        <v>9</v>
      </c>
      <c r="T134">
        <v>1284.78</v>
      </c>
      <c r="U134">
        <v>89</v>
      </c>
      <c r="V134">
        <v>0</v>
      </c>
      <c r="W134">
        <v>461.26</v>
      </c>
      <c r="X134">
        <v>2388.92</v>
      </c>
      <c r="Y134" t="s">
        <v>36</v>
      </c>
      <c r="Z134" s="3">
        <v>1815.33</v>
      </c>
      <c r="AA134" t="s">
        <v>41</v>
      </c>
      <c r="AB134" t="s">
        <v>33</v>
      </c>
      <c r="AC134">
        <v>94.1</v>
      </c>
      <c r="AD134" t="s">
        <v>38</v>
      </c>
      <c r="AE134">
        <v>0</v>
      </c>
      <c r="AF134">
        <v>0</v>
      </c>
    </row>
    <row r="135" spans="3:32" x14ac:dyDescent="0.35">
      <c r="C135" s="1">
        <v>43526</v>
      </c>
      <c r="D135" s="2">
        <v>43525</v>
      </c>
      <c r="E135">
        <v>1072</v>
      </c>
      <c r="F135" s="3">
        <v>3983.19</v>
      </c>
      <c r="G135" s="3">
        <v>3076.82</v>
      </c>
      <c r="H135" s="3">
        <v>906.37</v>
      </c>
      <c r="I135" s="3">
        <v>0.77</v>
      </c>
      <c r="J135">
        <v>0.19</v>
      </c>
      <c r="K135">
        <v>2797.53</v>
      </c>
      <c r="L135" t="s">
        <v>35</v>
      </c>
      <c r="M135">
        <v>710</v>
      </c>
      <c r="N135">
        <v>0.54</v>
      </c>
      <c r="O135" s="3">
        <v>260</v>
      </c>
      <c r="P135" s="3">
        <v>7.0000000000000007E-2</v>
      </c>
      <c r="Q135" s="3">
        <v>638.45000000000005</v>
      </c>
      <c r="R135" s="3">
        <v>0.16</v>
      </c>
      <c r="S135">
        <v>2</v>
      </c>
      <c r="T135">
        <v>1171.68</v>
      </c>
      <c r="U135">
        <v>46</v>
      </c>
      <c r="V135">
        <v>0</v>
      </c>
      <c r="W135">
        <v>504.26</v>
      </c>
      <c r="X135">
        <v>3512.78</v>
      </c>
      <c r="Y135" t="s">
        <v>31</v>
      </c>
      <c r="Z135" s="3">
        <v>853.99</v>
      </c>
      <c r="AA135" t="s">
        <v>46</v>
      </c>
      <c r="AB135" t="s">
        <v>33</v>
      </c>
      <c r="AC135">
        <v>14.4</v>
      </c>
      <c r="AD135" t="s">
        <v>34</v>
      </c>
      <c r="AE135">
        <v>906.37</v>
      </c>
      <c r="AF135">
        <v>0</v>
      </c>
    </row>
    <row r="136" spans="3:32" x14ac:dyDescent="0.35">
      <c r="C136" s="1">
        <v>43526</v>
      </c>
      <c r="D136" s="2">
        <v>43525</v>
      </c>
      <c r="E136">
        <v>1858</v>
      </c>
      <c r="F136" s="3">
        <v>4073.39</v>
      </c>
      <c r="G136" s="3">
        <v>2577.81</v>
      </c>
      <c r="H136" s="3">
        <v>1495.58</v>
      </c>
      <c r="I136" s="3">
        <v>0.63</v>
      </c>
      <c r="J136">
        <v>0.06</v>
      </c>
      <c r="K136">
        <v>2657.95</v>
      </c>
      <c r="L136" t="s">
        <v>30</v>
      </c>
      <c r="M136">
        <v>681</v>
      </c>
      <c r="N136">
        <v>0.23</v>
      </c>
      <c r="O136" s="3">
        <v>313.39999999999998</v>
      </c>
      <c r="P136" s="3">
        <v>0.08</v>
      </c>
      <c r="Q136" s="3">
        <v>89.1</v>
      </c>
      <c r="R136" s="3">
        <v>0.02</v>
      </c>
      <c r="S136">
        <v>8</v>
      </c>
      <c r="T136">
        <v>0</v>
      </c>
      <c r="U136">
        <v>72</v>
      </c>
      <c r="V136">
        <v>0</v>
      </c>
      <c r="W136">
        <v>780.11</v>
      </c>
      <c r="X136">
        <v>1195.82</v>
      </c>
      <c r="Y136" t="s">
        <v>36</v>
      </c>
      <c r="Z136" s="3">
        <v>1151.1099999999999</v>
      </c>
      <c r="AA136" t="s">
        <v>41</v>
      </c>
      <c r="AB136" t="s">
        <v>33</v>
      </c>
      <c r="AC136">
        <v>5.0999999999999996</v>
      </c>
      <c r="AD136" t="s">
        <v>38</v>
      </c>
      <c r="AE136">
        <v>1495.58</v>
      </c>
      <c r="AF136">
        <v>0</v>
      </c>
    </row>
    <row r="137" spans="3:32" x14ac:dyDescent="0.35">
      <c r="C137" s="1">
        <v>43526</v>
      </c>
      <c r="D137" s="2">
        <v>43525</v>
      </c>
      <c r="E137">
        <v>1175</v>
      </c>
      <c r="F137" s="3">
        <v>4349.43</v>
      </c>
      <c r="G137" s="3">
        <v>1616.64</v>
      </c>
      <c r="H137" s="3">
        <v>2732.79</v>
      </c>
      <c r="I137" s="3">
        <v>0.37</v>
      </c>
      <c r="J137">
        <v>0.16</v>
      </c>
      <c r="K137">
        <v>2988.51</v>
      </c>
      <c r="L137" t="s">
        <v>35</v>
      </c>
      <c r="M137">
        <v>666</v>
      </c>
      <c r="N137">
        <v>0.26</v>
      </c>
      <c r="O137" s="3">
        <v>647.78</v>
      </c>
      <c r="P137" s="3">
        <v>0.15</v>
      </c>
      <c r="Q137" s="3">
        <v>428.98</v>
      </c>
      <c r="R137" s="3">
        <v>0.1</v>
      </c>
      <c r="S137">
        <v>7</v>
      </c>
      <c r="T137">
        <v>1234.3599999999999</v>
      </c>
      <c r="U137">
        <v>32</v>
      </c>
      <c r="V137">
        <v>0</v>
      </c>
      <c r="W137">
        <v>454.94</v>
      </c>
      <c r="X137">
        <v>2144.88</v>
      </c>
      <c r="Y137" t="s">
        <v>36</v>
      </c>
      <c r="Z137" s="3">
        <v>573.25</v>
      </c>
      <c r="AA137" t="s">
        <v>46</v>
      </c>
      <c r="AB137" t="s">
        <v>33</v>
      </c>
      <c r="AC137">
        <v>36.200000000000003</v>
      </c>
      <c r="AD137" t="s">
        <v>38</v>
      </c>
      <c r="AE137">
        <v>2732.79</v>
      </c>
      <c r="AF137">
        <v>0</v>
      </c>
    </row>
    <row r="138" spans="3:32" x14ac:dyDescent="0.35">
      <c r="C138" s="1">
        <v>43526</v>
      </c>
      <c r="D138" s="2">
        <v>43525</v>
      </c>
      <c r="E138">
        <v>1453</v>
      </c>
      <c r="F138" s="3">
        <v>4867.21</v>
      </c>
      <c r="G138" s="3">
        <v>3799.02</v>
      </c>
      <c r="H138" s="3">
        <v>1068.19</v>
      </c>
      <c r="I138" s="3">
        <v>0.78</v>
      </c>
      <c r="J138">
        <v>7.0000000000000007E-2</v>
      </c>
      <c r="K138">
        <v>2751.63</v>
      </c>
      <c r="L138" t="s">
        <v>35</v>
      </c>
      <c r="M138">
        <v>641</v>
      </c>
      <c r="N138">
        <v>0.6</v>
      </c>
      <c r="O138" s="3">
        <v>226.61</v>
      </c>
      <c r="P138" s="3">
        <v>0.05</v>
      </c>
      <c r="Q138" s="3">
        <v>720.47</v>
      </c>
      <c r="R138" s="3">
        <v>0.15</v>
      </c>
      <c r="S138">
        <v>6</v>
      </c>
      <c r="T138">
        <v>417.11</v>
      </c>
      <c r="U138">
        <v>75</v>
      </c>
      <c r="V138">
        <v>0</v>
      </c>
      <c r="W138">
        <v>269.39999999999998</v>
      </c>
      <c r="X138">
        <v>1912.13</v>
      </c>
      <c r="Y138" t="s">
        <v>31</v>
      </c>
      <c r="Z138" s="3">
        <v>1366.28</v>
      </c>
      <c r="AA138" t="s">
        <v>46</v>
      </c>
      <c r="AB138" t="s">
        <v>33</v>
      </c>
      <c r="AC138">
        <v>80.7</v>
      </c>
      <c r="AD138" t="s">
        <v>34</v>
      </c>
      <c r="AE138">
        <v>1068.19</v>
      </c>
      <c r="AF138">
        <v>0</v>
      </c>
    </row>
    <row r="139" spans="3:32" x14ac:dyDescent="0.35">
      <c r="C139" s="1">
        <v>43526</v>
      </c>
      <c r="D139" s="2">
        <v>43525</v>
      </c>
      <c r="E139">
        <v>1643</v>
      </c>
      <c r="F139" s="3">
        <v>3117.18</v>
      </c>
      <c r="G139" s="3">
        <v>3741.47</v>
      </c>
      <c r="H139" s="3">
        <v>-624.29</v>
      </c>
      <c r="I139" s="3">
        <v>1.2</v>
      </c>
      <c r="J139">
        <v>0.15</v>
      </c>
      <c r="K139">
        <v>3422.66</v>
      </c>
      <c r="L139" t="s">
        <v>35</v>
      </c>
      <c r="M139">
        <v>674</v>
      </c>
      <c r="N139">
        <v>0.48</v>
      </c>
      <c r="O139" s="3">
        <v>316.54000000000002</v>
      </c>
      <c r="P139" s="3">
        <v>0.1</v>
      </c>
      <c r="Q139" s="3">
        <v>275.23</v>
      </c>
      <c r="R139" s="3">
        <v>0.09</v>
      </c>
      <c r="S139">
        <v>6</v>
      </c>
      <c r="T139">
        <v>576.59</v>
      </c>
      <c r="U139">
        <v>81</v>
      </c>
      <c r="V139">
        <v>0</v>
      </c>
      <c r="W139">
        <v>624.03</v>
      </c>
      <c r="X139">
        <v>2316.0300000000002</v>
      </c>
      <c r="Y139" t="s">
        <v>31</v>
      </c>
      <c r="Z139" s="3">
        <v>1476.23</v>
      </c>
      <c r="AA139" t="s">
        <v>47</v>
      </c>
      <c r="AB139" t="s">
        <v>33</v>
      </c>
      <c r="AC139">
        <v>26.5</v>
      </c>
      <c r="AD139" t="s">
        <v>34</v>
      </c>
      <c r="AE139">
        <v>0</v>
      </c>
      <c r="AF139">
        <v>0</v>
      </c>
    </row>
    <row r="140" spans="3:32" x14ac:dyDescent="0.35">
      <c r="C140" s="1">
        <v>43526</v>
      </c>
      <c r="D140" s="2">
        <v>43525</v>
      </c>
      <c r="E140">
        <v>1371</v>
      </c>
      <c r="F140" s="3">
        <v>3598.81</v>
      </c>
      <c r="G140" s="3">
        <v>2170.71</v>
      </c>
      <c r="H140" s="3">
        <v>1428.1</v>
      </c>
      <c r="I140" s="3">
        <v>0.6</v>
      </c>
      <c r="J140">
        <v>0.32</v>
      </c>
      <c r="K140">
        <v>3540.89</v>
      </c>
      <c r="L140" t="s">
        <v>35</v>
      </c>
      <c r="M140">
        <v>634</v>
      </c>
      <c r="N140">
        <v>0.17</v>
      </c>
      <c r="O140" s="3">
        <v>193.44</v>
      </c>
      <c r="P140" s="3">
        <v>0.05</v>
      </c>
      <c r="Q140" s="3">
        <v>243.45</v>
      </c>
      <c r="R140" s="3">
        <v>7.0000000000000007E-2</v>
      </c>
      <c r="S140">
        <v>3</v>
      </c>
      <c r="T140">
        <v>1459.11</v>
      </c>
      <c r="U140">
        <v>45</v>
      </c>
      <c r="V140">
        <v>0</v>
      </c>
      <c r="W140">
        <v>661.59</v>
      </c>
      <c r="X140">
        <v>2832.13</v>
      </c>
      <c r="Y140" t="s">
        <v>36</v>
      </c>
      <c r="Z140" s="3">
        <v>673.24</v>
      </c>
      <c r="AA140" t="s">
        <v>41</v>
      </c>
      <c r="AB140" t="s">
        <v>33</v>
      </c>
      <c r="AC140">
        <v>36.700000000000003</v>
      </c>
      <c r="AD140" t="s">
        <v>34</v>
      </c>
      <c r="AE140">
        <v>1428.1</v>
      </c>
      <c r="AF140">
        <v>0</v>
      </c>
    </row>
    <row r="141" spans="3:32" x14ac:dyDescent="0.35">
      <c r="C141" s="1">
        <v>43526</v>
      </c>
      <c r="D141" s="2">
        <v>43525</v>
      </c>
      <c r="E141">
        <v>1098</v>
      </c>
      <c r="F141" s="3">
        <v>4662.97</v>
      </c>
      <c r="G141" s="3">
        <v>3417.66</v>
      </c>
      <c r="H141" s="3">
        <v>1245.31</v>
      </c>
      <c r="I141" s="3">
        <v>0.73</v>
      </c>
      <c r="J141">
        <v>0.08</v>
      </c>
      <c r="K141">
        <v>3560.39</v>
      </c>
      <c r="L141" t="s">
        <v>35</v>
      </c>
      <c r="M141">
        <v>732</v>
      </c>
      <c r="N141">
        <v>0.25</v>
      </c>
      <c r="O141" s="3">
        <v>744.83</v>
      </c>
      <c r="P141" s="3">
        <v>0.16</v>
      </c>
      <c r="Q141" s="3">
        <v>576</v>
      </c>
      <c r="R141" s="3">
        <v>0.12</v>
      </c>
      <c r="S141">
        <v>4</v>
      </c>
      <c r="T141">
        <v>438.31</v>
      </c>
      <c r="U141">
        <v>69</v>
      </c>
      <c r="V141">
        <v>0</v>
      </c>
      <c r="W141">
        <v>338.79</v>
      </c>
      <c r="X141">
        <v>2004.38</v>
      </c>
      <c r="Y141" t="s">
        <v>49</v>
      </c>
      <c r="Z141" s="3">
        <v>982.79</v>
      </c>
      <c r="AA141" t="s">
        <v>41</v>
      </c>
      <c r="AB141" t="s">
        <v>33</v>
      </c>
      <c r="AC141">
        <v>31.4</v>
      </c>
      <c r="AD141" t="s">
        <v>43</v>
      </c>
      <c r="AE141">
        <v>1245.31</v>
      </c>
      <c r="AF141">
        <v>0</v>
      </c>
    </row>
    <row r="142" spans="3:32" x14ac:dyDescent="0.35">
      <c r="C142" s="1">
        <v>43526</v>
      </c>
      <c r="D142" s="2">
        <v>43525</v>
      </c>
      <c r="E142">
        <v>1795</v>
      </c>
      <c r="F142" s="3">
        <v>3643.19</v>
      </c>
      <c r="G142" s="3">
        <v>2620.77</v>
      </c>
      <c r="H142" s="3">
        <v>1022.42</v>
      </c>
      <c r="I142" s="3">
        <v>0.72</v>
      </c>
      <c r="J142">
        <v>0.36</v>
      </c>
      <c r="K142">
        <v>3156.53</v>
      </c>
      <c r="L142" t="s">
        <v>35</v>
      </c>
      <c r="M142">
        <v>662</v>
      </c>
      <c r="N142">
        <v>0.45</v>
      </c>
      <c r="O142" s="3">
        <v>355.39</v>
      </c>
      <c r="P142" s="3">
        <v>0.1</v>
      </c>
      <c r="Q142" s="3">
        <v>302.54000000000002</v>
      </c>
      <c r="R142" s="3">
        <v>0.08</v>
      </c>
      <c r="S142">
        <v>2</v>
      </c>
      <c r="T142">
        <v>1024.6500000000001</v>
      </c>
      <c r="U142">
        <v>31</v>
      </c>
      <c r="V142">
        <v>0</v>
      </c>
      <c r="W142">
        <v>369.29</v>
      </c>
      <c r="X142">
        <v>2810.98</v>
      </c>
      <c r="Y142" t="s">
        <v>36</v>
      </c>
      <c r="Z142" s="3">
        <v>1314.64</v>
      </c>
      <c r="AA142" t="s">
        <v>37</v>
      </c>
      <c r="AB142" t="s">
        <v>33</v>
      </c>
      <c r="AC142">
        <v>88.1</v>
      </c>
      <c r="AD142" t="s">
        <v>34</v>
      </c>
      <c r="AE142">
        <v>1022.42</v>
      </c>
      <c r="AF142">
        <v>0</v>
      </c>
    </row>
    <row r="143" spans="3:32" x14ac:dyDescent="0.35">
      <c r="C143" s="1">
        <v>43526</v>
      </c>
      <c r="D143" s="2">
        <v>43525</v>
      </c>
      <c r="E143">
        <v>1317</v>
      </c>
      <c r="F143" s="3">
        <v>3936.26</v>
      </c>
      <c r="G143" s="3">
        <v>3042.8</v>
      </c>
      <c r="H143" s="3">
        <v>893.46</v>
      </c>
      <c r="I143" s="3">
        <v>0.77</v>
      </c>
      <c r="J143">
        <v>0.11</v>
      </c>
      <c r="K143">
        <v>3555.77</v>
      </c>
      <c r="L143" t="s">
        <v>30</v>
      </c>
      <c r="M143">
        <v>689</v>
      </c>
      <c r="N143">
        <v>0.12</v>
      </c>
      <c r="O143" s="3">
        <v>229.36</v>
      </c>
      <c r="P143" s="3">
        <v>0.06</v>
      </c>
      <c r="Q143" s="3">
        <v>332.26</v>
      </c>
      <c r="R143" s="3">
        <v>0.08</v>
      </c>
      <c r="S143">
        <v>7</v>
      </c>
      <c r="T143">
        <v>640.44000000000005</v>
      </c>
      <c r="U143">
        <v>60</v>
      </c>
      <c r="V143">
        <v>0</v>
      </c>
      <c r="W143">
        <v>622.49</v>
      </c>
      <c r="X143">
        <v>2325.4499999999998</v>
      </c>
      <c r="Y143" t="s">
        <v>36</v>
      </c>
      <c r="Z143" s="3">
        <v>530.13</v>
      </c>
      <c r="AA143" t="s">
        <v>45</v>
      </c>
      <c r="AB143" t="s">
        <v>33</v>
      </c>
      <c r="AC143">
        <v>46.3</v>
      </c>
      <c r="AD143" t="s">
        <v>34</v>
      </c>
      <c r="AE143">
        <v>893.46</v>
      </c>
      <c r="AF143">
        <v>0</v>
      </c>
    </row>
    <row r="144" spans="3:32" x14ac:dyDescent="0.35">
      <c r="C144" s="1">
        <v>43526</v>
      </c>
      <c r="D144" s="2">
        <v>43525</v>
      </c>
      <c r="E144">
        <v>1473</v>
      </c>
      <c r="F144" s="3">
        <v>4151.46</v>
      </c>
      <c r="G144" s="3">
        <v>3541.05</v>
      </c>
      <c r="H144" s="3">
        <v>610.41</v>
      </c>
      <c r="I144" s="3">
        <v>0.85</v>
      </c>
      <c r="J144">
        <v>0.23</v>
      </c>
      <c r="K144">
        <v>3630.87</v>
      </c>
      <c r="L144" t="s">
        <v>35</v>
      </c>
      <c r="M144">
        <v>732</v>
      </c>
      <c r="N144">
        <v>0.5</v>
      </c>
      <c r="O144" s="3">
        <v>315.70999999999998</v>
      </c>
      <c r="P144" s="3">
        <v>0.08</v>
      </c>
      <c r="Q144" s="3">
        <v>285.31</v>
      </c>
      <c r="R144" s="3">
        <v>7.0000000000000007E-2</v>
      </c>
      <c r="S144">
        <v>8</v>
      </c>
      <c r="T144">
        <v>1815.24</v>
      </c>
      <c r="U144">
        <v>68</v>
      </c>
      <c r="V144">
        <v>0</v>
      </c>
      <c r="W144">
        <v>1001.6</v>
      </c>
      <c r="X144">
        <v>2338.6799999999998</v>
      </c>
      <c r="Y144" t="s">
        <v>36</v>
      </c>
      <c r="Z144" s="3">
        <v>948.78</v>
      </c>
      <c r="AA144" t="s">
        <v>46</v>
      </c>
      <c r="AB144" t="s">
        <v>33</v>
      </c>
      <c r="AC144">
        <v>96.3</v>
      </c>
      <c r="AD144" t="s">
        <v>43</v>
      </c>
      <c r="AE144">
        <v>610.41</v>
      </c>
      <c r="AF144">
        <v>0</v>
      </c>
    </row>
    <row r="145" spans="3:32" x14ac:dyDescent="0.35">
      <c r="C145" s="1">
        <v>43526</v>
      </c>
      <c r="D145" s="2">
        <v>43525</v>
      </c>
      <c r="E145">
        <v>1773</v>
      </c>
      <c r="F145" s="3">
        <v>4523.3100000000004</v>
      </c>
      <c r="G145" s="3">
        <v>2253.1799999999998</v>
      </c>
      <c r="H145" s="3">
        <v>2270.13</v>
      </c>
      <c r="I145" s="3">
        <v>0.5</v>
      </c>
      <c r="J145">
        <v>0.4</v>
      </c>
      <c r="K145">
        <v>2626.34</v>
      </c>
      <c r="L145" t="s">
        <v>35</v>
      </c>
      <c r="M145">
        <v>686</v>
      </c>
      <c r="N145">
        <v>0.5</v>
      </c>
      <c r="O145" s="3">
        <v>224.37</v>
      </c>
      <c r="P145" s="3">
        <v>0.05</v>
      </c>
      <c r="Q145" s="3">
        <v>308.39999999999998</v>
      </c>
      <c r="R145" s="3">
        <v>7.0000000000000007E-2</v>
      </c>
      <c r="S145">
        <v>2</v>
      </c>
      <c r="T145">
        <v>895.96</v>
      </c>
      <c r="U145">
        <v>83</v>
      </c>
      <c r="V145">
        <v>0</v>
      </c>
      <c r="W145">
        <v>560.83000000000004</v>
      </c>
      <c r="X145">
        <v>2474.42</v>
      </c>
      <c r="Y145" t="s">
        <v>36</v>
      </c>
      <c r="Z145" s="3">
        <v>1837.08</v>
      </c>
      <c r="AA145" t="s">
        <v>50</v>
      </c>
      <c r="AB145" t="s">
        <v>33</v>
      </c>
      <c r="AC145">
        <v>29.4</v>
      </c>
      <c r="AD145" t="s">
        <v>43</v>
      </c>
      <c r="AE145">
        <v>2270.13</v>
      </c>
      <c r="AF145">
        <v>0</v>
      </c>
    </row>
    <row r="146" spans="3:32" x14ac:dyDescent="0.35">
      <c r="C146" s="1">
        <v>43526</v>
      </c>
      <c r="D146" s="2">
        <v>43525</v>
      </c>
      <c r="E146">
        <v>1649</v>
      </c>
      <c r="F146" s="3">
        <v>2951.86</v>
      </c>
      <c r="G146" s="3">
        <v>2845.98</v>
      </c>
      <c r="H146" s="3">
        <v>105.88</v>
      </c>
      <c r="I146" s="3">
        <v>0.96</v>
      </c>
      <c r="J146">
        <v>0.08</v>
      </c>
      <c r="K146">
        <v>2399.6799999999998</v>
      </c>
      <c r="L146" t="s">
        <v>35</v>
      </c>
      <c r="M146">
        <v>681</v>
      </c>
      <c r="N146">
        <v>0.52</v>
      </c>
      <c r="O146" s="3">
        <v>595.52</v>
      </c>
      <c r="P146" s="3">
        <v>0.2</v>
      </c>
      <c r="Q146" s="3">
        <v>292.49</v>
      </c>
      <c r="R146" s="3">
        <v>0.1</v>
      </c>
      <c r="S146">
        <v>1</v>
      </c>
      <c r="T146">
        <v>782.87</v>
      </c>
      <c r="U146">
        <v>32</v>
      </c>
      <c r="V146">
        <v>0</v>
      </c>
      <c r="W146">
        <v>706.91</v>
      </c>
      <c r="X146">
        <v>2205.7800000000002</v>
      </c>
      <c r="Y146" t="s">
        <v>49</v>
      </c>
      <c r="Z146" s="3">
        <v>1419.89</v>
      </c>
      <c r="AA146" t="s">
        <v>32</v>
      </c>
      <c r="AB146" t="s">
        <v>33</v>
      </c>
      <c r="AC146">
        <v>39.5</v>
      </c>
      <c r="AD146" t="s">
        <v>34</v>
      </c>
      <c r="AE146">
        <v>105.88</v>
      </c>
      <c r="AF146">
        <v>0</v>
      </c>
    </row>
    <row r="147" spans="3:32" x14ac:dyDescent="0.35">
      <c r="C147" s="1">
        <v>43526</v>
      </c>
      <c r="D147" s="2">
        <v>43525</v>
      </c>
      <c r="E147">
        <v>1565</v>
      </c>
      <c r="F147" s="3">
        <v>2801.61</v>
      </c>
      <c r="G147" s="3">
        <v>2670.41</v>
      </c>
      <c r="H147" s="3">
        <v>131.19999999999999</v>
      </c>
      <c r="I147" s="3">
        <v>0.95</v>
      </c>
      <c r="J147">
        <v>0.26</v>
      </c>
      <c r="K147">
        <v>2077.1799999999998</v>
      </c>
      <c r="L147" t="s">
        <v>35</v>
      </c>
      <c r="M147">
        <v>691</v>
      </c>
      <c r="N147">
        <v>0.4</v>
      </c>
      <c r="O147" s="3">
        <v>618.37</v>
      </c>
      <c r="P147" s="3">
        <v>0.22</v>
      </c>
      <c r="Q147" s="3">
        <v>467.35</v>
      </c>
      <c r="R147" s="3">
        <v>0.17</v>
      </c>
      <c r="S147">
        <v>4</v>
      </c>
      <c r="T147">
        <v>827.78</v>
      </c>
      <c r="U147">
        <v>87</v>
      </c>
      <c r="V147">
        <v>0</v>
      </c>
      <c r="W147">
        <v>380.34</v>
      </c>
      <c r="X147">
        <v>2691.71</v>
      </c>
      <c r="Y147" t="s">
        <v>49</v>
      </c>
      <c r="Z147" s="3">
        <v>1243.24</v>
      </c>
      <c r="AA147" t="s">
        <v>32</v>
      </c>
      <c r="AB147" t="s">
        <v>33</v>
      </c>
      <c r="AC147">
        <v>47.9</v>
      </c>
      <c r="AD147" t="s">
        <v>43</v>
      </c>
      <c r="AE147">
        <v>131.19999999999999</v>
      </c>
      <c r="AF147">
        <v>0</v>
      </c>
    </row>
    <row r="148" spans="3:32" x14ac:dyDescent="0.35">
      <c r="C148" s="1">
        <v>43526</v>
      </c>
      <c r="D148" s="2">
        <v>43525</v>
      </c>
      <c r="E148">
        <v>1419</v>
      </c>
      <c r="F148" s="3">
        <v>4597.8</v>
      </c>
      <c r="G148" s="3">
        <v>1857.4</v>
      </c>
      <c r="H148" s="3">
        <v>2740.4</v>
      </c>
      <c r="I148" s="3">
        <v>0.4</v>
      </c>
      <c r="J148">
        <v>0.39</v>
      </c>
      <c r="K148">
        <v>3096.4</v>
      </c>
      <c r="L148" t="s">
        <v>35</v>
      </c>
      <c r="M148">
        <v>655</v>
      </c>
      <c r="N148">
        <v>0.21</v>
      </c>
      <c r="O148" s="3">
        <v>392.62</v>
      </c>
      <c r="P148" s="3">
        <v>0.09</v>
      </c>
      <c r="Q148" s="3">
        <v>188.99</v>
      </c>
      <c r="R148" s="3">
        <v>0.04</v>
      </c>
      <c r="S148">
        <v>7</v>
      </c>
      <c r="T148">
        <v>754.26</v>
      </c>
      <c r="U148">
        <v>68</v>
      </c>
      <c r="V148">
        <v>0</v>
      </c>
      <c r="W148">
        <v>666.97</v>
      </c>
      <c r="X148">
        <v>2620.23</v>
      </c>
      <c r="Y148" t="s">
        <v>36</v>
      </c>
      <c r="Z148" s="3">
        <v>1345.19</v>
      </c>
      <c r="AA148" t="s">
        <v>51</v>
      </c>
      <c r="AB148" t="s">
        <v>33</v>
      </c>
      <c r="AC148">
        <v>53</v>
      </c>
      <c r="AD148" t="s">
        <v>34</v>
      </c>
      <c r="AE148">
        <v>2740.4</v>
      </c>
      <c r="AF148">
        <v>0</v>
      </c>
    </row>
    <row r="149" spans="3:32" x14ac:dyDescent="0.35">
      <c r="C149" s="1">
        <v>43526</v>
      </c>
      <c r="D149" s="2">
        <v>43525</v>
      </c>
      <c r="E149">
        <v>1436</v>
      </c>
      <c r="F149" s="3">
        <v>5412.31</v>
      </c>
      <c r="G149" s="3">
        <v>1600.09</v>
      </c>
      <c r="H149" s="3">
        <v>3812.22</v>
      </c>
      <c r="I149" s="3">
        <v>0.3</v>
      </c>
      <c r="J149">
        <v>0.16</v>
      </c>
      <c r="K149">
        <v>3514.24</v>
      </c>
      <c r="L149" t="s">
        <v>35</v>
      </c>
      <c r="M149">
        <v>761</v>
      </c>
      <c r="N149">
        <v>0.47</v>
      </c>
      <c r="O149" s="3">
        <v>381.71</v>
      </c>
      <c r="P149" s="3">
        <v>7.0000000000000007E-2</v>
      </c>
      <c r="Q149" s="3">
        <v>371.93</v>
      </c>
      <c r="R149" s="3">
        <v>7.0000000000000007E-2</v>
      </c>
      <c r="S149">
        <v>8</v>
      </c>
      <c r="T149">
        <v>1012.52</v>
      </c>
      <c r="U149">
        <v>87</v>
      </c>
      <c r="V149">
        <v>0</v>
      </c>
      <c r="W149">
        <v>485.92</v>
      </c>
      <c r="X149">
        <v>2238</v>
      </c>
      <c r="Y149" t="s">
        <v>36</v>
      </c>
      <c r="Z149" s="3">
        <v>872.1</v>
      </c>
      <c r="AA149" t="s">
        <v>40</v>
      </c>
      <c r="AB149" t="s">
        <v>42</v>
      </c>
      <c r="AC149">
        <v>42.9</v>
      </c>
      <c r="AD149" t="s">
        <v>43</v>
      </c>
      <c r="AE149">
        <v>3812.22</v>
      </c>
      <c r="AF149">
        <v>1</v>
      </c>
    </row>
    <row r="150" spans="3:32" x14ac:dyDescent="0.35">
      <c r="C150" s="1">
        <v>43526</v>
      </c>
      <c r="D150" s="2">
        <v>43525</v>
      </c>
      <c r="E150">
        <v>1969</v>
      </c>
      <c r="F150" s="3">
        <v>4108.8599999999997</v>
      </c>
      <c r="G150" s="3">
        <v>2732.11</v>
      </c>
      <c r="H150" s="3">
        <v>1376.75</v>
      </c>
      <c r="I150" s="3">
        <v>0.66</v>
      </c>
      <c r="J150">
        <v>0.23</v>
      </c>
      <c r="K150">
        <v>2751.24</v>
      </c>
      <c r="L150" t="s">
        <v>35</v>
      </c>
      <c r="M150">
        <v>692</v>
      </c>
      <c r="N150">
        <v>0.23</v>
      </c>
      <c r="O150" s="3">
        <v>740.6</v>
      </c>
      <c r="P150" s="3">
        <v>0.18</v>
      </c>
      <c r="Q150" s="3">
        <v>533.59</v>
      </c>
      <c r="R150" s="3">
        <v>0.13</v>
      </c>
      <c r="S150">
        <v>1</v>
      </c>
      <c r="T150">
        <v>1005.95</v>
      </c>
      <c r="U150">
        <v>25</v>
      </c>
      <c r="V150">
        <v>0</v>
      </c>
      <c r="W150">
        <v>442.75</v>
      </c>
      <c r="X150">
        <v>3832.2</v>
      </c>
      <c r="Y150" t="s">
        <v>31</v>
      </c>
      <c r="Z150" s="3">
        <v>953.32</v>
      </c>
      <c r="AA150" t="s">
        <v>46</v>
      </c>
      <c r="AB150" t="s">
        <v>33</v>
      </c>
      <c r="AC150">
        <v>97.9</v>
      </c>
      <c r="AD150" t="s">
        <v>34</v>
      </c>
      <c r="AE150">
        <v>1376.75</v>
      </c>
      <c r="AF150">
        <v>0</v>
      </c>
    </row>
    <row r="151" spans="3:32" x14ac:dyDescent="0.35">
      <c r="C151" s="1">
        <v>43526</v>
      </c>
      <c r="D151" s="2">
        <v>43525</v>
      </c>
      <c r="E151">
        <v>1015</v>
      </c>
      <c r="F151" s="3">
        <v>4794.07</v>
      </c>
      <c r="G151" s="3">
        <v>2387.7199999999998</v>
      </c>
      <c r="H151" s="3">
        <v>2406.35</v>
      </c>
      <c r="I151" s="3">
        <v>0.5</v>
      </c>
      <c r="J151">
        <v>0.39</v>
      </c>
      <c r="K151">
        <v>2463</v>
      </c>
      <c r="L151" t="s">
        <v>39</v>
      </c>
      <c r="M151">
        <v>640</v>
      </c>
      <c r="N151">
        <v>0.28999999999999998</v>
      </c>
      <c r="O151" s="3">
        <v>353.47</v>
      </c>
      <c r="P151" s="3">
        <v>7.0000000000000007E-2</v>
      </c>
      <c r="Q151" s="3">
        <v>0</v>
      </c>
      <c r="R151" s="3">
        <v>0</v>
      </c>
      <c r="S151">
        <v>6</v>
      </c>
      <c r="T151">
        <v>1127.83</v>
      </c>
      <c r="U151">
        <v>44</v>
      </c>
      <c r="V151">
        <v>0</v>
      </c>
      <c r="W151">
        <v>495.9</v>
      </c>
      <c r="X151">
        <v>2294.8200000000002</v>
      </c>
      <c r="Y151" t="s">
        <v>31</v>
      </c>
      <c r="Z151" s="3">
        <v>1684.27</v>
      </c>
      <c r="AA151" t="s">
        <v>40</v>
      </c>
      <c r="AB151" t="s">
        <v>33</v>
      </c>
      <c r="AC151">
        <v>81.400000000000006</v>
      </c>
      <c r="AD151" t="s">
        <v>34</v>
      </c>
      <c r="AE151">
        <v>2406.35</v>
      </c>
      <c r="AF151">
        <v>0</v>
      </c>
    </row>
    <row r="152" spans="3:32" x14ac:dyDescent="0.35">
      <c r="C152" s="1">
        <v>43556</v>
      </c>
      <c r="D152" s="2">
        <v>43556</v>
      </c>
      <c r="E152">
        <v>1724</v>
      </c>
      <c r="F152" s="3">
        <v>3506.79</v>
      </c>
      <c r="G152" s="3">
        <v>2327.59</v>
      </c>
      <c r="H152" s="3">
        <v>1179.2</v>
      </c>
      <c r="I152" s="3">
        <v>0.66</v>
      </c>
      <c r="J152">
        <v>0.17</v>
      </c>
      <c r="K152">
        <v>3346.97</v>
      </c>
      <c r="L152" t="s">
        <v>35</v>
      </c>
      <c r="M152">
        <v>717</v>
      </c>
      <c r="N152">
        <v>0.16</v>
      </c>
      <c r="O152" s="3">
        <v>482.76</v>
      </c>
      <c r="P152" s="3">
        <v>0.14000000000000001</v>
      </c>
      <c r="Q152" s="3">
        <v>182.06</v>
      </c>
      <c r="R152" s="3">
        <v>0.05</v>
      </c>
      <c r="S152">
        <v>5</v>
      </c>
      <c r="T152">
        <v>227.37</v>
      </c>
      <c r="U152">
        <v>94</v>
      </c>
      <c r="V152">
        <v>0</v>
      </c>
      <c r="W152">
        <v>594.08000000000004</v>
      </c>
      <c r="X152">
        <v>1450.72</v>
      </c>
      <c r="Y152" t="s">
        <v>31</v>
      </c>
      <c r="Z152" s="3">
        <v>1155.6400000000001</v>
      </c>
      <c r="AA152" t="s">
        <v>48</v>
      </c>
      <c r="AB152" t="s">
        <v>33</v>
      </c>
      <c r="AC152">
        <v>74.5</v>
      </c>
      <c r="AD152" t="s">
        <v>34</v>
      </c>
      <c r="AE152">
        <v>1179.2</v>
      </c>
      <c r="AF152">
        <v>0</v>
      </c>
    </row>
    <row r="153" spans="3:32" x14ac:dyDescent="0.35">
      <c r="C153" s="1">
        <v>43556</v>
      </c>
      <c r="D153" s="2">
        <v>43556</v>
      </c>
      <c r="E153">
        <v>1855</v>
      </c>
      <c r="F153" s="3">
        <v>4838.6899999999996</v>
      </c>
      <c r="G153" s="3">
        <v>4392.42</v>
      </c>
      <c r="H153" s="3">
        <v>446.27</v>
      </c>
      <c r="I153" s="3">
        <v>0.91</v>
      </c>
      <c r="J153">
        <v>0.26</v>
      </c>
      <c r="K153">
        <v>3274.63</v>
      </c>
      <c r="L153" t="s">
        <v>39</v>
      </c>
      <c r="M153">
        <v>645</v>
      </c>
      <c r="N153">
        <v>0.5</v>
      </c>
      <c r="O153" s="3">
        <v>723.09</v>
      </c>
      <c r="P153" s="3">
        <v>0.15</v>
      </c>
      <c r="Q153" s="3">
        <v>919.03</v>
      </c>
      <c r="R153" s="3">
        <v>0.19</v>
      </c>
      <c r="S153">
        <v>7</v>
      </c>
      <c r="T153">
        <v>1226.78</v>
      </c>
      <c r="U153">
        <v>87</v>
      </c>
      <c r="V153">
        <v>0</v>
      </c>
      <c r="W153">
        <v>470.58</v>
      </c>
      <c r="X153">
        <v>1931.79</v>
      </c>
      <c r="Y153" t="s">
        <v>36</v>
      </c>
      <c r="Z153" s="3">
        <v>936.57</v>
      </c>
      <c r="AA153" t="s">
        <v>48</v>
      </c>
      <c r="AB153" t="s">
        <v>33</v>
      </c>
      <c r="AC153">
        <v>23.8</v>
      </c>
      <c r="AD153" t="s">
        <v>34</v>
      </c>
      <c r="AE153">
        <v>446.27</v>
      </c>
      <c r="AF153">
        <v>0</v>
      </c>
    </row>
    <row r="154" spans="3:32" x14ac:dyDescent="0.35">
      <c r="C154" s="1">
        <v>43556</v>
      </c>
      <c r="D154" s="2">
        <v>43556</v>
      </c>
      <c r="E154">
        <v>1333</v>
      </c>
      <c r="F154" s="3">
        <v>1947.27</v>
      </c>
      <c r="G154" s="3">
        <v>4457.3900000000003</v>
      </c>
      <c r="H154" s="3">
        <v>-2510.12</v>
      </c>
      <c r="I154" s="3">
        <v>2.29</v>
      </c>
      <c r="J154">
        <v>0.26</v>
      </c>
      <c r="K154">
        <v>2997.07</v>
      </c>
      <c r="L154" t="s">
        <v>35</v>
      </c>
      <c r="M154">
        <v>669</v>
      </c>
      <c r="N154">
        <v>0.46</v>
      </c>
      <c r="O154" s="3">
        <v>687.79</v>
      </c>
      <c r="P154" s="3">
        <v>0.35</v>
      </c>
      <c r="Q154" s="3">
        <v>596.46</v>
      </c>
      <c r="R154" s="3">
        <v>0.31</v>
      </c>
      <c r="S154">
        <v>8</v>
      </c>
      <c r="T154">
        <v>396.93</v>
      </c>
      <c r="U154">
        <v>25</v>
      </c>
      <c r="V154">
        <v>0</v>
      </c>
      <c r="W154">
        <v>162.88999999999999</v>
      </c>
      <c r="X154">
        <v>2171.38</v>
      </c>
      <c r="Y154" t="s">
        <v>36</v>
      </c>
      <c r="Z154" s="3">
        <v>1060.9100000000001</v>
      </c>
      <c r="AA154" t="s">
        <v>37</v>
      </c>
      <c r="AB154" t="s">
        <v>33</v>
      </c>
      <c r="AC154">
        <v>76.400000000000006</v>
      </c>
      <c r="AD154" t="s">
        <v>38</v>
      </c>
      <c r="AE154">
        <v>0</v>
      </c>
      <c r="AF154">
        <v>0</v>
      </c>
    </row>
    <row r="155" spans="3:32" x14ac:dyDescent="0.35">
      <c r="C155" s="1">
        <v>43556</v>
      </c>
      <c r="D155" s="2">
        <v>43556</v>
      </c>
      <c r="E155">
        <v>1928</v>
      </c>
      <c r="F155" s="3">
        <v>4721.1099999999997</v>
      </c>
      <c r="G155" s="3">
        <v>3425.31</v>
      </c>
      <c r="H155" s="3">
        <v>1295.8</v>
      </c>
      <c r="I155" s="3">
        <v>0.73</v>
      </c>
      <c r="J155">
        <v>0.21</v>
      </c>
      <c r="K155">
        <v>3193.98</v>
      </c>
      <c r="L155" t="s">
        <v>35</v>
      </c>
      <c r="M155">
        <v>688</v>
      </c>
      <c r="N155">
        <v>0.11</v>
      </c>
      <c r="O155" s="3">
        <v>335.82</v>
      </c>
      <c r="P155" s="3">
        <v>7.0000000000000007E-2</v>
      </c>
      <c r="Q155" s="3">
        <v>256.27999999999997</v>
      </c>
      <c r="R155" s="3">
        <v>0.05</v>
      </c>
      <c r="S155">
        <v>6</v>
      </c>
      <c r="T155">
        <v>1563.67</v>
      </c>
      <c r="U155">
        <v>97</v>
      </c>
      <c r="V155">
        <v>0</v>
      </c>
      <c r="W155">
        <v>632.74</v>
      </c>
      <c r="X155">
        <v>1726.92</v>
      </c>
      <c r="Y155" t="s">
        <v>36</v>
      </c>
      <c r="Z155" s="3">
        <v>1487.11</v>
      </c>
      <c r="AA155" t="s">
        <v>40</v>
      </c>
      <c r="AB155" t="s">
        <v>33</v>
      </c>
      <c r="AC155">
        <v>45.8</v>
      </c>
      <c r="AD155" t="s">
        <v>43</v>
      </c>
      <c r="AE155">
        <v>1295.8</v>
      </c>
      <c r="AF155">
        <v>0</v>
      </c>
    </row>
    <row r="156" spans="3:32" x14ac:dyDescent="0.35">
      <c r="C156" s="1">
        <v>43556</v>
      </c>
      <c r="D156" s="2">
        <v>43556</v>
      </c>
      <c r="E156">
        <v>1637</v>
      </c>
      <c r="F156" s="3">
        <v>2884.4</v>
      </c>
      <c r="G156" s="3">
        <v>2870.08</v>
      </c>
      <c r="H156" s="3">
        <v>14.32</v>
      </c>
      <c r="I156" s="3">
        <v>1</v>
      </c>
      <c r="J156">
        <v>0.33</v>
      </c>
      <c r="K156">
        <v>3144.62</v>
      </c>
      <c r="L156" t="s">
        <v>30</v>
      </c>
      <c r="M156">
        <v>707</v>
      </c>
      <c r="N156">
        <v>0.14000000000000001</v>
      </c>
      <c r="O156" s="3">
        <v>292.64</v>
      </c>
      <c r="P156" s="3">
        <v>0.1</v>
      </c>
      <c r="Q156" s="3">
        <v>654.29</v>
      </c>
      <c r="R156" s="3">
        <v>0.23</v>
      </c>
      <c r="S156">
        <v>5</v>
      </c>
      <c r="T156">
        <v>623.76</v>
      </c>
      <c r="U156">
        <v>30</v>
      </c>
      <c r="V156">
        <v>0</v>
      </c>
      <c r="W156">
        <v>544.29</v>
      </c>
      <c r="X156">
        <v>2324.0300000000002</v>
      </c>
      <c r="Y156" t="s">
        <v>31</v>
      </c>
      <c r="Z156" s="3">
        <v>924.24</v>
      </c>
      <c r="AA156" t="s">
        <v>47</v>
      </c>
      <c r="AB156" t="s">
        <v>42</v>
      </c>
      <c r="AC156">
        <v>33</v>
      </c>
      <c r="AD156" t="s">
        <v>34</v>
      </c>
      <c r="AE156">
        <v>14.32</v>
      </c>
      <c r="AF156">
        <v>0</v>
      </c>
    </row>
    <row r="157" spans="3:32" x14ac:dyDescent="0.35">
      <c r="C157" s="1">
        <v>43556</v>
      </c>
      <c r="D157" s="2">
        <v>43556</v>
      </c>
      <c r="E157">
        <v>1639</v>
      </c>
      <c r="F157" s="3">
        <v>4370.54</v>
      </c>
      <c r="G157" s="3">
        <v>3943.51</v>
      </c>
      <c r="H157" s="3">
        <v>427.03</v>
      </c>
      <c r="I157" s="3">
        <v>0.9</v>
      </c>
      <c r="J157">
        <v>0.06</v>
      </c>
      <c r="K157">
        <v>2581.08</v>
      </c>
      <c r="L157" t="s">
        <v>39</v>
      </c>
      <c r="M157">
        <v>736</v>
      </c>
      <c r="N157">
        <v>0.34</v>
      </c>
      <c r="O157" s="3">
        <v>499.46</v>
      </c>
      <c r="P157" s="3">
        <v>0.11</v>
      </c>
      <c r="Q157" s="3">
        <v>373.86</v>
      </c>
      <c r="R157" s="3">
        <v>0.09</v>
      </c>
      <c r="S157">
        <v>2</v>
      </c>
      <c r="T157">
        <v>998.29</v>
      </c>
      <c r="U157">
        <v>84</v>
      </c>
      <c r="V157">
        <v>0</v>
      </c>
      <c r="W157">
        <v>245.49</v>
      </c>
      <c r="X157">
        <v>1210.1400000000001</v>
      </c>
      <c r="Y157" t="s">
        <v>31</v>
      </c>
      <c r="Z157" s="3">
        <v>2088.46</v>
      </c>
      <c r="AA157" t="s">
        <v>40</v>
      </c>
      <c r="AB157" t="s">
        <v>44</v>
      </c>
      <c r="AC157">
        <v>11.6</v>
      </c>
      <c r="AD157" t="s">
        <v>34</v>
      </c>
      <c r="AE157">
        <v>427.03</v>
      </c>
      <c r="AF157">
        <v>0</v>
      </c>
    </row>
    <row r="158" spans="3:32" x14ac:dyDescent="0.35">
      <c r="C158" s="1">
        <v>43556</v>
      </c>
      <c r="D158" s="2">
        <v>43556</v>
      </c>
      <c r="E158">
        <v>1762</v>
      </c>
      <c r="F158" s="3">
        <v>4002.16</v>
      </c>
      <c r="G158" s="3">
        <v>1710.64</v>
      </c>
      <c r="H158" s="3">
        <v>2291.52</v>
      </c>
      <c r="I158" s="3">
        <v>0.43</v>
      </c>
      <c r="J158">
        <v>0.38</v>
      </c>
      <c r="K158">
        <v>3210.41</v>
      </c>
      <c r="L158" t="s">
        <v>35</v>
      </c>
      <c r="M158">
        <v>661</v>
      </c>
      <c r="N158">
        <v>0.16</v>
      </c>
      <c r="O158" s="3">
        <v>230.83</v>
      </c>
      <c r="P158" s="3">
        <v>0.06</v>
      </c>
      <c r="Q158" s="3">
        <v>572.38</v>
      </c>
      <c r="R158" s="3">
        <v>0.14000000000000001</v>
      </c>
      <c r="S158">
        <v>5</v>
      </c>
      <c r="T158">
        <v>1248.3800000000001</v>
      </c>
      <c r="U158">
        <v>94</v>
      </c>
      <c r="V158">
        <v>0</v>
      </c>
      <c r="W158">
        <v>425.66</v>
      </c>
      <c r="X158">
        <v>2977.8</v>
      </c>
      <c r="Y158" t="s">
        <v>36</v>
      </c>
      <c r="Z158" s="3">
        <v>1050.45</v>
      </c>
      <c r="AA158" t="s">
        <v>47</v>
      </c>
      <c r="AB158" t="s">
        <v>33</v>
      </c>
      <c r="AC158">
        <v>93.8</v>
      </c>
      <c r="AD158" t="s">
        <v>43</v>
      </c>
      <c r="AE158">
        <v>2291.52</v>
      </c>
      <c r="AF158">
        <v>0</v>
      </c>
    </row>
    <row r="159" spans="3:32" x14ac:dyDescent="0.35">
      <c r="C159" s="1">
        <v>43556</v>
      </c>
      <c r="D159" s="2">
        <v>43556</v>
      </c>
      <c r="E159">
        <v>1050</v>
      </c>
      <c r="F159" s="3">
        <v>3710.06</v>
      </c>
      <c r="G159" s="3">
        <v>3726.19</v>
      </c>
      <c r="H159" s="3">
        <v>-16.13</v>
      </c>
      <c r="I159" s="3">
        <v>1</v>
      </c>
      <c r="J159">
        <v>0.31</v>
      </c>
      <c r="K159">
        <v>2109.71</v>
      </c>
      <c r="L159" t="s">
        <v>35</v>
      </c>
      <c r="M159">
        <v>756</v>
      </c>
      <c r="N159">
        <v>0.13</v>
      </c>
      <c r="O159" s="3">
        <v>249.52</v>
      </c>
      <c r="P159" s="3">
        <v>7.0000000000000007E-2</v>
      </c>
      <c r="Q159" s="3">
        <v>376.76</v>
      </c>
      <c r="R159" s="3">
        <v>0.1</v>
      </c>
      <c r="S159">
        <v>1</v>
      </c>
      <c r="T159">
        <v>169.44</v>
      </c>
      <c r="U159">
        <v>76</v>
      </c>
      <c r="V159">
        <v>0</v>
      </c>
      <c r="W159">
        <v>424.2</v>
      </c>
      <c r="X159">
        <v>1894.23</v>
      </c>
      <c r="Y159" t="s">
        <v>36</v>
      </c>
      <c r="Z159" s="3">
        <v>928.37</v>
      </c>
      <c r="AA159" t="s">
        <v>47</v>
      </c>
      <c r="AB159" t="s">
        <v>44</v>
      </c>
      <c r="AC159">
        <v>88.1</v>
      </c>
      <c r="AD159" t="s">
        <v>43</v>
      </c>
      <c r="AE159">
        <v>0</v>
      </c>
      <c r="AF159">
        <v>0</v>
      </c>
    </row>
    <row r="160" spans="3:32" x14ac:dyDescent="0.35">
      <c r="C160" s="1">
        <v>43556</v>
      </c>
      <c r="D160" s="2">
        <v>43556</v>
      </c>
      <c r="E160">
        <v>1282</v>
      </c>
      <c r="F160" s="3">
        <v>5225.13</v>
      </c>
      <c r="G160" s="3">
        <v>5430.47</v>
      </c>
      <c r="H160" s="3">
        <v>-205.34</v>
      </c>
      <c r="I160" s="3">
        <v>1.04</v>
      </c>
      <c r="J160">
        <v>0.25</v>
      </c>
      <c r="K160">
        <v>2985.72</v>
      </c>
      <c r="L160" t="s">
        <v>35</v>
      </c>
      <c r="M160">
        <v>683</v>
      </c>
      <c r="N160">
        <v>0.41</v>
      </c>
      <c r="O160" s="3">
        <v>379.78</v>
      </c>
      <c r="P160" s="3">
        <v>7.0000000000000007E-2</v>
      </c>
      <c r="Q160" s="3">
        <v>567.92999999999995</v>
      </c>
      <c r="R160" s="3">
        <v>0.11</v>
      </c>
      <c r="S160">
        <v>5</v>
      </c>
      <c r="T160">
        <v>646.04999999999995</v>
      </c>
      <c r="U160">
        <v>95</v>
      </c>
      <c r="V160">
        <v>0</v>
      </c>
      <c r="W160">
        <v>283.04000000000002</v>
      </c>
      <c r="X160">
        <v>2643.3</v>
      </c>
      <c r="Y160" t="s">
        <v>36</v>
      </c>
      <c r="Z160" s="3">
        <v>1671.6</v>
      </c>
      <c r="AA160" t="s">
        <v>48</v>
      </c>
      <c r="AB160" t="s">
        <v>33</v>
      </c>
      <c r="AC160">
        <v>81.099999999999994</v>
      </c>
      <c r="AD160" t="s">
        <v>43</v>
      </c>
      <c r="AE160">
        <v>0</v>
      </c>
      <c r="AF160">
        <v>0</v>
      </c>
    </row>
    <row r="161" spans="3:32" x14ac:dyDescent="0.35">
      <c r="C161" s="1">
        <v>43556</v>
      </c>
      <c r="D161" s="2">
        <v>43556</v>
      </c>
      <c r="E161">
        <v>1764</v>
      </c>
      <c r="F161" s="3">
        <v>5301.95</v>
      </c>
      <c r="G161" s="3">
        <v>3270.09</v>
      </c>
      <c r="H161" s="3">
        <v>2031.86</v>
      </c>
      <c r="I161" s="3">
        <v>0.62</v>
      </c>
      <c r="J161">
        <v>0.25</v>
      </c>
      <c r="K161">
        <v>2599.15</v>
      </c>
      <c r="L161" t="s">
        <v>35</v>
      </c>
      <c r="M161">
        <v>667</v>
      </c>
      <c r="N161">
        <v>0.11</v>
      </c>
      <c r="O161" s="3">
        <v>473.21</v>
      </c>
      <c r="P161" s="3">
        <v>0.09</v>
      </c>
      <c r="Q161" s="3">
        <v>450.23</v>
      </c>
      <c r="R161" s="3">
        <v>0.08</v>
      </c>
      <c r="S161">
        <v>5</v>
      </c>
      <c r="T161">
        <v>1521.1</v>
      </c>
      <c r="U161">
        <v>34</v>
      </c>
      <c r="V161">
        <v>0</v>
      </c>
      <c r="W161">
        <v>663.53</v>
      </c>
      <c r="X161">
        <v>2359.83</v>
      </c>
      <c r="Y161" t="s">
        <v>36</v>
      </c>
      <c r="Z161" s="3">
        <v>1885.42</v>
      </c>
      <c r="AA161" t="s">
        <v>47</v>
      </c>
      <c r="AB161" t="s">
        <v>42</v>
      </c>
      <c r="AC161">
        <v>80.5</v>
      </c>
      <c r="AD161" t="s">
        <v>34</v>
      </c>
      <c r="AE161">
        <v>2031.86</v>
      </c>
      <c r="AF161">
        <v>0</v>
      </c>
    </row>
    <row r="162" spans="3:32" x14ac:dyDescent="0.35">
      <c r="C162" s="1">
        <v>43556</v>
      </c>
      <c r="D162" s="2">
        <v>43556</v>
      </c>
      <c r="E162">
        <v>1408</v>
      </c>
      <c r="F162" s="3">
        <v>4391.95</v>
      </c>
      <c r="G162" s="3">
        <v>4069.04</v>
      </c>
      <c r="H162" s="3">
        <v>322.91000000000003</v>
      </c>
      <c r="I162" s="3">
        <v>0.93</v>
      </c>
      <c r="J162">
        <v>0.31</v>
      </c>
      <c r="K162">
        <v>2806.62</v>
      </c>
      <c r="L162" t="s">
        <v>39</v>
      </c>
      <c r="M162">
        <v>680</v>
      </c>
      <c r="N162">
        <v>0.18</v>
      </c>
      <c r="O162" s="3">
        <v>552.95000000000005</v>
      </c>
      <c r="P162" s="3">
        <v>0.13</v>
      </c>
      <c r="Q162" s="3">
        <v>0</v>
      </c>
      <c r="R162" s="3">
        <v>0</v>
      </c>
      <c r="S162">
        <v>1</v>
      </c>
      <c r="T162">
        <v>288.36</v>
      </c>
      <c r="U162">
        <v>21</v>
      </c>
      <c r="V162">
        <v>0</v>
      </c>
      <c r="W162">
        <v>350.99</v>
      </c>
      <c r="X162">
        <v>3077.52</v>
      </c>
      <c r="Y162" t="s">
        <v>36</v>
      </c>
      <c r="Z162" s="3">
        <v>1179.31</v>
      </c>
      <c r="AA162" t="s">
        <v>41</v>
      </c>
      <c r="AB162" t="s">
        <v>33</v>
      </c>
      <c r="AC162">
        <v>69.2</v>
      </c>
      <c r="AD162" t="s">
        <v>34</v>
      </c>
      <c r="AE162">
        <v>322.91000000000003</v>
      </c>
      <c r="AF162">
        <v>0</v>
      </c>
    </row>
    <row r="163" spans="3:32" x14ac:dyDescent="0.35">
      <c r="C163" s="1">
        <v>43556</v>
      </c>
      <c r="D163" s="2">
        <v>43556</v>
      </c>
      <c r="E163">
        <v>1979</v>
      </c>
      <c r="F163" s="3">
        <v>3011.78</v>
      </c>
      <c r="G163" s="3">
        <v>3902.95</v>
      </c>
      <c r="H163" s="3">
        <v>-891.17</v>
      </c>
      <c r="I163" s="3">
        <v>1.3</v>
      </c>
      <c r="J163">
        <v>0.28999999999999998</v>
      </c>
      <c r="K163">
        <v>2872.22</v>
      </c>
      <c r="L163" t="s">
        <v>35</v>
      </c>
      <c r="M163">
        <v>727</v>
      </c>
      <c r="N163">
        <v>0.16</v>
      </c>
      <c r="O163" s="3">
        <v>851.09</v>
      </c>
      <c r="P163" s="3">
        <v>0.28000000000000003</v>
      </c>
      <c r="Q163" s="3">
        <v>0</v>
      </c>
      <c r="R163" s="3">
        <v>0</v>
      </c>
      <c r="S163">
        <v>6</v>
      </c>
      <c r="T163">
        <v>1016.8</v>
      </c>
      <c r="U163">
        <v>68</v>
      </c>
      <c r="V163">
        <v>0</v>
      </c>
      <c r="W163">
        <v>618.45000000000005</v>
      </c>
      <c r="X163">
        <v>2346.71</v>
      </c>
      <c r="Y163" t="s">
        <v>49</v>
      </c>
      <c r="Z163" s="3">
        <v>815.69</v>
      </c>
      <c r="AA163" t="s">
        <v>41</v>
      </c>
      <c r="AB163" t="s">
        <v>33</v>
      </c>
      <c r="AC163">
        <v>28.8</v>
      </c>
      <c r="AD163" t="s">
        <v>38</v>
      </c>
      <c r="AE163">
        <v>0</v>
      </c>
      <c r="AF163">
        <v>0</v>
      </c>
    </row>
    <row r="164" spans="3:32" x14ac:dyDescent="0.35">
      <c r="C164" s="1">
        <v>43556</v>
      </c>
      <c r="D164" s="2">
        <v>43556</v>
      </c>
      <c r="E164">
        <v>1789</v>
      </c>
      <c r="F164" s="3">
        <v>3975.15</v>
      </c>
      <c r="G164" s="3">
        <v>2748.29</v>
      </c>
      <c r="H164" s="3">
        <v>1226.8599999999999</v>
      </c>
      <c r="I164" s="3">
        <v>0.69</v>
      </c>
      <c r="J164">
        <v>0.11</v>
      </c>
      <c r="K164">
        <v>3153.14</v>
      </c>
      <c r="L164" t="s">
        <v>30</v>
      </c>
      <c r="M164">
        <v>687</v>
      </c>
      <c r="N164">
        <v>0.12</v>
      </c>
      <c r="O164" s="3">
        <v>576.52</v>
      </c>
      <c r="P164" s="3">
        <v>0.15</v>
      </c>
      <c r="Q164" s="3">
        <v>393.72</v>
      </c>
      <c r="R164" s="3">
        <v>0.1</v>
      </c>
      <c r="S164">
        <v>9</v>
      </c>
      <c r="T164">
        <v>1456.48</v>
      </c>
      <c r="U164">
        <v>92</v>
      </c>
      <c r="V164">
        <v>0</v>
      </c>
      <c r="W164">
        <v>686.99</v>
      </c>
      <c r="X164">
        <v>1533.61</v>
      </c>
      <c r="Y164" t="s">
        <v>36</v>
      </c>
      <c r="Z164" s="3">
        <v>1403.79</v>
      </c>
      <c r="AA164" t="s">
        <v>37</v>
      </c>
      <c r="AB164" t="s">
        <v>33</v>
      </c>
      <c r="AC164">
        <v>77.3</v>
      </c>
      <c r="AD164" t="s">
        <v>43</v>
      </c>
      <c r="AE164">
        <v>1226.8599999999999</v>
      </c>
      <c r="AF164">
        <v>0</v>
      </c>
    </row>
    <row r="165" spans="3:32" x14ac:dyDescent="0.35">
      <c r="C165" s="1">
        <v>43556</v>
      </c>
      <c r="D165" s="2">
        <v>43556</v>
      </c>
      <c r="E165">
        <v>1023</v>
      </c>
      <c r="F165" s="3">
        <v>3229.96</v>
      </c>
      <c r="G165" s="3">
        <v>3132.34</v>
      </c>
      <c r="H165" s="3">
        <v>97.62</v>
      </c>
      <c r="I165" s="3">
        <v>0.97</v>
      </c>
      <c r="J165">
        <v>0.12</v>
      </c>
      <c r="K165">
        <v>2598.2800000000002</v>
      </c>
      <c r="L165" t="s">
        <v>39</v>
      </c>
      <c r="M165">
        <v>619</v>
      </c>
      <c r="N165">
        <v>0.2</v>
      </c>
      <c r="O165" s="3">
        <v>446.65</v>
      </c>
      <c r="P165" s="3">
        <v>0.14000000000000001</v>
      </c>
      <c r="Q165" s="3">
        <v>163.61000000000001</v>
      </c>
      <c r="R165" s="3">
        <v>0.05</v>
      </c>
      <c r="S165">
        <v>7</v>
      </c>
      <c r="T165">
        <v>1339.18</v>
      </c>
      <c r="U165">
        <v>41</v>
      </c>
      <c r="V165">
        <v>0</v>
      </c>
      <c r="W165">
        <v>701.24</v>
      </c>
      <c r="X165">
        <v>2553.2800000000002</v>
      </c>
      <c r="Y165" t="s">
        <v>36</v>
      </c>
      <c r="Z165" s="3">
        <v>947.93</v>
      </c>
      <c r="AA165" t="s">
        <v>32</v>
      </c>
      <c r="AB165" t="s">
        <v>44</v>
      </c>
      <c r="AC165">
        <v>26.1</v>
      </c>
      <c r="AD165" t="s">
        <v>34</v>
      </c>
      <c r="AE165">
        <v>97.62</v>
      </c>
      <c r="AF165">
        <v>0</v>
      </c>
    </row>
    <row r="166" spans="3:32" x14ac:dyDescent="0.35">
      <c r="C166" s="1">
        <v>43556</v>
      </c>
      <c r="D166" s="2">
        <v>43556</v>
      </c>
      <c r="E166">
        <v>1341</v>
      </c>
      <c r="F166" s="3">
        <v>4180.17</v>
      </c>
      <c r="G166" s="3">
        <v>3072.94</v>
      </c>
      <c r="H166" s="3">
        <v>1107.23</v>
      </c>
      <c r="I166" s="3">
        <v>0.74</v>
      </c>
      <c r="J166">
        <v>0.28999999999999998</v>
      </c>
      <c r="K166">
        <v>3012.24</v>
      </c>
      <c r="L166" t="s">
        <v>35</v>
      </c>
      <c r="M166">
        <v>668</v>
      </c>
      <c r="N166">
        <v>0.33</v>
      </c>
      <c r="O166" s="3">
        <v>654.95000000000005</v>
      </c>
      <c r="P166" s="3">
        <v>0.16</v>
      </c>
      <c r="Q166" s="3">
        <v>123.39</v>
      </c>
      <c r="R166" s="3">
        <v>0.03</v>
      </c>
      <c r="S166">
        <v>6</v>
      </c>
      <c r="T166">
        <v>779.4</v>
      </c>
      <c r="U166">
        <v>68</v>
      </c>
      <c r="V166">
        <v>0</v>
      </c>
      <c r="W166">
        <v>626.95000000000005</v>
      </c>
      <c r="X166">
        <v>2732.29</v>
      </c>
      <c r="Y166" t="s">
        <v>36</v>
      </c>
      <c r="Z166" s="3">
        <v>1275.1300000000001</v>
      </c>
      <c r="AA166" t="s">
        <v>40</v>
      </c>
      <c r="AB166" t="s">
        <v>42</v>
      </c>
      <c r="AC166">
        <v>4.8</v>
      </c>
      <c r="AD166" t="s">
        <v>43</v>
      </c>
      <c r="AE166">
        <v>1107.23</v>
      </c>
      <c r="AF166">
        <v>0</v>
      </c>
    </row>
    <row r="167" spans="3:32" x14ac:dyDescent="0.35">
      <c r="C167" s="1">
        <v>43556</v>
      </c>
      <c r="D167" s="2">
        <v>43556</v>
      </c>
      <c r="E167">
        <v>1186</v>
      </c>
      <c r="F167" s="3">
        <v>5028.45</v>
      </c>
      <c r="G167" s="3">
        <v>4475.26</v>
      </c>
      <c r="H167" s="3">
        <v>553.19000000000005</v>
      </c>
      <c r="I167" s="3">
        <v>0.89</v>
      </c>
      <c r="J167">
        <v>0.22</v>
      </c>
      <c r="K167">
        <v>3113.11</v>
      </c>
      <c r="L167" t="s">
        <v>35</v>
      </c>
      <c r="M167">
        <v>699</v>
      </c>
      <c r="N167">
        <v>0.4</v>
      </c>
      <c r="O167" s="3">
        <v>1045.07</v>
      </c>
      <c r="P167" s="3">
        <v>0.21</v>
      </c>
      <c r="Q167" s="3">
        <v>171.64</v>
      </c>
      <c r="R167" s="3">
        <v>0.03</v>
      </c>
      <c r="S167">
        <v>1</v>
      </c>
      <c r="T167">
        <v>1305.32</v>
      </c>
      <c r="U167">
        <v>65</v>
      </c>
      <c r="V167">
        <v>0</v>
      </c>
      <c r="W167">
        <v>137.80000000000001</v>
      </c>
      <c r="X167">
        <v>2230.73</v>
      </c>
      <c r="Y167" t="s">
        <v>36</v>
      </c>
      <c r="Z167" s="3">
        <v>1632.32</v>
      </c>
      <c r="AA167" t="s">
        <v>46</v>
      </c>
      <c r="AB167" t="s">
        <v>42</v>
      </c>
      <c r="AC167">
        <v>35.9</v>
      </c>
      <c r="AD167" t="s">
        <v>38</v>
      </c>
      <c r="AE167">
        <v>553.19000000000005</v>
      </c>
      <c r="AF167">
        <v>0</v>
      </c>
    </row>
    <row r="168" spans="3:32" x14ac:dyDescent="0.35">
      <c r="C168" s="1">
        <v>43556</v>
      </c>
      <c r="D168" s="2">
        <v>43556</v>
      </c>
      <c r="E168">
        <v>1909</v>
      </c>
      <c r="F168" s="3">
        <v>6004.68</v>
      </c>
      <c r="G168" s="3">
        <v>2104.88</v>
      </c>
      <c r="H168" s="3">
        <v>3899.8</v>
      </c>
      <c r="I168" s="3">
        <v>0.35</v>
      </c>
      <c r="J168">
        <v>0.11</v>
      </c>
      <c r="K168">
        <v>2491.69</v>
      </c>
      <c r="L168" t="s">
        <v>30</v>
      </c>
      <c r="M168">
        <v>705</v>
      </c>
      <c r="N168">
        <v>0.37</v>
      </c>
      <c r="O168" s="3">
        <v>572.74</v>
      </c>
      <c r="P168" s="3">
        <v>0.1</v>
      </c>
      <c r="Q168" s="3">
        <v>778.81</v>
      </c>
      <c r="R168" s="3">
        <v>0.13</v>
      </c>
      <c r="S168">
        <v>1</v>
      </c>
      <c r="T168">
        <v>516.94000000000005</v>
      </c>
      <c r="U168">
        <v>26</v>
      </c>
      <c r="V168">
        <v>0</v>
      </c>
      <c r="W168">
        <v>548.12</v>
      </c>
      <c r="X168">
        <v>3097.25</v>
      </c>
      <c r="Y168" t="s">
        <v>31</v>
      </c>
      <c r="Z168" s="3">
        <v>300</v>
      </c>
      <c r="AA168" t="s">
        <v>32</v>
      </c>
      <c r="AB168" t="s">
        <v>44</v>
      </c>
      <c r="AC168">
        <v>11.3</v>
      </c>
      <c r="AD168" t="s">
        <v>34</v>
      </c>
      <c r="AE168">
        <v>3899.8</v>
      </c>
      <c r="AF168">
        <v>1</v>
      </c>
    </row>
    <row r="169" spans="3:32" x14ac:dyDescent="0.35">
      <c r="C169" s="1">
        <v>43556</v>
      </c>
      <c r="D169" s="2">
        <v>43556</v>
      </c>
      <c r="E169">
        <v>1060</v>
      </c>
      <c r="F169" s="3">
        <v>3517.89</v>
      </c>
      <c r="G169" s="3">
        <v>3736.31</v>
      </c>
      <c r="H169" s="3">
        <v>-218.42</v>
      </c>
      <c r="I169" s="3">
        <v>1.06</v>
      </c>
      <c r="J169">
        <v>0.17</v>
      </c>
      <c r="K169">
        <v>2623.71</v>
      </c>
      <c r="L169" t="s">
        <v>35</v>
      </c>
      <c r="M169">
        <v>666</v>
      </c>
      <c r="N169">
        <v>0.51</v>
      </c>
      <c r="O169" s="3">
        <v>266.35000000000002</v>
      </c>
      <c r="P169" s="3">
        <v>0.08</v>
      </c>
      <c r="Q169" s="3">
        <v>464.74</v>
      </c>
      <c r="R169" s="3">
        <v>0.13</v>
      </c>
      <c r="S169">
        <v>6</v>
      </c>
      <c r="T169">
        <v>0</v>
      </c>
      <c r="U169">
        <v>89</v>
      </c>
      <c r="V169">
        <v>0</v>
      </c>
      <c r="W169">
        <v>696.63</v>
      </c>
      <c r="X169">
        <v>2232.4</v>
      </c>
      <c r="Y169" t="s">
        <v>36</v>
      </c>
      <c r="Z169" s="3">
        <v>569.37</v>
      </c>
      <c r="AA169" t="s">
        <v>48</v>
      </c>
      <c r="AB169" t="s">
        <v>33</v>
      </c>
      <c r="AC169">
        <v>26.6</v>
      </c>
      <c r="AD169" t="s">
        <v>34</v>
      </c>
      <c r="AE169">
        <v>0</v>
      </c>
      <c r="AF169">
        <v>0</v>
      </c>
    </row>
    <row r="170" spans="3:32" x14ac:dyDescent="0.35">
      <c r="C170" s="1">
        <v>43556</v>
      </c>
      <c r="D170" s="2">
        <v>43556</v>
      </c>
      <c r="E170">
        <v>1909</v>
      </c>
      <c r="F170" s="3">
        <v>4711.0200000000004</v>
      </c>
      <c r="G170" s="3">
        <v>3160.8</v>
      </c>
      <c r="H170" s="3">
        <v>1550.22</v>
      </c>
      <c r="I170" s="3">
        <v>0.67</v>
      </c>
      <c r="J170">
        <v>0.09</v>
      </c>
      <c r="K170">
        <v>2591.0700000000002</v>
      </c>
      <c r="L170" t="s">
        <v>35</v>
      </c>
      <c r="M170">
        <v>680</v>
      </c>
      <c r="N170">
        <v>0.27</v>
      </c>
      <c r="O170" s="3">
        <v>503.98</v>
      </c>
      <c r="P170" s="3">
        <v>0.11</v>
      </c>
      <c r="Q170" s="3">
        <v>595.96</v>
      </c>
      <c r="R170" s="3">
        <v>0.13</v>
      </c>
      <c r="S170">
        <v>3</v>
      </c>
      <c r="T170">
        <v>1936.03</v>
      </c>
      <c r="U170">
        <v>54</v>
      </c>
      <c r="V170">
        <v>0</v>
      </c>
      <c r="W170">
        <v>494.19</v>
      </c>
      <c r="X170">
        <v>2342.62</v>
      </c>
      <c r="Y170" t="s">
        <v>31</v>
      </c>
      <c r="Z170" s="3">
        <v>1734.54</v>
      </c>
      <c r="AA170" t="s">
        <v>51</v>
      </c>
      <c r="AB170" t="s">
        <v>33</v>
      </c>
      <c r="AC170">
        <v>62.7</v>
      </c>
      <c r="AD170" t="s">
        <v>43</v>
      </c>
      <c r="AE170">
        <v>1550.22</v>
      </c>
      <c r="AF170">
        <v>0</v>
      </c>
    </row>
    <row r="171" spans="3:32" x14ac:dyDescent="0.35">
      <c r="C171" s="1">
        <v>43556</v>
      </c>
      <c r="D171" s="2">
        <v>43556</v>
      </c>
      <c r="E171">
        <v>1415</v>
      </c>
      <c r="F171" s="3">
        <v>3054.59</v>
      </c>
      <c r="G171" s="3">
        <v>3320.75</v>
      </c>
      <c r="H171" s="3">
        <v>-266.16000000000003</v>
      </c>
      <c r="I171" s="3">
        <v>1.0900000000000001</v>
      </c>
      <c r="J171">
        <v>0.2</v>
      </c>
      <c r="K171">
        <v>2638.09</v>
      </c>
      <c r="L171" t="s">
        <v>35</v>
      </c>
      <c r="M171">
        <v>674</v>
      </c>
      <c r="N171">
        <v>0.23</v>
      </c>
      <c r="O171" s="3">
        <v>345.04</v>
      </c>
      <c r="P171" s="3">
        <v>0.11</v>
      </c>
      <c r="Q171" s="3">
        <v>283.77999999999997</v>
      </c>
      <c r="R171" s="3">
        <v>0.09</v>
      </c>
      <c r="S171">
        <v>4</v>
      </c>
      <c r="T171">
        <v>900.53</v>
      </c>
      <c r="U171">
        <v>75</v>
      </c>
      <c r="V171">
        <v>0</v>
      </c>
      <c r="W171">
        <v>549.39</v>
      </c>
      <c r="X171">
        <v>1408.08</v>
      </c>
      <c r="Y171" t="s">
        <v>36</v>
      </c>
      <c r="Z171" s="3">
        <v>1008.04</v>
      </c>
      <c r="AA171" t="s">
        <v>48</v>
      </c>
      <c r="AB171" t="s">
        <v>44</v>
      </c>
      <c r="AC171">
        <v>5.8</v>
      </c>
      <c r="AD171" t="s">
        <v>43</v>
      </c>
      <c r="AE171">
        <v>0</v>
      </c>
      <c r="AF171">
        <v>0</v>
      </c>
    </row>
    <row r="172" spans="3:32" x14ac:dyDescent="0.35">
      <c r="C172" s="1">
        <v>43556</v>
      </c>
      <c r="D172" s="2">
        <v>43556</v>
      </c>
      <c r="E172">
        <v>1571</v>
      </c>
      <c r="F172" s="3">
        <v>4159.49</v>
      </c>
      <c r="G172" s="3">
        <v>3346.57</v>
      </c>
      <c r="H172" s="3">
        <v>812.92</v>
      </c>
      <c r="I172" s="3">
        <v>0.8</v>
      </c>
      <c r="J172">
        <v>0.21</v>
      </c>
      <c r="K172">
        <v>2566.44</v>
      </c>
      <c r="L172" t="s">
        <v>35</v>
      </c>
      <c r="M172">
        <v>629</v>
      </c>
      <c r="N172">
        <v>0.2</v>
      </c>
      <c r="O172" s="3">
        <v>447.63</v>
      </c>
      <c r="P172" s="3">
        <v>0.11</v>
      </c>
      <c r="Q172" s="3">
        <v>433.09</v>
      </c>
      <c r="R172" s="3">
        <v>0.1</v>
      </c>
      <c r="S172">
        <v>8</v>
      </c>
      <c r="T172">
        <v>1245.6600000000001</v>
      </c>
      <c r="U172">
        <v>39</v>
      </c>
      <c r="V172">
        <v>0</v>
      </c>
      <c r="W172">
        <v>337.14</v>
      </c>
      <c r="X172">
        <v>2990.43</v>
      </c>
      <c r="Y172" t="s">
        <v>49</v>
      </c>
      <c r="Z172" s="3">
        <v>1332.78</v>
      </c>
      <c r="AA172" t="s">
        <v>41</v>
      </c>
      <c r="AB172" t="s">
        <v>33</v>
      </c>
      <c r="AC172">
        <v>49.3</v>
      </c>
      <c r="AD172" t="s">
        <v>43</v>
      </c>
      <c r="AE172">
        <v>812.92</v>
      </c>
      <c r="AF172">
        <v>0</v>
      </c>
    </row>
    <row r="173" spans="3:32" x14ac:dyDescent="0.35">
      <c r="C173" s="1">
        <v>43556</v>
      </c>
      <c r="D173" s="2">
        <v>43556</v>
      </c>
      <c r="E173">
        <v>1532</v>
      </c>
      <c r="F173" s="3">
        <v>3718.77</v>
      </c>
      <c r="G173" s="3">
        <v>3712.66</v>
      </c>
      <c r="H173" s="3">
        <v>6.11</v>
      </c>
      <c r="I173" s="3">
        <v>1</v>
      </c>
      <c r="J173">
        <v>0.3</v>
      </c>
      <c r="K173">
        <v>3153.8</v>
      </c>
      <c r="L173" t="s">
        <v>35</v>
      </c>
      <c r="M173">
        <v>618</v>
      </c>
      <c r="N173">
        <v>0.52</v>
      </c>
      <c r="O173" s="3">
        <v>591.62</v>
      </c>
      <c r="P173" s="3">
        <v>0.16</v>
      </c>
      <c r="Q173" s="3">
        <v>357.67</v>
      </c>
      <c r="R173" s="3">
        <v>0.1</v>
      </c>
      <c r="S173">
        <v>1</v>
      </c>
      <c r="T173">
        <v>755.42</v>
      </c>
      <c r="U173">
        <v>32</v>
      </c>
      <c r="V173">
        <v>0</v>
      </c>
      <c r="W173">
        <v>438.06</v>
      </c>
      <c r="X173">
        <v>2616.7199999999998</v>
      </c>
      <c r="Y173" t="s">
        <v>36</v>
      </c>
      <c r="Z173" s="3">
        <v>1272.99</v>
      </c>
      <c r="AA173" t="s">
        <v>51</v>
      </c>
      <c r="AB173" t="s">
        <v>33</v>
      </c>
      <c r="AC173">
        <v>14.1</v>
      </c>
      <c r="AD173" t="s">
        <v>43</v>
      </c>
      <c r="AE173">
        <v>6.11</v>
      </c>
      <c r="AF173">
        <v>0</v>
      </c>
    </row>
    <row r="174" spans="3:32" x14ac:dyDescent="0.35">
      <c r="C174" s="1">
        <v>43556</v>
      </c>
      <c r="D174" s="2">
        <v>43556</v>
      </c>
      <c r="E174">
        <v>1490</v>
      </c>
      <c r="F174" s="3">
        <v>3617.24</v>
      </c>
      <c r="G174" s="3">
        <v>2725.09</v>
      </c>
      <c r="H174" s="3">
        <v>892.15</v>
      </c>
      <c r="I174" s="3">
        <v>0.75</v>
      </c>
      <c r="J174">
        <v>0.13</v>
      </c>
      <c r="K174">
        <v>3195.09</v>
      </c>
      <c r="L174" t="s">
        <v>39</v>
      </c>
      <c r="M174">
        <v>692</v>
      </c>
      <c r="N174">
        <v>0.26</v>
      </c>
      <c r="O174" s="3">
        <v>577.49</v>
      </c>
      <c r="P174" s="3">
        <v>0.16</v>
      </c>
      <c r="Q174" s="3">
        <v>606.35</v>
      </c>
      <c r="R174" s="3">
        <v>0.17</v>
      </c>
      <c r="S174">
        <v>2</v>
      </c>
      <c r="T174">
        <v>1439.4</v>
      </c>
      <c r="U174">
        <v>23</v>
      </c>
      <c r="V174">
        <v>0</v>
      </c>
      <c r="W174">
        <v>390.56</v>
      </c>
      <c r="X174">
        <v>1407.56</v>
      </c>
      <c r="Y174" t="s">
        <v>36</v>
      </c>
      <c r="Z174" s="3">
        <v>1122.3900000000001</v>
      </c>
      <c r="AA174" t="s">
        <v>46</v>
      </c>
      <c r="AB174" t="s">
        <v>33</v>
      </c>
      <c r="AC174">
        <v>48.4</v>
      </c>
      <c r="AD174" t="s">
        <v>34</v>
      </c>
      <c r="AE174">
        <v>892.15</v>
      </c>
      <c r="AF174">
        <v>0</v>
      </c>
    </row>
    <row r="175" spans="3:32" x14ac:dyDescent="0.35">
      <c r="C175" s="1">
        <v>43556</v>
      </c>
      <c r="D175" s="2">
        <v>43556</v>
      </c>
      <c r="E175">
        <v>1543</v>
      </c>
      <c r="F175" s="3">
        <v>3569.55</v>
      </c>
      <c r="G175" s="3">
        <v>2180.33</v>
      </c>
      <c r="H175" s="3">
        <v>1389.22</v>
      </c>
      <c r="I175" s="3">
        <v>0.61</v>
      </c>
      <c r="J175">
        <v>0.4</v>
      </c>
      <c r="K175">
        <v>2043.8</v>
      </c>
      <c r="L175" t="s">
        <v>35</v>
      </c>
      <c r="M175">
        <v>768</v>
      </c>
      <c r="N175">
        <v>0.28999999999999998</v>
      </c>
      <c r="O175" s="3">
        <v>482.65</v>
      </c>
      <c r="P175" s="3">
        <v>0.14000000000000001</v>
      </c>
      <c r="Q175" s="3">
        <v>641.11</v>
      </c>
      <c r="R175" s="3">
        <v>0.18</v>
      </c>
      <c r="S175">
        <v>4</v>
      </c>
      <c r="T175">
        <v>1352.26</v>
      </c>
      <c r="U175">
        <v>31</v>
      </c>
      <c r="V175">
        <v>0</v>
      </c>
      <c r="W175">
        <v>0</v>
      </c>
      <c r="X175">
        <v>1804.89</v>
      </c>
      <c r="Y175" t="s">
        <v>36</v>
      </c>
      <c r="Z175" s="3">
        <v>1323.42</v>
      </c>
      <c r="AA175" t="s">
        <v>46</v>
      </c>
      <c r="AB175" t="s">
        <v>33</v>
      </c>
      <c r="AC175">
        <v>67.7</v>
      </c>
      <c r="AD175" t="s">
        <v>38</v>
      </c>
      <c r="AE175">
        <v>1389.22</v>
      </c>
      <c r="AF175">
        <v>0</v>
      </c>
    </row>
    <row r="176" spans="3:32" x14ac:dyDescent="0.35">
      <c r="C176" s="1">
        <v>43556</v>
      </c>
      <c r="D176" s="2">
        <v>43556</v>
      </c>
      <c r="E176">
        <v>1459</v>
      </c>
      <c r="F176" s="3">
        <v>4455.87</v>
      </c>
      <c r="G176" s="3">
        <v>2454.09</v>
      </c>
      <c r="H176" s="3">
        <v>2001.78</v>
      </c>
      <c r="I176" s="3">
        <v>0.55000000000000004</v>
      </c>
      <c r="J176">
        <v>0.1</v>
      </c>
      <c r="K176">
        <v>3275.45</v>
      </c>
      <c r="L176" t="s">
        <v>30</v>
      </c>
      <c r="M176">
        <v>588</v>
      </c>
      <c r="N176">
        <v>0.36</v>
      </c>
      <c r="O176" s="3">
        <v>505.41</v>
      </c>
      <c r="P176" s="3">
        <v>0.11</v>
      </c>
      <c r="Q176" s="3">
        <v>871.72</v>
      </c>
      <c r="R176" s="3">
        <v>0.2</v>
      </c>
      <c r="S176">
        <v>8</v>
      </c>
      <c r="T176">
        <v>1527.49</v>
      </c>
      <c r="U176">
        <v>83</v>
      </c>
      <c r="V176">
        <v>0</v>
      </c>
      <c r="W176">
        <v>503.47</v>
      </c>
      <c r="X176">
        <v>3060.8</v>
      </c>
      <c r="Y176" t="s">
        <v>36</v>
      </c>
      <c r="Z176" s="3">
        <v>555.77</v>
      </c>
      <c r="AA176" t="s">
        <v>48</v>
      </c>
      <c r="AB176" t="s">
        <v>33</v>
      </c>
      <c r="AC176">
        <v>4.3</v>
      </c>
      <c r="AD176" t="s">
        <v>43</v>
      </c>
      <c r="AE176">
        <v>2001.78</v>
      </c>
      <c r="AF176">
        <v>0</v>
      </c>
    </row>
    <row r="177" spans="3:32" x14ac:dyDescent="0.35">
      <c r="C177" s="1">
        <v>43556</v>
      </c>
      <c r="D177" s="2">
        <v>43556</v>
      </c>
      <c r="E177">
        <v>1047</v>
      </c>
      <c r="F177" s="3">
        <v>3259.18</v>
      </c>
      <c r="G177" s="3">
        <v>3776.16</v>
      </c>
      <c r="H177" s="3">
        <v>-516.98</v>
      </c>
      <c r="I177" s="3">
        <v>1.1599999999999999</v>
      </c>
      <c r="J177">
        <v>0.2</v>
      </c>
      <c r="K177">
        <v>2026.98</v>
      </c>
      <c r="L177" t="s">
        <v>35</v>
      </c>
      <c r="M177">
        <v>598</v>
      </c>
      <c r="N177">
        <v>0.56000000000000005</v>
      </c>
      <c r="O177" s="3">
        <v>238.7</v>
      </c>
      <c r="P177" s="3">
        <v>7.0000000000000007E-2</v>
      </c>
      <c r="Q177" s="3">
        <v>486.78</v>
      </c>
      <c r="R177" s="3">
        <v>0.15</v>
      </c>
      <c r="S177">
        <v>6</v>
      </c>
      <c r="T177">
        <v>821.12</v>
      </c>
      <c r="U177">
        <v>82</v>
      </c>
      <c r="V177">
        <v>0</v>
      </c>
      <c r="W177">
        <v>268.77999999999997</v>
      </c>
      <c r="X177">
        <v>2390.31</v>
      </c>
      <c r="Y177" t="s">
        <v>36</v>
      </c>
      <c r="Z177" s="3">
        <v>1205</v>
      </c>
      <c r="AA177" t="s">
        <v>48</v>
      </c>
      <c r="AB177" t="s">
        <v>44</v>
      </c>
      <c r="AC177">
        <v>35.6</v>
      </c>
      <c r="AD177" t="s">
        <v>34</v>
      </c>
      <c r="AE177">
        <v>0</v>
      </c>
      <c r="AF177">
        <v>0</v>
      </c>
    </row>
    <row r="178" spans="3:32" x14ac:dyDescent="0.35">
      <c r="C178" s="1">
        <v>43556</v>
      </c>
      <c r="D178" s="2">
        <v>43556</v>
      </c>
      <c r="E178">
        <v>1299</v>
      </c>
      <c r="F178" s="3">
        <v>3033.43</v>
      </c>
      <c r="G178" s="3">
        <v>3264.14</v>
      </c>
      <c r="H178" s="3">
        <v>-230.71</v>
      </c>
      <c r="I178" s="3">
        <v>1.08</v>
      </c>
      <c r="J178">
        <v>0.16</v>
      </c>
      <c r="K178">
        <v>3004.84</v>
      </c>
      <c r="L178" t="s">
        <v>30</v>
      </c>
      <c r="M178">
        <v>682</v>
      </c>
      <c r="N178">
        <v>0.37</v>
      </c>
      <c r="O178" s="3">
        <v>695.7</v>
      </c>
      <c r="P178" s="3">
        <v>0.23</v>
      </c>
      <c r="Q178" s="3">
        <v>148.08000000000001</v>
      </c>
      <c r="R178" s="3">
        <v>0.05</v>
      </c>
      <c r="S178">
        <v>3</v>
      </c>
      <c r="T178">
        <v>912.48</v>
      </c>
      <c r="U178">
        <v>28</v>
      </c>
      <c r="V178">
        <v>0</v>
      </c>
      <c r="W178">
        <v>390.15</v>
      </c>
      <c r="X178">
        <v>2203.19</v>
      </c>
      <c r="Y178" t="s">
        <v>36</v>
      </c>
      <c r="Z178" s="3">
        <v>910.4</v>
      </c>
      <c r="AA178" t="s">
        <v>46</v>
      </c>
      <c r="AB178" t="s">
        <v>42</v>
      </c>
      <c r="AC178">
        <v>77.400000000000006</v>
      </c>
      <c r="AD178" t="s">
        <v>34</v>
      </c>
      <c r="AE178">
        <v>0</v>
      </c>
      <c r="AF178">
        <v>0</v>
      </c>
    </row>
    <row r="179" spans="3:32" x14ac:dyDescent="0.35">
      <c r="C179" s="1">
        <v>43556</v>
      </c>
      <c r="D179" s="2">
        <v>43556</v>
      </c>
      <c r="E179">
        <v>1591</v>
      </c>
      <c r="F179" s="3">
        <v>5086.99</v>
      </c>
      <c r="G179" s="3">
        <v>4411.41</v>
      </c>
      <c r="H179" s="3">
        <v>675.58</v>
      </c>
      <c r="I179" s="3">
        <v>0.87</v>
      </c>
      <c r="J179">
        <v>0.27</v>
      </c>
      <c r="K179">
        <v>3689.49</v>
      </c>
      <c r="L179" t="s">
        <v>30</v>
      </c>
      <c r="M179">
        <v>725</v>
      </c>
      <c r="N179">
        <v>0.41</v>
      </c>
      <c r="O179" s="3">
        <v>434.13</v>
      </c>
      <c r="P179" s="3">
        <v>0.09</v>
      </c>
      <c r="Q179" s="3">
        <v>369.37</v>
      </c>
      <c r="R179" s="3">
        <v>7.0000000000000007E-2</v>
      </c>
      <c r="S179">
        <v>2</v>
      </c>
      <c r="T179">
        <v>1400.26</v>
      </c>
      <c r="U179">
        <v>65</v>
      </c>
      <c r="V179">
        <v>0</v>
      </c>
      <c r="W179">
        <v>526.69000000000005</v>
      </c>
      <c r="X179">
        <v>2260.3200000000002</v>
      </c>
      <c r="Y179" t="s">
        <v>36</v>
      </c>
      <c r="Z179" s="3">
        <v>1261.53</v>
      </c>
      <c r="AA179" t="s">
        <v>45</v>
      </c>
      <c r="AB179" t="s">
        <v>33</v>
      </c>
      <c r="AC179">
        <v>60.3</v>
      </c>
      <c r="AD179" t="s">
        <v>34</v>
      </c>
      <c r="AE179">
        <v>675.58</v>
      </c>
      <c r="AF179">
        <v>0</v>
      </c>
    </row>
    <row r="180" spans="3:32" x14ac:dyDescent="0.35">
      <c r="C180" s="1">
        <v>43556</v>
      </c>
      <c r="D180" s="2">
        <v>43556</v>
      </c>
      <c r="E180">
        <v>1565</v>
      </c>
      <c r="F180" s="3">
        <v>5343.14</v>
      </c>
      <c r="G180" s="3">
        <v>4027.64</v>
      </c>
      <c r="H180" s="3">
        <v>1315.5</v>
      </c>
      <c r="I180" s="3">
        <v>0.75</v>
      </c>
      <c r="J180">
        <v>0.23</v>
      </c>
      <c r="K180">
        <v>2507.2199999999998</v>
      </c>
      <c r="L180" t="s">
        <v>30</v>
      </c>
      <c r="M180">
        <v>638</v>
      </c>
      <c r="N180">
        <v>0.38</v>
      </c>
      <c r="O180" s="3">
        <v>347.59</v>
      </c>
      <c r="P180" s="3">
        <v>7.0000000000000007E-2</v>
      </c>
      <c r="Q180" s="3">
        <v>451.7</v>
      </c>
      <c r="R180" s="3">
        <v>0.08</v>
      </c>
      <c r="S180">
        <v>3</v>
      </c>
      <c r="T180">
        <v>567.77</v>
      </c>
      <c r="U180">
        <v>93</v>
      </c>
      <c r="V180">
        <v>0</v>
      </c>
      <c r="W180">
        <v>742.87</v>
      </c>
      <c r="X180">
        <v>2179.5100000000002</v>
      </c>
      <c r="Y180" t="s">
        <v>31</v>
      </c>
      <c r="Z180" s="3">
        <v>1144.6099999999999</v>
      </c>
      <c r="AA180" t="s">
        <v>48</v>
      </c>
      <c r="AB180" t="s">
        <v>33</v>
      </c>
      <c r="AC180">
        <v>13.7</v>
      </c>
      <c r="AD180" t="s">
        <v>43</v>
      </c>
      <c r="AE180">
        <v>1315.5</v>
      </c>
      <c r="AF180">
        <v>0</v>
      </c>
    </row>
    <row r="181" spans="3:32" x14ac:dyDescent="0.35">
      <c r="C181" s="1">
        <v>43556</v>
      </c>
      <c r="D181" s="2">
        <v>43556</v>
      </c>
      <c r="E181">
        <v>1634</v>
      </c>
      <c r="F181" s="3">
        <v>4768.91</v>
      </c>
      <c r="G181" s="3">
        <v>1688.52</v>
      </c>
      <c r="H181" s="3">
        <v>3080.39</v>
      </c>
      <c r="I181" s="3">
        <v>0.35</v>
      </c>
      <c r="J181">
        <v>0.25</v>
      </c>
      <c r="K181">
        <v>2566.4299999999998</v>
      </c>
      <c r="L181" t="s">
        <v>35</v>
      </c>
      <c r="M181">
        <v>741</v>
      </c>
      <c r="N181">
        <v>0.34</v>
      </c>
      <c r="O181" s="3">
        <v>325.55</v>
      </c>
      <c r="P181" s="3">
        <v>7.0000000000000007E-2</v>
      </c>
      <c r="Q181" s="3">
        <v>431.18</v>
      </c>
      <c r="R181" s="3">
        <v>0.09</v>
      </c>
      <c r="S181">
        <v>8</v>
      </c>
      <c r="T181">
        <v>803.24</v>
      </c>
      <c r="U181">
        <v>95</v>
      </c>
      <c r="V181">
        <v>0</v>
      </c>
      <c r="W181">
        <v>710.79</v>
      </c>
      <c r="X181">
        <v>1137.22</v>
      </c>
      <c r="Y181" t="s">
        <v>36</v>
      </c>
      <c r="Z181" s="3">
        <v>1376.58</v>
      </c>
      <c r="AA181" t="s">
        <v>41</v>
      </c>
      <c r="AB181" t="s">
        <v>42</v>
      </c>
      <c r="AC181">
        <v>53.2</v>
      </c>
      <c r="AD181" t="s">
        <v>34</v>
      </c>
      <c r="AE181">
        <v>3080.39</v>
      </c>
      <c r="AF181">
        <v>1</v>
      </c>
    </row>
    <row r="182" spans="3:32" x14ac:dyDescent="0.35">
      <c r="C182" s="1">
        <v>43556</v>
      </c>
      <c r="D182" s="2">
        <v>43556</v>
      </c>
      <c r="E182">
        <v>1435</v>
      </c>
      <c r="F182" s="3">
        <v>4263.67</v>
      </c>
      <c r="G182" s="3">
        <v>3041.9</v>
      </c>
      <c r="H182" s="3">
        <v>1221.77</v>
      </c>
      <c r="I182" s="3">
        <v>0.71</v>
      </c>
      <c r="J182">
        <v>0.18</v>
      </c>
      <c r="K182">
        <v>2968.67</v>
      </c>
      <c r="L182" t="s">
        <v>39</v>
      </c>
      <c r="M182">
        <v>660</v>
      </c>
      <c r="N182">
        <v>0.24</v>
      </c>
      <c r="O182" s="3">
        <v>599.30999999999995</v>
      </c>
      <c r="P182" s="3">
        <v>0.14000000000000001</v>
      </c>
      <c r="Q182" s="3">
        <v>197.69</v>
      </c>
      <c r="R182" s="3">
        <v>0.05</v>
      </c>
      <c r="S182">
        <v>3</v>
      </c>
      <c r="T182">
        <v>1238.69</v>
      </c>
      <c r="U182">
        <v>22</v>
      </c>
      <c r="V182">
        <v>0</v>
      </c>
      <c r="W182">
        <v>129.6</v>
      </c>
      <c r="X182">
        <v>2295.86</v>
      </c>
      <c r="Y182" t="s">
        <v>36</v>
      </c>
      <c r="Z182" s="3">
        <v>892.52</v>
      </c>
      <c r="AA182" t="s">
        <v>51</v>
      </c>
      <c r="AB182" t="s">
        <v>33</v>
      </c>
      <c r="AC182">
        <v>51.2</v>
      </c>
      <c r="AD182" t="s">
        <v>34</v>
      </c>
      <c r="AE182">
        <v>1221.77</v>
      </c>
      <c r="AF182">
        <v>0</v>
      </c>
    </row>
    <row r="183" spans="3:32" x14ac:dyDescent="0.35">
      <c r="C183" s="1">
        <v>43556</v>
      </c>
      <c r="D183" s="2">
        <v>43556</v>
      </c>
      <c r="E183">
        <v>1845</v>
      </c>
      <c r="F183" s="3">
        <v>4177.84</v>
      </c>
      <c r="G183" s="3">
        <v>1805.84</v>
      </c>
      <c r="H183" s="3">
        <v>2372</v>
      </c>
      <c r="I183" s="3">
        <v>0.43</v>
      </c>
      <c r="J183">
        <v>0.4</v>
      </c>
      <c r="K183">
        <v>3119.13</v>
      </c>
      <c r="L183" t="s">
        <v>35</v>
      </c>
      <c r="M183">
        <v>736</v>
      </c>
      <c r="N183">
        <v>0.45</v>
      </c>
      <c r="O183" s="3">
        <v>324.11</v>
      </c>
      <c r="P183" s="3">
        <v>0.08</v>
      </c>
      <c r="Q183" s="3">
        <v>434.08</v>
      </c>
      <c r="R183" s="3">
        <v>0.1</v>
      </c>
      <c r="S183">
        <v>7</v>
      </c>
      <c r="T183">
        <v>192</v>
      </c>
      <c r="U183">
        <v>67</v>
      </c>
      <c r="V183">
        <v>0</v>
      </c>
      <c r="W183">
        <v>538.08000000000004</v>
      </c>
      <c r="X183">
        <v>2787.68</v>
      </c>
      <c r="Y183" t="s">
        <v>49</v>
      </c>
      <c r="Z183" s="3">
        <v>1066.96</v>
      </c>
      <c r="AA183" t="s">
        <v>51</v>
      </c>
      <c r="AB183" t="s">
        <v>33</v>
      </c>
      <c r="AC183">
        <v>65.3</v>
      </c>
      <c r="AD183" t="s">
        <v>34</v>
      </c>
      <c r="AE183">
        <v>2372</v>
      </c>
      <c r="AF183">
        <v>0</v>
      </c>
    </row>
    <row r="184" spans="3:32" x14ac:dyDescent="0.35">
      <c r="C184" s="1">
        <v>43556</v>
      </c>
      <c r="D184" s="2">
        <v>43556</v>
      </c>
      <c r="E184">
        <v>1059</v>
      </c>
      <c r="F184" s="3">
        <v>4785.37</v>
      </c>
      <c r="G184" s="3">
        <v>3996</v>
      </c>
      <c r="H184" s="3">
        <v>789.37</v>
      </c>
      <c r="I184" s="3">
        <v>0.84</v>
      </c>
      <c r="J184">
        <v>0.26</v>
      </c>
      <c r="K184">
        <v>2222.6999999999998</v>
      </c>
      <c r="L184" t="s">
        <v>35</v>
      </c>
      <c r="M184">
        <v>678</v>
      </c>
      <c r="N184">
        <v>0.18</v>
      </c>
      <c r="O184" s="3">
        <v>646.78</v>
      </c>
      <c r="P184" s="3">
        <v>0.14000000000000001</v>
      </c>
      <c r="Q184" s="3">
        <v>470.94</v>
      </c>
      <c r="R184" s="3">
        <v>0.1</v>
      </c>
      <c r="S184">
        <v>5</v>
      </c>
      <c r="T184">
        <v>705.59</v>
      </c>
      <c r="U184">
        <v>85</v>
      </c>
      <c r="V184">
        <v>1</v>
      </c>
      <c r="W184">
        <v>380.52</v>
      </c>
      <c r="X184">
        <v>2042.11</v>
      </c>
      <c r="Y184" t="s">
        <v>36</v>
      </c>
      <c r="Z184" s="3">
        <v>675.21</v>
      </c>
      <c r="AA184" t="s">
        <v>32</v>
      </c>
      <c r="AB184" t="s">
        <v>44</v>
      </c>
      <c r="AC184">
        <v>70.599999999999994</v>
      </c>
      <c r="AD184" t="s">
        <v>43</v>
      </c>
      <c r="AE184">
        <v>789.37</v>
      </c>
      <c r="AF184">
        <v>0</v>
      </c>
    </row>
    <row r="185" spans="3:32" x14ac:dyDescent="0.35">
      <c r="C185" s="1">
        <v>43556</v>
      </c>
      <c r="D185" s="2">
        <v>43556</v>
      </c>
      <c r="E185">
        <v>1461</v>
      </c>
      <c r="F185" s="3">
        <v>4471.72</v>
      </c>
      <c r="G185" s="3">
        <v>2993.6</v>
      </c>
      <c r="H185" s="3">
        <v>1478.12</v>
      </c>
      <c r="I185" s="3">
        <v>0.67</v>
      </c>
      <c r="J185">
        <v>0.31</v>
      </c>
      <c r="K185">
        <v>3174.48</v>
      </c>
      <c r="L185" t="s">
        <v>35</v>
      </c>
      <c r="M185">
        <v>669</v>
      </c>
      <c r="N185">
        <v>0.4</v>
      </c>
      <c r="O185" s="3">
        <v>635.23</v>
      </c>
      <c r="P185" s="3">
        <v>0.14000000000000001</v>
      </c>
      <c r="Q185" s="3">
        <v>548.29</v>
      </c>
      <c r="R185" s="3">
        <v>0.12</v>
      </c>
      <c r="S185">
        <v>4</v>
      </c>
      <c r="T185">
        <v>513.41</v>
      </c>
      <c r="U185">
        <v>60</v>
      </c>
      <c r="V185">
        <v>0</v>
      </c>
      <c r="W185">
        <v>133.24</v>
      </c>
      <c r="X185">
        <v>2743.68</v>
      </c>
      <c r="Y185" t="s">
        <v>36</v>
      </c>
      <c r="Z185" s="3">
        <v>1260</v>
      </c>
      <c r="AA185" t="s">
        <v>51</v>
      </c>
      <c r="AB185" t="s">
        <v>42</v>
      </c>
      <c r="AC185">
        <v>58.9</v>
      </c>
      <c r="AD185" t="s">
        <v>43</v>
      </c>
      <c r="AE185">
        <v>1478.12</v>
      </c>
      <c r="AF185">
        <v>0</v>
      </c>
    </row>
    <row r="186" spans="3:32" x14ac:dyDescent="0.35">
      <c r="C186" s="1">
        <v>43556</v>
      </c>
      <c r="D186" s="2">
        <v>43556</v>
      </c>
      <c r="E186">
        <v>1950</v>
      </c>
      <c r="F186" s="3">
        <v>3912.01</v>
      </c>
      <c r="G186" s="3">
        <v>2694.64</v>
      </c>
      <c r="H186" s="3">
        <v>1217.3699999999999</v>
      </c>
      <c r="I186" s="3">
        <v>0.69</v>
      </c>
      <c r="J186">
        <v>0.1</v>
      </c>
      <c r="K186">
        <v>2761.91</v>
      </c>
      <c r="L186" t="s">
        <v>35</v>
      </c>
      <c r="M186">
        <v>734</v>
      </c>
      <c r="N186">
        <v>0.3</v>
      </c>
      <c r="O186" s="3">
        <v>278.36</v>
      </c>
      <c r="P186" s="3">
        <v>7.0000000000000007E-2</v>
      </c>
      <c r="Q186" s="3">
        <v>359.04</v>
      </c>
      <c r="R186" s="3">
        <v>0.09</v>
      </c>
      <c r="S186">
        <v>1</v>
      </c>
      <c r="T186">
        <v>425.24</v>
      </c>
      <c r="U186">
        <v>31</v>
      </c>
      <c r="V186">
        <v>0</v>
      </c>
      <c r="W186">
        <v>526.83000000000004</v>
      </c>
      <c r="X186">
        <v>1840.05</v>
      </c>
      <c r="Y186" t="s">
        <v>36</v>
      </c>
      <c r="Z186" s="3">
        <v>1073.19</v>
      </c>
      <c r="AA186" t="s">
        <v>48</v>
      </c>
      <c r="AB186" t="s">
        <v>33</v>
      </c>
      <c r="AC186">
        <v>24.7</v>
      </c>
      <c r="AD186" t="s">
        <v>34</v>
      </c>
      <c r="AE186">
        <v>1217.3699999999999</v>
      </c>
      <c r="AF186">
        <v>0</v>
      </c>
    </row>
    <row r="187" spans="3:32" x14ac:dyDescent="0.35">
      <c r="C187" s="1">
        <v>43556</v>
      </c>
      <c r="D187" s="2">
        <v>43556</v>
      </c>
      <c r="E187">
        <v>1732</v>
      </c>
      <c r="F187" s="3">
        <v>1815.35</v>
      </c>
      <c r="G187" s="3">
        <v>3471.34</v>
      </c>
      <c r="H187" s="3">
        <v>-1655.99</v>
      </c>
      <c r="I187" s="3">
        <v>1.91</v>
      </c>
      <c r="J187">
        <v>0.37</v>
      </c>
      <c r="K187">
        <v>2975.6</v>
      </c>
      <c r="L187" t="s">
        <v>30</v>
      </c>
      <c r="M187">
        <v>646</v>
      </c>
      <c r="N187">
        <v>0.23</v>
      </c>
      <c r="O187" s="3">
        <v>533.23</v>
      </c>
      <c r="P187" s="3">
        <v>0.28999999999999998</v>
      </c>
      <c r="Q187" s="3">
        <v>1196.54</v>
      </c>
      <c r="R187" s="3">
        <v>0.66</v>
      </c>
      <c r="S187">
        <v>6</v>
      </c>
      <c r="T187">
        <v>1316.8</v>
      </c>
      <c r="U187">
        <v>27</v>
      </c>
      <c r="V187">
        <v>0</v>
      </c>
      <c r="W187">
        <v>390.39</v>
      </c>
      <c r="X187">
        <v>2495.7199999999998</v>
      </c>
      <c r="Y187" t="s">
        <v>31</v>
      </c>
      <c r="Z187" s="3">
        <v>1164.68</v>
      </c>
      <c r="AA187" t="s">
        <v>32</v>
      </c>
      <c r="AB187" t="s">
        <v>33</v>
      </c>
      <c r="AC187">
        <v>65.900000000000006</v>
      </c>
      <c r="AD187" t="s">
        <v>34</v>
      </c>
      <c r="AE187">
        <v>0</v>
      </c>
      <c r="AF187">
        <v>0</v>
      </c>
    </row>
    <row r="188" spans="3:32" x14ac:dyDescent="0.35">
      <c r="C188" s="1">
        <v>43556</v>
      </c>
      <c r="D188" s="2">
        <v>43556</v>
      </c>
      <c r="E188">
        <v>1206</v>
      </c>
      <c r="F188" s="3">
        <v>4654.78</v>
      </c>
      <c r="G188" s="3">
        <v>2294.6999999999998</v>
      </c>
      <c r="H188" s="3">
        <v>2360.08</v>
      </c>
      <c r="I188" s="3">
        <v>0.49</v>
      </c>
      <c r="J188">
        <v>0.26</v>
      </c>
      <c r="K188">
        <v>3270.76</v>
      </c>
      <c r="L188" t="s">
        <v>35</v>
      </c>
      <c r="M188">
        <v>656</v>
      </c>
      <c r="N188">
        <v>0.42</v>
      </c>
      <c r="O188" s="3">
        <v>418.7</v>
      </c>
      <c r="P188" s="3">
        <v>0.09</v>
      </c>
      <c r="Q188" s="3">
        <v>351.82</v>
      </c>
      <c r="R188" s="3">
        <v>0.08</v>
      </c>
      <c r="S188">
        <v>9</v>
      </c>
      <c r="T188">
        <v>0</v>
      </c>
      <c r="U188">
        <v>38</v>
      </c>
      <c r="V188">
        <v>0</v>
      </c>
      <c r="W188">
        <v>454.74</v>
      </c>
      <c r="X188">
        <v>1000</v>
      </c>
      <c r="Y188" t="s">
        <v>36</v>
      </c>
      <c r="Z188" s="3">
        <v>1033.92</v>
      </c>
      <c r="AA188" t="s">
        <v>45</v>
      </c>
      <c r="AB188" t="s">
        <v>33</v>
      </c>
      <c r="AC188">
        <v>36.6</v>
      </c>
      <c r="AD188" t="s">
        <v>34</v>
      </c>
      <c r="AE188">
        <v>2360.08</v>
      </c>
      <c r="AF188">
        <v>0</v>
      </c>
    </row>
    <row r="189" spans="3:32" x14ac:dyDescent="0.35">
      <c r="C189" s="1">
        <v>43556</v>
      </c>
      <c r="D189" s="2">
        <v>43556</v>
      </c>
      <c r="E189">
        <v>1852</v>
      </c>
      <c r="F189" s="3">
        <v>3232.93</v>
      </c>
      <c r="G189" s="3">
        <v>2727.35</v>
      </c>
      <c r="H189" s="3">
        <v>505.58</v>
      </c>
      <c r="I189" s="3">
        <v>0.84</v>
      </c>
      <c r="J189">
        <v>0.24</v>
      </c>
      <c r="K189">
        <v>2978.26</v>
      </c>
      <c r="L189" t="s">
        <v>35</v>
      </c>
      <c r="M189">
        <v>663</v>
      </c>
      <c r="N189">
        <v>0.14000000000000001</v>
      </c>
      <c r="O189" s="3">
        <v>476.43</v>
      </c>
      <c r="P189" s="3">
        <v>0.15</v>
      </c>
      <c r="Q189" s="3">
        <v>0.62</v>
      </c>
      <c r="R189" s="3">
        <v>0</v>
      </c>
      <c r="S189">
        <v>6</v>
      </c>
      <c r="T189">
        <v>1340.01</v>
      </c>
      <c r="U189">
        <v>98</v>
      </c>
      <c r="V189">
        <v>0</v>
      </c>
      <c r="W189">
        <v>313.98</v>
      </c>
      <c r="X189">
        <v>2076.37</v>
      </c>
      <c r="Y189" t="s">
        <v>31</v>
      </c>
      <c r="Z189" s="3">
        <v>881.98</v>
      </c>
      <c r="AA189" t="s">
        <v>32</v>
      </c>
      <c r="AB189" t="s">
        <v>33</v>
      </c>
      <c r="AC189">
        <v>90.4</v>
      </c>
      <c r="AD189" t="s">
        <v>34</v>
      </c>
      <c r="AE189">
        <v>505.58</v>
      </c>
      <c r="AF189">
        <v>0</v>
      </c>
    </row>
    <row r="190" spans="3:32" x14ac:dyDescent="0.35">
      <c r="C190" s="1">
        <v>43556</v>
      </c>
      <c r="D190" s="2">
        <v>43556</v>
      </c>
      <c r="E190">
        <v>1733</v>
      </c>
      <c r="F190" s="3">
        <v>6108.45</v>
      </c>
      <c r="G190" s="3">
        <v>2366.21</v>
      </c>
      <c r="H190" s="3">
        <v>3742.24</v>
      </c>
      <c r="I190" s="3">
        <v>0.39</v>
      </c>
      <c r="J190">
        <v>0.16</v>
      </c>
      <c r="K190">
        <v>2579.08</v>
      </c>
      <c r="L190" t="s">
        <v>39</v>
      </c>
      <c r="M190">
        <v>707</v>
      </c>
      <c r="N190">
        <v>0.11</v>
      </c>
      <c r="O190" s="3">
        <v>475.88</v>
      </c>
      <c r="P190" s="3">
        <v>0.08</v>
      </c>
      <c r="Q190" s="3">
        <v>325.83999999999997</v>
      </c>
      <c r="R190" s="3">
        <v>0.05</v>
      </c>
      <c r="S190">
        <v>8</v>
      </c>
      <c r="T190">
        <v>521.19000000000005</v>
      </c>
      <c r="U190">
        <v>58</v>
      </c>
      <c r="V190">
        <v>0</v>
      </c>
      <c r="W190">
        <v>662.9</v>
      </c>
      <c r="X190">
        <v>2904.61</v>
      </c>
      <c r="Y190" t="s">
        <v>36</v>
      </c>
      <c r="Z190" s="3">
        <v>1369.92</v>
      </c>
      <c r="AA190" t="s">
        <v>51</v>
      </c>
      <c r="AB190" t="s">
        <v>42</v>
      </c>
      <c r="AC190">
        <v>79</v>
      </c>
      <c r="AD190" t="s">
        <v>43</v>
      </c>
      <c r="AE190">
        <v>3742.24</v>
      </c>
      <c r="AF190">
        <v>1</v>
      </c>
    </row>
    <row r="191" spans="3:32" x14ac:dyDescent="0.35">
      <c r="C191" s="1">
        <v>43556</v>
      </c>
      <c r="D191" s="2">
        <v>43556</v>
      </c>
      <c r="E191">
        <v>1535</v>
      </c>
      <c r="F191" s="3">
        <v>2366.06</v>
      </c>
      <c r="G191" s="3">
        <v>3126.68</v>
      </c>
      <c r="H191" s="3">
        <v>-760.62</v>
      </c>
      <c r="I191" s="3">
        <v>1.32</v>
      </c>
      <c r="J191">
        <v>0.14000000000000001</v>
      </c>
      <c r="K191">
        <v>2052.41</v>
      </c>
      <c r="L191" t="s">
        <v>35</v>
      </c>
      <c r="M191">
        <v>655</v>
      </c>
      <c r="N191">
        <v>0.18</v>
      </c>
      <c r="O191" s="3">
        <v>550.22</v>
      </c>
      <c r="P191" s="3">
        <v>0.23</v>
      </c>
      <c r="Q191" s="3">
        <v>427.83</v>
      </c>
      <c r="R191" s="3">
        <v>0.18</v>
      </c>
      <c r="S191">
        <v>7</v>
      </c>
      <c r="T191">
        <v>1673.15</v>
      </c>
      <c r="U191">
        <v>78</v>
      </c>
      <c r="V191">
        <v>0</v>
      </c>
      <c r="W191">
        <v>980.53</v>
      </c>
      <c r="X191">
        <v>2688.2</v>
      </c>
      <c r="Y191" t="s">
        <v>36</v>
      </c>
      <c r="Z191" s="3">
        <v>669.75</v>
      </c>
      <c r="AA191" t="s">
        <v>50</v>
      </c>
      <c r="AB191" t="s">
        <v>33</v>
      </c>
      <c r="AC191">
        <v>76.900000000000006</v>
      </c>
      <c r="AD191" t="s">
        <v>43</v>
      </c>
      <c r="AE191">
        <v>0</v>
      </c>
      <c r="AF191">
        <v>0</v>
      </c>
    </row>
    <row r="192" spans="3:32" x14ac:dyDescent="0.35">
      <c r="C192" s="1">
        <v>43556</v>
      </c>
      <c r="D192" s="2">
        <v>43556</v>
      </c>
      <c r="E192">
        <v>1696</v>
      </c>
      <c r="F192" s="3">
        <v>3795.48</v>
      </c>
      <c r="G192" s="3">
        <v>3221.45</v>
      </c>
      <c r="H192" s="3">
        <v>574.03</v>
      </c>
      <c r="I192" s="3">
        <v>0.85</v>
      </c>
      <c r="J192">
        <v>0.39</v>
      </c>
      <c r="K192">
        <v>3042.96</v>
      </c>
      <c r="L192" t="s">
        <v>35</v>
      </c>
      <c r="M192">
        <v>698</v>
      </c>
      <c r="N192">
        <v>0.18</v>
      </c>
      <c r="O192" s="3">
        <v>331.65</v>
      </c>
      <c r="P192" s="3">
        <v>0.09</v>
      </c>
      <c r="Q192" s="3">
        <v>592.86</v>
      </c>
      <c r="R192" s="3">
        <v>0.16</v>
      </c>
      <c r="S192">
        <v>2</v>
      </c>
      <c r="T192">
        <v>0</v>
      </c>
      <c r="U192">
        <v>56</v>
      </c>
      <c r="V192">
        <v>0</v>
      </c>
      <c r="W192">
        <v>302.12</v>
      </c>
      <c r="X192">
        <v>2396.2399999999998</v>
      </c>
      <c r="Y192" t="s">
        <v>36</v>
      </c>
      <c r="Z192" s="3">
        <v>1583.57</v>
      </c>
      <c r="AA192" t="s">
        <v>41</v>
      </c>
      <c r="AB192" t="s">
        <v>33</v>
      </c>
      <c r="AC192">
        <v>59.2</v>
      </c>
      <c r="AD192" t="s">
        <v>38</v>
      </c>
      <c r="AE192">
        <v>574.03</v>
      </c>
      <c r="AF192">
        <v>0</v>
      </c>
    </row>
    <row r="193" spans="3:32" x14ac:dyDescent="0.35">
      <c r="C193" s="1">
        <v>43556</v>
      </c>
      <c r="D193" s="2">
        <v>43556</v>
      </c>
      <c r="E193">
        <v>1889</v>
      </c>
      <c r="F193" s="3">
        <v>2734.52</v>
      </c>
      <c r="G193" s="3">
        <v>3524.01</v>
      </c>
      <c r="H193" s="3">
        <v>-789.49</v>
      </c>
      <c r="I193" s="3">
        <v>1.29</v>
      </c>
      <c r="J193">
        <v>0.35</v>
      </c>
      <c r="K193">
        <v>3048.16</v>
      </c>
      <c r="L193" t="s">
        <v>30</v>
      </c>
      <c r="M193">
        <v>689</v>
      </c>
      <c r="N193">
        <v>0.52</v>
      </c>
      <c r="O193" s="3">
        <v>741.06</v>
      </c>
      <c r="P193" s="3">
        <v>0.27</v>
      </c>
      <c r="Q193" s="3">
        <v>349.17</v>
      </c>
      <c r="R193" s="3">
        <v>0.13</v>
      </c>
      <c r="S193">
        <v>5</v>
      </c>
      <c r="T193">
        <v>1510.03</v>
      </c>
      <c r="U193">
        <v>43</v>
      </c>
      <c r="V193">
        <v>1</v>
      </c>
      <c r="W193">
        <v>98.41</v>
      </c>
      <c r="X193">
        <v>2283.62</v>
      </c>
      <c r="Y193" t="s">
        <v>36</v>
      </c>
      <c r="Z193" s="3">
        <v>1305.1300000000001</v>
      </c>
      <c r="AA193" t="s">
        <v>46</v>
      </c>
      <c r="AB193" t="s">
        <v>42</v>
      </c>
      <c r="AC193">
        <v>90.1</v>
      </c>
      <c r="AD193" t="s">
        <v>34</v>
      </c>
      <c r="AE193">
        <v>0</v>
      </c>
      <c r="AF193">
        <v>0</v>
      </c>
    </row>
    <row r="194" spans="3:32" x14ac:dyDescent="0.35">
      <c r="C194" s="1">
        <v>43556</v>
      </c>
      <c r="D194" s="2">
        <v>43556</v>
      </c>
      <c r="E194">
        <v>1671</v>
      </c>
      <c r="F194" s="3">
        <v>4009.15</v>
      </c>
      <c r="G194" s="3">
        <v>1662.58</v>
      </c>
      <c r="H194" s="3">
        <v>2346.5700000000002</v>
      </c>
      <c r="I194" s="3">
        <v>0.41</v>
      </c>
      <c r="J194">
        <v>0.2</v>
      </c>
      <c r="K194">
        <v>2948.71</v>
      </c>
      <c r="L194" t="s">
        <v>35</v>
      </c>
      <c r="M194">
        <v>754</v>
      </c>
      <c r="N194">
        <v>0.11</v>
      </c>
      <c r="O194" s="3">
        <v>562.58000000000004</v>
      </c>
      <c r="P194" s="3">
        <v>0.14000000000000001</v>
      </c>
      <c r="Q194" s="3">
        <v>169.76</v>
      </c>
      <c r="R194" s="3">
        <v>0.04</v>
      </c>
      <c r="S194">
        <v>2</v>
      </c>
      <c r="T194">
        <v>1000.97</v>
      </c>
      <c r="U194">
        <v>81</v>
      </c>
      <c r="V194">
        <v>0</v>
      </c>
      <c r="W194">
        <v>689.78</v>
      </c>
      <c r="X194">
        <v>2253.94</v>
      </c>
      <c r="Y194" t="s">
        <v>31</v>
      </c>
      <c r="Z194" s="3">
        <v>1277.47</v>
      </c>
      <c r="AA194" t="s">
        <v>51</v>
      </c>
      <c r="AB194" t="s">
        <v>33</v>
      </c>
      <c r="AC194">
        <v>57.3</v>
      </c>
      <c r="AD194" t="s">
        <v>43</v>
      </c>
      <c r="AE194">
        <v>2346.5700000000002</v>
      </c>
      <c r="AF194">
        <v>0</v>
      </c>
    </row>
    <row r="195" spans="3:32" x14ac:dyDescent="0.35">
      <c r="C195" s="1">
        <v>43556</v>
      </c>
      <c r="D195" s="2">
        <v>43556</v>
      </c>
      <c r="E195">
        <v>1675</v>
      </c>
      <c r="F195" s="3">
        <v>3071.93</v>
      </c>
      <c r="G195" s="3">
        <v>2547.39</v>
      </c>
      <c r="H195" s="3">
        <v>524.54</v>
      </c>
      <c r="I195" s="3">
        <v>0.83</v>
      </c>
      <c r="J195">
        <v>0.08</v>
      </c>
      <c r="K195">
        <v>2520.4699999999998</v>
      </c>
      <c r="L195" t="s">
        <v>35</v>
      </c>
      <c r="M195">
        <v>634</v>
      </c>
      <c r="N195">
        <v>0.42</v>
      </c>
      <c r="O195" s="3">
        <v>342.68</v>
      </c>
      <c r="P195" s="3">
        <v>0.11</v>
      </c>
      <c r="Q195" s="3">
        <v>456</v>
      </c>
      <c r="R195" s="3">
        <v>0.15</v>
      </c>
      <c r="S195">
        <v>6</v>
      </c>
      <c r="T195">
        <v>1430.27</v>
      </c>
      <c r="U195">
        <v>58</v>
      </c>
      <c r="V195">
        <v>0</v>
      </c>
      <c r="W195">
        <v>316.27</v>
      </c>
      <c r="X195">
        <v>1250.25</v>
      </c>
      <c r="Y195" t="s">
        <v>36</v>
      </c>
      <c r="Z195" s="3">
        <v>905.44</v>
      </c>
      <c r="AA195" t="s">
        <v>41</v>
      </c>
      <c r="AB195" t="s">
        <v>42</v>
      </c>
      <c r="AC195">
        <v>36.9</v>
      </c>
      <c r="AD195" t="s">
        <v>34</v>
      </c>
      <c r="AE195">
        <v>524.54</v>
      </c>
      <c r="AF195">
        <v>0</v>
      </c>
    </row>
    <row r="196" spans="3:32" x14ac:dyDescent="0.35">
      <c r="C196" s="1">
        <v>43556</v>
      </c>
      <c r="D196" s="2">
        <v>43556</v>
      </c>
      <c r="E196">
        <v>1109</v>
      </c>
      <c r="F196" s="3">
        <v>3809.75</v>
      </c>
      <c r="G196" s="3">
        <v>2879.78</v>
      </c>
      <c r="H196" s="3">
        <v>929.97</v>
      </c>
      <c r="I196" s="3">
        <v>0.76</v>
      </c>
      <c r="J196">
        <v>0.37</v>
      </c>
      <c r="K196">
        <v>2716.9</v>
      </c>
      <c r="L196" t="s">
        <v>35</v>
      </c>
      <c r="M196">
        <v>640</v>
      </c>
      <c r="N196">
        <v>0.56000000000000005</v>
      </c>
      <c r="O196" s="3">
        <v>498.18</v>
      </c>
      <c r="P196" s="3">
        <v>0.13</v>
      </c>
      <c r="Q196" s="3">
        <v>235.04</v>
      </c>
      <c r="R196" s="3">
        <v>0.06</v>
      </c>
      <c r="S196">
        <v>8</v>
      </c>
      <c r="T196">
        <v>1222.6400000000001</v>
      </c>
      <c r="U196">
        <v>40</v>
      </c>
      <c r="V196">
        <v>0</v>
      </c>
      <c r="W196">
        <v>328.19</v>
      </c>
      <c r="X196">
        <v>3212.63</v>
      </c>
      <c r="Y196" t="s">
        <v>36</v>
      </c>
      <c r="Z196" s="3">
        <v>1218.44</v>
      </c>
      <c r="AA196" t="s">
        <v>45</v>
      </c>
      <c r="AB196" t="s">
        <v>33</v>
      </c>
      <c r="AC196">
        <v>38.299999999999997</v>
      </c>
      <c r="AD196" t="s">
        <v>43</v>
      </c>
      <c r="AE196">
        <v>929.97</v>
      </c>
      <c r="AF196">
        <v>0</v>
      </c>
    </row>
    <row r="197" spans="3:32" x14ac:dyDescent="0.35">
      <c r="C197" s="1">
        <v>43556</v>
      </c>
      <c r="D197" s="2">
        <v>43556</v>
      </c>
      <c r="E197">
        <v>1675</v>
      </c>
      <c r="F197" s="3">
        <v>4721.1400000000003</v>
      </c>
      <c r="G197" s="3">
        <v>2536.0100000000002</v>
      </c>
      <c r="H197" s="3">
        <v>2185.13</v>
      </c>
      <c r="I197" s="3">
        <v>0.54</v>
      </c>
      <c r="J197">
        <v>0.39</v>
      </c>
      <c r="K197">
        <v>1748.6</v>
      </c>
      <c r="L197" t="s">
        <v>30</v>
      </c>
      <c r="M197">
        <v>681</v>
      </c>
      <c r="N197">
        <v>0.26</v>
      </c>
      <c r="O197" s="3">
        <v>612.85</v>
      </c>
      <c r="P197" s="3">
        <v>0.13</v>
      </c>
      <c r="Q197" s="3">
        <v>296.92</v>
      </c>
      <c r="R197" s="3">
        <v>0.06</v>
      </c>
      <c r="S197">
        <v>2</v>
      </c>
      <c r="T197">
        <v>1124.5999999999999</v>
      </c>
      <c r="U197">
        <v>87</v>
      </c>
      <c r="V197">
        <v>0</v>
      </c>
      <c r="W197">
        <v>444.9</v>
      </c>
      <c r="X197">
        <v>2682.73</v>
      </c>
      <c r="Y197" t="s">
        <v>36</v>
      </c>
      <c r="Z197" s="3">
        <v>1148.6199999999999</v>
      </c>
      <c r="AA197" t="s">
        <v>40</v>
      </c>
      <c r="AB197" t="s">
        <v>44</v>
      </c>
      <c r="AC197">
        <v>14.6</v>
      </c>
      <c r="AD197" t="s">
        <v>43</v>
      </c>
      <c r="AE197">
        <v>2185.13</v>
      </c>
      <c r="AF197">
        <v>1</v>
      </c>
    </row>
    <row r="198" spans="3:32" x14ac:dyDescent="0.35">
      <c r="C198" s="1">
        <v>43556</v>
      </c>
      <c r="D198" s="2">
        <v>43556</v>
      </c>
      <c r="E198">
        <v>1310</v>
      </c>
      <c r="F198" s="3">
        <v>5201.93</v>
      </c>
      <c r="G198" s="3">
        <v>3669.72</v>
      </c>
      <c r="H198" s="3">
        <v>1532.21</v>
      </c>
      <c r="I198" s="3">
        <v>0.71</v>
      </c>
      <c r="J198">
        <v>0.21</v>
      </c>
      <c r="K198">
        <v>2392.96</v>
      </c>
      <c r="L198" t="s">
        <v>35</v>
      </c>
      <c r="M198">
        <v>606</v>
      </c>
      <c r="N198">
        <v>0.43</v>
      </c>
      <c r="O198" s="3">
        <v>684.12</v>
      </c>
      <c r="P198" s="3">
        <v>0.13</v>
      </c>
      <c r="Q198" s="3">
        <v>339.24</v>
      </c>
      <c r="R198" s="3">
        <v>7.0000000000000007E-2</v>
      </c>
      <c r="S198">
        <v>6</v>
      </c>
      <c r="T198">
        <v>165.26</v>
      </c>
      <c r="U198">
        <v>41</v>
      </c>
      <c r="V198">
        <v>1</v>
      </c>
      <c r="W198">
        <v>409.53</v>
      </c>
      <c r="X198">
        <v>2547.73</v>
      </c>
      <c r="Y198" t="s">
        <v>36</v>
      </c>
      <c r="Z198" s="3">
        <v>1065.5899999999999</v>
      </c>
      <c r="AA198" t="s">
        <v>48</v>
      </c>
      <c r="AB198" t="s">
        <v>33</v>
      </c>
      <c r="AC198">
        <v>91.9</v>
      </c>
      <c r="AD198" t="s">
        <v>43</v>
      </c>
      <c r="AE198">
        <v>1532.21</v>
      </c>
      <c r="AF198">
        <v>0</v>
      </c>
    </row>
    <row r="199" spans="3:32" x14ac:dyDescent="0.35">
      <c r="C199" s="1">
        <v>43556</v>
      </c>
      <c r="D199" s="2">
        <v>43556</v>
      </c>
      <c r="E199">
        <v>1570</v>
      </c>
      <c r="F199" s="3">
        <v>3034.42</v>
      </c>
      <c r="G199" s="3">
        <v>3808.02</v>
      </c>
      <c r="H199" s="3">
        <v>-773.6</v>
      </c>
      <c r="I199" s="3">
        <v>1.25</v>
      </c>
      <c r="J199">
        <v>0.28000000000000003</v>
      </c>
      <c r="K199">
        <v>3043.21</v>
      </c>
      <c r="L199" t="s">
        <v>35</v>
      </c>
      <c r="M199">
        <v>668</v>
      </c>
      <c r="N199">
        <v>0.28000000000000003</v>
      </c>
      <c r="O199" s="3">
        <v>714.36</v>
      </c>
      <c r="P199" s="3">
        <v>0.24</v>
      </c>
      <c r="Q199" s="3">
        <v>292.83</v>
      </c>
      <c r="R199" s="3">
        <v>0.1</v>
      </c>
      <c r="S199">
        <v>1</v>
      </c>
      <c r="T199">
        <v>1274.6600000000001</v>
      </c>
      <c r="U199">
        <v>21</v>
      </c>
      <c r="V199">
        <v>0</v>
      </c>
      <c r="W199">
        <v>551.70000000000005</v>
      </c>
      <c r="X199">
        <v>2484.35</v>
      </c>
      <c r="Y199" t="s">
        <v>31</v>
      </c>
      <c r="Z199" s="3">
        <v>1040.23</v>
      </c>
      <c r="AA199" t="s">
        <v>48</v>
      </c>
      <c r="AB199" t="s">
        <v>42</v>
      </c>
      <c r="AC199">
        <v>31.1</v>
      </c>
      <c r="AD199" t="s">
        <v>34</v>
      </c>
      <c r="AE199">
        <v>0</v>
      </c>
      <c r="AF199">
        <v>0</v>
      </c>
    </row>
    <row r="200" spans="3:32" x14ac:dyDescent="0.35">
      <c r="C200" s="1">
        <v>43556</v>
      </c>
      <c r="D200" s="2">
        <v>43556</v>
      </c>
      <c r="E200">
        <v>1057</v>
      </c>
      <c r="F200" s="3">
        <v>4975.91</v>
      </c>
      <c r="G200" s="3">
        <v>3192.79</v>
      </c>
      <c r="H200" s="3">
        <v>1783.12</v>
      </c>
      <c r="I200" s="3">
        <v>0.64</v>
      </c>
      <c r="J200">
        <v>0.13</v>
      </c>
      <c r="K200">
        <v>3828.46</v>
      </c>
      <c r="L200" t="s">
        <v>30</v>
      </c>
      <c r="M200">
        <v>660</v>
      </c>
      <c r="N200">
        <v>0.14000000000000001</v>
      </c>
      <c r="O200" s="3">
        <v>294.49</v>
      </c>
      <c r="P200" s="3">
        <v>0.06</v>
      </c>
      <c r="Q200" s="3">
        <v>40.18</v>
      </c>
      <c r="R200" s="3">
        <v>0.01</v>
      </c>
      <c r="S200">
        <v>1</v>
      </c>
      <c r="T200">
        <v>100.09</v>
      </c>
      <c r="U200">
        <v>21</v>
      </c>
      <c r="V200">
        <v>0</v>
      </c>
      <c r="W200">
        <v>502.3</v>
      </c>
      <c r="X200">
        <v>1878.9</v>
      </c>
      <c r="Y200" t="s">
        <v>36</v>
      </c>
      <c r="Z200" s="3">
        <v>1474.99</v>
      </c>
      <c r="AA200" t="s">
        <v>40</v>
      </c>
      <c r="AB200" t="s">
        <v>33</v>
      </c>
      <c r="AC200">
        <v>95.1</v>
      </c>
      <c r="AD200" t="s">
        <v>34</v>
      </c>
      <c r="AE200">
        <v>1783.12</v>
      </c>
      <c r="AF200">
        <v>0</v>
      </c>
    </row>
    <row r="201" spans="3:32" x14ac:dyDescent="0.35">
      <c r="C201" s="1">
        <v>43556</v>
      </c>
      <c r="D201" s="2">
        <v>43556</v>
      </c>
      <c r="E201">
        <v>1354</v>
      </c>
      <c r="F201" s="3">
        <v>4100.1400000000003</v>
      </c>
      <c r="G201" s="3">
        <v>2051.3200000000002</v>
      </c>
      <c r="H201" s="3">
        <v>2048.8200000000002</v>
      </c>
      <c r="I201" s="3">
        <v>0.5</v>
      </c>
      <c r="J201">
        <v>0.24</v>
      </c>
      <c r="K201">
        <v>3013.49</v>
      </c>
      <c r="L201" t="s">
        <v>35</v>
      </c>
      <c r="M201">
        <v>744</v>
      </c>
      <c r="N201">
        <v>0.43</v>
      </c>
      <c r="O201" s="3">
        <v>575.77</v>
      </c>
      <c r="P201" s="3">
        <v>0.14000000000000001</v>
      </c>
      <c r="Q201" s="3">
        <v>595.97</v>
      </c>
      <c r="R201" s="3">
        <v>0.15</v>
      </c>
      <c r="S201">
        <v>4</v>
      </c>
      <c r="T201">
        <v>1053.51</v>
      </c>
      <c r="U201">
        <v>85</v>
      </c>
      <c r="V201">
        <v>0</v>
      </c>
      <c r="W201">
        <v>358</v>
      </c>
      <c r="X201">
        <v>1937.24</v>
      </c>
      <c r="Y201" t="s">
        <v>49</v>
      </c>
      <c r="Z201" s="3">
        <v>1606.13</v>
      </c>
      <c r="AA201" t="s">
        <v>50</v>
      </c>
      <c r="AB201" t="s">
        <v>42</v>
      </c>
      <c r="AC201">
        <v>13</v>
      </c>
      <c r="AD201" t="s">
        <v>34</v>
      </c>
      <c r="AE201">
        <v>2048.8200000000002</v>
      </c>
      <c r="AF201">
        <v>0</v>
      </c>
    </row>
    <row r="202" spans="3:32" x14ac:dyDescent="0.35">
      <c r="C202" s="1">
        <v>43586</v>
      </c>
      <c r="D202" s="2">
        <v>43586</v>
      </c>
      <c r="E202">
        <v>1600</v>
      </c>
      <c r="F202" s="3">
        <v>4606.87</v>
      </c>
      <c r="G202" s="3">
        <v>2182.58</v>
      </c>
      <c r="H202" s="3">
        <v>2424.29</v>
      </c>
      <c r="I202" s="3">
        <v>0.47</v>
      </c>
      <c r="J202">
        <v>0.34</v>
      </c>
      <c r="K202">
        <v>2670.09</v>
      </c>
      <c r="L202" t="s">
        <v>30</v>
      </c>
      <c r="M202">
        <v>795</v>
      </c>
      <c r="N202">
        <v>0.25</v>
      </c>
      <c r="O202" s="3">
        <v>263.74</v>
      </c>
      <c r="P202" s="3">
        <v>0.06</v>
      </c>
      <c r="Q202" s="3">
        <v>342.78</v>
      </c>
      <c r="R202" s="3">
        <v>7.0000000000000007E-2</v>
      </c>
      <c r="S202">
        <v>9</v>
      </c>
      <c r="T202">
        <v>589.80999999999995</v>
      </c>
      <c r="U202">
        <v>73</v>
      </c>
      <c r="V202">
        <v>0</v>
      </c>
      <c r="W202">
        <v>556.86</v>
      </c>
      <c r="X202">
        <v>1000</v>
      </c>
      <c r="Y202" t="s">
        <v>36</v>
      </c>
      <c r="Z202" s="3">
        <v>1170.8599999999999</v>
      </c>
      <c r="AA202" t="s">
        <v>45</v>
      </c>
      <c r="AB202" t="s">
        <v>44</v>
      </c>
      <c r="AC202">
        <v>38.700000000000003</v>
      </c>
      <c r="AD202" t="s">
        <v>38</v>
      </c>
      <c r="AE202">
        <v>2424.29</v>
      </c>
      <c r="AF202">
        <v>0</v>
      </c>
    </row>
    <row r="203" spans="3:32" x14ac:dyDescent="0.35">
      <c r="C203" s="1">
        <v>43586</v>
      </c>
      <c r="D203" s="2">
        <v>43586</v>
      </c>
      <c r="E203">
        <v>1094</v>
      </c>
      <c r="F203" s="3">
        <v>3613.29</v>
      </c>
      <c r="G203" s="3">
        <v>1069.2</v>
      </c>
      <c r="H203" s="3">
        <v>2544.09</v>
      </c>
      <c r="I203" s="3">
        <v>0.3</v>
      </c>
      <c r="J203">
        <v>0.25</v>
      </c>
      <c r="K203">
        <v>3365.82</v>
      </c>
      <c r="L203" t="s">
        <v>39</v>
      </c>
      <c r="M203">
        <v>649</v>
      </c>
      <c r="N203">
        <v>0.48</v>
      </c>
      <c r="O203" s="3">
        <v>516.49</v>
      </c>
      <c r="P203" s="3">
        <v>0.14000000000000001</v>
      </c>
      <c r="Q203" s="3">
        <v>465.08</v>
      </c>
      <c r="R203" s="3">
        <v>0.13</v>
      </c>
      <c r="S203">
        <v>8</v>
      </c>
      <c r="T203">
        <v>609.45000000000005</v>
      </c>
      <c r="U203">
        <v>93</v>
      </c>
      <c r="V203">
        <v>0</v>
      </c>
      <c r="W203">
        <v>226.87</v>
      </c>
      <c r="X203">
        <v>3212.17</v>
      </c>
      <c r="Y203" t="s">
        <v>31</v>
      </c>
      <c r="Z203" s="3">
        <v>485.97</v>
      </c>
      <c r="AA203" t="s">
        <v>48</v>
      </c>
      <c r="AB203" t="s">
        <v>42</v>
      </c>
      <c r="AC203">
        <v>99.4</v>
      </c>
      <c r="AD203" t="s">
        <v>38</v>
      </c>
      <c r="AE203">
        <v>2544.09</v>
      </c>
      <c r="AF203">
        <v>0</v>
      </c>
    </row>
    <row r="204" spans="3:32" x14ac:dyDescent="0.35">
      <c r="C204" s="1">
        <v>43586</v>
      </c>
      <c r="D204" s="2">
        <v>43586</v>
      </c>
      <c r="E204">
        <v>1608</v>
      </c>
      <c r="F204" s="3">
        <v>2918.58</v>
      </c>
      <c r="G204" s="3">
        <v>1340.14</v>
      </c>
      <c r="H204" s="3">
        <v>1578.44</v>
      </c>
      <c r="I204" s="3">
        <v>0.46</v>
      </c>
      <c r="J204">
        <v>0.32</v>
      </c>
      <c r="K204">
        <v>2849.76</v>
      </c>
      <c r="L204" t="s">
        <v>35</v>
      </c>
      <c r="M204">
        <v>657</v>
      </c>
      <c r="N204">
        <v>0.35</v>
      </c>
      <c r="O204" s="3">
        <v>534.33000000000004</v>
      </c>
      <c r="P204" s="3">
        <v>0.18</v>
      </c>
      <c r="Q204" s="3">
        <v>385.09</v>
      </c>
      <c r="R204" s="3">
        <v>0.13</v>
      </c>
      <c r="S204">
        <v>5</v>
      </c>
      <c r="T204">
        <v>686.51</v>
      </c>
      <c r="U204">
        <v>59</v>
      </c>
      <c r="V204">
        <v>0</v>
      </c>
      <c r="W204">
        <v>342.52</v>
      </c>
      <c r="X204">
        <v>2141.52</v>
      </c>
      <c r="Y204" t="s">
        <v>36</v>
      </c>
      <c r="Z204" s="3">
        <v>1094.19</v>
      </c>
      <c r="AA204" t="s">
        <v>37</v>
      </c>
      <c r="AB204" t="s">
        <v>44</v>
      </c>
      <c r="AC204">
        <v>74.7</v>
      </c>
      <c r="AD204" t="s">
        <v>38</v>
      </c>
      <c r="AE204">
        <v>1578.44</v>
      </c>
      <c r="AF204">
        <v>0</v>
      </c>
    </row>
    <row r="205" spans="3:32" x14ac:dyDescent="0.35">
      <c r="C205" s="1">
        <v>43586</v>
      </c>
      <c r="D205" s="2">
        <v>43586</v>
      </c>
      <c r="E205">
        <v>1229</v>
      </c>
      <c r="F205" s="3">
        <v>3908.56</v>
      </c>
      <c r="G205" s="3">
        <v>3196.97</v>
      </c>
      <c r="H205" s="3">
        <v>711.59</v>
      </c>
      <c r="I205" s="3">
        <v>0.82</v>
      </c>
      <c r="J205">
        <v>0.18</v>
      </c>
      <c r="K205">
        <v>3962.26</v>
      </c>
      <c r="L205" t="s">
        <v>39</v>
      </c>
      <c r="M205">
        <v>807</v>
      </c>
      <c r="N205">
        <v>0.18</v>
      </c>
      <c r="O205" s="3">
        <v>563.12</v>
      </c>
      <c r="P205" s="3">
        <v>0.14000000000000001</v>
      </c>
      <c r="Q205" s="3">
        <v>546.05999999999995</v>
      </c>
      <c r="R205" s="3">
        <v>0.14000000000000001</v>
      </c>
      <c r="S205">
        <v>2</v>
      </c>
      <c r="T205">
        <v>1550.13</v>
      </c>
      <c r="U205">
        <v>41</v>
      </c>
      <c r="V205">
        <v>0</v>
      </c>
      <c r="W205">
        <v>689.1</v>
      </c>
      <c r="X205">
        <v>2458.84</v>
      </c>
      <c r="Y205" t="s">
        <v>36</v>
      </c>
      <c r="Z205" s="3">
        <v>1746.55</v>
      </c>
      <c r="AA205" t="s">
        <v>45</v>
      </c>
      <c r="AB205" t="s">
        <v>42</v>
      </c>
      <c r="AC205">
        <v>20.2</v>
      </c>
      <c r="AD205" t="s">
        <v>34</v>
      </c>
      <c r="AE205">
        <v>711.59</v>
      </c>
      <c r="AF205">
        <v>0</v>
      </c>
    </row>
    <row r="206" spans="3:32" x14ac:dyDescent="0.35">
      <c r="C206" s="1">
        <v>43586</v>
      </c>
      <c r="D206" s="2">
        <v>43586</v>
      </c>
      <c r="E206">
        <v>1844</v>
      </c>
      <c r="F206" s="3">
        <v>4925.07</v>
      </c>
      <c r="G206" s="3">
        <v>2916.49</v>
      </c>
      <c r="H206" s="3">
        <v>2008.58</v>
      </c>
      <c r="I206" s="3">
        <v>0.59</v>
      </c>
      <c r="J206">
        <v>0.28000000000000003</v>
      </c>
      <c r="K206">
        <v>2264.48</v>
      </c>
      <c r="L206" t="s">
        <v>35</v>
      </c>
      <c r="M206">
        <v>684</v>
      </c>
      <c r="N206">
        <v>0.37</v>
      </c>
      <c r="O206" s="3">
        <v>626.16</v>
      </c>
      <c r="P206" s="3">
        <v>0.13</v>
      </c>
      <c r="Q206" s="3">
        <v>710.26</v>
      </c>
      <c r="R206" s="3">
        <v>0.14000000000000001</v>
      </c>
      <c r="S206">
        <v>3</v>
      </c>
      <c r="T206">
        <v>974.63</v>
      </c>
      <c r="U206">
        <v>42</v>
      </c>
      <c r="V206">
        <v>0</v>
      </c>
      <c r="W206">
        <v>0</v>
      </c>
      <c r="X206">
        <v>1730.6</v>
      </c>
      <c r="Y206" t="s">
        <v>36</v>
      </c>
      <c r="Z206" s="3">
        <v>1082.22</v>
      </c>
      <c r="AA206" t="s">
        <v>37</v>
      </c>
      <c r="AB206" t="s">
        <v>33</v>
      </c>
      <c r="AC206">
        <v>76.599999999999994</v>
      </c>
      <c r="AD206" t="s">
        <v>34</v>
      </c>
      <c r="AE206">
        <v>2008.58</v>
      </c>
      <c r="AF206">
        <v>0</v>
      </c>
    </row>
    <row r="207" spans="3:32" x14ac:dyDescent="0.35">
      <c r="C207" s="1">
        <v>43586</v>
      </c>
      <c r="D207" s="2">
        <v>43586</v>
      </c>
      <c r="E207">
        <v>1502</v>
      </c>
      <c r="F207" s="3">
        <v>3195.59</v>
      </c>
      <c r="G207" s="3">
        <v>2605.17</v>
      </c>
      <c r="H207" s="3">
        <v>590.41999999999996</v>
      </c>
      <c r="I207" s="3">
        <v>0.82</v>
      </c>
      <c r="J207">
        <v>0.26</v>
      </c>
      <c r="K207">
        <v>2720.14</v>
      </c>
      <c r="L207" t="s">
        <v>35</v>
      </c>
      <c r="M207">
        <v>621</v>
      </c>
      <c r="N207">
        <v>0.45</v>
      </c>
      <c r="O207" s="3">
        <v>767.7</v>
      </c>
      <c r="P207" s="3">
        <v>0.24</v>
      </c>
      <c r="Q207" s="3">
        <v>337.21</v>
      </c>
      <c r="R207" s="3">
        <v>0.11</v>
      </c>
      <c r="S207">
        <v>3</v>
      </c>
      <c r="T207">
        <v>769.77</v>
      </c>
      <c r="U207">
        <v>40</v>
      </c>
      <c r="V207">
        <v>0</v>
      </c>
      <c r="W207">
        <v>666.17</v>
      </c>
      <c r="X207">
        <v>2209.88</v>
      </c>
      <c r="Y207" t="s">
        <v>36</v>
      </c>
      <c r="Z207" s="3">
        <v>1236.68</v>
      </c>
      <c r="AA207" t="s">
        <v>32</v>
      </c>
      <c r="AB207" t="s">
        <v>33</v>
      </c>
      <c r="AC207">
        <v>62.7</v>
      </c>
      <c r="AD207" t="s">
        <v>34</v>
      </c>
      <c r="AE207">
        <v>590.41999999999996</v>
      </c>
      <c r="AF207">
        <v>0</v>
      </c>
    </row>
    <row r="208" spans="3:32" x14ac:dyDescent="0.35">
      <c r="C208" s="1">
        <v>43586</v>
      </c>
      <c r="D208" s="2">
        <v>43586</v>
      </c>
      <c r="E208">
        <v>1682</v>
      </c>
      <c r="F208" s="3">
        <v>3977.34</v>
      </c>
      <c r="G208" s="3">
        <v>2827.05</v>
      </c>
      <c r="H208" s="3">
        <v>1150.29</v>
      </c>
      <c r="I208" s="3">
        <v>0.71</v>
      </c>
      <c r="J208">
        <v>0.14000000000000001</v>
      </c>
      <c r="K208">
        <v>2761.8</v>
      </c>
      <c r="L208" t="s">
        <v>39</v>
      </c>
      <c r="M208">
        <v>716</v>
      </c>
      <c r="N208">
        <v>0.27</v>
      </c>
      <c r="O208" s="3">
        <v>558.88</v>
      </c>
      <c r="P208" s="3">
        <v>0.14000000000000001</v>
      </c>
      <c r="Q208" s="3">
        <v>470.95</v>
      </c>
      <c r="R208" s="3">
        <v>0.12</v>
      </c>
      <c r="S208">
        <v>5</v>
      </c>
      <c r="T208">
        <v>1598.92</v>
      </c>
      <c r="U208">
        <v>97</v>
      </c>
      <c r="V208">
        <v>0</v>
      </c>
      <c r="W208">
        <v>597.85</v>
      </c>
      <c r="X208">
        <v>1372.83</v>
      </c>
      <c r="Y208" t="s">
        <v>31</v>
      </c>
      <c r="Z208" s="3">
        <v>1406.41</v>
      </c>
      <c r="AA208" t="s">
        <v>50</v>
      </c>
      <c r="AB208" t="s">
        <v>42</v>
      </c>
      <c r="AC208">
        <v>10.1</v>
      </c>
      <c r="AD208" t="s">
        <v>34</v>
      </c>
      <c r="AE208">
        <v>1150.29</v>
      </c>
      <c r="AF208">
        <v>0</v>
      </c>
    </row>
    <row r="209" spans="3:32" x14ac:dyDescent="0.35">
      <c r="C209" s="1">
        <v>43586</v>
      </c>
      <c r="D209" s="2">
        <v>43586</v>
      </c>
      <c r="E209">
        <v>1335</v>
      </c>
      <c r="F209" s="3">
        <v>3468.29</v>
      </c>
      <c r="G209" s="3">
        <v>3518.16</v>
      </c>
      <c r="H209" s="3">
        <v>-49.87</v>
      </c>
      <c r="I209" s="3">
        <v>1.01</v>
      </c>
      <c r="J209">
        <v>0.3</v>
      </c>
      <c r="K209">
        <v>3493.07</v>
      </c>
      <c r="L209" t="s">
        <v>35</v>
      </c>
      <c r="M209">
        <v>643</v>
      </c>
      <c r="N209">
        <v>0.28000000000000003</v>
      </c>
      <c r="O209" s="3">
        <v>620.38</v>
      </c>
      <c r="P209" s="3">
        <v>0.18</v>
      </c>
      <c r="Q209" s="3">
        <v>281.67</v>
      </c>
      <c r="R209" s="3">
        <v>0.08</v>
      </c>
      <c r="S209">
        <v>6</v>
      </c>
      <c r="T209">
        <v>1576.48</v>
      </c>
      <c r="U209">
        <v>86</v>
      </c>
      <c r="V209">
        <v>0</v>
      </c>
      <c r="W209">
        <v>755.39</v>
      </c>
      <c r="X209">
        <v>3132.23</v>
      </c>
      <c r="Y209" t="s">
        <v>36</v>
      </c>
      <c r="Z209" s="3">
        <v>968.91</v>
      </c>
      <c r="AA209" t="s">
        <v>46</v>
      </c>
      <c r="AB209" t="s">
        <v>33</v>
      </c>
      <c r="AC209">
        <v>55.9</v>
      </c>
      <c r="AD209" t="s">
        <v>34</v>
      </c>
      <c r="AE209">
        <v>0</v>
      </c>
      <c r="AF209">
        <v>0</v>
      </c>
    </row>
    <row r="210" spans="3:32" x14ac:dyDescent="0.35">
      <c r="C210" s="1">
        <v>43586</v>
      </c>
      <c r="D210" s="2">
        <v>43586</v>
      </c>
      <c r="E210">
        <v>1181</v>
      </c>
      <c r="F210" s="3">
        <v>3758.86</v>
      </c>
      <c r="G210" s="3">
        <v>2818.12</v>
      </c>
      <c r="H210" s="3">
        <v>940.74</v>
      </c>
      <c r="I210" s="3">
        <v>0.75</v>
      </c>
      <c r="J210">
        <v>0.3</v>
      </c>
      <c r="K210">
        <v>2520.87</v>
      </c>
      <c r="L210" t="s">
        <v>39</v>
      </c>
      <c r="M210">
        <v>683</v>
      </c>
      <c r="N210">
        <v>0.18</v>
      </c>
      <c r="O210" s="3">
        <v>343.52</v>
      </c>
      <c r="P210" s="3">
        <v>0.09</v>
      </c>
      <c r="Q210" s="3">
        <v>291.12</v>
      </c>
      <c r="R210" s="3">
        <v>0.08</v>
      </c>
      <c r="S210">
        <v>8</v>
      </c>
      <c r="T210">
        <v>1361.75</v>
      </c>
      <c r="U210">
        <v>52</v>
      </c>
      <c r="V210">
        <v>0</v>
      </c>
      <c r="W210">
        <v>987.69</v>
      </c>
      <c r="X210">
        <v>3319.95</v>
      </c>
      <c r="Y210" t="s">
        <v>49</v>
      </c>
      <c r="Z210" s="3">
        <v>858.29</v>
      </c>
      <c r="AA210" t="s">
        <v>45</v>
      </c>
      <c r="AB210" t="s">
        <v>33</v>
      </c>
      <c r="AC210">
        <v>55.4</v>
      </c>
      <c r="AD210" t="s">
        <v>34</v>
      </c>
      <c r="AE210">
        <v>940.74</v>
      </c>
      <c r="AF210">
        <v>0</v>
      </c>
    </row>
    <row r="211" spans="3:32" x14ac:dyDescent="0.35">
      <c r="C211" s="1">
        <v>43586</v>
      </c>
      <c r="D211" s="2">
        <v>43586</v>
      </c>
      <c r="E211">
        <v>1068</v>
      </c>
      <c r="F211" s="3">
        <v>6001.48</v>
      </c>
      <c r="G211" s="3">
        <v>5495.2</v>
      </c>
      <c r="H211" s="3">
        <v>506.28</v>
      </c>
      <c r="I211" s="3">
        <v>0.92</v>
      </c>
      <c r="J211">
        <v>0.26</v>
      </c>
      <c r="K211">
        <v>2680.2</v>
      </c>
      <c r="L211" t="s">
        <v>39</v>
      </c>
      <c r="M211">
        <v>638</v>
      </c>
      <c r="N211">
        <v>0.34</v>
      </c>
      <c r="O211" s="3">
        <v>549.65</v>
      </c>
      <c r="P211" s="3">
        <v>0.09</v>
      </c>
      <c r="Q211" s="3">
        <v>314.89</v>
      </c>
      <c r="R211" s="3">
        <v>0.05</v>
      </c>
      <c r="S211">
        <v>2</v>
      </c>
      <c r="T211">
        <v>1118.56</v>
      </c>
      <c r="U211">
        <v>87</v>
      </c>
      <c r="V211">
        <v>0</v>
      </c>
      <c r="W211">
        <v>765.11</v>
      </c>
      <c r="X211">
        <v>1293.8499999999999</v>
      </c>
      <c r="Y211" t="s">
        <v>31</v>
      </c>
      <c r="Z211" s="3">
        <v>1790.7</v>
      </c>
      <c r="AA211" t="s">
        <v>32</v>
      </c>
      <c r="AB211" t="s">
        <v>33</v>
      </c>
      <c r="AC211">
        <v>10.4</v>
      </c>
      <c r="AD211" t="s">
        <v>34</v>
      </c>
      <c r="AE211">
        <v>506.28</v>
      </c>
      <c r="AF211">
        <v>0</v>
      </c>
    </row>
    <row r="212" spans="3:32" x14ac:dyDescent="0.35">
      <c r="C212" s="1">
        <v>43586</v>
      </c>
      <c r="D212" s="2">
        <v>43586</v>
      </c>
      <c r="E212">
        <v>1804</v>
      </c>
      <c r="F212" s="3">
        <v>3979.12</v>
      </c>
      <c r="G212" s="3">
        <v>4280.8999999999996</v>
      </c>
      <c r="H212" s="3">
        <v>-301.77999999999997</v>
      </c>
      <c r="I212" s="3">
        <v>1.08</v>
      </c>
      <c r="J212">
        <v>0.35</v>
      </c>
      <c r="K212">
        <v>4101.5600000000004</v>
      </c>
      <c r="L212" t="s">
        <v>30</v>
      </c>
      <c r="M212">
        <v>750</v>
      </c>
      <c r="N212">
        <v>0.27</v>
      </c>
      <c r="O212" s="3">
        <v>522.41999999999996</v>
      </c>
      <c r="P212" s="3">
        <v>0.13</v>
      </c>
      <c r="Q212" s="3">
        <v>404.11</v>
      </c>
      <c r="R212" s="3">
        <v>0.1</v>
      </c>
      <c r="S212">
        <v>7</v>
      </c>
      <c r="T212">
        <v>783.1</v>
      </c>
      <c r="U212">
        <v>59</v>
      </c>
      <c r="V212">
        <v>0</v>
      </c>
      <c r="W212">
        <v>228.5</v>
      </c>
      <c r="X212">
        <v>2087.7600000000002</v>
      </c>
      <c r="Y212" t="s">
        <v>31</v>
      </c>
      <c r="Z212" s="3">
        <v>1308.97</v>
      </c>
      <c r="AA212" t="s">
        <v>40</v>
      </c>
      <c r="AB212" t="s">
        <v>42</v>
      </c>
      <c r="AC212">
        <v>85.7</v>
      </c>
      <c r="AD212" t="s">
        <v>38</v>
      </c>
      <c r="AE212">
        <v>0</v>
      </c>
      <c r="AF212">
        <v>0</v>
      </c>
    </row>
    <row r="213" spans="3:32" x14ac:dyDescent="0.35">
      <c r="C213" s="1">
        <v>43586</v>
      </c>
      <c r="D213" s="2">
        <v>43586</v>
      </c>
      <c r="E213">
        <v>1037</v>
      </c>
      <c r="F213" s="3">
        <v>3766.66</v>
      </c>
      <c r="G213" s="3">
        <v>2799.22</v>
      </c>
      <c r="H213" s="3">
        <v>967.44</v>
      </c>
      <c r="I213" s="3">
        <v>0.74</v>
      </c>
      <c r="J213">
        <v>0.39</v>
      </c>
      <c r="K213">
        <v>3287.03</v>
      </c>
      <c r="L213" t="s">
        <v>30</v>
      </c>
      <c r="M213">
        <v>615</v>
      </c>
      <c r="N213">
        <v>0.55000000000000004</v>
      </c>
      <c r="O213" s="3">
        <v>0</v>
      </c>
      <c r="P213" s="3">
        <v>0</v>
      </c>
      <c r="Q213" s="3">
        <v>463.51</v>
      </c>
      <c r="R213" s="3">
        <v>0.12</v>
      </c>
      <c r="S213">
        <v>7</v>
      </c>
      <c r="T213">
        <v>1237.53</v>
      </c>
      <c r="U213">
        <v>70</v>
      </c>
      <c r="V213">
        <v>0</v>
      </c>
      <c r="W213">
        <v>475.05</v>
      </c>
      <c r="X213">
        <v>2637.13</v>
      </c>
      <c r="Y213" t="s">
        <v>36</v>
      </c>
      <c r="Z213" s="3">
        <v>1206.94</v>
      </c>
      <c r="AA213" t="s">
        <v>45</v>
      </c>
      <c r="AB213" t="s">
        <v>33</v>
      </c>
      <c r="AC213">
        <v>80</v>
      </c>
      <c r="AD213" t="s">
        <v>34</v>
      </c>
      <c r="AE213">
        <v>967.44</v>
      </c>
      <c r="AF213">
        <v>0</v>
      </c>
    </row>
    <row r="214" spans="3:32" x14ac:dyDescent="0.35">
      <c r="C214" s="1">
        <v>43586</v>
      </c>
      <c r="D214" s="2">
        <v>43586</v>
      </c>
      <c r="E214">
        <v>1846</v>
      </c>
      <c r="F214" s="3">
        <v>3529.85</v>
      </c>
      <c r="G214" s="3">
        <v>4021.32</v>
      </c>
      <c r="H214" s="3">
        <v>-491.47</v>
      </c>
      <c r="I214" s="3">
        <v>1.1399999999999999</v>
      </c>
      <c r="J214">
        <v>0.24</v>
      </c>
      <c r="K214">
        <v>2424.83</v>
      </c>
      <c r="L214" t="s">
        <v>30</v>
      </c>
      <c r="M214">
        <v>660</v>
      </c>
      <c r="N214">
        <v>0.33</v>
      </c>
      <c r="O214" s="3">
        <v>455.82</v>
      </c>
      <c r="P214" s="3">
        <v>0.13</v>
      </c>
      <c r="Q214" s="3">
        <v>25.1</v>
      </c>
      <c r="R214" s="3">
        <v>0.01</v>
      </c>
      <c r="S214">
        <v>8</v>
      </c>
      <c r="T214">
        <v>1723.19</v>
      </c>
      <c r="U214">
        <v>73</v>
      </c>
      <c r="V214">
        <v>0</v>
      </c>
      <c r="W214">
        <v>583.51</v>
      </c>
      <c r="X214">
        <v>2979.87</v>
      </c>
      <c r="Y214" t="s">
        <v>31</v>
      </c>
      <c r="Z214" s="3">
        <v>1294.76</v>
      </c>
      <c r="AA214" t="s">
        <v>45</v>
      </c>
      <c r="AB214" t="s">
        <v>33</v>
      </c>
      <c r="AC214">
        <v>37</v>
      </c>
      <c r="AD214" t="s">
        <v>34</v>
      </c>
      <c r="AE214">
        <v>0</v>
      </c>
      <c r="AF214">
        <v>0</v>
      </c>
    </row>
    <row r="215" spans="3:32" x14ac:dyDescent="0.35">
      <c r="C215" s="1">
        <v>43586</v>
      </c>
      <c r="D215" s="2">
        <v>43586</v>
      </c>
      <c r="E215">
        <v>1408</v>
      </c>
      <c r="F215" s="3">
        <v>4747.29</v>
      </c>
      <c r="G215" s="3">
        <v>5042.29</v>
      </c>
      <c r="H215" s="3">
        <v>-295</v>
      </c>
      <c r="I215" s="3">
        <v>1.06</v>
      </c>
      <c r="J215">
        <v>0.14000000000000001</v>
      </c>
      <c r="K215">
        <v>2273.5700000000002</v>
      </c>
      <c r="L215" t="s">
        <v>30</v>
      </c>
      <c r="M215">
        <v>611</v>
      </c>
      <c r="N215">
        <v>0.53</v>
      </c>
      <c r="O215" s="3">
        <v>153.6</v>
      </c>
      <c r="P215" s="3">
        <v>0.03</v>
      </c>
      <c r="Q215" s="3">
        <v>309.83</v>
      </c>
      <c r="R215" s="3">
        <v>7.0000000000000007E-2</v>
      </c>
      <c r="S215">
        <v>7</v>
      </c>
      <c r="T215">
        <v>1025.6500000000001</v>
      </c>
      <c r="U215">
        <v>52</v>
      </c>
      <c r="V215">
        <v>0</v>
      </c>
      <c r="W215">
        <v>351.01</v>
      </c>
      <c r="X215">
        <v>1000</v>
      </c>
      <c r="Y215" t="s">
        <v>36</v>
      </c>
      <c r="Z215" s="3">
        <v>1352.91</v>
      </c>
      <c r="AA215" t="s">
        <v>50</v>
      </c>
      <c r="AB215" t="s">
        <v>33</v>
      </c>
      <c r="AC215">
        <v>69.900000000000006</v>
      </c>
      <c r="AD215" t="s">
        <v>43</v>
      </c>
      <c r="AE215">
        <v>0</v>
      </c>
      <c r="AF215">
        <v>0</v>
      </c>
    </row>
    <row r="216" spans="3:32" x14ac:dyDescent="0.35">
      <c r="C216" s="1">
        <v>43586</v>
      </c>
      <c r="D216" s="2">
        <v>43586</v>
      </c>
      <c r="E216">
        <v>1305</v>
      </c>
      <c r="F216" s="3">
        <v>6093.49</v>
      </c>
      <c r="G216" s="3">
        <v>2460.77</v>
      </c>
      <c r="H216" s="3">
        <v>3632.72</v>
      </c>
      <c r="I216" s="3">
        <v>0.4</v>
      </c>
      <c r="J216">
        <v>0.27</v>
      </c>
      <c r="K216">
        <v>2312.77</v>
      </c>
      <c r="L216" t="s">
        <v>35</v>
      </c>
      <c r="M216">
        <v>634</v>
      </c>
      <c r="N216">
        <v>0.39</v>
      </c>
      <c r="O216" s="3">
        <v>558.55999999999995</v>
      </c>
      <c r="P216" s="3">
        <v>0.09</v>
      </c>
      <c r="Q216" s="3">
        <v>363.44</v>
      </c>
      <c r="R216" s="3">
        <v>0.06</v>
      </c>
      <c r="S216">
        <v>5</v>
      </c>
      <c r="T216">
        <v>135.52000000000001</v>
      </c>
      <c r="U216">
        <v>31</v>
      </c>
      <c r="V216">
        <v>0</v>
      </c>
      <c r="W216">
        <v>622.32000000000005</v>
      </c>
      <c r="X216">
        <v>1968.09</v>
      </c>
      <c r="Y216" t="s">
        <v>31</v>
      </c>
      <c r="Z216" s="3">
        <v>782.82</v>
      </c>
      <c r="AA216" t="s">
        <v>47</v>
      </c>
      <c r="AB216" t="s">
        <v>33</v>
      </c>
      <c r="AC216">
        <v>51.4</v>
      </c>
      <c r="AD216" t="s">
        <v>34</v>
      </c>
      <c r="AE216">
        <v>3632.72</v>
      </c>
      <c r="AF216">
        <v>1</v>
      </c>
    </row>
    <row r="217" spans="3:32" x14ac:dyDescent="0.35">
      <c r="C217" s="1">
        <v>43586</v>
      </c>
      <c r="D217" s="2">
        <v>43586</v>
      </c>
      <c r="E217">
        <v>1658</v>
      </c>
      <c r="F217" s="3">
        <v>4499.01</v>
      </c>
      <c r="G217" s="3">
        <v>2533.7800000000002</v>
      </c>
      <c r="H217" s="3">
        <v>1965.23</v>
      </c>
      <c r="I217" s="3">
        <v>0.56000000000000005</v>
      </c>
      <c r="J217">
        <v>0.35</v>
      </c>
      <c r="K217">
        <v>2437.16</v>
      </c>
      <c r="L217" t="s">
        <v>35</v>
      </c>
      <c r="M217">
        <v>641</v>
      </c>
      <c r="N217">
        <v>0.15</v>
      </c>
      <c r="O217" s="3">
        <v>819.17</v>
      </c>
      <c r="P217" s="3">
        <v>0.18</v>
      </c>
      <c r="Q217" s="3">
        <v>273.25</v>
      </c>
      <c r="R217" s="3">
        <v>0.06</v>
      </c>
      <c r="S217">
        <v>9</v>
      </c>
      <c r="T217">
        <v>1359.65</v>
      </c>
      <c r="U217">
        <v>46</v>
      </c>
      <c r="V217">
        <v>0</v>
      </c>
      <c r="W217">
        <v>737.69</v>
      </c>
      <c r="X217">
        <v>1913.14</v>
      </c>
      <c r="Y217" t="s">
        <v>36</v>
      </c>
      <c r="Z217" s="3">
        <v>1815.12</v>
      </c>
      <c r="AA217" t="s">
        <v>47</v>
      </c>
      <c r="AB217" t="s">
        <v>44</v>
      </c>
      <c r="AC217">
        <v>46.1</v>
      </c>
      <c r="AD217" t="s">
        <v>34</v>
      </c>
      <c r="AE217">
        <v>1965.23</v>
      </c>
      <c r="AF217">
        <v>0</v>
      </c>
    </row>
    <row r="218" spans="3:32" x14ac:dyDescent="0.35">
      <c r="C218" s="1">
        <v>43586</v>
      </c>
      <c r="D218" s="2">
        <v>43586</v>
      </c>
      <c r="E218">
        <v>1574</v>
      </c>
      <c r="F218" s="3">
        <v>5560.87</v>
      </c>
      <c r="G218" s="3">
        <v>2735.66</v>
      </c>
      <c r="H218" s="3">
        <v>2825.21</v>
      </c>
      <c r="I218" s="3">
        <v>0.49</v>
      </c>
      <c r="J218">
        <v>0.18</v>
      </c>
      <c r="K218">
        <v>2467.16</v>
      </c>
      <c r="L218" t="s">
        <v>30</v>
      </c>
      <c r="M218">
        <v>705</v>
      </c>
      <c r="N218">
        <v>0.21</v>
      </c>
      <c r="O218" s="3">
        <v>602.44000000000005</v>
      </c>
      <c r="P218" s="3">
        <v>0.11</v>
      </c>
      <c r="Q218" s="3">
        <v>836.38</v>
      </c>
      <c r="R218" s="3">
        <v>0.15</v>
      </c>
      <c r="S218">
        <v>2</v>
      </c>
      <c r="T218">
        <v>1454.36</v>
      </c>
      <c r="U218">
        <v>83</v>
      </c>
      <c r="V218">
        <v>0</v>
      </c>
      <c r="W218">
        <v>742.83</v>
      </c>
      <c r="X218">
        <v>3045.95</v>
      </c>
      <c r="Y218" t="s">
        <v>36</v>
      </c>
      <c r="Z218" s="3">
        <v>1046.96</v>
      </c>
      <c r="AA218" t="s">
        <v>40</v>
      </c>
      <c r="AB218" t="s">
        <v>44</v>
      </c>
      <c r="AC218">
        <v>82.9</v>
      </c>
      <c r="AD218" t="s">
        <v>34</v>
      </c>
      <c r="AE218">
        <v>2825.21</v>
      </c>
      <c r="AF218">
        <v>1</v>
      </c>
    </row>
    <row r="219" spans="3:32" x14ac:dyDescent="0.35">
      <c r="C219" s="1">
        <v>43586</v>
      </c>
      <c r="D219" s="2">
        <v>43586</v>
      </c>
      <c r="E219">
        <v>1633</v>
      </c>
      <c r="F219" s="3">
        <v>2256.0700000000002</v>
      </c>
      <c r="G219" s="3">
        <v>2411.77</v>
      </c>
      <c r="H219" s="3">
        <v>-155.69999999999999</v>
      </c>
      <c r="I219" s="3">
        <v>1.07</v>
      </c>
      <c r="J219">
        <v>0.28000000000000003</v>
      </c>
      <c r="K219">
        <v>2931.69</v>
      </c>
      <c r="L219" t="s">
        <v>35</v>
      </c>
      <c r="M219">
        <v>646</v>
      </c>
      <c r="N219">
        <v>0.21</v>
      </c>
      <c r="O219" s="3">
        <v>716.82</v>
      </c>
      <c r="P219" s="3">
        <v>0.32</v>
      </c>
      <c r="Q219" s="3">
        <v>407.9</v>
      </c>
      <c r="R219" s="3">
        <v>0.18</v>
      </c>
      <c r="S219">
        <v>8</v>
      </c>
      <c r="T219">
        <v>291.02</v>
      </c>
      <c r="U219">
        <v>46</v>
      </c>
      <c r="V219">
        <v>0</v>
      </c>
      <c r="W219">
        <v>238.23</v>
      </c>
      <c r="X219">
        <v>2062.59</v>
      </c>
      <c r="Y219" t="s">
        <v>49</v>
      </c>
      <c r="Z219" s="3">
        <v>300</v>
      </c>
      <c r="AA219" t="s">
        <v>45</v>
      </c>
      <c r="AB219" t="s">
        <v>44</v>
      </c>
      <c r="AC219">
        <v>79</v>
      </c>
      <c r="AD219" t="s">
        <v>43</v>
      </c>
      <c r="AE219">
        <v>0</v>
      </c>
      <c r="AF219">
        <v>0</v>
      </c>
    </row>
    <row r="220" spans="3:32" x14ac:dyDescent="0.35">
      <c r="C220" s="1">
        <v>43586</v>
      </c>
      <c r="D220" s="2">
        <v>43586</v>
      </c>
      <c r="E220">
        <v>1001</v>
      </c>
      <c r="F220" s="3">
        <v>4301.38</v>
      </c>
      <c r="G220" s="3">
        <v>1671.02</v>
      </c>
      <c r="H220" s="3">
        <v>2630.36</v>
      </c>
      <c r="I220" s="3">
        <v>0.39</v>
      </c>
      <c r="J220">
        <v>0.15</v>
      </c>
      <c r="K220">
        <v>2845.22</v>
      </c>
      <c r="L220" t="s">
        <v>30</v>
      </c>
      <c r="M220">
        <v>760</v>
      </c>
      <c r="N220">
        <v>0.53</v>
      </c>
      <c r="O220" s="3">
        <v>825.8</v>
      </c>
      <c r="P220" s="3">
        <v>0.19</v>
      </c>
      <c r="Q220" s="3">
        <v>287.58</v>
      </c>
      <c r="R220" s="3">
        <v>7.0000000000000007E-2</v>
      </c>
      <c r="S220">
        <v>5</v>
      </c>
      <c r="T220">
        <v>156.4</v>
      </c>
      <c r="U220">
        <v>28</v>
      </c>
      <c r="V220">
        <v>0</v>
      </c>
      <c r="W220">
        <v>541.16</v>
      </c>
      <c r="X220">
        <v>1545.27</v>
      </c>
      <c r="Y220" t="s">
        <v>36</v>
      </c>
      <c r="Z220" s="3">
        <v>1495.34</v>
      </c>
      <c r="AA220" t="s">
        <v>40</v>
      </c>
      <c r="AB220" t="s">
        <v>42</v>
      </c>
      <c r="AC220">
        <v>49.2</v>
      </c>
      <c r="AD220" t="s">
        <v>34</v>
      </c>
      <c r="AE220">
        <v>2630.36</v>
      </c>
      <c r="AF220">
        <v>0</v>
      </c>
    </row>
    <row r="221" spans="3:32" x14ac:dyDescent="0.35">
      <c r="C221" s="1">
        <v>43586</v>
      </c>
      <c r="D221" s="2">
        <v>43586</v>
      </c>
      <c r="E221">
        <v>1707</v>
      </c>
      <c r="F221" s="3">
        <v>4231.51</v>
      </c>
      <c r="G221" s="3">
        <v>1897.87</v>
      </c>
      <c r="H221" s="3">
        <v>2333.64</v>
      </c>
      <c r="I221" s="3">
        <v>0.45</v>
      </c>
      <c r="J221">
        <v>0.31</v>
      </c>
      <c r="K221">
        <v>2309.9499999999998</v>
      </c>
      <c r="L221" t="s">
        <v>30</v>
      </c>
      <c r="M221">
        <v>706</v>
      </c>
      <c r="N221">
        <v>0.23</v>
      </c>
      <c r="O221" s="3">
        <v>563.13</v>
      </c>
      <c r="P221" s="3">
        <v>0.13</v>
      </c>
      <c r="Q221" s="3">
        <v>335.76</v>
      </c>
      <c r="R221" s="3">
        <v>0.08</v>
      </c>
      <c r="S221">
        <v>6</v>
      </c>
      <c r="T221">
        <v>683.11</v>
      </c>
      <c r="U221">
        <v>47</v>
      </c>
      <c r="V221">
        <v>0</v>
      </c>
      <c r="W221">
        <v>541.41</v>
      </c>
      <c r="X221">
        <v>2889.97</v>
      </c>
      <c r="Y221" t="s">
        <v>36</v>
      </c>
      <c r="Z221" s="3">
        <v>923.25</v>
      </c>
      <c r="AA221" t="s">
        <v>40</v>
      </c>
      <c r="AB221" t="s">
        <v>33</v>
      </c>
      <c r="AC221">
        <v>78.8</v>
      </c>
      <c r="AD221" t="s">
        <v>43</v>
      </c>
      <c r="AE221">
        <v>2333.64</v>
      </c>
      <c r="AF221">
        <v>1</v>
      </c>
    </row>
    <row r="222" spans="3:32" x14ac:dyDescent="0.35">
      <c r="C222" s="1">
        <v>43586</v>
      </c>
      <c r="D222" s="2">
        <v>43586</v>
      </c>
      <c r="E222">
        <v>1921</v>
      </c>
      <c r="F222" s="3">
        <v>5547.65</v>
      </c>
      <c r="G222" s="3">
        <v>2672.09</v>
      </c>
      <c r="H222" s="3">
        <v>2875.56</v>
      </c>
      <c r="I222" s="3">
        <v>0.48</v>
      </c>
      <c r="J222">
        <v>0.19</v>
      </c>
      <c r="K222">
        <v>2714.93</v>
      </c>
      <c r="L222" t="s">
        <v>35</v>
      </c>
      <c r="M222">
        <v>718</v>
      </c>
      <c r="N222">
        <v>0.21</v>
      </c>
      <c r="O222" s="3">
        <v>566.76</v>
      </c>
      <c r="P222" s="3">
        <v>0.1</v>
      </c>
      <c r="Q222" s="3">
        <v>545.07000000000005</v>
      </c>
      <c r="R222" s="3">
        <v>0.1</v>
      </c>
      <c r="S222">
        <v>9</v>
      </c>
      <c r="T222">
        <v>688.09</v>
      </c>
      <c r="U222">
        <v>57</v>
      </c>
      <c r="V222">
        <v>0</v>
      </c>
      <c r="W222">
        <v>1111.81</v>
      </c>
      <c r="X222">
        <v>2464.38</v>
      </c>
      <c r="Y222" t="s">
        <v>31</v>
      </c>
      <c r="Z222" s="3">
        <v>922.7</v>
      </c>
      <c r="AA222" t="s">
        <v>45</v>
      </c>
      <c r="AB222" t="s">
        <v>33</v>
      </c>
      <c r="AC222">
        <v>86</v>
      </c>
      <c r="AD222" t="s">
        <v>34</v>
      </c>
      <c r="AE222">
        <v>2875.56</v>
      </c>
      <c r="AF222">
        <v>1</v>
      </c>
    </row>
    <row r="223" spans="3:32" x14ac:dyDescent="0.35">
      <c r="C223" s="1">
        <v>43586</v>
      </c>
      <c r="D223" s="2">
        <v>43586</v>
      </c>
      <c r="E223">
        <v>1253</v>
      </c>
      <c r="F223" s="3">
        <v>1336.44</v>
      </c>
      <c r="G223" s="3">
        <v>2385.3000000000002</v>
      </c>
      <c r="H223" s="3">
        <v>-1048.8599999999999</v>
      </c>
      <c r="I223" s="3">
        <v>1.78</v>
      </c>
      <c r="J223">
        <v>0.3</v>
      </c>
      <c r="K223">
        <v>2456.4699999999998</v>
      </c>
      <c r="L223" t="s">
        <v>35</v>
      </c>
      <c r="M223">
        <v>647</v>
      </c>
      <c r="N223">
        <v>0.46</v>
      </c>
      <c r="O223" s="3">
        <v>861.32</v>
      </c>
      <c r="P223" s="3">
        <v>0.64</v>
      </c>
      <c r="Q223" s="3">
        <v>379.01</v>
      </c>
      <c r="R223" s="3">
        <v>0.28000000000000003</v>
      </c>
      <c r="S223">
        <v>9</v>
      </c>
      <c r="T223">
        <v>412.05</v>
      </c>
      <c r="U223">
        <v>81</v>
      </c>
      <c r="V223">
        <v>0</v>
      </c>
      <c r="W223">
        <v>539.11</v>
      </c>
      <c r="X223">
        <v>2414.16</v>
      </c>
      <c r="Y223" t="s">
        <v>31</v>
      </c>
      <c r="Z223" s="3">
        <v>1504.97</v>
      </c>
      <c r="AA223" t="s">
        <v>50</v>
      </c>
      <c r="AB223" t="s">
        <v>33</v>
      </c>
      <c r="AC223">
        <v>50.1</v>
      </c>
      <c r="AD223" t="s">
        <v>43</v>
      </c>
      <c r="AE223">
        <v>0</v>
      </c>
      <c r="AF223">
        <v>0</v>
      </c>
    </row>
    <row r="224" spans="3:32" x14ac:dyDescent="0.35">
      <c r="C224" s="1">
        <v>43586</v>
      </c>
      <c r="D224" s="2">
        <v>43586</v>
      </c>
      <c r="E224">
        <v>1497</v>
      </c>
      <c r="F224" s="3">
        <v>6423.61</v>
      </c>
      <c r="G224" s="3">
        <v>3150.23</v>
      </c>
      <c r="H224" s="3">
        <v>3273.38</v>
      </c>
      <c r="I224" s="3">
        <v>0.49</v>
      </c>
      <c r="J224">
        <v>0.25</v>
      </c>
      <c r="K224">
        <v>2260.14</v>
      </c>
      <c r="L224" t="s">
        <v>35</v>
      </c>
      <c r="M224">
        <v>785</v>
      </c>
      <c r="N224">
        <v>0.44</v>
      </c>
      <c r="O224" s="3">
        <v>376.08</v>
      </c>
      <c r="P224" s="3">
        <v>0.06</v>
      </c>
      <c r="Q224" s="3">
        <v>136.46</v>
      </c>
      <c r="R224" s="3">
        <v>0.02</v>
      </c>
      <c r="S224">
        <v>7</v>
      </c>
      <c r="T224">
        <v>1389.59</v>
      </c>
      <c r="U224">
        <v>44</v>
      </c>
      <c r="V224">
        <v>0</v>
      </c>
      <c r="W224">
        <v>243.86</v>
      </c>
      <c r="X224">
        <v>2311.2199999999998</v>
      </c>
      <c r="Y224" t="s">
        <v>36</v>
      </c>
      <c r="Z224" s="3">
        <v>894.4</v>
      </c>
      <c r="AA224" t="s">
        <v>48</v>
      </c>
      <c r="AB224" t="s">
        <v>44</v>
      </c>
      <c r="AC224">
        <v>42.5</v>
      </c>
      <c r="AD224" t="s">
        <v>43</v>
      </c>
      <c r="AE224">
        <v>3273.38</v>
      </c>
      <c r="AF224">
        <v>1</v>
      </c>
    </row>
    <row r="225" spans="3:32" x14ac:dyDescent="0.35">
      <c r="C225" s="1">
        <v>43586</v>
      </c>
      <c r="D225" s="2">
        <v>43586</v>
      </c>
      <c r="E225">
        <v>1728</v>
      </c>
      <c r="F225" s="3">
        <v>4048.41</v>
      </c>
      <c r="G225" s="3">
        <v>4748.43</v>
      </c>
      <c r="H225" s="3">
        <v>-700.02</v>
      </c>
      <c r="I225" s="3">
        <v>1.17</v>
      </c>
      <c r="J225">
        <v>0.13</v>
      </c>
      <c r="K225">
        <v>2854.82</v>
      </c>
      <c r="L225" t="s">
        <v>35</v>
      </c>
      <c r="M225">
        <v>616</v>
      </c>
      <c r="N225">
        <v>0.46</v>
      </c>
      <c r="O225" s="3">
        <v>527.27</v>
      </c>
      <c r="P225" s="3">
        <v>0.13</v>
      </c>
      <c r="Q225" s="3">
        <v>761.88</v>
      </c>
      <c r="R225" s="3">
        <v>0.19</v>
      </c>
      <c r="S225">
        <v>9</v>
      </c>
      <c r="T225">
        <v>1252.19</v>
      </c>
      <c r="U225">
        <v>33</v>
      </c>
      <c r="V225">
        <v>0</v>
      </c>
      <c r="W225">
        <v>597.84</v>
      </c>
      <c r="X225">
        <v>2346.11</v>
      </c>
      <c r="Y225" t="s">
        <v>36</v>
      </c>
      <c r="Z225" s="3">
        <v>1356.24</v>
      </c>
      <c r="AA225" t="s">
        <v>46</v>
      </c>
      <c r="AB225" t="s">
        <v>42</v>
      </c>
      <c r="AC225">
        <v>13.9</v>
      </c>
      <c r="AD225" t="s">
        <v>34</v>
      </c>
      <c r="AE225">
        <v>0</v>
      </c>
      <c r="AF225">
        <v>0</v>
      </c>
    </row>
    <row r="226" spans="3:32" x14ac:dyDescent="0.35">
      <c r="C226" s="1">
        <v>43586</v>
      </c>
      <c r="D226" s="2">
        <v>43586</v>
      </c>
      <c r="E226">
        <v>1473</v>
      </c>
      <c r="F226" s="3">
        <v>2864.05</v>
      </c>
      <c r="G226" s="3">
        <v>3117.18</v>
      </c>
      <c r="H226" s="3">
        <v>-253.13</v>
      </c>
      <c r="I226" s="3">
        <v>1.0900000000000001</v>
      </c>
      <c r="J226">
        <v>0.2</v>
      </c>
      <c r="K226">
        <v>2724.79</v>
      </c>
      <c r="L226" t="s">
        <v>30</v>
      </c>
      <c r="M226">
        <v>690</v>
      </c>
      <c r="N226">
        <v>0.18</v>
      </c>
      <c r="O226" s="3">
        <v>298.47000000000003</v>
      </c>
      <c r="P226" s="3">
        <v>0.1</v>
      </c>
      <c r="Q226" s="3">
        <v>370.96</v>
      </c>
      <c r="R226" s="3">
        <v>0.13</v>
      </c>
      <c r="S226">
        <v>6</v>
      </c>
      <c r="T226">
        <v>537.48</v>
      </c>
      <c r="U226">
        <v>71</v>
      </c>
      <c r="V226">
        <v>0</v>
      </c>
      <c r="W226">
        <v>576.75</v>
      </c>
      <c r="X226">
        <v>1790</v>
      </c>
      <c r="Y226" t="s">
        <v>36</v>
      </c>
      <c r="Z226" s="3">
        <v>1208.3</v>
      </c>
      <c r="AA226" t="s">
        <v>47</v>
      </c>
      <c r="AB226" t="s">
        <v>42</v>
      </c>
      <c r="AC226">
        <v>0.3</v>
      </c>
      <c r="AD226" t="s">
        <v>34</v>
      </c>
      <c r="AE226">
        <v>0</v>
      </c>
      <c r="AF226">
        <v>0</v>
      </c>
    </row>
    <row r="227" spans="3:32" x14ac:dyDescent="0.35">
      <c r="C227" s="1">
        <v>43586</v>
      </c>
      <c r="D227" s="2">
        <v>43586</v>
      </c>
      <c r="E227">
        <v>1950</v>
      </c>
      <c r="F227" s="3">
        <v>4734.6400000000003</v>
      </c>
      <c r="G227" s="3">
        <v>1664.42</v>
      </c>
      <c r="H227" s="3">
        <v>3070.22</v>
      </c>
      <c r="I227" s="3">
        <v>0.35</v>
      </c>
      <c r="J227">
        <v>0.34</v>
      </c>
      <c r="K227">
        <v>2879.99</v>
      </c>
      <c r="L227" t="s">
        <v>35</v>
      </c>
      <c r="M227">
        <v>600</v>
      </c>
      <c r="N227">
        <v>0.39</v>
      </c>
      <c r="O227" s="3">
        <v>289.86</v>
      </c>
      <c r="P227" s="3">
        <v>0.06</v>
      </c>
      <c r="Q227" s="3">
        <v>229.96</v>
      </c>
      <c r="R227" s="3">
        <v>0.05</v>
      </c>
      <c r="S227">
        <v>5</v>
      </c>
      <c r="T227">
        <v>1122.33</v>
      </c>
      <c r="U227">
        <v>86</v>
      </c>
      <c r="V227">
        <v>0</v>
      </c>
      <c r="W227">
        <v>304.5</v>
      </c>
      <c r="X227">
        <v>1790.37</v>
      </c>
      <c r="Y227" t="s">
        <v>36</v>
      </c>
      <c r="Z227" s="3">
        <v>817.97</v>
      </c>
      <c r="AA227" t="s">
        <v>46</v>
      </c>
      <c r="AB227" t="s">
        <v>42</v>
      </c>
      <c r="AC227">
        <v>13.9</v>
      </c>
      <c r="AD227" t="s">
        <v>38</v>
      </c>
      <c r="AE227">
        <v>3070.22</v>
      </c>
      <c r="AF227">
        <v>1</v>
      </c>
    </row>
    <row r="228" spans="3:32" x14ac:dyDescent="0.35">
      <c r="C228" s="1">
        <v>43586</v>
      </c>
      <c r="D228" s="2">
        <v>43586</v>
      </c>
      <c r="E228">
        <v>1153</v>
      </c>
      <c r="F228" s="3">
        <v>4882.49</v>
      </c>
      <c r="G228" s="3">
        <v>3607.51</v>
      </c>
      <c r="H228" s="3">
        <v>1274.98</v>
      </c>
      <c r="I228" s="3">
        <v>0.74</v>
      </c>
      <c r="J228">
        <v>0.19</v>
      </c>
      <c r="K228">
        <v>1383.52</v>
      </c>
      <c r="L228" t="s">
        <v>35</v>
      </c>
      <c r="M228">
        <v>619</v>
      </c>
      <c r="N228">
        <v>0.56000000000000005</v>
      </c>
      <c r="O228" s="3">
        <v>507.26</v>
      </c>
      <c r="P228" s="3">
        <v>0.1</v>
      </c>
      <c r="Q228" s="3">
        <v>1226.3599999999999</v>
      </c>
      <c r="R228" s="3">
        <v>0.25</v>
      </c>
      <c r="S228">
        <v>3</v>
      </c>
      <c r="T228">
        <v>651.69000000000005</v>
      </c>
      <c r="U228">
        <v>83</v>
      </c>
      <c r="V228">
        <v>0</v>
      </c>
      <c r="W228">
        <v>541.66</v>
      </c>
      <c r="X228">
        <v>1637.07</v>
      </c>
      <c r="Y228" t="s">
        <v>36</v>
      </c>
      <c r="Z228" s="3">
        <v>1816.63</v>
      </c>
      <c r="AA228" t="s">
        <v>47</v>
      </c>
      <c r="AB228" t="s">
        <v>33</v>
      </c>
      <c r="AC228">
        <v>91</v>
      </c>
      <c r="AD228" t="s">
        <v>38</v>
      </c>
      <c r="AE228">
        <v>1274.98</v>
      </c>
      <c r="AF228">
        <v>0</v>
      </c>
    </row>
    <row r="229" spans="3:32" x14ac:dyDescent="0.35">
      <c r="C229" s="1">
        <v>43586</v>
      </c>
      <c r="D229" s="2">
        <v>43586</v>
      </c>
      <c r="E229">
        <v>1867</v>
      </c>
      <c r="F229" s="3">
        <v>3828.6</v>
      </c>
      <c r="G229" s="3">
        <v>3528.71</v>
      </c>
      <c r="H229" s="3">
        <v>299.89</v>
      </c>
      <c r="I229" s="3">
        <v>0.92</v>
      </c>
      <c r="J229">
        <v>0.31</v>
      </c>
      <c r="K229">
        <v>2538.04</v>
      </c>
      <c r="L229" t="s">
        <v>35</v>
      </c>
      <c r="M229">
        <v>698</v>
      </c>
      <c r="N229">
        <v>0.41</v>
      </c>
      <c r="O229" s="3">
        <v>454.53</v>
      </c>
      <c r="P229" s="3">
        <v>0.12</v>
      </c>
      <c r="Q229" s="3">
        <v>581.38</v>
      </c>
      <c r="R229" s="3">
        <v>0.15</v>
      </c>
      <c r="S229">
        <v>3</v>
      </c>
      <c r="T229">
        <v>839.97</v>
      </c>
      <c r="U229">
        <v>65</v>
      </c>
      <c r="V229">
        <v>0</v>
      </c>
      <c r="W229">
        <v>341.79</v>
      </c>
      <c r="X229">
        <v>2145.27</v>
      </c>
      <c r="Y229" t="s">
        <v>36</v>
      </c>
      <c r="Z229" s="3">
        <v>300</v>
      </c>
      <c r="AA229" t="s">
        <v>37</v>
      </c>
      <c r="AB229" t="s">
        <v>44</v>
      </c>
      <c r="AC229">
        <v>71.7</v>
      </c>
      <c r="AD229" t="s">
        <v>43</v>
      </c>
      <c r="AE229">
        <v>299.89</v>
      </c>
      <c r="AF229">
        <v>0</v>
      </c>
    </row>
    <row r="230" spans="3:32" x14ac:dyDescent="0.35">
      <c r="C230" s="1">
        <v>43586</v>
      </c>
      <c r="D230" s="2">
        <v>43586</v>
      </c>
      <c r="E230">
        <v>1044</v>
      </c>
      <c r="F230" s="3">
        <v>2521.6799999999998</v>
      </c>
      <c r="G230" s="3">
        <v>2609.6999999999998</v>
      </c>
      <c r="H230" s="3">
        <v>-88.02</v>
      </c>
      <c r="I230" s="3">
        <v>1.03</v>
      </c>
      <c r="J230">
        <v>0.28999999999999998</v>
      </c>
      <c r="K230">
        <v>2671.84</v>
      </c>
      <c r="L230" t="s">
        <v>39</v>
      </c>
      <c r="M230">
        <v>703</v>
      </c>
      <c r="N230">
        <v>0.56999999999999995</v>
      </c>
      <c r="O230" s="3">
        <v>435.22</v>
      </c>
      <c r="P230" s="3">
        <v>0.17</v>
      </c>
      <c r="Q230" s="3">
        <v>57.4</v>
      </c>
      <c r="R230" s="3">
        <v>0.02</v>
      </c>
      <c r="S230">
        <v>5</v>
      </c>
      <c r="T230">
        <v>1015.37</v>
      </c>
      <c r="U230">
        <v>92</v>
      </c>
      <c r="V230">
        <v>0</v>
      </c>
      <c r="W230">
        <v>459.74</v>
      </c>
      <c r="X230">
        <v>1822.51</v>
      </c>
      <c r="Y230" t="s">
        <v>36</v>
      </c>
      <c r="Z230" s="3">
        <v>1945.39</v>
      </c>
      <c r="AA230" t="s">
        <v>40</v>
      </c>
      <c r="AB230" t="s">
        <v>33</v>
      </c>
      <c r="AC230">
        <v>69.900000000000006</v>
      </c>
      <c r="AD230" t="s">
        <v>38</v>
      </c>
      <c r="AE230">
        <v>0</v>
      </c>
      <c r="AF230">
        <v>0</v>
      </c>
    </row>
    <row r="231" spans="3:32" x14ac:dyDescent="0.35">
      <c r="C231" s="1">
        <v>43586</v>
      </c>
      <c r="D231" s="2">
        <v>43586</v>
      </c>
      <c r="E231">
        <v>1744</v>
      </c>
      <c r="F231" s="3">
        <v>3181.97</v>
      </c>
      <c r="G231" s="3">
        <v>2445.0700000000002</v>
      </c>
      <c r="H231" s="3">
        <v>736.9</v>
      </c>
      <c r="I231" s="3">
        <v>0.77</v>
      </c>
      <c r="J231">
        <v>0.19</v>
      </c>
      <c r="K231">
        <v>2846.89</v>
      </c>
      <c r="L231" t="s">
        <v>35</v>
      </c>
      <c r="M231">
        <v>807</v>
      </c>
      <c r="N231">
        <v>0.17</v>
      </c>
      <c r="O231" s="3">
        <v>528.21</v>
      </c>
      <c r="P231" s="3">
        <v>0.17</v>
      </c>
      <c r="Q231" s="3">
        <v>468.68</v>
      </c>
      <c r="R231" s="3">
        <v>0.15</v>
      </c>
      <c r="S231">
        <v>9</v>
      </c>
      <c r="T231">
        <v>360.85</v>
      </c>
      <c r="U231">
        <v>50</v>
      </c>
      <c r="V231">
        <v>0</v>
      </c>
      <c r="W231">
        <v>663.21</v>
      </c>
      <c r="X231">
        <v>1000</v>
      </c>
      <c r="Y231" t="s">
        <v>36</v>
      </c>
      <c r="Z231" s="3">
        <v>1290.06</v>
      </c>
      <c r="AA231" t="s">
        <v>45</v>
      </c>
      <c r="AB231" t="s">
        <v>42</v>
      </c>
      <c r="AC231">
        <v>96.5</v>
      </c>
      <c r="AD231" t="s">
        <v>34</v>
      </c>
      <c r="AE231">
        <v>736.9</v>
      </c>
      <c r="AF231">
        <v>0</v>
      </c>
    </row>
    <row r="232" spans="3:32" x14ac:dyDescent="0.35">
      <c r="C232" s="1">
        <v>43586</v>
      </c>
      <c r="D232" s="2">
        <v>43586</v>
      </c>
      <c r="E232">
        <v>1273</v>
      </c>
      <c r="F232" s="3">
        <v>3458.05</v>
      </c>
      <c r="G232" s="3">
        <v>3106.15</v>
      </c>
      <c r="H232" s="3">
        <v>351.9</v>
      </c>
      <c r="I232" s="3">
        <v>0.9</v>
      </c>
      <c r="J232">
        <v>0.12</v>
      </c>
      <c r="K232">
        <v>3102.21</v>
      </c>
      <c r="L232" t="s">
        <v>35</v>
      </c>
      <c r="M232">
        <v>636</v>
      </c>
      <c r="N232">
        <v>0.57999999999999996</v>
      </c>
      <c r="O232" s="3">
        <v>623.33000000000004</v>
      </c>
      <c r="P232" s="3">
        <v>0.18</v>
      </c>
      <c r="Q232" s="3">
        <v>214.2</v>
      </c>
      <c r="R232" s="3">
        <v>0.06</v>
      </c>
      <c r="S232">
        <v>6</v>
      </c>
      <c r="T232">
        <v>1014.4</v>
      </c>
      <c r="U232">
        <v>70</v>
      </c>
      <c r="V232">
        <v>0</v>
      </c>
      <c r="W232">
        <v>735.6</v>
      </c>
      <c r="X232">
        <v>2930.05</v>
      </c>
      <c r="Y232" t="s">
        <v>49</v>
      </c>
      <c r="Z232" s="3">
        <v>300</v>
      </c>
      <c r="AA232" t="s">
        <v>45</v>
      </c>
      <c r="AB232" t="s">
        <v>33</v>
      </c>
      <c r="AC232">
        <v>0.9</v>
      </c>
      <c r="AD232" t="s">
        <v>34</v>
      </c>
      <c r="AE232">
        <v>351.9</v>
      </c>
      <c r="AF232">
        <v>0</v>
      </c>
    </row>
    <row r="233" spans="3:32" x14ac:dyDescent="0.35">
      <c r="C233" s="1">
        <v>43586</v>
      </c>
      <c r="D233" s="2">
        <v>43586</v>
      </c>
      <c r="E233">
        <v>1865</v>
      </c>
      <c r="F233" s="3">
        <v>3712.59</v>
      </c>
      <c r="G233" s="3">
        <v>2705.48</v>
      </c>
      <c r="H233" s="3">
        <v>1007.11</v>
      </c>
      <c r="I233" s="3">
        <v>0.73</v>
      </c>
      <c r="J233">
        <v>0.06</v>
      </c>
      <c r="K233">
        <v>2680.55</v>
      </c>
      <c r="L233" t="s">
        <v>39</v>
      </c>
      <c r="M233">
        <v>679</v>
      </c>
      <c r="N233">
        <v>0.1</v>
      </c>
      <c r="O233" s="3">
        <v>605.87</v>
      </c>
      <c r="P233" s="3">
        <v>0.16</v>
      </c>
      <c r="Q233" s="3">
        <v>61.53</v>
      </c>
      <c r="R233" s="3">
        <v>0.02</v>
      </c>
      <c r="S233">
        <v>1</v>
      </c>
      <c r="T233">
        <v>652.5</v>
      </c>
      <c r="U233">
        <v>87</v>
      </c>
      <c r="V233">
        <v>0</v>
      </c>
      <c r="W233">
        <v>614.34</v>
      </c>
      <c r="X233">
        <v>2527.91</v>
      </c>
      <c r="Y233" t="s">
        <v>36</v>
      </c>
      <c r="Z233" s="3">
        <v>751.76</v>
      </c>
      <c r="AA233" t="s">
        <v>47</v>
      </c>
      <c r="AB233" t="s">
        <v>33</v>
      </c>
      <c r="AC233">
        <v>37.700000000000003</v>
      </c>
      <c r="AD233" t="s">
        <v>43</v>
      </c>
      <c r="AE233">
        <v>1007.11</v>
      </c>
      <c r="AF233">
        <v>0</v>
      </c>
    </row>
    <row r="234" spans="3:32" x14ac:dyDescent="0.35">
      <c r="C234" s="1">
        <v>43586</v>
      </c>
      <c r="D234" s="2">
        <v>43586</v>
      </c>
      <c r="E234">
        <v>1456</v>
      </c>
      <c r="F234" s="3">
        <v>4192.29</v>
      </c>
      <c r="G234" s="3">
        <v>3483.32</v>
      </c>
      <c r="H234" s="3">
        <v>708.97</v>
      </c>
      <c r="I234" s="3">
        <v>0.83</v>
      </c>
      <c r="J234">
        <v>0.21</v>
      </c>
      <c r="K234">
        <v>1815.62</v>
      </c>
      <c r="L234" t="s">
        <v>35</v>
      </c>
      <c r="M234">
        <v>727</v>
      </c>
      <c r="N234">
        <v>0.54</v>
      </c>
      <c r="O234" s="3">
        <v>684.8</v>
      </c>
      <c r="P234" s="3">
        <v>0.16</v>
      </c>
      <c r="Q234" s="3">
        <v>355.79</v>
      </c>
      <c r="R234" s="3">
        <v>0.08</v>
      </c>
      <c r="S234">
        <v>5</v>
      </c>
      <c r="T234">
        <v>1170.23</v>
      </c>
      <c r="U234">
        <v>65</v>
      </c>
      <c r="V234">
        <v>0</v>
      </c>
      <c r="W234">
        <v>511.19</v>
      </c>
      <c r="X234">
        <v>1517.52</v>
      </c>
      <c r="Y234" t="s">
        <v>36</v>
      </c>
      <c r="Z234" s="3">
        <v>1655.62</v>
      </c>
      <c r="AA234" t="s">
        <v>48</v>
      </c>
      <c r="AB234" t="s">
        <v>33</v>
      </c>
      <c r="AC234">
        <v>97.8</v>
      </c>
      <c r="AD234" t="s">
        <v>43</v>
      </c>
      <c r="AE234">
        <v>708.97</v>
      </c>
      <c r="AF234">
        <v>0</v>
      </c>
    </row>
    <row r="235" spans="3:32" x14ac:dyDescent="0.35">
      <c r="C235" s="1">
        <v>43586</v>
      </c>
      <c r="D235" s="2">
        <v>43586</v>
      </c>
      <c r="E235">
        <v>1799</v>
      </c>
      <c r="F235" s="3">
        <v>2926.23</v>
      </c>
      <c r="G235" s="3">
        <v>3189.69</v>
      </c>
      <c r="H235" s="3">
        <v>-263.45999999999998</v>
      </c>
      <c r="I235" s="3">
        <v>1.0900000000000001</v>
      </c>
      <c r="J235">
        <v>0.35</v>
      </c>
      <c r="K235">
        <v>3652.69</v>
      </c>
      <c r="L235" t="s">
        <v>30</v>
      </c>
      <c r="M235">
        <v>706</v>
      </c>
      <c r="N235">
        <v>0.48</v>
      </c>
      <c r="O235" s="3">
        <v>476.11</v>
      </c>
      <c r="P235" s="3">
        <v>0.16</v>
      </c>
      <c r="Q235" s="3">
        <v>562.63</v>
      </c>
      <c r="R235" s="3">
        <v>0.19</v>
      </c>
      <c r="S235">
        <v>9</v>
      </c>
      <c r="T235">
        <v>1446.15</v>
      </c>
      <c r="U235">
        <v>66</v>
      </c>
      <c r="V235">
        <v>0</v>
      </c>
      <c r="W235">
        <v>590.04999999999995</v>
      </c>
      <c r="X235">
        <v>2614.63</v>
      </c>
      <c r="Y235" t="s">
        <v>36</v>
      </c>
      <c r="Z235" s="3">
        <v>1421.6</v>
      </c>
      <c r="AA235" t="s">
        <v>40</v>
      </c>
      <c r="AB235" t="s">
        <v>42</v>
      </c>
      <c r="AC235">
        <v>92.8</v>
      </c>
      <c r="AD235" t="s">
        <v>38</v>
      </c>
      <c r="AE235">
        <v>0</v>
      </c>
      <c r="AF235">
        <v>0</v>
      </c>
    </row>
    <row r="236" spans="3:32" x14ac:dyDescent="0.35">
      <c r="C236" s="1">
        <v>43586</v>
      </c>
      <c r="D236" s="2">
        <v>43586</v>
      </c>
      <c r="E236">
        <v>1916</v>
      </c>
      <c r="F236" s="3">
        <v>4248.25</v>
      </c>
      <c r="G236" s="3">
        <v>1743.03</v>
      </c>
      <c r="H236" s="3">
        <v>2505.2199999999998</v>
      </c>
      <c r="I236" s="3">
        <v>0.41</v>
      </c>
      <c r="J236">
        <v>0.11</v>
      </c>
      <c r="K236">
        <v>3136.84</v>
      </c>
      <c r="L236" t="s">
        <v>35</v>
      </c>
      <c r="M236">
        <v>703</v>
      </c>
      <c r="N236">
        <v>0.6</v>
      </c>
      <c r="O236" s="3">
        <v>904.91</v>
      </c>
      <c r="P236" s="3">
        <v>0.21</v>
      </c>
      <c r="Q236" s="3">
        <v>655.24</v>
      </c>
      <c r="R236" s="3">
        <v>0.15</v>
      </c>
      <c r="S236">
        <v>7</v>
      </c>
      <c r="T236">
        <v>562.98</v>
      </c>
      <c r="U236">
        <v>82</v>
      </c>
      <c r="V236">
        <v>0</v>
      </c>
      <c r="W236">
        <v>12.72</v>
      </c>
      <c r="X236">
        <v>1375.65</v>
      </c>
      <c r="Y236" t="s">
        <v>31</v>
      </c>
      <c r="Z236" s="3">
        <v>895.76</v>
      </c>
      <c r="AA236" t="s">
        <v>40</v>
      </c>
      <c r="AB236" t="s">
        <v>44</v>
      </c>
      <c r="AC236">
        <v>26.3</v>
      </c>
      <c r="AD236" t="s">
        <v>34</v>
      </c>
      <c r="AE236">
        <v>2505.2199999999998</v>
      </c>
      <c r="AF236">
        <v>0</v>
      </c>
    </row>
    <row r="237" spans="3:32" x14ac:dyDescent="0.35">
      <c r="C237" s="1">
        <v>43586</v>
      </c>
      <c r="D237" s="2">
        <v>43586</v>
      </c>
      <c r="E237">
        <v>1192</v>
      </c>
      <c r="F237" s="3">
        <v>4126.46</v>
      </c>
      <c r="G237" s="3">
        <v>3783.5</v>
      </c>
      <c r="H237" s="3">
        <v>342.96</v>
      </c>
      <c r="I237" s="3">
        <v>0.92</v>
      </c>
      <c r="J237">
        <v>0.28999999999999998</v>
      </c>
      <c r="K237">
        <v>3327.16</v>
      </c>
      <c r="L237" t="s">
        <v>35</v>
      </c>
      <c r="M237">
        <v>706</v>
      </c>
      <c r="N237">
        <v>0.36</v>
      </c>
      <c r="O237" s="3">
        <v>598.55999999999995</v>
      </c>
      <c r="P237" s="3">
        <v>0.15</v>
      </c>
      <c r="Q237" s="3">
        <v>388.81</v>
      </c>
      <c r="R237" s="3">
        <v>0.09</v>
      </c>
      <c r="S237">
        <v>8</v>
      </c>
      <c r="T237">
        <v>1631.07</v>
      </c>
      <c r="U237">
        <v>75</v>
      </c>
      <c r="V237">
        <v>0</v>
      </c>
      <c r="W237">
        <v>645.25</v>
      </c>
      <c r="X237">
        <v>2227.36</v>
      </c>
      <c r="Y237" t="s">
        <v>31</v>
      </c>
      <c r="Z237" s="3">
        <v>1242.9000000000001</v>
      </c>
      <c r="AA237" t="s">
        <v>37</v>
      </c>
      <c r="AB237" t="s">
        <v>33</v>
      </c>
      <c r="AC237">
        <v>2.1</v>
      </c>
      <c r="AD237" t="s">
        <v>34</v>
      </c>
      <c r="AE237">
        <v>342.96</v>
      </c>
      <c r="AF237">
        <v>0</v>
      </c>
    </row>
    <row r="238" spans="3:32" x14ac:dyDescent="0.35">
      <c r="C238" s="1">
        <v>43586</v>
      </c>
      <c r="D238" s="2">
        <v>43586</v>
      </c>
      <c r="E238">
        <v>1113</v>
      </c>
      <c r="F238" s="3">
        <v>4963.54</v>
      </c>
      <c r="G238" s="3">
        <v>3842.59</v>
      </c>
      <c r="H238" s="3">
        <v>1120.95</v>
      </c>
      <c r="I238" s="3">
        <v>0.77</v>
      </c>
      <c r="J238">
        <v>0.24</v>
      </c>
      <c r="K238">
        <v>2483.35</v>
      </c>
      <c r="L238" t="s">
        <v>35</v>
      </c>
      <c r="M238">
        <v>652</v>
      </c>
      <c r="N238">
        <v>0.44</v>
      </c>
      <c r="O238" s="3">
        <v>231.12</v>
      </c>
      <c r="P238" s="3">
        <v>0.05</v>
      </c>
      <c r="Q238" s="3">
        <v>421.61</v>
      </c>
      <c r="R238" s="3">
        <v>0.08</v>
      </c>
      <c r="S238">
        <v>8</v>
      </c>
      <c r="T238">
        <v>1310.51</v>
      </c>
      <c r="U238">
        <v>70</v>
      </c>
      <c r="V238">
        <v>0</v>
      </c>
      <c r="W238">
        <v>679.86</v>
      </c>
      <c r="X238">
        <v>1305.1500000000001</v>
      </c>
      <c r="Y238" t="s">
        <v>36</v>
      </c>
      <c r="Z238" s="3">
        <v>795.05</v>
      </c>
      <c r="AA238" t="s">
        <v>37</v>
      </c>
      <c r="AB238" t="s">
        <v>42</v>
      </c>
      <c r="AC238">
        <v>38.700000000000003</v>
      </c>
      <c r="AD238" t="s">
        <v>34</v>
      </c>
      <c r="AE238">
        <v>1120.95</v>
      </c>
      <c r="AF238">
        <v>0</v>
      </c>
    </row>
    <row r="239" spans="3:32" x14ac:dyDescent="0.35">
      <c r="C239" s="1">
        <v>43586</v>
      </c>
      <c r="D239" s="2">
        <v>43586</v>
      </c>
      <c r="E239">
        <v>1193</v>
      </c>
      <c r="F239" s="3">
        <v>4316.1400000000003</v>
      </c>
      <c r="G239" s="3">
        <v>2878.56</v>
      </c>
      <c r="H239" s="3">
        <v>1437.58</v>
      </c>
      <c r="I239" s="3">
        <v>0.67</v>
      </c>
      <c r="J239">
        <v>0.17</v>
      </c>
      <c r="K239">
        <v>2822.4</v>
      </c>
      <c r="L239" t="s">
        <v>35</v>
      </c>
      <c r="M239">
        <v>639</v>
      </c>
      <c r="N239">
        <v>0.55000000000000004</v>
      </c>
      <c r="O239" s="3">
        <v>407.55</v>
      </c>
      <c r="P239" s="3">
        <v>0.09</v>
      </c>
      <c r="Q239" s="3">
        <v>313.41000000000003</v>
      </c>
      <c r="R239" s="3">
        <v>7.0000000000000007E-2</v>
      </c>
      <c r="S239">
        <v>8</v>
      </c>
      <c r="T239">
        <v>449.99</v>
      </c>
      <c r="U239">
        <v>91</v>
      </c>
      <c r="V239">
        <v>0</v>
      </c>
      <c r="W239">
        <v>495.1</v>
      </c>
      <c r="X239">
        <v>2791.19</v>
      </c>
      <c r="Y239" t="s">
        <v>36</v>
      </c>
      <c r="Z239" s="3">
        <v>1332.18</v>
      </c>
      <c r="AA239" t="s">
        <v>47</v>
      </c>
      <c r="AB239" t="s">
        <v>33</v>
      </c>
      <c r="AC239">
        <v>97.2</v>
      </c>
      <c r="AD239" t="s">
        <v>34</v>
      </c>
      <c r="AE239">
        <v>1437.58</v>
      </c>
      <c r="AF239">
        <v>0</v>
      </c>
    </row>
    <row r="240" spans="3:32" x14ac:dyDescent="0.35">
      <c r="C240" s="1">
        <v>43586</v>
      </c>
      <c r="D240" s="2">
        <v>43586</v>
      </c>
      <c r="E240">
        <v>1220</v>
      </c>
      <c r="F240" s="3">
        <v>5941.69</v>
      </c>
      <c r="G240" s="3">
        <v>2357.02</v>
      </c>
      <c r="H240" s="3">
        <v>3584.67</v>
      </c>
      <c r="I240" s="3">
        <v>0.4</v>
      </c>
      <c r="J240">
        <v>0.13</v>
      </c>
      <c r="K240">
        <v>3184.69</v>
      </c>
      <c r="L240" t="s">
        <v>35</v>
      </c>
      <c r="M240">
        <v>736</v>
      </c>
      <c r="N240">
        <v>0.43</v>
      </c>
      <c r="O240" s="3">
        <v>339.69</v>
      </c>
      <c r="P240" s="3">
        <v>0.06</v>
      </c>
      <c r="Q240" s="3">
        <v>124.97</v>
      </c>
      <c r="R240" s="3">
        <v>0.02</v>
      </c>
      <c r="S240">
        <v>4</v>
      </c>
      <c r="T240">
        <v>915.45</v>
      </c>
      <c r="U240">
        <v>32</v>
      </c>
      <c r="V240">
        <v>0</v>
      </c>
      <c r="W240">
        <v>765.73</v>
      </c>
      <c r="X240">
        <v>2208.88</v>
      </c>
      <c r="Y240" t="s">
        <v>36</v>
      </c>
      <c r="Z240" s="3">
        <v>1749.7</v>
      </c>
      <c r="AA240" t="s">
        <v>40</v>
      </c>
      <c r="AB240" t="s">
        <v>42</v>
      </c>
      <c r="AC240">
        <v>81.8</v>
      </c>
      <c r="AD240" t="s">
        <v>34</v>
      </c>
      <c r="AE240">
        <v>3584.67</v>
      </c>
      <c r="AF240">
        <v>1</v>
      </c>
    </row>
    <row r="241" spans="3:32" x14ac:dyDescent="0.35">
      <c r="C241" s="1">
        <v>43586</v>
      </c>
      <c r="D241" s="2">
        <v>43586</v>
      </c>
      <c r="E241">
        <v>1714</v>
      </c>
      <c r="F241" s="3">
        <v>3493.46</v>
      </c>
      <c r="G241" s="3">
        <v>1900.88</v>
      </c>
      <c r="H241" s="3">
        <v>1592.58</v>
      </c>
      <c r="I241" s="3">
        <v>0.54</v>
      </c>
      <c r="J241">
        <v>0.25</v>
      </c>
      <c r="K241">
        <v>3496.57</v>
      </c>
      <c r="L241" t="s">
        <v>39</v>
      </c>
      <c r="M241">
        <v>673</v>
      </c>
      <c r="N241">
        <v>0.56999999999999995</v>
      </c>
      <c r="O241" s="3">
        <v>874.23</v>
      </c>
      <c r="P241" s="3">
        <v>0.25</v>
      </c>
      <c r="Q241" s="3">
        <v>822.52</v>
      </c>
      <c r="R241" s="3">
        <v>0.24</v>
      </c>
      <c r="S241">
        <v>8</v>
      </c>
      <c r="T241">
        <v>824.87</v>
      </c>
      <c r="U241">
        <v>44</v>
      </c>
      <c r="V241">
        <v>0</v>
      </c>
      <c r="W241">
        <v>145.02000000000001</v>
      </c>
      <c r="X241">
        <v>2374.61</v>
      </c>
      <c r="Y241" t="s">
        <v>36</v>
      </c>
      <c r="Z241" s="3">
        <v>799.9</v>
      </c>
      <c r="AA241" t="s">
        <v>50</v>
      </c>
      <c r="AB241" t="s">
        <v>44</v>
      </c>
      <c r="AC241">
        <v>71.2</v>
      </c>
      <c r="AD241" t="s">
        <v>34</v>
      </c>
      <c r="AE241">
        <v>1592.58</v>
      </c>
      <c r="AF241">
        <v>0</v>
      </c>
    </row>
    <row r="242" spans="3:32" x14ac:dyDescent="0.35">
      <c r="C242" s="1">
        <v>43586</v>
      </c>
      <c r="D242" s="2">
        <v>43586</v>
      </c>
      <c r="E242">
        <v>1880</v>
      </c>
      <c r="F242" s="3">
        <v>3468.99</v>
      </c>
      <c r="G242" s="3">
        <v>4647.99</v>
      </c>
      <c r="H242" s="3">
        <v>-1179</v>
      </c>
      <c r="I242" s="3">
        <v>1.34</v>
      </c>
      <c r="J242">
        <v>0.17</v>
      </c>
      <c r="K242">
        <v>2857.45</v>
      </c>
      <c r="L242" t="s">
        <v>30</v>
      </c>
      <c r="M242">
        <v>695</v>
      </c>
      <c r="N242">
        <v>0.23</v>
      </c>
      <c r="O242" s="3">
        <v>752.29</v>
      </c>
      <c r="P242" s="3">
        <v>0.22</v>
      </c>
      <c r="Q242" s="3">
        <v>241.65</v>
      </c>
      <c r="R242" s="3">
        <v>7.0000000000000007E-2</v>
      </c>
      <c r="S242">
        <v>6</v>
      </c>
      <c r="T242">
        <v>1732.52</v>
      </c>
      <c r="U242">
        <v>29</v>
      </c>
      <c r="V242">
        <v>0</v>
      </c>
      <c r="W242">
        <v>590.77</v>
      </c>
      <c r="X242">
        <v>3001.66</v>
      </c>
      <c r="Y242" t="s">
        <v>36</v>
      </c>
      <c r="Z242" s="3">
        <v>708.91</v>
      </c>
      <c r="AA242" t="s">
        <v>47</v>
      </c>
      <c r="AB242" t="s">
        <v>33</v>
      </c>
      <c r="AC242">
        <v>34.1</v>
      </c>
      <c r="AD242" t="s">
        <v>38</v>
      </c>
      <c r="AE242">
        <v>0</v>
      </c>
      <c r="AF242">
        <v>0</v>
      </c>
    </row>
    <row r="243" spans="3:32" x14ac:dyDescent="0.35">
      <c r="C243" s="1">
        <v>43586</v>
      </c>
      <c r="D243" s="2">
        <v>43586</v>
      </c>
      <c r="E243">
        <v>1743</v>
      </c>
      <c r="F243" s="3">
        <v>2783.07</v>
      </c>
      <c r="G243" s="3">
        <v>2220.0100000000002</v>
      </c>
      <c r="H243" s="3">
        <v>563.05999999999995</v>
      </c>
      <c r="I243" s="3">
        <v>0.8</v>
      </c>
      <c r="J243">
        <v>0.18</v>
      </c>
      <c r="K243">
        <v>4014.67</v>
      </c>
      <c r="L243" t="s">
        <v>35</v>
      </c>
      <c r="M243">
        <v>708</v>
      </c>
      <c r="N243">
        <v>0.41</v>
      </c>
      <c r="O243" s="3">
        <v>789.61</v>
      </c>
      <c r="P243" s="3">
        <v>0.28000000000000003</v>
      </c>
      <c r="Q243" s="3">
        <v>563.92999999999995</v>
      </c>
      <c r="R243" s="3">
        <v>0.2</v>
      </c>
      <c r="S243">
        <v>8</v>
      </c>
      <c r="T243">
        <v>1195.76</v>
      </c>
      <c r="U243">
        <v>99</v>
      </c>
      <c r="V243">
        <v>0</v>
      </c>
      <c r="W243">
        <v>694.82</v>
      </c>
      <c r="X243">
        <v>2106.4</v>
      </c>
      <c r="Y243" t="s">
        <v>36</v>
      </c>
      <c r="Z243" s="3">
        <v>996.25</v>
      </c>
      <c r="AA243" t="s">
        <v>50</v>
      </c>
      <c r="AB243" t="s">
        <v>44</v>
      </c>
      <c r="AC243">
        <v>42.4</v>
      </c>
      <c r="AD243" t="s">
        <v>34</v>
      </c>
      <c r="AE243">
        <v>563.05999999999995</v>
      </c>
      <c r="AF243">
        <v>0</v>
      </c>
    </row>
    <row r="244" spans="3:32" x14ac:dyDescent="0.35">
      <c r="C244" s="1">
        <v>43586</v>
      </c>
      <c r="D244" s="2">
        <v>43586</v>
      </c>
      <c r="E244">
        <v>1990</v>
      </c>
      <c r="F244" s="3">
        <v>3468.96</v>
      </c>
      <c r="G244" s="3">
        <v>3629.29</v>
      </c>
      <c r="H244" s="3">
        <v>-160.33000000000001</v>
      </c>
      <c r="I244" s="3">
        <v>1.05</v>
      </c>
      <c r="J244">
        <v>0.23</v>
      </c>
      <c r="K244">
        <v>2927.97</v>
      </c>
      <c r="L244" t="s">
        <v>30</v>
      </c>
      <c r="M244">
        <v>614</v>
      </c>
      <c r="N244">
        <v>0.33</v>
      </c>
      <c r="O244" s="3">
        <v>614.42999999999995</v>
      </c>
      <c r="P244" s="3">
        <v>0.18</v>
      </c>
      <c r="Q244" s="3">
        <v>333.98</v>
      </c>
      <c r="R244" s="3">
        <v>0.1</v>
      </c>
      <c r="S244">
        <v>3</v>
      </c>
      <c r="T244">
        <v>721.71</v>
      </c>
      <c r="U244">
        <v>64</v>
      </c>
      <c r="V244">
        <v>0</v>
      </c>
      <c r="W244">
        <v>622.27</v>
      </c>
      <c r="X244">
        <v>2088.9899999999998</v>
      </c>
      <c r="Y244" t="s">
        <v>36</v>
      </c>
      <c r="Z244" s="3">
        <v>896.98</v>
      </c>
      <c r="AA244" t="s">
        <v>32</v>
      </c>
      <c r="AB244" t="s">
        <v>33</v>
      </c>
      <c r="AC244">
        <v>50.6</v>
      </c>
      <c r="AD244" t="s">
        <v>43</v>
      </c>
      <c r="AE244">
        <v>0</v>
      </c>
      <c r="AF244">
        <v>0</v>
      </c>
    </row>
    <row r="245" spans="3:32" x14ac:dyDescent="0.35">
      <c r="C245" s="1">
        <v>43586</v>
      </c>
      <c r="D245" s="2">
        <v>43586</v>
      </c>
      <c r="E245">
        <v>1579</v>
      </c>
      <c r="F245" s="3">
        <v>3655.22</v>
      </c>
      <c r="G245" s="3">
        <v>3146.22</v>
      </c>
      <c r="H245" s="3">
        <v>509</v>
      </c>
      <c r="I245" s="3">
        <v>0.86</v>
      </c>
      <c r="J245">
        <v>0.36</v>
      </c>
      <c r="K245">
        <v>3762.18</v>
      </c>
      <c r="L245" t="s">
        <v>35</v>
      </c>
      <c r="M245">
        <v>704</v>
      </c>
      <c r="N245">
        <v>0.4</v>
      </c>
      <c r="O245" s="3">
        <v>578.86</v>
      </c>
      <c r="P245" s="3">
        <v>0.16</v>
      </c>
      <c r="Q245" s="3">
        <v>0</v>
      </c>
      <c r="R245" s="3">
        <v>0</v>
      </c>
      <c r="S245">
        <v>2</v>
      </c>
      <c r="T245">
        <v>1292.24</v>
      </c>
      <c r="U245">
        <v>29</v>
      </c>
      <c r="V245">
        <v>0</v>
      </c>
      <c r="W245">
        <v>374.67</v>
      </c>
      <c r="X245">
        <v>3015.8</v>
      </c>
      <c r="Y245" t="s">
        <v>36</v>
      </c>
      <c r="Z245" s="3">
        <v>999.03</v>
      </c>
      <c r="AA245" t="s">
        <v>48</v>
      </c>
      <c r="AB245" t="s">
        <v>33</v>
      </c>
      <c r="AC245">
        <v>59.9</v>
      </c>
      <c r="AD245" t="s">
        <v>43</v>
      </c>
      <c r="AE245">
        <v>509</v>
      </c>
      <c r="AF245">
        <v>0</v>
      </c>
    </row>
    <row r="246" spans="3:32" x14ac:dyDescent="0.35">
      <c r="C246" s="1">
        <v>43586</v>
      </c>
      <c r="D246" s="2">
        <v>43586</v>
      </c>
      <c r="E246">
        <v>1054</v>
      </c>
      <c r="F246" s="3">
        <v>4581.38</v>
      </c>
      <c r="G246" s="3">
        <v>3670.36</v>
      </c>
      <c r="H246" s="3">
        <v>911.02</v>
      </c>
      <c r="I246" s="3">
        <v>0.8</v>
      </c>
      <c r="J246">
        <v>0.21</v>
      </c>
      <c r="K246">
        <v>2684.65</v>
      </c>
      <c r="L246" t="s">
        <v>35</v>
      </c>
      <c r="M246">
        <v>733</v>
      </c>
      <c r="N246">
        <v>0.6</v>
      </c>
      <c r="O246" s="3">
        <v>398.27</v>
      </c>
      <c r="P246" s="3">
        <v>0.09</v>
      </c>
      <c r="Q246" s="3">
        <v>1047.18</v>
      </c>
      <c r="R246" s="3">
        <v>0.23</v>
      </c>
      <c r="S246">
        <v>3</v>
      </c>
      <c r="T246">
        <v>828.45</v>
      </c>
      <c r="U246">
        <v>60</v>
      </c>
      <c r="V246">
        <v>0</v>
      </c>
      <c r="W246">
        <v>510.7</v>
      </c>
      <c r="X246">
        <v>2073.9499999999998</v>
      </c>
      <c r="Y246" t="s">
        <v>49</v>
      </c>
      <c r="Z246" s="3">
        <v>1215.9000000000001</v>
      </c>
      <c r="AA246" t="s">
        <v>45</v>
      </c>
      <c r="AB246" t="s">
        <v>33</v>
      </c>
      <c r="AC246">
        <v>19.7</v>
      </c>
      <c r="AD246" t="s">
        <v>34</v>
      </c>
      <c r="AE246">
        <v>911.02</v>
      </c>
      <c r="AF246">
        <v>0</v>
      </c>
    </row>
    <row r="247" spans="3:32" x14ac:dyDescent="0.35">
      <c r="C247" s="1">
        <v>43586</v>
      </c>
      <c r="D247" s="2">
        <v>43586</v>
      </c>
      <c r="E247">
        <v>1799</v>
      </c>
      <c r="F247" s="3">
        <v>4025.6</v>
      </c>
      <c r="G247" s="3">
        <v>3903.41</v>
      </c>
      <c r="H247" s="3">
        <v>122.19</v>
      </c>
      <c r="I247" s="3">
        <v>0.97</v>
      </c>
      <c r="J247">
        <v>0.33</v>
      </c>
      <c r="K247">
        <v>2593.1999999999998</v>
      </c>
      <c r="L247" t="s">
        <v>35</v>
      </c>
      <c r="M247">
        <v>657</v>
      </c>
      <c r="N247">
        <v>0.56999999999999995</v>
      </c>
      <c r="O247" s="3">
        <v>403.76</v>
      </c>
      <c r="P247" s="3">
        <v>0.1</v>
      </c>
      <c r="Q247" s="3">
        <v>190.2</v>
      </c>
      <c r="R247" s="3">
        <v>0.05</v>
      </c>
      <c r="S247">
        <v>7</v>
      </c>
      <c r="T247">
        <v>866.26</v>
      </c>
      <c r="U247">
        <v>23</v>
      </c>
      <c r="V247">
        <v>0</v>
      </c>
      <c r="W247">
        <v>260.89999999999998</v>
      </c>
      <c r="X247">
        <v>1625.73</v>
      </c>
      <c r="Y247" t="s">
        <v>31</v>
      </c>
      <c r="Z247" s="3">
        <v>1610.4</v>
      </c>
      <c r="AA247" t="s">
        <v>51</v>
      </c>
      <c r="AB247" t="s">
        <v>33</v>
      </c>
      <c r="AC247">
        <v>15.7</v>
      </c>
      <c r="AD247" t="s">
        <v>34</v>
      </c>
      <c r="AE247">
        <v>122.19</v>
      </c>
      <c r="AF247">
        <v>0</v>
      </c>
    </row>
    <row r="248" spans="3:32" x14ac:dyDescent="0.35">
      <c r="C248" s="1">
        <v>43586</v>
      </c>
      <c r="D248" s="2">
        <v>43586</v>
      </c>
      <c r="E248">
        <v>1544</v>
      </c>
      <c r="F248" s="3">
        <v>5219.4799999999996</v>
      </c>
      <c r="G248" s="3">
        <v>2840.75</v>
      </c>
      <c r="H248" s="3">
        <v>2378.73</v>
      </c>
      <c r="I248" s="3">
        <v>0.54</v>
      </c>
      <c r="J248">
        <v>0.39</v>
      </c>
      <c r="K248">
        <v>2019.63</v>
      </c>
      <c r="L248" t="s">
        <v>35</v>
      </c>
      <c r="M248">
        <v>719</v>
      </c>
      <c r="N248">
        <v>0.52</v>
      </c>
      <c r="O248" s="3">
        <v>426.94</v>
      </c>
      <c r="P248" s="3">
        <v>0.08</v>
      </c>
      <c r="Q248" s="3">
        <v>129.94</v>
      </c>
      <c r="R248" s="3">
        <v>0.02</v>
      </c>
      <c r="S248">
        <v>4</v>
      </c>
      <c r="T248">
        <v>1366.26</v>
      </c>
      <c r="U248">
        <v>26</v>
      </c>
      <c r="V248">
        <v>0</v>
      </c>
      <c r="W248">
        <v>404.79</v>
      </c>
      <c r="X248">
        <v>2027.88</v>
      </c>
      <c r="Y248" t="s">
        <v>31</v>
      </c>
      <c r="Z248" s="3">
        <v>1731.17</v>
      </c>
      <c r="AA248" t="s">
        <v>50</v>
      </c>
      <c r="AB248" t="s">
        <v>33</v>
      </c>
      <c r="AC248">
        <v>43.3</v>
      </c>
      <c r="AD248" t="s">
        <v>34</v>
      </c>
      <c r="AE248">
        <v>2378.73</v>
      </c>
      <c r="AF248">
        <v>1</v>
      </c>
    </row>
    <row r="249" spans="3:32" x14ac:dyDescent="0.35">
      <c r="C249" s="1">
        <v>43586</v>
      </c>
      <c r="D249" s="2">
        <v>43586</v>
      </c>
      <c r="E249">
        <v>1023</v>
      </c>
      <c r="F249" s="3">
        <v>4906.8999999999996</v>
      </c>
      <c r="G249" s="3">
        <v>2553.71</v>
      </c>
      <c r="H249" s="3">
        <v>2353.19</v>
      </c>
      <c r="I249" s="3">
        <v>0.52</v>
      </c>
      <c r="J249">
        <v>0.14000000000000001</v>
      </c>
      <c r="K249">
        <v>2855.85</v>
      </c>
      <c r="L249" t="s">
        <v>35</v>
      </c>
      <c r="M249">
        <v>645</v>
      </c>
      <c r="N249">
        <v>0.31</v>
      </c>
      <c r="O249" s="3">
        <v>521.17999999999995</v>
      </c>
      <c r="P249" s="3">
        <v>0.11</v>
      </c>
      <c r="Q249" s="3">
        <v>41.58</v>
      </c>
      <c r="R249" s="3">
        <v>0.01</v>
      </c>
      <c r="S249">
        <v>2</v>
      </c>
      <c r="T249">
        <v>999.27</v>
      </c>
      <c r="U249">
        <v>38</v>
      </c>
      <c r="V249">
        <v>0</v>
      </c>
      <c r="W249">
        <v>464.28</v>
      </c>
      <c r="X249">
        <v>2756.06</v>
      </c>
      <c r="Y249" t="s">
        <v>36</v>
      </c>
      <c r="Z249" s="3">
        <v>1342.65</v>
      </c>
      <c r="AA249" t="s">
        <v>51</v>
      </c>
      <c r="AB249" t="s">
        <v>44</v>
      </c>
      <c r="AC249">
        <v>27.8</v>
      </c>
      <c r="AD249" t="s">
        <v>34</v>
      </c>
      <c r="AE249">
        <v>2353.19</v>
      </c>
      <c r="AF249">
        <v>0</v>
      </c>
    </row>
    <row r="250" spans="3:32" x14ac:dyDescent="0.35">
      <c r="C250" s="1">
        <v>43586</v>
      </c>
      <c r="D250" s="2">
        <v>43586</v>
      </c>
      <c r="E250">
        <v>1203</v>
      </c>
      <c r="F250" s="3">
        <v>2774.04</v>
      </c>
      <c r="G250" s="3">
        <v>3265.47</v>
      </c>
      <c r="H250" s="3">
        <v>-491.43</v>
      </c>
      <c r="I250" s="3">
        <v>1.18</v>
      </c>
      <c r="J250">
        <v>0.26</v>
      </c>
      <c r="K250">
        <v>3025.18</v>
      </c>
      <c r="L250" t="s">
        <v>39</v>
      </c>
      <c r="M250">
        <v>722</v>
      </c>
      <c r="N250">
        <v>0.4</v>
      </c>
      <c r="O250" s="3">
        <v>749.97</v>
      </c>
      <c r="P250" s="3">
        <v>0.27</v>
      </c>
      <c r="Q250" s="3">
        <v>231.8</v>
      </c>
      <c r="R250" s="3">
        <v>0.08</v>
      </c>
      <c r="S250">
        <v>6</v>
      </c>
      <c r="T250">
        <v>1264.3499999999999</v>
      </c>
      <c r="U250">
        <v>28</v>
      </c>
      <c r="V250">
        <v>0</v>
      </c>
      <c r="W250">
        <v>0</v>
      </c>
      <c r="X250">
        <v>2114.77</v>
      </c>
      <c r="Y250" t="s">
        <v>31</v>
      </c>
      <c r="Z250" s="3">
        <v>300</v>
      </c>
      <c r="AA250" t="s">
        <v>51</v>
      </c>
      <c r="AB250" t="s">
        <v>33</v>
      </c>
      <c r="AC250">
        <v>38.1</v>
      </c>
      <c r="AD250" t="s">
        <v>38</v>
      </c>
      <c r="AE250">
        <v>0</v>
      </c>
      <c r="AF250">
        <v>0</v>
      </c>
    </row>
    <row r="251" spans="3:32" x14ac:dyDescent="0.35">
      <c r="C251" s="1">
        <v>43586</v>
      </c>
      <c r="D251" s="2">
        <v>43586</v>
      </c>
      <c r="E251">
        <v>1799</v>
      </c>
      <c r="F251" s="3">
        <v>3614.14</v>
      </c>
      <c r="G251" s="3">
        <v>3876.57</v>
      </c>
      <c r="H251" s="3">
        <v>-262.43</v>
      </c>
      <c r="I251" s="3">
        <v>1.07</v>
      </c>
      <c r="J251">
        <v>0.27</v>
      </c>
      <c r="K251">
        <v>3259.97</v>
      </c>
      <c r="L251" t="s">
        <v>39</v>
      </c>
      <c r="M251">
        <v>648</v>
      </c>
      <c r="N251">
        <v>0.2</v>
      </c>
      <c r="O251" s="3">
        <v>503.12</v>
      </c>
      <c r="P251" s="3">
        <v>0.14000000000000001</v>
      </c>
      <c r="Q251" s="3">
        <v>797.97</v>
      </c>
      <c r="R251" s="3">
        <v>0.22</v>
      </c>
      <c r="S251">
        <v>9</v>
      </c>
      <c r="T251">
        <v>967.62</v>
      </c>
      <c r="U251">
        <v>91</v>
      </c>
      <c r="V251">
        <v>0</v>
      </c>
      <c r="W251">
        <v>738.36</v>
      </c>
      <c r="X251">
        <v>1151.8399999999999</v>
      </c>
      <c r="Y251" t="s">
        <v>36</v>
      </c>
      <c r="Z251" s="3">
        <v>952.5</v>
      </c>
      <c r="AA251" t="s">
        <v>37</v>
      </c>
      <c r="AB251" t="s">
        <v>42</v>
      </c>
      <c r="AC251">
        <v>89.4</v>
      </c>
      <c r="AD251" t="s">
        <v>43</v>
      </c>
      <c r="AE251">
        <v>0</v>
      </c>
      <c r="AF251">
        <v>0</v>
      </c>
    </row>
    <row r="252" spans="3:32" x14ac:dyDescent="0.35">
      <c r="C252" s="1">
        <v>43616</v>
      </c>
      <c r="D252" s="2">
        <v>43586</v>
      </c>
      <c r="E252">
        <v>1985</v>
      </c>
      <c r="F252" s="3">
        <v>4028.39</v>
      </c>
      <c r="G252" s="3">
        <v>3876.57</v>
      </c>
      <c r="H252" s="3">
        <v>151.82</v>
      </c>
      <c r="I252" s="3">
        <v>0.96</v>
      </c>
      <c r="J252">
        <v>0.26</v>
      </c>
      <c r="K252">
        <v>2079.7199999999998</v>
      </c>
      <c r="L252" t="s">
        <v>39</v>
      </c>
      <c r="M252">
        <v>643</v>
      </c>
      <c r="N252">
        <v>0.43</v>
      </c>
      <c r="O252" s="3">
        <v>323.2</v>
      </c>
      <c r="P252" s="3">
        <v>0.08</v>
      </c>
      <c r="Q252" s="3">
        <v>451.11</v>
      </c>
      <c r="R252" s="3">
        <v>0.11</v>
      </c>
      <c r="S252">
        <v>8</v>
      </c>
      <c r="T252">
        <v>1131.03</v>
      </c>
      <c r="U252">
        <v>56</v>
      </c>
      <c r="V252">
        <v>0</v>
      </c>
      <c r="W252">
        <v>431.04</v>
      </c>
      <c r="X252">
        <v>2330.0100000000002</v>
      </c>
      <c r="Y252" t="s">
        <v>36</v>
      </c>
      <c r="Z252" s="3">
        <v>548.66999999999996</v>
      </c>
      <c r="AA252" t="s">
        <v>47</v>
      </c>
      <c r="AB252" t="s">
        <v>33</v>
      </c>
      <c r="AC252">
        <v>53.7</v>
      </c>
      <c r="AD252" t="s">
        <v>43</v>
      </c>
      <c r="AE252">
        <v>151.82</v>
      </c>
      <c r="AF252">
        <v>0</v>
      </c>
    </row>
    <row r="253" spans="3:32" x14ac:dyDescent="0.35">
      <c r="C253" s="1">
        <v>43616</v>
      </c>
      <c r="D253" s="2">
        <v>43586</v>
      </c>
      <c r="E253">
        <v>1900</v>
      </c>
      <c r="F253" s="3">
        <v>4055.69</v>
      </c>
      <c r="G253" s="3">
        <v>4699.43</v>
      </c>
      <c r="H253" s="3">
        <v>-643.74</v>
      </c>
      <c r="I253" s="3">
        <v>1.1599999999999999</v>
      </c>
      <c r="J253">
        <v>0.16</v>
      </c>
      <c r="K253">
        <v>1905.94</v>
      </c>
      <c r="L253" t="s">
        <v>35</v>
      </c>
      <c r="M253">
        <v>764</v>
      </c>
      <c r="N253">
        <v>0.41</v>
      </c>
      <c r="O253" s="3">
        <v>262.43</v>
      </c>
      <c r="P253" s="3">
        <v>0.06</v>
      </c>
      <c r="Q253" s="3">
        <v>483.13</v>
      </c>
      <c r="R253" s="3">
        <v>0.12</v>
      </c>
      <c r="S253">
        <v>6</v>
      </c>
      <c r="T253">
        <v>354.31</v>
      </c>
      <c r="U253">
        <v>24</v>
      </c>
      <c r="V253">
        <v>0</v>
      </c>
      <c r="W253">
        <v>342.8</v>
      </c>
      <c r="X253">
        <v>1307.9100000000001</v>
      </c>
      <c r="Y253" t="s">
        <v>49</v>
      </c>
      <c r="Z253" s="3">
        <v>860.13</v>
      </c>
      <c r="AA253" t="s">
        <v>41</v>
      </c>
      <c r="AB253" t="s">
        <v>42</v>
      </c>
      <c r="AC253">
        <v>38</v>
      </c>
      <c r="AD253" t="s">
        <v>34</v>
      </c>
      <c r="AE253">
        <v>0</v>
      </c>
      <c r="AF253">
        <v>0</v>
      </c>
    </row>
    <row r="254" spans="3:32" x14ac:dyDescent="0.35">
      <c r="C254" s="1">
        <v>43616</v>
      </c>
      <c r="D254" s="2">
        <v>43586</v>
      </c>
      <c r="E254">
        <v>1527</v>
      </c>
      <c r="F254" s="3">
        <v>4743.6400000000003</v>
      </c>
      <c r="G254" s="3">
        <v>3230.18</v>
      </c>
      <c r="H254" s="3">
        <v>1513.46</v>
      </c>
      <c r="I254" s="3">
        <v>0.68</v>
      </c>
      <c r="J254">
        <v>0.3</v>
      </c>
      <c r="K254">
        <v>3444.56</v>
      </c>
      <c r="L254" t="s">
        <v>35</v>
      </c>
      <c r="M254">
        <v>759</v>
      </c>
      <c r="N254">
        <v>0.59</v>
      </c>
      <c r="O254" s="3">
        <v>447.11</v>
      </c>
      <c r="P254" s="3">
        <v>0.09</v>
      </c>
      <c r="Q254" s="3">
        <v>95.44</v>
      </c>
      <c r="R254" s="3">
        <v>0.02</v>
      </c>
      <c r="S254">
        <v>7</v>
      </c>
      <c r="T254">
        <v>210.13</v>
      </c>
      <c r="U254">
        <v>49</v>
      </c>
      <c r="V254">
        <v>0</v>
      </c>
      <c r="W254">
        <v>338.95</v>
      </c>
      <c r="X254">
        <v>2888.98</v>
      </c>
      <c r="Y254" t="s">
        <v>36</v>
      </c>
      <c r="Z254" s="3">
        <v>1055.0899999999999</v>
      </c>
      <c r="AA254" t="s">
        <v>37</v>
      </c>
      <c r="AB254" t="s">
        <v>33</v>
      </c>
      <c r="AC254">
        <v>91.4</v>
      </c>
      <c r="AD254" t="s">
        <v>34</v>
      </c>
      <c r="AE254">
        <v>1513.46</v>
      </c>
      <c r="AF254">
        <v>0</v>
      </c>
    </row>
    <row r="255" spans="3:32" x14ac:dyDescent="0.35">
      <c r="C255" s="1">
        <v>43616</v>
      </c>
      <c r="D255" s="2">
        <v>43586</v>
      </c>
      <c r="E255">
        <v>1320</v>
      </c>
      <c r="F255" s="3">
        <v>4813.79</v>
      </c>
      <c r="G255" s="3">
        <v>2222.54</v>
      </c>
      <c r="H255" s="3">
        <v>2591.25</v>
      </c>
      <c r="I255" s="3">
        <v>0.46</v>
      </c>
      <c r="J255">
        <v>0.21</v>
      </c>
      <c r="K255">
        <v>3386.62</v>
      </c>
      <c r="L255" t="s">
        <v>35</v>
      </c>
      <c r="M255">
        <v>645</v>
      </c>
      <c r="N255">
        <v>0.19</v>
      </c>
      <c r="O255" s="3">
        <v>571.44000000000005</v>
      </c>
      <c r="P255" s="3">
        <v>0.12</v>
      </c>
      <c r="Q255" s="3">
        <v>323.58999999999997</v>
      </c>
      <c r="R255" s="3">
        <v>7.0000000000000007E-2</v>
      </c>
      <c r="S255">
        <v>5</v>
      </c>
      <c r="T255">
        <v>378.27</v>
      </c>
      <c r="U255">
        <v>38</v>
      </c>
      <c r="V255">
        <v>0</v>
      </c>
      <c r="W255">
        <v>493.48</v>
      </c>
      <c r="X255">
        <v>3700.98</v>
      </c>
      <c r="Y255" t="s">
        <v>49</v>
      </c>
      <c r="Z255" s="3">
        <v>1025.6400000000001</v>
      </c>
      <c r="AA255" t="s">
        <v>41</v>
      </c>
      <c r="AB255" t="s">
        <v>42</v>
      </c>
      <c r="AC255">
        <v>49.6</v>
      </c>
      <c r="AD255" t="s">
        <v>34</v>
      </c>
      <c r="AE255">
        <v>2591.25</v>
      </c>
      <c r="AF255">
        <v>0</v>
      </c>
    </row>
    <row r="256" spans="3:32" x14ac:dyDescent="0.35">
      <c r="C256" s="1">
        <v>43616</v>
      </c>
      <c r="D256" s="2">
        <v>43586</v>
      </c>
      <c r="E256">
        <v>1038</v>
      </c>
      <c r="F256" s="3">
        <v>3555.98</v>
      </c>
      <c r="G256" s="3">
        <v>2493.91</v>
      </c>
      <c r="H256" s="3">
        <v>1062.07</v>
      </c>
      <c r="I256" s="3">
        <v>0.7</v>
      </c>
      <c r="J256">
        <v>0.17</v>
      </c>
      <c r="K256">
        <v>3398.87</v>
      </c>
      <c r="L256" t="s">
        <v>39</v>
      </c>
      <c r="M256">
        <v>716</v>
      </c>
      <c r="N256">
        <v>0.27</v>
      </c>
      <c r="O256" s="3">
        <v>466.59</v>
      </c>
      <c r="P256" s="3">
        <v>0.13</v>
      </c>
      <c r="Q256" s="3">
        <v>400.1</v>
      </c>
      <c r="R256" s="3">
        <v>0.11</v>
      </c>
      <c r="S256">
        <v>8</v>
      </c>
      <c r="T256">
        <v>339.46</v>
      </c>
      <c r="U256">
        <v>62</v>
      </c>
      <c r="V256">
        <v>0</v>
      </c>
      <c r="W256">
        <v>717.65</v>
      </c>
      <c r="X256">
        <v>2967.72</v>
      </c>
      <c r="Y256" t="s">
        <v>31</v>
      </c>
      <c r="Z256" s="3">
        <v>1347.04</v>
      </c>
      <c r="AA256" t="s">
        <v>48</v>
      </c>
      <c r="AB256" t="s">
        <v>44</v>
      </c>
      <c r="AC256">
        <v>10</v>
      </c>
      <c r="AD256" t="s">
        <v>43</v>
      </c>
      <c r="AE256">
        <v>1062.07</v>
      </c>
      <c r="AF256">
        <v>0</v>
      </c>
    </row>
    <row r="257" spans="3:32" x14ac:dyDescent="0.35">
      <c r="C257" s="1">
        <v>43616</v>
      </c>
      <c r="D257" s="2">
        <v>43586</v>
      </c>
      <c r="E257">
        <v>1113</v>
      </c>
      <c r="F257" s="3">
        <v>3193.45</v>
      </c>
      <c r="G257" s="3">
        <v>2559.2800000000002</v>
      </c>
      <c r="H257" s="3">
        <v>634.16999999999996</v>
      </c>
      <c r="I257" s="3">
        <v>0.8</v>
      </c>
      <c r="J257">
        <v>0.38</v>
      </c>
      <c r="K257">
        <v>3179.79</v>
      </c>
      <c r="L257" t="s">
        <v>35</v>
      </c>
      <c r="M257">
        <v>725</v>
      </c>
      <c r="N257">
        <v>0.52</v>
      </c>
      <c r="O257" s="3">
        <v>288.27999999999997</v>
      </c>
      <c r="P257" s="3">
        <v>0.09</v>
      </c>
      <c r="Q257" s="3">
        <v>1016.47</v>
      </c>
      <c r="R257" s="3">
        <v>0.32</v>
      </c>
      <c r="S257">
        <v>7</v>
      </c>
      <c r="T257">
        <v>1254.46</v>
      </c>
      <c r="U257">
        <v>95</v>
      </c>
      <c r="V257">
        <v>0</v>
      </c>
      <c r="W257">
        <v>126.32</v>
      </c>
      <c r="X257">
        <v>2727.35</v>
      </c>
      <c r="Y257" t="s">
        <v>36</v>
      </c>
      <c r="Z257" s="3">
        <v>1304.24</v>
      </c>
      <c r="AA257" t="s">
        <v>47</v>
      </c>
      <c r="AB257" t="s">
        <v>33</v>
      </c>
      <c r="AC257">
        <v>73.400000000000006</v>
      </c>
      <c r="AD257" t="s">
        <v>38</v>
      </c>
      <c r="AE257">
        <v>634.16999999999996</v>
      </c>
      <c r="AF257">
        <v>0</v>
      </c>
    </row>
    <row r="258" spans="3:32" x14ac:dyDescent="0.35">
      <c r="C258" s="1">
        <v>43616</v>
      </c>
      <c r="D258" s="2">
        <v>43586</v>
      </c>
      <c r="E258">
        <v>1397</v>
      </c>
      <c r="F258" s="3">
        <v>4254.3999999999996</v>
      </c>
      <c r="G258" s="3">
        <v>1207.3699999999999</v>
      </c>
      <c r="H258" s="3">
        <v>3047.03</v>
      </c>
      <c r="I258" s="3">
        <v>0.28000000000000003</v>
      </c>
      <c r="J258">
        <v>0.25</v>
      </c>
      <c r="K258">
        <v>3373.82</v>
      </c>
      <c r="L258" t="s">
        <v>35</v>
      </c>
      <c r="M258">
        <v>680</v>
      </c>
      <c r="N258">
        <v>0.13</v>
      </c>
      <c r="O258" s="3">
        <v>569.19000000000005</v>
      </c>
      <c r="P258" s="3">
        <v>0.13</v>
      </c>
      <c r="Q258" s="3">
        <v>511.39</v>
      </c>
      <c r="R258" s="3">
        <v>0.12</v>
      </c>
      <c r="S258">
        <v>1</v>
      </c>
      <c r="T258">
        <v>1148.46</v>
      </c>
      <c r="U258">
        <v>77</v>
      </c>
      <c r="V258">
        <v>0</v>
      </c>
      <c r="W258">
        <v>569.76</v>
      </c>
      <c r="X258">
        <v>3255.65</v>
      </c>
      <c r="Y258" t="s">
        <v>31</v>
      </c>
      <c r="Z258" s="3">
        <v>1678.6</v>
      </c>
      <c r="AA258" t="s">
        <v>37</v>
      </c>
      <c r="AB258" t="s">
        <v>33</v>
      </c>
      <c r="AC258">
        <v>96.1</v>
      </c>
      <c r="AD258" t="s">
        <v>34</v>
      </c>
      <c r="AE258">
        <v>3047.03</v>
      </c>
      <c r="AF258">
        <v>0</v>
      </c>
    </row>
    <row r="259" spans="3:32" x14ac:dyDescent="0.35">
      <c r="C259" s="1">
        <v>43616</v>
      </c>
      <c r="D259" s="2">
        <v>43586</v>
      </c>
      <c r="E259">
        <v>1542</v>
      </c>
      <c r="F259" s="3">
        <v>1596.51</v>
      </c>
      <c r="G259" s="3">
        <v>2085.66</v>
      </c>
      <c r="H259" s="3">
        <v>-489.15</v>
      </c>
      <c r="I259" s="3">
        <v>1.31</v>
      </c>
      <c r="J259">
        <v>0.21</v>
      </c>
      <c r="K259">
        <v>3378.62</v>
      </c>
      <c r="L259" t="s">
        <v>30</v>
      </c>
      <c r="M259">
        <v>742</v>
      </c>
      <c r="N259">
        <v>0.56999999999999995</v>
      </c>
      <c r="O259" s="3">
        <v>302.47000000000003</v>
      </c>
      <c r="P259" s="3">
        <v>0.19</v>
      </c>
      <c r="Q259" s="3">
        <v>432.82</v>
      </c>
      <c r="R259" s="3">
        <v>0.27</v>
      </c>
      <c r="S259">
        <v>1</v>
      </c>
      <c r="T259">
        <v>932.31</v>
      </c>
      <c r="U259">
        <v>54</v>
      </c>
      <c r="V259">
        <v>0</v>
      </c>
      <c r="W259">
        <v>381.53</v>
      </c>
      <c r="X259">
        <v>1179.06</v>
      </c>
      <c r="Y259" t="s">
        <v>31</v>
      </c>
      <c r="Z259" s="3">
        <v>1633.35</v>
      </c>
      <c r="AA259" t="s">
        <v>47</v>
      </c>
      <c r="AB259" t="s">
        <v>33</v>
      </c>
      <c r="AC259">
        <v>14.2</v>
      </c>
      <c r="AD259" t="s">
        <v>43</v>
      </c>
      <c r="AE259">
        <v>0</v>
      </c>
      <c r="AF259">
        <v>0</v>
      </c>
    </row>
    <row r="260" spans="3:32" x14ac:dyDescent="0.35">
      <c r="C260" s="1">
        <v>43616</v>
      </c>
      <c r="D260" s="2">
        <v>43586</v>
      </c>
      <c r="E260">
        <v>1504</v>
      </c>
      <c r="F260" s="3">
        <v>1906.42</v>
      </c>
      <c r="G260" s="3">
        <v>2648.09</v>
      </c>
      <c r="H260" s="3">
        <v>-741.67</v>
      </c>
      <c r="I260" s="3">
        <v>1.39</v>
      </c>
      <c r="J260">
        <v>0.23</v>
      </c>
      <c r="K260">
        <v>2325.85</v>
      </c>
      <c r="L260" t="s">
        <v>30</v>
      </c>
      <c r="M260">
        <v>744</v>
      </c>
      <c r="N260">
        <v>0.2</v>
      </c>
      <c r="O260" s="3">
        <v>564.21</v>
      </c>
      <c r="P260" s="3">
        <v>0.3</v>
      </c>
      <c r="Q260" s="3">
        <v>759.06</v>
      </c>
      <c r="R260" s="3">
        <v>0.4</v>
      </c>
      <c r="S260">
        <v>8</v>
      </c>
      <c r="T260">
        <v>79.34</v>
      </c>
      <c r="U260">
        <v>36</v>
      </c>
      <c r="V260">
        <v>0</v>
      </c>
      <c r="W260">
        <v>0</v>
      </c>
      <c r="X260">
        <v>2029.84</v>
      </c>
      <c r="Y260" t="s">
        <v>36</v>
      </c>
      <c r="Z260" s="3">
        <v>1056.33</v>
      </c>
      <c r="AA260" t="s">
        <v>50</v>
      </c>
      <c r="AB260" t="s">
        <v>44</v>
      </c>
      <c r="AC260">
        <v>9.9</v>
      </c>
      <c r="AD260" t="s">
        <v>34</v>
      </c>
      <c r="AE260">
        <v>0</v>
      </c>
      <c r="AF260">
        <v>0</v>
      </c>
    </row>
    <row r="261" spans="3:32" x14ac:dyDescent="0.35">
      <c r="C261" s="1">
        <v>43616</v>
      </c>
      <c r="D261" s="2">
        <v>43586</v>
      </c>
      <c r="E261">
        <v>1221</v>
      </c>
      <c r="F261" s="3">
        <v>4360.78</v>
      </c>
      <c r="G261" s="3">
        <v>2002.82</v>
      </c>
      <c r="H261" s="3">
        <v>2357.96</v>
      </c>
      <c r="I261" s="3">
        <v>0.46</v>
      </c>
      <c r="J261">
        <v>0.1</v>
      </c>
      <c r="K261">
        <v>2071.66</v>
      </c>
      <c r="L261" t="s">
        <v>39</v>
      </c>
      <c r="M261">
        <v>742</v>
      </c>
      <c r="N261">
        <v>0.44</v>
      </c>
      <c r="O261" s="3">
        <v>484.97</v>
      </c>
      <c r="P261" s="3">
        <v>0.11</v>
      </c>
      <c r="Q261" s="3">
        <v>167.99</v>
      </c>
      <c r="R261" s="3">
        <v>0.04</v>
      </c>
      <c r="S261">
        <v>4</v>
      </c>
      <c r="T261">
        <v>1072.42</v>
      </c>
      <c r="U261">
        <v>49</v>
      </c>
      <c r="V261">
        <v>0</v>
      </c>
      <c r="W261">
        <v>303.33999999999997</v>
      </c>
      <c r="X261">
        <v>2540.16</v>
      </c>
      <c r="Y261" t="s">
        <v>36</v>
      </c>
      <c r="Z261" s="3">
        <v>300</v>
      </c>
      <c r="AA261" t="s">
        <v>46</v>
      </c>
      <c r="AB261" t="s">
        <v>33</v>
      </c>
      <c r="AC261">
        <v>31.4</v>
      </c>
      <c r="AD261" t="s">
        <v>34</v>
      </c>
      <c r="AE261">
        <v>2357.96</v>
      </c>
      <c r="AF261">
        <v>1</v>
      </c>
    </row>
    <row r="262" spans="3:32" x14ac:dyDescent="0.35">
      <c r="C262" s="1">
        <v>43616</v>
      </c>
      <c r="D262" s="2">
        <v>43586</v>
      </c>
      <c r="E262">
        <v>1808</v>
      </c>
      <c r="F262" s="3">
        <v>4802.6400000000003</v>
      </c>
      <c r="G262" s="3">
        <v>2572.23</v>
      </c>
      <c r="H262" s="3">
        <v>2230.41</v>
      </c>
      <c r="I262" s="3">
        <v>0.54</v>
      </c>
      <c r="J262">
        <v>0.32</v>
      </c>
      <c r="K262">
        <v>2511.17</v>
      </c>
      <c r="L262" t="s">
        <v>39</v>
      </c>
      <c r="M262">
        <v>695</v>
      </c>
      <c r="N262">
        <v>0.6</v>
      </c>
      <c r="O262" s="3">
        <v>827.88</v>
      </c>
      <c r="P262" s="3">
        <v>0.17</v>
      </c>
      <c r="Q262" s="3">
        <v>121.08</v>
      </c>
      <c r="R262" s="3">
        <v>0.03</v>
      </c>
      <c r="S262">
        <v>5</v>
      </c>
      <c r="T262">
        <v>1537.94</v>
      </c>
      <c r="U262">
        <v>69</v>
      </c>
      <c r="V262">
        <v>0</v>
      </c>
      <c r="W262">
        <v>460.5</v>
      </c>
      <c r="X262">
        <v>3001.88</v>
      </c>
      <c r="Y262" t="s">
        <v>36</v>
      </c>
      <c r="Z262" s="3">
        <v>1397.86</v>
      </c>
      <c r="AA262" t="s">
        <v>45</v>
      </c>
      <c r="AB262" t="s">
        <v>44</v>
      </c>
      <c r="AC262">
        <v>5.7</v>
      </c>
      <c r="AD262" t="s">
        <v>38</v>
      </c>
      <c r="AE262">
        <v>2230.41</v>
      </c>
      <c r="AF262">
        <v>0</v>
      </c>
    </row>
    <row r="263" spans="3:32" x14ac:dyDescent="0.35">
      <c r="C263" s="1">
        <v>43616</v>
      </c>
      <c r="D263" s="2">
        <v>43586</v>
      </c>
      <c r="E263">
        <v>1752</v>
      </c>
      <c r="F263" s="3">
        <v>3889.28</v>
      </c>
      <c r="G263" s="3">
        <v>1786.17</v>
      </c>
      <c r="H263" s="3">
        <v>2103.11</v>
      </c>
      <c r="I263" s="3">
        <v>0.46</v>
      </c>
      <c r="J263">
        <v>0.22</v>
      </c>
      <c r="K263">
        <v>3815.38</v>
      </c>
      <c r="L263" t="s">
        <v>35</v>
      </c>
      <c r="M263">
        <v>698</v>
      </c>
      <c r="N263">
        <v>0.44</v>
      </c>
      <c r="O263" s="3">
        <v>211.15</v>
      </c>
      <c r="P263" s="3">
        <v>0.05</v>
      </c>
      <c r="Q263" s="3">
        <v>285.14999999999998</v>
      </c>
      <c r="R263" s="3">
        <v>7.0000000000000007E-2</v>
      </c>
      <c r="S263">
        <v>2</v>
      </c>
      <c r="T263">
        <v>774.85</v>
      </c>
      <c r="U263">
        <v>42</v>
      </c>
      <c r="V263">
        <v>0</v>
      </c>
      <c r="W263">
        <v>597.04</v>
      </c>
      <c r="X263">
        <v>2463</v>
      </c>
      <c r="Y263" t="s">
        <v>31</v>
      </c>
      <c r="Z263" s="3">
        <v>855.74</v>
      </c>
      <c r="AA263" t="s">
        <v>51</v>
      </c>
      <c r="AB263" t="s">
        <v>33</v>
      </c>
      <c r="AC263">
        <v>63.4</v>
      </c>
      <c r="AD263" t="s">
        <v>43</v>
      </c>
      <c r="AE263">
        <v>2103.11</v>
      </c>
      <c r="AF263">
        <v>0</v>
      </c>
    </row>
    <row r="264" spans="3:32" x14ac:dyDescent="0.35">
      <c r="C264" s="1">
        <v>43616</v>
      </c>
      <c r="D264" s="2">
        <v>43586</v>
      </c>
      <c r="E264">
        <v>1042</v>
      </c>
      <c r="F264" s="3">
        <v>3641.88</v>
      </c>
      <c r="G264" s="3">
        <v>3267.77</v>
      </c>
      <c r="H264" s="3">
        <v>374.11</v>
      </c>
      <c r="I264" s="3">
        <v>0.9</v>
      </c>
      <c r="J264">
        <v>0.05</v>
      </c>
      <c r="K264">
        <v>2862.18</v>
      </c>
      <c r="L264" t="s">
        <v>30</v>
      </c>
      <c r="M264">
        <v>688</v>
      </c>
      <c r="N264">
        <v>0.33</v>
      </c>
      <c r="O264" s="3">
        <v>379.18</v>
      </c>
      <c r="P264" s="3">
        <v>0.1</v>
      </c>
      <c r="Q264" s="3">
        <v>354.98</v>
      </c>
      <c r="R264" s="3">
        <v>0.1</v>
      </c>
      <c r="S264">
        <v>4</v>
      </c>
      <c r="T264">
        <v>809.5</v>
      </c>
      <c r="U264">
        <v>85</v>
      </c>
      <c r="V264">
        <v>0</v>
      </c>
      <c r="W264">
        <v>350.23</v>
      </c>
      <c r="X264">
        <v>1851.59</v>
      </c>
      <c r="Y264" t="s">
        <v>36</v>
      </c>
      <c r="Z264" s="3">
        <v>701.31</v>
      </c>
      <c r="AA264" t="s">
        <v>46</v>
      </c>
      <c r="AB264" t="s">
        <v>42</v>
      </c>
      <c r="AC264">
        <v>98.9</v>
      </c>
      <c r="AD264" t="s">
        <v>43</v>
      </c>
      <c r="AE264">
        <v>374.11</v>
      </c>
      <c r="AF264">
        <v>0</v>
      </c>
    </row>
    <row r="265" spans="3:32" x14ac:dyDescent="0.35">
      <c r="C265" s="1">
        <v>43616</v>
      </c>
      <c r="D265" s="2">
        <v>43586</v>
      </c>
      <c r="E265">
        <v>1524</v>
      </c>
      <c r="F265" s="3">
        <v>4396.9799999999996</v>
      </c>
      <c r="G265" s="3">
        <v>2730.88</v>
      </c>
      <c r="H265" s="3">
        <v>1666.1</v>
      </c>
      <c r="I265" s="3">
        <v>0.62</v>
      </c>
      <c r="J265">
        <v>7.0000000000000007E-2</v>
      </c>
      <c r="K265">
        <v>2800.15</v>
      </c>
      <c r="L265" t="s">
        <v>30</v>
      </c>
      <c r="M265">
        <v>641</v>
      </c>
      <c r="N265">
        <v>0.6</v>
      </c>
      <c r="O265" s="3">
        <v>491.36</v>
      </c>
      <c r="P265" s="3">
        <v>0.11</v>
      </c>
      <c r="Q265" s="3">
        <v>0</v>
      </c>
      <c r="R265" s="3">
        <v>0</v>
      </c>
      <c r="S265">
        <v>6</v>
      </c>
      <c r="T265">
        <v>1504.6</v>
      </c>
      <c r="U265">
        <v>82</v>
      </c>
      <c r="V265">
        <v>0</v>
      </c>
      <c r="W265">
        <v>348.39</v>
      </c>
      <c r="X265">
        <v>3055.35</v>
      </c>
      <c r="Y265" t="s">
        <v>36</v>
      </c>
      <c r="Z265" s="3">
        <v>1096.73</v>
      </c>
      <c r="AA265" t="s">
        <v>46</v>
      </c>
      <c r="AB265" t="s">
        <v>33</v>
      </c>
      <c r="AC265">
        <v>71.900000000000006</v>
      </c>
      <c r="AD265" t="s">
        <v>38</v>
      </c>
      <c r="AE265">
        <v>1666.1</v>
      </c>
      <c r="AF265">
        <v>0</v>
      </c>
    </row>
    <row r="266" spans="3:32" x14ac:dyDescent="0.35">
      <c r="C266" s="1">
        <v>43616</v>
      </c>
      <c r="D266" s="2">
        <v>43586</v>
      </c>
      <c r="E266">
        <v>1040</v>
      </c>
      <c r="F266" s="3">
        <v>2683.18</v>
      </c>
      <c r="G266" s="3">
        <v>4510.74</v>
      </c>
      <c r="H266" s="3">
        <v>-1827.56</v>
      </c>
      <c r="I266" s="3">
        <v>1.68</v>
      </c>
      <c r="J266">
        <v>0.28999999999999998</v>
      </c>
      <c r="K266">
        <v>3209.61</v>
      </c>
      <c r="L266" t="s">
        <v>30</v>
      </c>
      <c r="M266">
        <v>667</v>
      </c>
      <c r="N266">
        <v>0.26</v>
      </c>
      <c r="O266" s="3">
        <v>554.46</v>
      </c>
      <c r="P266" s="3">
        <v>0.21</v>
      </c>
      <c r="Q266" s="3">
        <v>758.19</v>
      </c>
      <c r="R266" s="3">
        <v>0.28000000000000003</v>
      </c>
      <c r="S266">
        <v>5</v>
      </c>
      <c r="T266">
        <v>1762.8</v>
      </c>
      <c r="U266">
        <v>21</v>
      </c>
      <c r="V266">
        <v>0</v>
      </c>
      <c r="W266">
        <v>439.12</v>
      </c>
      <c r="X266">
        <v>1752.61</v>
      </c>
      <c r="Y266" t="s">
        <v>36</v>
      </c>
      <c r="Z266" s="3">
        <v>1000.31</v>
      </c>
      <c r="AA266" t="s">
        <v>51</v>
      </c>
      <c r="AB266" t="s">
        <v>33</v>
      </c>
      <c r="AC266">
        <v>35.1</v>
      </c>
      <c r="AD266" t="s">
        <v>43</v>
      </c>
      <c r="AE266">
        <v>0</v>
      </c>
      <c r="AF266">
        <v>0</v>
      </c>
    </row>
    <row r="267" spans="3:32" x14ac:dyDescent="0.35">
      <c r="C267" s="1">
        <v>43616</v>
      </c>
      <c r="D267" s="2">
        <v>43586</v>
      </c>
      <c r="E267">
        <v>1808</v>
      </c>
      <c r="F267" s="3">
        <v>6382.64</v>
      </c>
      <c r="G267" s="3">
        <v>3624.26</v>
      </c>
      <c r="H267" s="3">
        <v>2758.38</v>
      </c>
      <c r="I267" s="3">
        <v>0.56999999999999995</v>
      </c>
      <c r="J267">
        <v>0.27</v>
      </c>
      <c r="K267">
        <v>2408.9499999999998</v>
      </c>
      <c r="L267" t="s">
        <v>30</v>
      </c>
      <c r="M267">
        <v>678</v>
      </c>
      <c r="N267">
        <v>0.57999999999999996</v>
      </c>
      <c r="O267" s="3">
        <v>333.32</v>
      </c>
      <c r="P267" s="3">
        <v>0.05</v>
      </c>
      <c r="Q267" s="3">
        <v>552.91999999999996</v>
      </c>
      <c r="R267" s="3">
        <v>0.09</v>
      </c>
      <c r="S267">
        <v>8</v>
      </c>
      <c r="T267">
        <v>404.35</v>
      </c>
      <c r="U267">
        <v>63</v>
      </c>
      <c r="V267">
        <v>0</v>
      </c>
      <c r="W267">
        <v>635.82000000000005</v>
      </c>
      <c r="X267">
        <v>2973.79</v>
      </c>
      <c r="Y267" t="s">
        <v>36</v>
      </c>
      <c r="Z267" s="3">
        <v>1178.43</v>
      </c>
      <c r="AA267" t="s">
        <v>40</v>
      </c>
      <c r="AB267" t="s">
        <v>44</v>
      </c>
      <c r="AC267">
        <v>37.799999999999997</v>
      </c>
      <c r="AD267" t="s">
        <v>43</v>
      </c>
      <c r="AE267">
        <v>2758.38</v>
      </c>
      <c r="AF267">
        <v>1</v>
      </c>
    </row>
    <row r="268" spans="3:32" x14ac:dyDescent="0.35">
      <c r="C268" s="1">
        <v>43616</v>
      </c>
      <c r="D268" s="2">
        <v>43586</v>
      </c>
      <c r="E268">
        <v>1791</v>
      </c>
      <c r="F268" s="3">
        <v>4093.76</v>
      </c>
      <c r="G268" s="3">
        <v>2343.0500000000002</v>
      </c>
      <c r="H268" s="3">
        <v>1750.71</v>
      </c>
      <c r="I268" s="3">
        <v>0.56999999999999995</v>
      </c>
      <c r="J268">
        <v>0.25</v>
      </c>
      <c r="K268">
        <v>2338.7600000000002</v>
      </c>
      <c r="L268" t="s">
        <v>35</v>
      </c>
      <c r="M268">
        <v>694</v>
      </c>
      <c r="N268">
        <v>0.22</v>
      </c>
      <c r="O268" s="3">
        <v>660.9</v>
      </c>
      <c r="P268" s="3">
        <v>0.16</v>
      </c>
      <c r="Q268" s="3">
        <v>31.6</v>
      </c>
      <c r="R268" s="3">
        <v>0.01</v>
      </c>
      <c r="S268">
        <v>6</v>
      </c>
      <c r="T268">
        <v>409.42</v>
      </c>
      <c r="U268">
        <v>42</v>
      </c>
      <c r="V268">
        <v>0</v>
      </c>
      <c r="W268">
        <v>636.04</v>
      </c>
      <c r="X268">
        <v>1949.62</v>
      </c>
      <c r="Y268" t="s">
        <v>36</v>
      </c>
      <c r="Z268" s="3">
        <v>1478.35</v>
      </c>
      <c r="AA268" t="s">
        <v>48</v>
      </c>
      <c r="AB268" t="s">
        <v>42</v>
      </c>
      <c r="AC268">
        <v>83.6</v>
      </c>
      <c r="AD268" t="s">
        <v>34</v>
      </c>
      <c r="AE268">
        <v>1750.71</v>
      </c>
      <c r="AF268">
        <v>0</v>
      </c>
    </row>
    <row r="269" spans="3:32" x14ac:dyDescent="0.35">
      <c r="C269" s="1">
        <v>43616</v>
      </c>
      <c r="D269" s="2">
        <v>43586</v>
      </c>
      <c r="E269">
        <v>1244</v>
      </c>
      <c r="F269" s="3">
        <v>5969.4</v>
      </c>
      <c r="G269" s="3">
        <v>2768.71</v>
      </c>
      <c r="H269" s="3">
        <v>3200.69</v>
      </c>
      <c r="I269" s="3">
        <v>0.46</v>
      </c>
      <c r="J269">
        <v>0.28999999999999998</v>
      </c>
      <c r="K269">
        <v>2899.07</v>
      </c>
      <c r="L269" t="s">
        <v>30</v>
      </c>
      <c r="M269">
        <v>631</v>
      </c>
      <c r="N269">
        <v>0.34</v>
      </c>
      <c r="O269" s="3">
        <v>570.72</v>
      </c>
      <c r="P269" s="3">
        <v>0.1</v>
      </c>
      <c r="Q269" s="3">
        <v>275.68</v>
      </c>
      <c r="R269" s="3">
        <v>0.05</v>
      </c>
      <c r="S269">
        <v>2</v>
      </c>
      <c r="T269">
        <v>676.38</v>
      </c>
      <c r="U269">
        <v>52</v>
      </c>
      <c r="V269">
        <v>0</v>
      </c>
      <c r="W269">
        <v>661</v>
      </c>
      <c r="X269">
        <v>2641.31</v>
      </c>
      <c r="Y269" t="s">
        <v>36</v>
      </c>
      <c r="Z269" s="3">
        <v>1395.43</v>
      </c>
      <c r="AA269" t="s">
        <v>48</v>
      </c>
      <c r="AB269" t="s">
        <v>33</v>
      </c>
      <c r="AC269">
        <v>14.5</v>
      </c>
      <c r="AD269" t="s">
        <v>43</v>
      </c>
      <c r="AE269">
        <v>3200.69</v>
      </c>
      <c r="AF269">
        <v>1</v>
      </c>
    </row>
    <row r="270" spans="3:32" x14ac:dyDescent="0.35">
      <c r="C270" s="1">
        <v>43616</v>
      </c>
      <c r="D270" s="2">
        <v>43586</v>
      </c>
      <c r="E270">
        <v>1926</v>
      </c>
      <c r="F270" s="3">
        <v>4766.74</v>
      </c>
      <c r="G270" s="3">
        <v>2244.08</v>
      </c>
      <c r="H270" s="3">
        <v>2522.66</v>
      </c>
      <c r="I270" s="3">
        <v>0.47</v>
      </c>
      <c r="J270">
        <v>0.33</v>
      </c>
      <c r="K270">
        <v>3137.3</v>
      </c>
      <c r="L270" t="s">
        <v>39</v>
      </c>
      <c r="M270">
        <v>743</v>
      </c>
      <c r="N270">
        <v>0.45</v>
      </c>
      <c r="O270" s="3">
        <v>688.97</v>
      </c>
      <c r="P270" s="3">
        <v>0.14000000000000001</v>
      </c>
      <c r="Q270" s="3">
        <v>265.88</v>
      </c>
      <c r="R270" s="3">
        <v>0.06</v>
      </c>
      <c r="S270">
        <v>7</v>
      </c>
      <c r="T270">
        <v>881.43</v>
      </c>
      <c r="U270">
        <v>75</v>
      </c>
      <c r="V270">
        <v>0</v>
      </c>
      <c r="W270">
        <v>758.13</v>
      </c>
      <c r="X270">
        <v>2056.48</v>
      </c>
      <c r="Y270" t="s">
        <v>36</v>
      </c>
      <c r="Z270" s="3">
        <v>1110.6199999999999</v>
      </c>
      <c r="AA270" t="s">
        <v>32</v>
      </c>
      <c r="AB270" t="s">
        <v>44</v>
      </c>
      <c r="AC270">
        <v>26.6</v>
      </c>
      <c r="AD270" t="s">
        <v>38</v>
      </c>
      <c r="AE270">
        <v>2522.66</v>
      </c>
      <c r="AF270">
        <v>0</v>
      </c>
    </row>
    <row r="271" spans="3:32" x14ac:dyDescent="0.35">
      <c r="C271" s="1">
        <v>43616</v>
      </c>
      <c r="D271" s="2">
        <v>43586</v>
      </c>
      <c r="E271">
        <v>1921</v>
      </c>
      <c r="F271" s="3">
        <v>2889.92</v>
      </c>
      <c r="G271" s="3">
        <v>4189.1499999999996</v>
      </c>
      <c r="H271" s="3">
        <v>-1299.23</v>
      </c>
      <c r="I271" s="3">
        <v>1.45</v>
      </c>
      <c r="J271">
        <v>0.25</v>
      </c>
      <c r="K271">
        <v>2757.7</v>
      </c>
      <c r="L271" t="s">
        <v>39</v>
      </c>
      <c r="M271">
        <v>642</v>
      </c>
      <c r="N271">
        <v>0.59</v>
      </c>
      <c r="O271" s="3">
        <v>543.53</v>
      </c>
      <c r="P271" s="3">
        <v>0.19</v>
      </c>
      <c r="Q271" s="3">
        <v>681.78</v>
      </c>
      <c r="R271" s="3">
        <v>0.24</v>
      </c>
      <c r="S271">
        <v>5</v>
      </c>
      <c r="T271">
        <v>706.22</v>
      </c>
      <c r="U271">
        <v>39</v>
      </c>
      <c r="V271">
        <v>0</v>
      </c>
      <c r="W271">
        <v>422.9</v>
      </c>
      <c r="X271">
        <v>1770.25</v>
      </c>
      <c r="Y271" t="s">
        <v>36</v>
      </c>
      <c r="Z271" s="3">
        <v>2000.8</v>
      </c>
      <c r="AA271" t="s">
        <v>48</v>
      </c>
      <c r="AB271" t="s">
        <v>33</v>
      </c>
      <c r="AC271">
        <v>38.200000000000003</v>
      </c>
      <c r="AD271" t="s">
        <v>43</v>
      </c>
      <c r="AE271">
        <v>0</v>
      </c>
      <c r="AF271">
        <v>0</v>
      </c>
    </row>
    <row r="272" spans="3:32" x14ac:dyDescent="0.35">
      <c r="C272" s="1">
        <v>43616</v>
      </c>
      <c r="D272" s="2">
        <v>43586</v>
      </c>
      <c r="E272">
        <v>1770</v>
      </c>
      <c r="F272" s="3">
        <v>3799.41</v>
      </c>
      <c r="G272" s="3">
        <v>3409.29</v>
      </c>
      <c r="H272" s="3">
        <v>390.12</v>
      </c>
      <c r="I272" s="3">
        <v>0.9</v>
      </c>
      <c r="J272">
        <v>0.21</v>
      </c>
      <c r="K272">
        <v>2103.96</v>
      </c>
      <c r="L272" t="s">
        <v>39</v>
      </c>
      <c r="M272">
        <v>766</v>
      </c>
      <c r="N272">
        <v>0.32</v>
      </c>
      <c r="O272" s="3">
        <v>265.73</v>
      </c>
      <c r="P272" s="3">
        <v>7.0000000000000007E-2</v>
      </c>
      <c r="Q272" s="3">
        <v>85.76</v>
      </c>
      <c r="R272" s="3">
        <v>0.02</v>
      </c>
      <c r="S272">
        <v>3</v>
      </c>
      <c r="T272">
        <v>916.19</v>
      </c>
      <c r="U272">
        <v>63</v>
      </c>
      <c r="V272">
        <v>0</v>
      </c>
      <c r="W272">
        <v>507.46</v>
      </c>
      <c r="X272">
        <v>2766.98</v>
      </c>
      <c r="Y272" t="s">
        <v>36</v>
      </c>
      <c r="Z272" s="3">
        <v>1219.1600000000001</v>
      </c>
      <c r="AA272" t="s">
        <v>46</v>
      </c>
      <c r="AB272" t="s">
        <v>33</v>
      </c>
      <c r="AC272">
        <v>19.8</v>
      </c>
      <c r="AD272" t="s">
        <v>38</v>
      </c>
      <c r="AE272">
        <v>390.12</v>
      </c>
      <c r="AF272">
        <v>0</v>
      </c>
    </row>
    <row r="273" spans="3:32" x14ac:dyDescent="0.35">
      <c r="C273" s="1">
        <v>43616</v>
      </c>
      <c r="D273" s="2">
        <v>43586</v>
      </c>
      <c r="E273">
        <v>1137</v>
      </c>
      <c r="F273" s="3">
        <v>5257.3</v>
      </c>
      <c r="G273" s="3">
        <v>2692.63</v>
      </c>
      <c r="H273" s="3">
        <v>2564.67</v>
      </c>
      <c r="I273" s="3">
        <v>0.51</v>
      </c>
      <c r="J273">
        <v>0.37</v>
      </c>
      <c r="K273">
        <v>2947.28</v>
      </c>
      <c r="L273" t="s">
        <v>35</v>
      </c>
      <c r="M273">
        <v>641</v>
      </c>
      <c r="N273">
        <v>0.41</v>
      </c>
      <c r="O273" s="3">
        <v>849.24</v>
      </c>
      <c r="P273" s="3">
        <v>0.16</v>
      </c>
      <c r="Q273" s="3">
        <v>305.7</v>
      </c>
      <c r="R273" s="3">
        <v>0.06</v>
      </c>
      <c r="S273">
        <v>3</v>
      </c>
      <c r="T273">
        <v>1360.73</v>
      </c>
      <c r="U273">
        <v>64</v>
      </c>
      <c r="V273">
        <v>0</v>
      </c>
      <c r="W273">
        <v>440.41</v>
      </c>
      <c r="X273">
        <v>1000</v>
      </c>
      <c r="Y273" t="s">
        <v>36</v>
      </c>
      <c r="Z273" s="3">
        <v>959.47</v>
      </c>
      <c r="AA273" t="s">
        <v>47</v>
      </c>
      <c r="AB273" t="s">
        <v>42</v>
      </c>
      <c r="AC273">
        <v>6.9</v>
      </c>
      <c r="AD273" t="s">
        <v>34</v>
      </c>
      <c r="AE273">
        <v>2564.67</v>
      </c>
      <c r="AF273">
        <v>0</v>
      </c>
    </row>
    <row r="274" spans="3:32" x14ac:dyDescent="0.35">
      <c r="C274" s="1">
        <v>43616</v>
      </c>
      <c r="D274" s="2">
        <v>43586</v>
      </c>
      <c r="E274">
        <v>1823</v>
      </c>
      <c r="F274" s="3">
        <v>4179.8500000000004</v>
      </c>
      <c r="G274" s="3">
        <v>3932.85</v>
      </c>
      <c r="H274" s="3">
        <v>247</v>
      </c>
      <c r="I274" s="3">
        <v>0.94</v>
      </c>
      <c r="J274">
        <v>0.4</v>
      </c>
      <c r="K274">
        <v>1738.12</v>
      </c>
      <c r="L274" t="s">
        <v>30</v>
      </c>
      <c r="M274">
        <v>720</v>
      </c>
      <c r="N274">
        <v>0.21</v>
      </c>
      <c r="O274" s="3">
        <v>771.58</v>
      </c>
      <c r="P274" s="3">
        <v>0.18</v>
      </c>
      <c r="Q274" s="3">
        <v>608.66999999999996</v>
      </c>
      <c r="R274" s="3">
        <v>0.15</v>
      </c>
      <c r="S274">
        <v>7</v>
      </c>
      <c r="T274">
        <v>1210.8499999999999</v>
      </c>
      <c r="U274">
        <v>62</v>
      </c>
      <c r="V274">
        <v>0</v>
      </c>
      <c r="W274">
        <v>363.47</v>
      </c>
      <c r="X274">
        <v>2240.85</v>
      </c>
      <c r="Y274" t="s">
        <v>31</v>
      </c>
      <c r="Z274" s="3">
        <v>971.09</v>
      </c>
      <c r="AA274" t="s">
        <v>41</v>
      </c>
      <c r="AB274" t="s">
        <v>33</v>
      </c>
      <c r="AC274">
        <v>22.6</v>
      </c>
      <c r="AD274" t="s">
        <v>34</v>
      </c>
      <c r="AE274">
        <v>247</v>
      </c>
      <c r="AF274">
        <v>0</v>
      </c>
    </row>
    <row r="275" spans="3:32" x14ac:dyDescent="0.35">
      <c r="C275" s="1">
        <v>43616</v>
      </c>
      <c r="D275" s="2">
        <v>43586</v>
      </c>
      <c r="E275">
        <v>1235</v>
      </c>
      <c r="F275" s="3">
        <v>4669.49</v>
      </c>
      <c r="G275" s="3">
        <v>3843.57</v>
      </c>
      <c r="H275" s="3">
        <v>825.92</v>
      </c>
      <c r="I275" s="3">
        <v>0.82</v>
      </c>
      <c r="J275">
        <v>0.2</v>
      </c>
      <c r="K275">
        <v>3047.8</v>
      </c>
      <c r="L275" t="s">
        <v>35</v>
      </c>
      <c r="M275">
        <v>684</v>
      </c>
      <c r="N275">
        <v>0.18</v>
      </c>
      <c r="O275" s="3">
        <v>775.78</v>
      </c>
      <c r="P275" s="3">
        <v>0.17</v>
      </c>
      <c r="Q275" s="3">
        <v>278.06</v>
      </c>
      <c r="R275" s="3">
        <v>0.06</v>
      </c>
      <c r="S275">
        <v>2</v>
      </c>
      <c r="T275">
        <v>1343.79</v>
      </c>
      <c r="U275">
        <v>30</v>
      </c>
      <c r="V275">
        <v>0</v>
      </c>
      <c r="W275">
        <v>253.75</v>
      </c>
      <c r="X275">
        <v>2247.09</v>
      </c>
      <c r="Y275" t="s">
        <v>36</v>
      </c>
      <c r="Z275" s="3">
        <v>1555.31</v>
      </c>
      <c r="AA275" t="s">
        <v>40</v>
      </c>
      <c r="AB275" t="s">
        <v>33</v>
      </c>
      <c r="AC275">
        <v>90.4</v>
      </c>
      <c r="AD275" t="s">
        <v>34</v>
      </c>
      <c r="AE275">
        <v>825.92</v>
      </c>
      <c r="AF275">
        <v>0</v>
      </c>
    </row>
    <row r="276" spans="3:32" x14ac:dyDescent="0.35">
      <c r="C276" s="1">
        <v>43616</v>
      </c>
      <c r="D276" s="2">
        <v>43586</v>
      </c>
      <c r="E276">
        <v>1966</v>
      </c>
      <c r="F276" s="3">
        <v>3675.2</v>
      </c>
      <c r="G276" s="3">
        <v>3902.33</v>
      </c>
      <c r="H276" s="3">
        <v>-227.13</v>
      </c>
      <c r="I276" s="3">
        <v>1.06</v>
      </c>
      <c r="J276">
        <v>0.28000000000000003</v>
      </c>
      <c r="K276">
        <v>2238.5500000000002</v>
      </c>
      <c r="L276" t="s">
        <v>35</v>
      </c>
      <c r="M276">
        <v>679</v>
      </c>
      <c r="N276">
        <v>0.15</v>
      </c>
      <c r="O276" s="3">
        <v>776.27</v>
      </c>
      <c r="P276" s="3">
        <v>0.21</v>
      </c>
      <c r="Q276" s="3">
        <v>234.98</v>
      </c>
      <c r="R276" s="3">
        <v>0.06</v>
      </c>
      <c r="S276">
        <v>8</v>
      </c>
      <c r="T276">
        <v>719.25</v>
      </c>
      <c r="U276">
        <v>41</v>
      </c>
      <c r="V276">
        <v>0</v>
      </c>
      <c r="W276">
        <v>492.36</v>
      </c>
      <c r="X276">
        <v>1000</v>
      </c>
      <c r="Y276" t="s">
        <v>31</v>
      </c>
      <c r="Z276" s="3">
        <v>1380.34</v>
      </c>
      <c r="AA276" t="s">
        <v>48</v>
      </c>
      <c r="AB276" t="s">
        <v>33</v>
      </c>
      <c r="AC276">
        <v>30.9</v>
      </c>
      <c r="AD276" t="s">
        <v>43</v>
      </c>
      <c r="AE276">
        <v>0</v>
      </c>
      <c r="AF276">
        <v>0</v>
      </c>
    </row>
    <row r="277" spans="3:32" x14ac:dyDescent="0.35">
      <c r="C277" s="1">
        <v>43616</v>
      </c>
      <c r="D277" s="2">
        <v>43586</v>
      </c>
      <c r="E277">
        <v>1687</v>
      </c>
      <c r="F277" s="3">
        <v>5172.46</v>
      </c>
      <c r="G277" s="3">
        <v>2432.64</v>
      </c>
      <c r="H277" s="3">
        <v>2739.82</v>
      </c>
      <c r="I277" s="3">
        <v>0.47</v>
      </c>
      <c r="J277">
        <v>0.06</v>
      </c>
      <c r="K277">
        <v>3207.88</v>
      </c>
      <c r="L277" t="s">
        <v>35</v>
      </c>
      <c r="M277">
        <v>678</v>
      </c>
      <c r="N277">
        <v>0.42</v>
      </c>
      <c r="O277" s="3">
        <v>550.08000000000004</v>
      </c>
      <c r="P277" s="3">
        <v>0.11</v>
      </c>
      <c r="Q277" s="3">
        <v>377.11</v>
      </c>
      <c r="R277" s="3">
        <v>7.0000000000000007E-2</v>
      </c>
      <c r="S277">
        <v>2</v>
      </c>
      <c r="T277">
        <v>1326.76</v>
      </c>
      <c r="U277">
        <v>92</v>
      </c>
      <c r="V277">
        <v>0</v>
      </c>
      <c r="W277">
        <v>689.88</v>
      </c>
      <c r="X277">
        <v>3244.39</v>
      </c>
      <c r="Y277" t="s">
        <v>36</v>
      </c>
      <c r="Z277" s="3">
        <v>470.19</v>
      </c>
      <c r="AA277" t="s">
        <v>40</v>
      </c>
      <c r="AB277" t="s">
        <v>33</v>
      </c>
      <c r="AC277">
        <v>4.5999999999999996</v>
      </c>
      <c r="AD277" t="s">
        <v>38</v>
      </c>
      <c r="AE277">
        <v>2739.82</v>
      </c>
      <c r="AF277">
        <v>0</v>
      </c>
    </row>
    <row r="278" spans="3:32" x14ac:dyDescent="0.35">
      <c r="C278" s="1">
        <v>43616</v>
      </c>
      <c r="D278" s="2">
        <v>43586</v>
      </c>
      <c r="E278">
        <v>1153</v>
      </c>
      <c r="F278" s="3">
        <v>2418.33</v>
      </c>
      <c r="G278" s="3">
        <v>3270.89</v>
      </c>
      <c r="H278" s="3">
        <v>-852.56</v>
      </c>
      <c r="I278" s="3">
        <v>1.35</v>
      </c>
      <c r="J278">
        <v>0.26</v>
      </c>
      <c r="K278">
        <v>3282.14</v>
      </c>
      <c r="L278" t="s">
        <v>39</v>
      </c>
      <c r="M278">
        <v>648</v>
      </c>
      <c r="N278">
        <v>0.47</v>
      </c>
      <c r="O278" s="3">
        <v>448.88</v>
      </c>
      <c r="P278" s="3">
        <v>0.19</v>
      </c>
      <c r="Q278" s="3">
        <v>271.33</v>
      </c>
      <c r="R278" s="3">
        <v>0.11</v>
      </c>
      <c r="S278">
        <v>8</v>
      </c>
      <c r="T278">
        <v>981.3</v>
      </c>
      <c r="U278">
        <v>77</v>
      </c>
      <c r="V278">
        <v>0</v>
      </c>
      <c r="W278">
        <v>905.31</v>
      </c>
      <c r="X278">
        <v>2731.44</v>
      </c>
      <c r="Y278" t="s">
        <v>49</v>
      </c>
      <c r="Z278" s="3">
        <v>1183.99</v>
      </c>
      <c r="AA278" t="s">
        <v>41</v>
      </c>
      <c r="AB278" t="s">
        <v>44</v>
      </c>
      <c r="AC278">
        <v>64.599999999999994</v>
      </c>
      <c r="AD278" t="s">
        <v>38</v>
      </c>
      <c r="AE278">
        <v>0</v>
      </c>
      <c r="AF278">
        <v>0</v>
      </c>
    </row>
    <row r="279" spans="3:32" x14ac:dyDescent="0.35">
      <c r="C279" s="1">
        <v>43616</v>
      </c>
      <c r="D279" s="2">
        <v>43586</v>
      </c>
      <c r="E279">
        <v>1251</v>
      </c>
      <c r="F279" s="3">
        <v>2439.8200000000002</v>
      </c>
      <c r="G279" s="3">
        <v>2531.33</v>
      </c>
      <c r="H279" s="3">
        <v>-91.51</v>
      </c>
      <c r="I279" s="3">
        <v>1.04</v>
      </c>
      <c r="J279">
        <v>0.28000000000000003</v>
      </c>
      <c r="K279">
        <v>3031.39</v>
      </c>
      <c r="L279" t="s">
        <v>35</v>
      </c>
      <c r="M279">
        <v>667</v>
      </c>
      <c r="N279">
        <v>0.54</v>
      </c>
      <c r="O279" s="3">
        <v>764.21</v>
      </c>
      <c r="P279" s="3">
        <v>0.31</v>
      </c>
      <c r="Q279" s="3">
        <v>596.92999999999995</v>
      </c>
      <c r="R279" s="3">
        <v>0.24</v>
      </c>
      <c r="S279">
        <v>6</v>
      </c>
      <c r="T279">
        <v>994.2</v>
      </c>
      <c r="U279">
        <v>29</v>
      </c>
      <c r="V279">
        <v>0</v>
      </c>
      <c r="W279">
        <v>414.44</v>
      </c>
      <c r="X279">
        <v>2902.04</v>
      </c>
      <c r="Y279" t="s">
        <v>36</v>
      </c>
      <c r="Z279" s="3">
        <v>1130.55</v>
      </c>
      <c r="AA279" t="s">
        <v>47</v>
      </c>
      <c r="AB279" t="s">
        <v>44</v>
      </c>
      <c r="AC279">
        <v>10.6</v>
      </c>
      <c r="AD279" t="s">
        <v>34</v>
      </c>
      <c r="AE279">
        <v>0</v>
      </c>
      <c r="AF279">
        <v>0</v>
      </c>
    </row>
    <row r="280" spans="3:32" x14ac:dyDescent="0.35">
      <c r="C280" s="1">
        <v>43616</v>
      </c>
      <c r="D280" s="2">
        <v>43586</v>
      </c>
      <c r="E280">
        <v>1663</v>
      </c>
      <c r="F280" s="3">
        <v>3016.72</v>
      </c>
      <c r="G280" s="3">
        <v>2316.85</v>
      </c>
      <c r="H280" s="3">
        <v>699.87</v>
      </c>
      <c r="I280" s="3">
        <v>0.77</v>
      </c>
      <c r="J280">
        <v>0.13</v>
      </c>
      <c r="K280">
        <v>2492.4699999999998</v>
      </c>
      <c r="L280" t="s">
        <v>39</v>
      </c>
      <c r="M280">
        <v>686</v>
      </c>
      <c r="N280">
        <v>0.15</v>
      </c>
      <c r="O280" s="3">
        <v>714.47</v>
      </c>
      <c r="P280" s="3">
        <v>0.24</v>
      </c>
      <c r="Q280" s="3">
        <v>598.04</v>
      </c>
      <c r="R280" s="3">
        <v>0.2</v>
      </c>
      <c r="S280">
        <v>3</v>
      </c>
      <c r="T280">
        <v>781.78</v>
      </c>
      <c r="U280">
        <v>36</v>
      </c>
      <c r="V280">
        <v>0</v>
      </c>
      <c r="W280">
        <v>707.18</v>
      </c>
      <c r="X280">
        <v>3208.11</v>
      </c>
      <c r="Y280" t="s">
        <v>36</v>
      </c>
      <c r="Z280" s="3">
        <v>1825.61</v>
      </c>
      <c r="AA280" t="s">
        <v>41</v>
      </c>
      <c r="AB280" t="s">
        <v>33</v>
      </c>
      <c r="AC280">
        <v>5.3</v>
      </c>
      <c r="AD280" t="s">
        <v>34</v>
      </c>
      <c r="AE280">
        <v>699.87</v>
      </c>
      <c r="AF280">
        <v>0</v>
      </c>
    </row>
    <row r="281" spans="3:32" x14ac:dyDescent="0.35">
      <c r="C281" s="1">
        <v>43616</v>
      </c>
      <c r="D281" s="2">
        <v>43586</v>
      </c>
      <c r="E281">
        <v>1289</v>
      </c>
      <c r="F281" s="3">
        <v>4551.3999999999996</v>
      </c>
      <c r="G281" s="3">
        <v>3540.8</v>
      </c>
      <c r="H281" s="3">
        <v>1010.6</v>
      </c>
      <c r="I281" s="3">
        <v>0.78</v>
      </c>
      <c r="J281">
        <v>0.09</v>
      </c>
      <c r="K281">
        <v>3929.6</v>
      </c>
      <c r="L281" t="s">
        <v>35</v>
      </c>
      <c r="M281">
        <v>639</v>
      </c>
      <c r="N281">
        <v>0.28999999999999998</v>
      </c>
      <c r="O281" s="3">
        <v>789.04</v>
      </c>
      <c r="P281" s="3">
        <v>0.17</v>
      </c>
      <c r="Q281" s="3">
        <v>523.47</v>
      </c>
      <c r="R281" s="3">
        <v>0.12</v>
      </c>
      <c r="S281">
        <v>6</v>
      </c>
      <c r="T281">
        <v>1074.8599999999999</v>
      </c>
      <c r="U281">
        <v>85</v>
      </c>
      <c r="V281">
        <v>0</v>
      </c>
      <c r="W281">
        <v>488.86</v>
      </c>
      <c r="X281">
        <v>1996.04</v>
      </c>
      <c r="Y281" t="s">
        <v>31</v>
      </c>
      <c r="Z281" s="3">
        <v>1359.26</v>
      </c>
      <c r="AA281" t="s">
        <v>50</v>
      </c>
      <c r="AB281" t="s">
        <v>33</v>
      </c>
      <c r="AC281">
        <v>99</v>
      </c>
      <c r="AD281" t="s">
        <v>34</v>
      </c>
      <c r="AE281">
        <v>1010.6</v>
      </c>
      <c r="AF281">
        <v>0</v>
      </c>
    </row>
    <row r="282" spans="3:32" x14ac:dyDescent="0.35">
      <c r="C282" s="1">
        <v>43616</v>
      </c>
      <c r="D282" s="2">
        <v>43586</v>
      </c>
      <c r="E282">
        <v>1179</v>
      </c>
      <c r="F282" s="3">
        <v>5396.13</v>
      </c>
      <c r="G282" s="3">
        <v>2530.6999999999998</v>
      </c>
      <c r="H282" s="3">
        <v>2865.43</v>
      </c>
      <c r="I282" s="3">
        <v>0.47</v>
      </c>
      <c r="J282">
        <v>0.36</v>
      </c>
      <c r="K282">
        <v>2698.83</v>
      </c>
      <c r="L282" t="s">
        <v>39</v>
      </c>
      <c r="M282">
        <v>604</v>
      </c>
      <c r="N282">
        <v>0.14000000000000001</v>
      </c>
      <c r="O282" s="3">
        <v>562.63</v>
      </c>
      <c r="P282" s="3">
        <v>0.1</v>
      </c>
      <c r="Q282" s="3">
        <v>369.02</v>
      </c>
      <c r="R282" s="3">
        <v>7.0000000000000007E-2</v>
      </c>
      <c r="S282">
        <v>2</v>
      </c>
      <c r="T282">
        <v>1410.81</v>
      </c>
      <c r="U282">
        <v>56</v>
      </c>
      <c r="V282">
        <v>0</v>
      </c>
      <c r="W282">
        <v>391.64</v>
      </c>
      <c r="X282">
        <v>2880.23</v>
      </c>
      <c r="Y282" t="s">
        <v>36</v>
      </c>
      <c r="Z282" s="3">
        <v>593.82000000000005</v>
      </c>
      <c r="AA282" t="s">
        <v>47</v>
      </c>
      <c r="AB282" t="s">
        <v>42</v>
      </c>
      <c r="AC282">
        <v>55.1</v>
      </c>
      <c r="AD282" t="s">
        <v>43</v>
      </c>
      <c r="AE282">
        <v>2865.43</v>
      </c>
      <c r="AF282">
        <v>1</v>
      </c>
    </row>
    <row r="283" spans="3:32" x14ac:dyDescent="0.35">
      <c r="C283" s="1">
        <v>43616</v>
      </c>
      <c r="D283" s="2">
        <v>43586</v>
      </c>
      <c r="E283">
        <v>1750</v>
      </c>
      <c r="F283" s="3">
        <v>3947.15</v>
      </c>
      <c r="G283" s="3">
        <v>3338.3</v>
      </c>
      <c r="H283" s="3">
        <v>608.85</v>
      </c>
      <c r="I283" s="3">
        <v>0.85</v>
      </c>
      <c r="J283">
        <v>0.18</v>
      </c>
      <c r="K283">
        <v>2609.58</v>
      </c>
      <c r="L283" t="s">
        <v>39</v>
      </c>
      <c r="M283">
        <v>710</v>
      </c>
      <c r="N283">
        <v>0.14000000000000001</v>
      </c>
      <c r="O283" s="3">
        <v>199.47</v>
      </c>
      <c r="P283" s="3">
        <v>0.05</v>
      </c>
      <c r="Q283" s="3">
        <v>670.2</v>
      </c>
      <c r="R283" s="3">
        <v>0.17</v>
      </c>
      <c r="S283">
        <v>8</v>
      </c>
      <c r="T283">
        <v>518.92999999999995</v>
      </c>
      <c r="U283">
        <v>67</v>
      </c>
      <c r="V283">
        <v>0</v>
      </c>
      <c r="W283">
        <v>340.24</v>
      </c>
      <c r="X283">
        <v>1000</v>
      </c>
      <c r="Y283" t="s">
        <v>36</v>
      </c>
      <c r="Z283" s="3">
        <v>562.63</v>
      </c>
      <c r="AA283" t="s">
        <v>40</v>
      </c>
      <c r="AB283" t="s">
        <v>33</v>
      </c>
      <c r="AC283">
        <v>82.3</v>
      </c>
      <c r="AD283" t="s">
        <v>34</v>
      </c>
      <c r="AE283">
        <v>608.85</v>
      </c>
      <c r="AF283">
        <v>0</v>
      </c>
    </row>
    <row r="284" spans="3:32" x14ac:dyDescent="0.35">
      <c r="C284" s="1">
        <v>43616</v>
      </c>
      <c r="D284" s="2">
        <v>43586</v>
      </c>
      <c r="E284">
        <v>1919</v>
      </c>
      <c r="F284" s="3">
        <v>3911.17</v>
      </c>
      <c r="G284" s="3">
        <v>2421.84</v>
      </c>
      <c r="H284" s="3">
        <v>1489.33</v>
      </c>
      <c r="I284" s="3">
        <v>0.62</v>
      </c>
      <c r="J284">
        <v>0.25</v>
      </c>
      <c r="K284">
        <v>3203.99</v>
      </c>
      <c r="L284" t="s">
        <v>35</v>
      </c>
      <c r="M284">
        <v>721</v>
      </c>
      <c r="N284">
        <v>0.47</v>
      </c>
      <c r="O284" s="3">
        <v>545.84</v>
      </c>
      <c r="P284" s="3">
        <v>0.14000000000000001</v>
      </c>
      <c r="Q284" s="3">
        <v>426.5</v>
      </c>
      <c r="R284" s="3">
        <v>0.11</v>
      </c>
      <c r="S284">
        <v>4</v>
      </c>
      <c r="T284">
        <v>984.89</v>
      </c>
      <c r="U284">
        <v>94</v>
      </c>
      <c r="V284">
        <v>0</v>
      </c>
      <c r="W284">
        <v>505.98</v>
      </c>
      <c r="X284">
        <v>2212.8000000000002</v>
      </c>
      <c r="Y284" t="s">
        <v>49</v>
      </c>
      <c r="Z284" s="3">
        <v>1256.08</v>
      </c>
      <c r="AA284" t="s">
        <v>45</v>
      </c>
      <c r="AB284" t="s">
        <v>33</v>
      </c>
      <c r="AC284">
        <v>53.6</v>
      </c>
      <c r="AD284" t="s">
        <v>34</v>
      </c>
      <c r="AE284">
        <v>1489.33</v>
      </c>
      <c r="AF284">
        <v>0</v>
      </c>
    </row>
    <row r="285" spans="3:32" x14ac:dyDescent="0.35">
      <c r="C285" s="1">
        <v>43616</v>
      </c>
      <c r="D285" s="2">
        <v>43586</v>
      </c>
      <c r="E285">
        <v>1799</v>
      </c>
      <c r="F285" s="3">
        <v>3367.67</v>
      </c>
      <c r="G285" s="3">
        <v>3027.11</v>
      </c>
      <c r="H285" s="3">
        <v>340.56</v>
      </c>
      <c r="I285" s="3">
        <v>0.9</v>
      </c>
      <c r="J285">
        <v>0.23</v>
      </c>
      <c r="K285">
        <v>2407.37</v>
      </c>
      <c r="L285" t="s">
        <v>35</v>
      </c>
      <c r="M285">
        <v>644</v>
      </c>
      <c r="N285">
        <v>0.16</v>
      </c>
      <c r="O285" s="3">
        <v>506.29</v>
      </c>
      <c r="P285" s="3">
        <v>0.15</v>
      </c>
      <c r="Q285" s="3">
        <v>175.71</v>
      </c>
      <c r="R285" s="3">
        <v>0.05</v>
      </c>
      <c r="S285">
        <v>6</v>
      </c>
      <c r="T285">
        <v>1058.45</v>
      </c>
      <c r="U285">
        <v>25</v>
      </c>
      <c r="V285">
        <v>0</v>
      </c>
      <c r="W285">
        <v>114.41</v>
      </c>
      <c r="X285">
        <v>2207.73</v>
      </c>
      <c r="Y285" t="s">
        <v>36</v>
      </c>
      <c r="Z285" s="3">
        <v>946.44</v>
      </c>
      <c r="AA285" t="s">
        <v>32</v>
      </c>
      <c r="AB285" t="s">
        <v>44</v>
      </c>
      <c r="AC285">
        <v>26.9</v>
      </c>
      <c r="AD285" t="s">
        <v>34</v>
      </c>
      <c r="AE285">
        <v>340.56</v>
      </c>
      <c r="AF285">
        <v>0</v>
      </c>
    </row>
    <row r="286" spans="3:32" x14ac:dyDescent="0.35">
      <c r="C286" s="1">
        <v>43616</v>
      </c>
      <c r="D286" s="2">
        <v>43586</v>
      </c>
      <c r="E286">
        <v>1193</v>
      </c>
      <c r="F286" s="3">
        <v>3710.13</v>
      </c>
      <c r="G286" s="3">
        <v>1511.35</v>
      </c>
      <c r="H286" s="3">
        <v>2198.7800000000002</v>
      </c>
      <c r="I286" s="3">
        <v>0.41</v>
      </c>
      <c r="J286">
        <v>0.11</v>
      </c>
      <c r="K286">
        <v>1994.69</v>
      </c>
      <c r="L286" t="s">
        <v>35</v>
      </c>
      <c r="M286">
        <v>721</v>
      </c>
      <c r="N286">
        <v>0.38</v>
      </c>
      <c r="O286" s="3">
        <v>668.29</v>
      </c>
      <c r="P286" s="3">
        <v>0.18</v>
      </c>
      <c r="Q286" s="3">
        <v>133.91</v>
      </c>
      <c r="R286" s="3">
        <v>0.04</v>
      </c>
      <c r="S286">
        <v>4</v>
      </c>
      <c r="T286">
        <v>328.35</v>
      </c>
      <c r="U286">
        <v>72</v>
      </c>
      <c r="V286">
        <v>0</v>
      </c>
      <c r="W286">
        <v>553.63</v>
      </c>
      <c r="X286">
        <v>1222.33</v>
      </c>
      <c r="Y286" t="s">
        <v>36</v>
      </c>
      <c r="Z286" s="3">
        <v>1453.74</v>
      </c>
      <c r="AA286" t="s">
        <v>46</v>
      </c>
      <c r="AB286" t="s">
        <v>44</v>
      </c>
      <c r="AC286">
        <v>30.3</v>
      </c>
      <c r="AD286" t="s">
        <v>34</v>
      </c>
      <c r="AE286">
        <v>2198.7800000000002</v>
      </c>
      <c r="AF286">
        <v>1</v>
      </c>
    </row>
    <row r="287" spans="3:32" x14ac:dyDescent="0.35">
      <c r="C287" s="1">
        <v>43616</v>
      </c>
      <c r="D287" s="2">
        <v>43586</v>
      </c>
      <c r="E287">
        <v>1992</v>
      </c>
      <c r="F287" s="3">
        <v>3889.21</v>
      </c>
      <c r="G287" s="3">
        <v>1489.52</v>
      </c>
      <c r="H287" s="3">
        <v>2399.69</v>
      </c>
      <c r="I287" s="3">
        <v>0.38</v>
      </c>
      <c r="J287">
        <v>0.06</v>
      </c>
      <c r="K287">
        <v>3107.3</v>
      </c>
      <c r="L287" t="s">
        <v>35</v>
      </c>
      <c r="M287">
        <v>724</v>
      </c>
      <c r="N287">
        <v>0.59</v>
      </c>
      <c r="O287" s="3">
        <v>748.09</v>
      </c>
      <c r="P287" s="3">
        <v>0.19</v>
      </c>
      <c r="Q287" s="3">
        <v>599.48</v>
      </c>
      <c r="R287" s="3">
        <v>0.15</v>
      </c>
      <c r="S287">
        <v>5</v>
      </c>
      <c r="T287">
        <v>649.59</v>
      </c>
      <c r="U287">
        <v>47</v>
      </c>
      <c r="V287">
        <v>0</v>
      </c>
      <c r="W287">
        <v>529.16999999999996</v>
      </c>
      <c r="X287">
        <v>1529.19</v>
      </c>
      <c r="Y287" t="s">
        <v>36</v>
      </c>
      <c r="Z287" s="3">
        <v>1360.74</v>
      </c>
      <c r="AA287" t="s">
        <v>32</v>
      </c>
      <c r="AB287" t="s">
        <v>33</v>
      </c>
      <c r="AC287">
        <v>75.400000000000006</v>
      </c>
      <c r="AD287" t="s">
        <v>38</v>
      </c>
      <c r="AE287">
        <v>2399.69</v>
      </c>
      <c r="AF287">
        <v>0</v>
      </c>
    </row>
    <row r="288" spans="3:32" x14ac:dyDescent="0.35">
      <c r="C288" s="1">
        <v>43616</v>
      </c>
      <c r="D288" s="2">
        <v>43586</v>
      </c>
      <c r="E288">
        <v>1269</v>
      </c>
      <c r="F288" s="3">
        <v>4175.6400000000003</v>
      </c>
      <c r="G288" s="3">
        <v>2722.13</v>
      </c>
      <c r="H288" s="3">
        <v>1453.51</v>
      </c>
      <c r="I288" s="3">
        <v>0.65</v>
      </c>
      <c r="J288">
        <v>0.27</v>
      </c>
      <c r="K288">
        <v>3603.5</v>
      </c>
      <c r="L288" t="s">
        <v>39</v>
      </c>
      <c r="M288">
        <v>682</v>
      </c>
      <c r="N288">
        <v>0.23</v>
      </c>
      <c r="O288" s="3">
        <v>775.25</v>
      </c>
      <c r="P288" s="3">
        <v>0.19</v>
      </c>
      <c r="Q288" s="3">
        <v>294.82</v>
      </c>
      <c r="R288" s="3">
        <v>7.0000000000000007E-2</v>
      </c>
      <c r="S288">
        <v>6</v>
      </c>
      <c r="T288">
        <v>683.49</v>
      </c>
      <c r="U288">
        <v>69</v>
      </c>
      <c r="V288">
        <v>0</v>
      </c>
      <c r="W288">
        <v>492.24</v>
      </c>
      <c r="X288">
        <v>2185.63</v>
      </c>
      <c r="Y288" t="s">
        <v>36</v>
      </c>
      <c r="Z288" s="3">
        <v>1305.1199999999999</v>
      </c>
      <c r="AA288" t="s">
        <v>47</v>
      </c>
      <c r="AB288" t="s">
        <v>44</v>
      </c>
      <c r="AC288">
        <v>17.3</v>
      </c>
      <c r="AD288" t="s">
        <v>43</v>
      </c>
      <c r="AE288">
        <v>1453.51</v>
      </c>
      <c r="AF288">
        <v>0</v>
      </c>
    </row>
    <row r="289" spans="3:32" x14ac:dyDescent="0.35">
      <c r="C289" s="1">
        <v>43616</v>
      </c>
      <c r="D289" s="2">
        <v>43586</v>
      </c>
      <c r="E289">
        <v>1009</v>
      </c>
      <c r="F289" s="3">
        <v>3198.29</v>
      </c>
      <c r="G289" s="3">
        <v>3076.64</v>
      </c>
      <c r="H289" s="3">
        <v>121.65</v>
      </c>
      <c r="I289" s="3">
        <v>0.96</v>
      </c>
      <c r="J289">
        <v>0.38</v>
      </c>
      <c r="K289">
        <v>2749.89</v>
      </c>
      <c r="L289" t="s">
        <v>35</v>
      </c>
      <c r="M289">
        <v>734</v>
      </c>
      <c r="N289">
        <v>0.25</v>
      </c>
      <c r="O289" s="3">
        <v>577.04</v>
      </c>
      <c r="P289" s="3">
        <v>0.18</v>
      </c>
      <c r="Q289" s="3">
        <v>786.77</v>
      </c>
      <c r="R289" s="3">
        <v>0.25</v>
      </c>
      <c r="S289">
        <v>8</v>
      </c>
      <c r="T289">
        <v>659.27</v>
      </c>
      <c r="U289">
        <v>38</v>
      </c>
      <c r="V289">
        <v>0</v>
      </c>
      <c r="W289">
        <v>648.9</v>
      </c>
      <c r="X289">
        <v>2602.84</v>
      </c>
      <c r="Y289" t="s">
        <v>36</v>
      </c>
      <c r="Z289" s="3">
        <v>369.75</v>
      </c>
      <c r="AA289" t="s">
        <v>50</v>
      </c>
      <c r="AB289" t="s">
        <v>44</v>
      </c>
      <c r="AC289">
        <v>27.2</v>
      </c>
      <c r="AD289" t="s">
        <v>38</v>
      </c>
      <c r="AE289">
        <v>121.65</v>
      </c>
      <c r="AF289">
        <v>0</v>
      </c>
    </row>
    <row r="290" spans="3:32" x14ac:dyDescent="0.35">
      <c r="C290" s="1">
        <v>43616</v>
      </c>
      <c r="D290" s="2">
        <v>43586</v>
      </c>
      <c r="E290">
        <v>1512</v>
      </c>
      <c r="F290" s="3">
        <v>6568.53</v>
      </c>
      <c r="G290" s="3">
        <v>3630.21</v>
      </c>
      <c r="H290" s="3">
        <v>2938.32</v>
      </c>
      <c r="I290" s="3">
        <v>0.55000000000000004</v>
      </c>
      <c r="J290">
        <v>0.22</v>
      </c>
      <c r="K290">
        <v>2822.82</v>
      </c>
      <c r="L290" t="s">
        <v>35</v>
      </c>
      <c r="M290">
        <v>724</v>
      </c>
      <c r="N290">
        <v>0.45</v>
      </c>
      <c r="O290" s="3">
        <v>634.16</v>
      </c>
      <c r="P290" s="3">
        <v>0.1</v>
      </c>
      <c r="Q290" s="3">
        <v>439.86</v>
      </c>
      <c r="R290" s="3">
        <v>7.0000000000000007E-2</v>
      </c>
      <c r="S290">
        <v>1</v>
      </c>
      <c r="T290">
        <v>1098.1099999999999</v>
      </c>
      <c r="U290">
        <v>38</v>
      </c>
      <c r="V290">
        <v>0</v>
      </c>
      <c r="W290">
        <v>727.24</v>
      </c>
      <c r="X290">
        <v>3002.07</v>
      </c>
      <c r="Y290" t="s">
        <v>36</v>
      </c>
      <c r="Z290" s="3">
        <v>1249.93</v>
      </c>
      <c r="AA290" t="s">
        <v>40</v>
      </c>
      <c r="AB290" t="s">
        <v>33</v>
      </c>
      <c r="AC290">
        <v>48.7</v>
      </c>
      <c r="AD290" t="s">
        <v>43</v>
      </c>
      <c r="AE290">
        <v>2938.32</v>
      </c>
      <c r="AF290">
        <v>1</v>
      </c>
    </row>
    <row r="291" spans="3:32" x14ac:dyDescent="0.35">
      <c r="C291" s="1">
        <v>43616</v>
      </c>
      <c r="D291" s="2">
        <v>43586</v>
      </c>
      <c r="E291">
        <v>1398</v>
      </c>
      <c r="F291" s="3">
        <v>3385.86</v>
      </c>
      <c r="G291" s="3">
        <v>3183.63</v>
      </c>
      <c r="H291" s="3">
        <v>202.23</v>
      </c>
      <c r="I291" s="3">
        <v>0.94</v>
      </c>
      <c r="J291">
        <v>0.19</v>
      </c>
      <c r="K291">
        <v>3148.88</v>
      </c>
      <c r="L291" t="s">
        <v>35</v>
      </c>
      <c r="M291">
        <v>681</v>
      </c>
      <c r="N291">
        <v>0.39</v>
      </c>
      <c r="O291" s="3">
        <v>365.82</v>
      </c>
      <c r="P291" s="3">
        <v>0.11</v>
      </c>
      <c r="Q291" s="3">
        <v>184.79</v>
      </c>
      <c r="R291" s="3">
        <v>0.05</v>
      </c>
      <c r="S291">
        <v>5</v>
      </c>
      <c r="T291">
        <v>649.75</v>
      </c>
      <c r="U291">
        <v>29</v>
      </c>
      <c r="V291">
        <v>0</v>
      </c>
      <c r="W291">
        <v>383.86</v>
      </c>
      <c r="X291">
        <v>2559.81</v>
      </c>
      <c r="Y291" t="s">
        <v>36</v>
      </c>
      <c r="Z291" s="3">
        <v>1401.25</v>
      </c>
      <c r="AA291" t="s">
        <v>45</v>
      </c>
      <c r="AB291" t="s">
        <v>33</v>
      </c>
      <c r="AC291">
        <v>25.4</v>
      </c>
      <c r="AD291" t="s">
        <v>43</v>
      </c>
      <c r="AE291">
        <v>202.23</v>
      </c>
      <c r="AF291">
        <v>0</v>
      </c>
    </row>
    <row r="292" spans="3:32" x14ac:dyDescent="0.35">
      <c r="C292" s="1">
        <v>43616</v>
      </c>
      <c r="D292" s="2">
        <v>43586</v>
      </c>
      <c r="E292">
        <v>1906</v>
      </c>
      <c r="F292" s="3">
        <v>3215.39</v>
      </c>
      <c r="G292" s="3">
        <v>3117.77</v>
      </c>
      <c r="H292" s="3">
        <v>97.62</v>
      </c>
      <c r="I292" s="3">
        <v>0.97</v>
      </c>
      <c r="J292">
        <v>0.2</v>
      </c>
      <c r="K292">
        <v>3782.17</v>
      </c>
      <c r="L292" t="s">
        <v>30</v>
      </c>
      <c r="M292">
        <v>685</v>
      </c>
      <c r="N292">
        <v>0.26</v>
      </c>
      <c r="O292" s="3">
        <v>333.57</v>
      </c>
      <c r="P292" s="3">
        <v>0.1</v>
      </c>
      <c r="Q292" s="3">
        <v>76.260000000000005</v>
      </c>
      <c r="R292" s="3">
        <v>0.02</v>
      </c>
      <c r="S292">
        <v>8</v>
      </c>
      <c r="T292">
        <v>1070.4000000000001</v>
      </c>
      <c r="U292">
        <v>51</v>
      </c>
      <c r="V292">
        <v>0</v>
      </c>
      <c r="W292">
        <v>530.47</v>
      </c>
      <c r="X292">
        <v>2178.84</v>
      </c>
      <c r="Y292" t="s">
        <v>36</v>
      </c>
      <c r="Z292" s="3">
        <v>1087.8</v>
      </c>
      <c r="AA292" t="s">
        <v>51</v>
      </c>
      <c r="AB292" t="s">
        <v>33</v>
      </c>
      <c r="AC292">
        <v>97</v>
      </c>
      <c r="AD292" t="s">
        <v>34</v>
      </c>
      <c r="AE292">
        <v>97.62</v>
      </c>
      <c r="AF292">
        <v>0</v>
      </c>
    </row>
    <row r="293" spans="3:32" x14ac:dyDescent="0.35">
      <c r="C293" s="1">
        <v>43616</v>
      </c>
      <c r="D293" s="2">
        <v>43586</v>
      </c>
      <c r="E293">
        <v>1500</v>
      </c>
      <c r="F293" s="3">
        <v>6058.97</v>
      </c>
      <c r="G293" s="3">
        <v>2063.44</v>
      </c>
      <c r="H293" s="3">
        <v>3995.53</v>
      </c>
      <c r="I293" s="3">
        <v>0.34</v>
      </c>
      <c r="J293">
        <v>7.0000000000000007E-2</v>
      </c>
      <c r="K293">
        <v>2635.5</v>
      </c>
      <c r="L293" t="s">
        <v>30</v>
      </c>
      <c r="M293">
        <v>737</v>
      </c>
      <c r="N293">
        <v>0.54</v>
      </c>
      <c r="O293" s="3">
        <v>546.9</v>
      </c>
      <c r="P293" s="3">
        <v>0.09</v>
      </c>
      <c r="Q293" s="3">
        <v>579.38</v>
      </c>
      <c r="R293" s="3">
        <v>0.1</v>
      </c>
      <c r="S293">
        <v>5</v>
      </c>
      <c r="T293">
        <v>315.95</v>
      </c>
      <c r="U293">
        <v>32</v>
      </c>
      <c r="V293">
        <v>0</v>
      </c>
      <c r="W293">
        <v>300.7</v>
      </c>
      <c r="X293">
        <v>2140.6999999999998</v>
      </c>
      <c r="Y293" t="s">
        <v>31</v>
      </c>
      <c r="Z293" s="3">
        <v>1165.1099999999999</v>
      </c>
      <c r="AA293" t="s">
        <v>40</v>
      </c>
      <c r="AB293" t="s">
        <v>33</v>
      </c>
      <c r="AC293">
        <v>19.399999999999999</v>
      </c>
      <c r="AD293" t="s">
        <v>38</v>
      </c>
      <c r="AE293">
        <v>3995.53</v>
      </c>
      <c r="AF293">
        <v>1</v>
      </c>
    </row>
    <row r="294" spans="3:32" x14ac:dyDescent="0.35">
      <c r="C294" s="1">
        <v>43616</v>
      </c>
      <c r="D294" s="2">
        <v>43586</v>
      </c>
      <c r="E294">
        <v>1769</v>
      </c>
      <c r="F294" s="3">
        <v>4500.5200000000004</v>
      </c>
      <c r="G294" s="3">
        <v>3317.74</v>
      </c>
      <c r="H294" s="3">
        <v>1182.78</v>
      </c>
      <c r="I294" s="3">
        <v>0.74</v>
      </c>
      <c r="J294">
        <v>0.06</v>
      </c>
      <c r="K294">
        <v>2879.86</v>
      </c>
      <c r="L294" t="s">
        <v>35</v>
      </c>
      <c r="M294">
        <v>628</v>
      </c>
      <c r="N294">
        <v>0.35</v>
      </c>
      <c r="O294" s="3">
        <v>471.32</v>
      </c>
      <c r="P294" s="3">
        <v>0.1</v>
      </c>
      <c r="Q294" s="3">
        <v>492.98</v>
      </c>
      <c r="R294" s="3">
        <v>0.11</v>
      </c>
      <c r="S294">
        <v>6</v>
      </c>
      <c r="T294">
        <v>1553.79</v>
      </c>
      <c r="U294">
        <v>92</v>
      </c>
      <c r="V294">
        <v>0</v>
      </c>
      <c r="W294">
        <v>263.33999999999997</v>
      </c>
      <c r="X294">
        <v>2975.82</v>
      </c>
      <c r="Y294" t="s">
        <v>36</v>
      </c>
      <c r="Z294" s="3">
        <v>1636.5</v>
      </c>
      <c r="AA294" t="s">
        <v>45</v>
      </c>
      <c r="AB294" t="s">
        <v>33</v>
      </c>
      <c r="AC294">
        <v>24.4</v>
      </c>
      <c r="AD294" t="s">
        <v>34</v>
      </c>
      <c r="AE294">
        <v>1182.78</v>
      </c>
      <c r="AF294">
        <v>0</v>
      </c>
    </row>
    <row r="295" spans="3:32" x14ac:dyDescent="0.35">
      <c r="C295" s="1">
        <v>43616</v>
      </c>
      <c r="D295" s="2">
        <v>43586</v>
      </c>
      <c r="E295">
        <v>1954</v>
      </c>
      <c r="F295" s="3">
        <v>3393.87</v>
      </c>
      <c r="G295" s="3">
        <v>1795.98</v>
      </c>
      <c r="H295" s="3">
        <v>1597.89</v>
      </c>
      <c r="I295" s="3">
        <v>0.53</v>
      </c>
      <c r="J295">
        <v>0.25</v>
      </c>
      <c r="K295">
        <v>1835.81</v>
      </c>
      <c r="L295" t="s">
        <v>30</v>
      </c>
      <c r="M295">
        <v>557</v>
      </c>
      <c r="N295">
        <v>0.56000000000000005</v>
      </c>
      <c r="O295" s="3">
        <v>388.77</v>
      </c>
      <c r="P295" s="3">
        <v>0.11</v>
      </c>
      <c r="Q295" s="3">
        <v>454.03</v>
      </c>
      <c r="R295" s="3">
        <v>0.13</v>
      </c>
      <c r="S295">
        <v>1</v>
      </c>
      <c r="T295">
        <v>1012.83</v>
      </c>
      <c r="U295">
        <v>79</v>
      </c>
      <c r="V295">
        <v>0</v>
      </c>
      <c r="W295">
        <v>736.27</v>
      </c>
      <c r="X295">
        <v>2560.5700000000002</v>
      </c>
      <c r="Y295" t="s">
        <v>36</v>
      </c>
      <c r="Z295" s="3">
        <v>1571.43</v>
      </c>
      <c r="AA295" t="s">
        <v>45</v>
      </c>
      <c r="AB295" t="s">
        <v>33</v>
      </c>
      <c r="AC295">
        <v>63.2</v>
      </c>
      <c r="AD295" t="s">
        <v>34</v>
      </c>
      <c r="AE295">
        <v>1597.89</v>
      </c>
      <c r="AF295">
        <v>0</v>
      </c>
    </row>
    <row r="296" spans="3:32" x14ac:dyDescent="0.35">
      <c r="C296" s="1">
        <v>43616</v>
      </c>
      <c r="D296" s="2">
        <v>43586</v>
      </c>
      <c r="E296">
        <v>1635</v>
      </c>
      <c r="F296" s="3">
        <v>4744.8500000000004</v>
      </c>
      <c r="G296" s="3">
        <v>3129.47</v>
      </c>
      <c r="H296" s="3">
        <v>1615.38</v>
      </c>
      <c r="I296" s="3">
        <v>0.66</v>
      </c>
      <c r="J296">
        <v>0.38</v>
      </c>
      <c r="K296">
        <v>2529.9899999999998</v>
      </c>
      <c r="L296" t="s">
        <v>35</v>
      </c>
      <c r="M296">
        <v>600</v>
      </c>
      <c r="N296">
        <v>0.13</v>
      </c>
      <c r="O296" s="3">
        <v>527.17999999999995</v>
      </c>
      <c r="P296" s="3">
        <v>0.11</v>
      </c>
      <c r="Q296" s="3">
        <v>542.16</v>
      </c>
      <c r="R296" s="3">
        <v>0.11</v>
      </c>
      <c r="S296">
        <v>2</v>
      </c>
      <c r="T296">
        <v>1279.96</v>
      </c>
      <c r="U296">
        <v>31</v>
      </c>
      <c r="V296">
        <v>0</v>
      </c>
      <c r="W296">
        <v>102.14</v>
      </c>
      <c r="X296">
        <v>1980.02</v>
      </c>
      <c r="Y296" t="s">
        <v>36</v>
      </c>
      <c r="Z296" s="3">
        <v>1114.93</v>
      </c>
      <c r="AA296" t="s">
        <v>32</v>
      </c>
      <c r="AB296" t="s">
        <v>42</v>
      </c>
      <c r="AC296">
        <v>27</v>
      </c>
      <c r="AD296" t="s">
        <v>43</v>
      </c>
      <c r="AE296">
        <v>1615.38</v>
      </c>
      <c r="AF296">
        <v>0</v>
      </c>
    </row>
    <row r="297" spans="3:32" x14ac:dyDescent="0.35">
      <c r="C297" s="1">
        <v>43616</v>
      </c>
      <c r="D297" s="2">
        <v>43586</v>
      </c>
      <c r="E297">
        <v>1196</v>
      </c>
      <c r="F297" s="3">
        <v>3306.65</v>
      </c>
      <c r="G297" s="3">
        <v>2961.81</v>
      </c>
      <c r="H297" s="3">
        <v>344.84</v>
      </c>
      <c r="I297" s="3">
        <v>0.9</v>
      </c>
      <c r="J297">
        <v>0.08</v>
      </c>
      <c r="K297">
        <v>2810.29</v>
      </c>
      <c r="L297" t="s">
        <v>35</v>
      </c>
      <c r="M297">
        <v>675</v>
      </c>
      <c r="N297">
        <v>0.28000000000000003</v>
      </c>
      <c r="O297" s="3">
        <v>572.86</v>
      </c>
      <c r="P297" s="3">
        <v>0.17</v>
      </c>
      <c r="Q297" s="3">
        <v>505.5</v>
      </c>
      <c r="R297" s="3">
        <v>0.15</v>
      </c>
      <c r="S297">
        <v>8</v>
      </c>
      <c r="T297">
        <v>381.89</v>
      </c>
      <c r="U297">
        <v>61</v>
      </c>
      <c r="V297">
        <v>0</v>
      </c>
      <c r="W297">
        <v>842.97</v>
      </c>
      <c r="X297">
        <v>1299.08</v>
      </c>
      <c r="Y297" t="s">
        <v>36</v>
      </c>
      <c r="Z297" s="3">
        <v>1291.96</v>
      </c>
      <c r="AA297" t="s">
        <v>50</v>
      </c>
      <c r="AB297" t="s">
        <v>42</v>
      </c>
      <c r="AC297">
        <v>2.2999999999999998</v>
      </c>
      <c r="AD297" t="s">
        <v>43</v>
      </c>
      <c r="AE297">
        <v>344.84</v>
      </c>
      <c r="AF297">
        <v>0</v>
      </c>
    </row>
    <row r="298" spans="3:32" x14ac:dyDescent="0.35">
      <c r="C298" s="1">
        <v>43616</v>
      </c>
      <c r="D298" s="2">
        <v>43586</v>
      </c>
      <c r="E298">
        <v>1443</v>
      </c>
      <c r="F298" s="3">
        <v>3451.76</v>
      </c>
      <c r="G298" s="3">
        <v>1246.26</v>
      </c>
      <c r="H298" s="3">
        <v>2205.5</v>
      </c>
      <c r="I298" s="3">
        <v>0.36</v>
      </c>
      <c r="J298">
        <v>0.13</v>
      </c>
      <c r="K298">
        <v>2080.15</v>
      </c>
      <c r="L298" t="s">
        <v>35</v>
      </c>
      <c r="M298">
        <v>661</v>
      </c>
      <c r="N298">
        <v>0.53</v>
      </c>
      <c r="O298" s="3">
        <v>559.79999999999995</v>
      </c>
      <c r="P298" s="3">
        <v>0.16</v>
      </c>
      <c r="Q298" s="3">
        <v>220.11</v>
      </c>
      <c r="R298" s="3">
        <v>0.06</v>
      </c>
      <c r="S298">
        <v>4</v>
      </c>
      <c r="T298">
        <v>1191.3599999999999</v>
      </c>
      <c r="U298">
        <v>81</v>
      </c>
      <c r="V298">
        <v>0</v>
      </c>
      <c r="W298">
        <v>652.79999999999995</v>
      </c>
      <c r="X298">
        <v>2646.93</v>
      </c>
      <c r="Y298" t="s">
        <v>36</v>
      </c>
      <c r="Z298" s="3">
        <v>1063.3399999999999</v>
      </c>
      <c r="AA298" t="s">
        <v>48</v>
      </c>
      <c r="AB298" t="s">
        <v>33</v>
      </c>
      <c r="AC298">
        <v>81.3</v>
      </c>
      <c r="AD298" t="s">
        <v>34</v>
      </c>
      <c r="AE298">
        <v>2205.5</v>
      </c>
      <c r="AF298">
        <v>1</v>
      </c>
    </row>
    <row r="299" spans="3:32" x14ac:dyDescent="0.35">
      <c r="C299" s="1">
        <v>43616</v>
      </c>
      <c r="D299" s="2">
        <v>43586</v>
      </c>
      <c r="E299">
        <v>1103</v>
      </c>
      <c r="F299" s="3">
        <v>4449.16</v>
      </c>
      <c r="G299" s="3">
        <v>2932.84</v>
      </c>
      <c r="H299" s="3">
        <v>1516.32</v>
      </c>
      <c r="I299" s="3">
        <v>0.66</v>
      </c>
      <c r="J299">
        <v>0.1</v>
      </c>
      <c r="K299">
        <v>3124.74</v>
      </c>
      <c r="L299" t="s">
        <v>30</v>
      </c>
      <c r="M299">
        <v>709</v>
      </c>
      <c r="N299">
        <v>0.37</v>
      </c>
      <c r="O299" s="3">
        <v>685.28</v>
      </c>
      <c r="P299" s="3">
        <v>0.15</v>
      </c>
      <c r="Q299" s="3">
        <v>624.05999999999995</v>
      </c>
      <c r="R299" s="3">
        <v>0.14000000000000001</v>
      </c>
      <c r="S299">
        <v>6</v>
      </c>
      <c r="T299">
        <v>0</v>
      </c>
      <c r="U299">
        <v>93</v>
      </c>
      <c r="V299">
        <v>0</v>
      </c>
      <c r="W299">
        <v>768.56</v>
      </c>
      <c r="X299">
        <v>1516.18</v>
      </c>
      <c r="Y299" t="s">
        <v>36</v>
      </c>
      <c r="Z299" s="3">
        <v>1112.05</v>
      </c>
      <c r="AA299" t="s">
        <v>47</v>
      </c>
      <c r="AB299" t="s">
        <v>33</v>
      </c>
      <c r="AC299">
        <v>59.1</v>
      </c>
      <c r="AD299" t="s">
        <v>34</v>
      </c>
      <c r="AE299">
        <v>1516.32</v>
      </c>
      <c r="AF299">
        <v>0</v>
      </c>
    </row>
    <row r="300" spans="3:32" x14ac:dyDescent="0.35">
      <c r="C300" s="1">
        <v>43616</v>
      </c>
      <c r="D300" s="2">
        <v>43586</v>
      </c>
      <c r="E300">
        <v>1574</v>
      </c>
      <c r="F300" s="3">
        <v>3391.05</v>
      </c>
      <c r="G300" s="3">
        <v>1889.03</v>
      </c>
      <c r="H300" s="3">
        <v>1502.02</v>
      </c>
      <c r="I300" s="3">
        <v>0.56000000000000005</v>
      </c>
      <c r="J300">
        <v>0.36</v>
      </c>
      <c r="K300">
        <v>2795.75</v>
      </c>
      <c r="L300" t="s">
        <v>30</v>
      </c>
      <c r="M300">
        <v>685</v>
      </c>
      <c r="N300">
        <v>0.47</v>
      </c>
      <c r="O300" s="3">
        <v>165.18</v>
      </c>
      <c r="P300" s="3">
        <v>0.05</v>
      </c>
      <c r="Q300" s="3">
        <v>924.16</v>
      </c>
      <c r="R300" s="3">
        <v>0.27</v>
      </c>
      <c r="S300">
        <v>6</v>
      </c>
      <c r="T300">
        <v>636.16999999999996</v>
      </c>
      <c r="U300">
        <v>91</v>
      </c>
      <c r="V300">
        <v>0</v>
      </c>
      <c r="W300">
        <v>528.42999999999995</v>
      </c>
      <c r="X300">
        <v>2799.05</v>
      </c>
      <c r="Y300" t="s">
        <v>36</v>
      </c>
      <c r="Z300" s="3">
        <v>835.42</v>
      </c>
      <c r="AA300" t="s">
        <v>40</v>
      </c>
      <c r="AB300" t="s">
        <v>33</v>
      </c>
      <c r="AC300">
        <v>87.1</v>
      </c>
      <c r="AD300" t="s">
        <v>43</v>
      </c>
      <c r="AE300">
        <v>1502.02</v>
      </c>
      <c r="AF300">
        <v>0</v>
      </c>
    </row>
    <row r="301" spans="3:32" x14ac:dyDescent="0.35">
      <c r="C301" s="1">
        <v>43616</v>
      </c>
      <c r="D301" s="2">
        <v>43586</v>
      </c>
      <c r="E301">
        <v>1414</v>
      </c>
      <c r="F301" s="3">
        <v>5293.31</v>
      </c>
      <c r="G301" s="3">
        <v>2841.84</v>
      </c>
      <c r="H301" s="3">
        <v>2451.4699999999998</v>
      </c>
      <c r="I301" s="3">
        <v>0.54</v>
      </c>
      <c r="J301">
        <v>0.13</v>
      </c>
      <c r="K301">
        <v>3132.23</v>
      </c>
      <c r="L301" t="s">
        <v>30</v>
      </c>
      <c r="M301">
        <v>650</v>
      </c>
      <c r="N301">
        <v>0.15</v>
      </c>
      <c r="O301" s="3">
        <v>563.19000000000005</v>
      </c>
      <c r="P301" s="3">
        <v>0.11</v>
      </c>
      <c r="Q301" s="3">
        <v>0</v>
      </c>
      <c r="R301" s="3">
        <v>0</v>
      </c>
      <c r="S301">
        <v>9</v>
      </c>
      <c r="T301">
        <v>1397.58</v>
      </c>
      <c r="U301">
        <v>61</v>
      </c>
      <c r="V301">
        <v>0</v>
      </c>
      <c r="W301">
        <v>330.68</v>
      </c>
      <c r="X301">
        <v>2161.19</v>
      </c>
      <c r="Y301" t="s">
        <v>36</v>
      </c>
      <c r="Z301" s="3">
        <v>1812.33</v>
      </c>
      <c r="AA301" t="s">
        <v>37</v>
      </c>
      <c r="AB301" t="s">
        <v>33</v>
      </c>
      <c r="AC301">
        <v>47.6</v>
      </c>
      <c r="AD301" t="s">
        <v>34</v>
      </c>
      <c r="AE301">
        <v>2451.4699999999998</v>
      </c>
      <c r="AF301">
        <v>0</v>
      </c>
    </row>
    <row r="302" spans="3:32" x14ac:dyDescent="0.35">
      <c r="C302" s="1">
        <v>43646</v>
      </c>
      <c r="D302" s="2">
        <v>43617</v>
      </c>
      <c r="E302">
        <v>1194</v>
      </c>
      <c r="F302" s="3">
        <v>4145.45</v>
      </c>
      <c r="G302" s="3">
        <v>3035.61</v>
      </c>
      <c r="H302" s="3">
        <v>1109.8399999999999</v>
      </c>
      <c r="I302" s="3">
        <v>0.73</v>
      </c>
      <c r="J302">
        <v>0.15</v>
      </c>
      <c r="K302">
        <v>2215.8000000000002</v>
      </c>
      <c r="L302" t="s">
        <v>35</v>
      </c>
      <c r="M302">
        <v>683</v>
      </c>
      <c r="N302">
        <v>0.3</v>
      </c>
      <c r="O302" s="3">
        <v>609.88</v>
      </c>
      <c r="P302" s="3">
        <v>0.15</v>
      </c>
      <c r="Q302" s="3">
        <v>730.42</v>
      </c>
      <c r="R302" s="3">
        <v>0.18</v>
      </c>
      <c r="S302">
        <v>8</v>
      </c>
      <c r="T302">
        <v>995.12</v>
      </c>
      <c r="U302">
        <v>69</v>
      </c>
      <c r="V302">
        <v>0</v>
      </c>
      <c r="W302">
        <v>443.5</v>
      </c>
      <c r="X302">
        <v>2860.3</v>
      </c>
      <c r="Y302" t="s">
        <v>31</v>
      </c>
      <c r="Z302" s="3">
        <v>637.04</v>
      </c>
      <c r="AA302" t="s">
        <v>41</v>
      </c>
      <c r="AB302" t="s">
        <v>33</v>
      </c>
      <c r="AC302">
        <v>74.7</v>
      </c>
      <c r="AD302" t="s">
        <v>38</v>
      </c>
      <c r="AE302">
        <v>1109.8399999999999</v>
      </c>
      <c r="AF302">
        <v>0</v>
      </c>
    </row>
    <row r="303" spans="3:32" x14ac:dyDescent="0.35">
      <c r="C303" s="1">
        <v>43646</v>
      </c>
      <c r="D303" s="2">
        <v>43617</v>
      </c>
      <c r="E303">
        <v>1483</v>
      </c>
      <c r="F303" s="3">
        <v>4533.6499999999996</v>
      </c>
      <c r="G303" s="3">
        <v>3390.89</v>
      </c>
      <c r="H303" s="3">
        <v>1142.76</v>
      </c>
      <c r="I303" s="3">
        <v>0.75</v>
      </c>
      <c r="J303">
        <v>0.16</v>
      </c>
      <c r="K303">
        <v>2109.21</v>
      </c>
      <c r="L303" t="s">
        <v>35</v>
      </c>
      <c r="M303">
        <v>658</v>
      </c>
      <c r="N303">
        <v>0.27</v>
      </c>
      <c r="O303" s="3">
        <v>568.54</v>
      </c>
      <c r="P303" s="3">
        <v>0.13</v>
      </c>
      <c r="Q303" s="3">
        <v>122.02</v>
      </c>
      <c r="R303" s="3">
        <v>0.03</v>
      </c>
      <c r="S303">
        <v>7</v>
      </c>
      <c r="T303">
        <v>1332.26</v>
      </c>
      <c r="U303">
        <v>84</v>
      </c>
      <c r="V303">
        <v>0</v>
      </c>
      <c r="W303">
        <v>870.45</v>
      </c>
      <c r="X303">
        <v>3362.31</v>
      </c>
      <c r="Y303" t="s">
        <v>49</v>
      </c>
      <c r="Z303" s="3">
        <v>2114.2199999999998</v>
      </c>
      <c r="AA303" t="s">
        <v>32</v>
      </c>
      <c r="AB303" t="s">
        <v>42</v>
      </c>
      <c r="AC303">
        <v>25.8</v>
      </c>
      <c r="AD303" t="s">
        <v>38</v>
      </c>
      <c r="AE303">
        <v>1142.76</v>
      </c>
      <c r="AF303">
        <v>0</v>
      </c>
    </row>
    <row r="304" spans="3:32" x14ac:dyDescent="0.35">
      <c r="C304" s="1">
        <v>43646</v>
      </c>
      <c r="D304" s="2">
        <v>43617</v>
      </c>
      <c r="E304">
        <v>1461</v>
      </c>
      <c r="F304" s="3">
        <v>2598.15</v>
      </c>
      <c r="G304" s="3">
        <v>3477.97</v>
      </c>
      <c r="H304" s="3">
        <v>-879.82</v>
      </c>
      <c r="I304" s="3">
        <v>1.34</v>
      </c>
      <c r="J304">
        <v>0.25</v>
      </c>
      <c r="K304">
        <v>3019.66</v>
      </c>
      <c r="L304" t="s">
        <v>35</v>
      </c>
      <c r="M304">
        <v>666</v>
      </c>
      <c r="N304">
        <v>0.48</v>
      </c>
      <c r="O304" s="3">
        <v>450.99</v>
      </c>
      <c r="P304" s="3">
        <v>0.17</v>
      </c>
      <c r="Q304" s="3">
        <v>752.74</v>
      </c>
      <c r="R304" s="3">
        <v>0.28999999999999998</v>
      </c>
      <c r="S304">
        <v>6</v>
      </c>
      <c r="T304">
        <v>435.09</v>
      </c>
      <c r="U304">
        <v>94</v>
      </c>
      <c r="V304">
        <v>0</v>
      </c>
      <c r="W304">
        <v>679.7</v>
      </c>
      <c r="X304">
        <v>2740.24</v>
      </c>
      <c r="Y304" t="s">
        <v>36</v>
      </c>
      <c r="Z304" s="3">
        <v>1321.52</v>
      </c>
      <c r="AA304" t="s">
        <v>45</v>
      </c>
      <c r="AB304" t="s">
        <v>33</v>
      </c>
      <c r="AC304">
        <v>64.3</v>
      </c>
      <c r="AD304" t="s">
        <v>43</v>
      </c>
      <c r="AE304">
        <v>0</v>
      </c>
      <c r="AF304">
        <v>0</v>
      </c>
    </row>
    <row r="305" spans="3:32" x14ac:dyDescent="0.35">
      <c r="C305" s="1">
        <v>43646</v>
      </c>
      <c r="D305" s="2">
        <v>43617</v>
      </c>
      <c r="E305">
        <v>1295</v>
      </c>
      <c r="F305" s="3">
        <v>3797.07</v>
      </c>
      <c r="G305" s="3">
        <v>3606.88</v>
      </c>
      <c r="H305" s="3">
        <v>190.19</v>
      </c>
      <c r="I305" s="3">
        <v>0.95</v>
      </c>
      <c r="J305">
        <v>0.39</v>
      </c>
      <c r="K305">
        <v>2300.44</v>
      </c>
      <c r="L305" t="s">
        <v>35</v>
      </c>
      <c r="M305">
        <v>736</v>
      </c>
      <c r="N305">
        <v>0.2</v>
      </c>
      <c r="O305" s="3">
        <v>382.19</v>
      </c>
      <c r="P305" s="3">
        <v>0.1</v>
      </c>
      <c r="Q305" s="3">
        <v>903.44</v>
      </c>
      <c r="R305" s="3">
        <v>0.24</v>
      </c>
      <c r="S305">
        <v>1</v>
      </c>
      <c r="T305">
        <v>39.229999999999997</v>
      </c>
      <c r="U305">
        <v>80</v>
      </c>
      <c r="V305">
        <v>0</v>
      </c>
      <c r="W305">
        <v>643.59</v>
      </c>
      <c r="X305">
        <v>2155.69</v>
      </c>
      <c r="Y305" t="s">
        <v>31</v>
      </c>
      <c r="Z305" s="3">
        <v>1728.14</v>
      </c>
      <c r="AA305" t="s">
        <v>40</v>
      </c>
      <c r="AB305" t="s">
        <v>33</v>
      </c>
      <c r="AC305">
        <v>95</v>
      </c>
      <c r="AD305" t="s">
        <v>34</v>
      </c>
      <c r="AE305">
        <v>190.19</v>
      </c>
      <c r="AF305">
        <v>0</v>
      </c>
    </row>
    <row r="306" spans="3:32" x14ac:dyDescent="0.35">
      <c r="C306" s="1">
        <v>43646</v>
      </c>
      <c r="D306" s="2">
        <v>43617</v>
      </c>
      <c r="E306">
        <v>1776</v>
      </c>
      <c r="F306" s="3">
        <v>2902.45</v>
      </c>
      <c r="G306" s="3">
        <v>3733.93</v>
      </c>
      <c r="H306" s="3">
        <v>-831.48</v>
      </c>
      <c r="I306" s="3">
        <v>1.29</v>
      </c>
      <c r="J306">
        <v>0.26</v>
      </c>
      <c r="K306">
        <v>2883.64</v>
      </c>
      <c r="L306" t="s">
        <v>35</v>
      </c>
      <c r="M306">
        <v>651</v>
      </c>
      <c r="N306">
        <v>0.36</v>
      </c>
      <c r="O306" s="3">
        <v>211.78</v>
      </c>
      <c r="P306" s="3">
        <v>7.0000000000000007E-2</v>
      </c>
      <c r="Q306" s="3">
        <v>628.9</v>
      </c>
      <c r="R306" s="3">
        <v>0.22</v>
      </c>
      <c r="S306">
        <v>3</v>
      </c>
      <c r="T306">
        <v>1027.48</v>
      </c>
      <c r="U306">
        <v>75</v>
      </c>
      <c r="V306">
        <v>0</v>
      </c>
      <c r="W306">
        <v>637.51</v>
      </c>
      <c r="X306">
        <v>1964.1</v>
      </c>
      <c r="Y306" t="s">
        <v>36</v>
      </c>
      <c r="Z306" s="3">
        <v>1312.54</v>
      </c>
      <c r="AA306" t="s">
        <v>41</v>
      </c>
      <c r="AB306" t="s">
        <v>33</v>
      </c>
      <c r="AC306">
        <v>74.5</v>
      </c>
      <c r="AD306" t="s">
        <v>34</v>
      </c>
      <c r="AE306">
        <v>0</v>
      </c>
      <c r="AF306">
        <v>0</v>
      </c>
    </row>
    <row r="307" spans="3:32" x14ac:dyDescent="0.35">
      <c r="C307" s="1">
        <v>43646</v>
      </c>
      <c r="D307" s="2">
        <v>43617</v>
      </c>
      <c r="E307">
        <v>1953</v>
      </c>
      <c r="F307" s="3">
        <v>4276.42</v>
      </c>
      <c r="G307" s="3">
        <v>4024.49</v>
      </c>
      <c r="H307" s="3">
        <v>251.93</v>
      </c>
      <c r="I307" s="3">
        <v>0.94</v>
      </c>
      <c r="J307">
        <v>0.1</v>
      </c>
      <c r="K307">
        <v>2535.15</v>
      </c>
      <c r="L307" t="s">
        <v>35</v>
      </c>
      <c r="M307">
        <v>706</v>
      </c>
      <c r="N307">
        <v>0.36</v>
      </c>
      <c r="O307" s="3">
        <v>295.44</v>
      </c>
      <c r="P307" s="3">
        <v>7.0000000000000007E-2</v>
      </c>
      <c r="Q307" s="3">
        <v>663.43</v>
      </c>
      <c r="R307" s="3">
        <v>0.16</v>
      </c>
      <c r="S307">
        <v>4</v>
      </c>
      <c r="T307">
        <v>2356.0700000000002</v>
      </c>
      <c r="U307">
        <v>93</v>
      </c>
      <c r="V307">
        <v>0</v>
      </c>
      <c r="W307">
        <v>584.30999999999995</v>
      </c>
      <c r="X307">
        <v>1798.22</v>
      </c>
      <c r="Y307" t="s">
        <v>36</v>
      </c>
      <c r="Z307" s="3">
        <v>1223.98</v>
      </c>
      <c r="AA307" t="s">
        <v>50</v>
      </c>
      <c r="AB307" t="s">
        <v>44</v>
      </c>
      <c r="AC307">
        <v>48.7</v>
      </c>
      <c r="AD307" t="s">
        <v>43</v>
      </c>
      <c r="AE307">
        <v>251.93</v>
      </c>
      <c r="AF307">
        <v>0</v>
      </c>
    </row>
    <row r="308" spans="3:32" x14ac:dyDescent="0.35">
      <c r="C308" s="1">
        <v>43646</v>
      </c>
      <c r="D308" s="2">
        <v>43617</v>
      </c>
      <c r="E308">
        <v>1873</v>
      </c>
      <c r="F308" s="3">
        <v>3361.32</v>
      </c>
      <c r="G308" s="3">
        <v>1403.25</v>
      </c>
      <c r="H308" s="3">
        <v>1958.07</v>
      </c>
      <c r="I308" s="3">
        <v>0.42</v>
      </c>
      <c r="J308">
        <v>0.28999999999999998</v>
      </c>
      <c r="K308">
        <v>3316.72</v>
      </c>
      <c r="L308" t="s">
        <v>30</v>
      </c>
      <c r="M308">
        <v>772</v>
      </c>
      <c r="N308">
        <v>0.11</v>
      </c>
      <c r="O308" s="3">
        <v>1059.0899999999999</v>
      </c>
      <c r="P308" s="3">
        <v>0.32</v>
      </c>
      <c r="Q308" s="3">
        <v>423.18</v>
      </c>
      <c r="R308" s="3">
        <v>0.13</v>
      </c>
      <c r="S308">
        <v>6</v>
      </c>
      <c r="T308">
        <v>1343.92</v>
      </c>
      <c r="U308">
        <v>60</v>
      </c>
      <c r="V308">
        <v>0</v>
      </c>
      <c r="W308">
        <v>734.27</v>
      </c>
      <c r="X308">
        <v>1688.85</v>
      </c>
      <c r="Y308" t="s">
        <v>36</v>
      </c>
      <c r="Z308" s="3">
        <v>1928.34</v>
      </c>
      <c r="AA308" t="s">
        <v>40</v>
      </c>
      <c r="AB308" t="s">
        <v>33</v>
      </c>
      <c r="AC308">
        <v>90.5</v>
      </c>
      <c r="AD308" t="s">
        <v>43</v>
      </c>
      <c r="AE308">
        <v>1958.07</v>
      </c>
      <c r="AF308">
        <v>0</v>
      </c>
    </row>
    <row r="309" spans="3:32" x14ac:dyDescent="0.35">
      <c r="C309" s="1">
        <v>43646</v>
      </c>
      <c r="D309" s="2">
        <v>43617</v>
      </c>
      <c r="E309">
        <v>1984</v>
      </c>
      <c r="F309" s="3">
        <v>4085.94</v>
      </c>
      <c r="G309" s="3">
        <v>3449.51</v>
      </c>
      <c r="H309" s="3">
        <v>636.42999999999995</v>
      </c>
      <c r="I309" s="3">
        <v>0.84</v>
      </c>
      <c r="J309">
        <v>0.35</v>
      </c>
      <c r="K309">
        <v>2936.09</v>
      </c>
      <c r="L309" t="s">
        <v>35</v>
      </c>
      <c r="M309">
        <v>698</v>
      </c>
      <c r="N309">
        <v>0.22</v>
      </c>
      <c r="O309" s="3">
        <v>674.05</v>
      </c>
      <c r="P309" s="3">
        <v>0.16</v>
      </c>
      <c r="Q309" s="3">
        <v>441.61</v>
      </c>
      <c r="R309" s="3">
        <v>0.11</v>
      </c>
      <c r="S309">
        <v>6</v>
      </c>
      <c r="T309">
        <v>1192.23</v>
      </c>
      <c r="U309">
        <v>96</v>
      </c>
      <c r="V309">
        <v>0</v>
      </c>
      <c r="W309">
        <v>700.37</v>
      </c>
      <c r="X309">
        <v>2321.52</v>
      </c>
      <c r="Y309" t="s">
        <v>36</v>
      </c>
      <c r="Z309" s="3">
        <v>916.16</v>
      </c>
      <c r="AA309" t="s">
        <v>32</v>
      </c>
      <c r="AB309" t="s">
        <v>33</v>
      </c>
      <c r="AC309">
        <v>48.2</v>
      </c>
      <c r="AD309" t="s">
        <v>43</v>
      </c>
      <c r="AE309">
        <v>636.42999999999995</v>
      </c>
      <c r="AF309">
        <v>0</v>
      </c>
    </row>
    <row r="310" spans="3:32" x14ac:dyDescent="0.35">
      <c r="C310" s="1">
        <v>43646</v>
      </c>
      <c r="D310" s="2">
        <v>43617</v>
      </c>
      <c r="E310">
        <v>1305</v>
      </c>
      <c r="F310" s="3">
        <v>2959.28</v>
      </c>
      <c r="G310" s="3">
        <v>3246.62</v>
      </c>
      <c r="H310" s="3">
        <v>-287.33999999999997</v>
      </c>
      <c r="I310" s="3">
        <v>1.1000000000000001</v>
      </c>
      <c r="J310">
        <v>0.28000000000000003</v>
      </c>
      <c r="K310">
        <v>2838.1</v>
      </c>
      <c r="L310" t="s">
        <v>30</v>
      </c>
      <c r="M310">
        <v>572</v>
      </c>
      <c r="N310">
        <v>0.37</v>
      </c>
      <c r="O310" s="3">
        <v>269.08</v>
      </c>
      <c r="P310" s="3">
        <v>0.09</v>
      </c>
      <c r="Q310" s="3">
        <v>868.34</v>
      </c>
      <c r="R310" s="3">
        <v>0.28999999999999998</v>
      </c>
      <c r="S310">
        <v>4</v>
      </c>
      <c r="T310">
        <v>708.25</v>
      </c>
      <c r="U310">
        <v>37</v>
      </c>
      <c r="V310">
        <v>0</v>
      </c>
      <c r="W310">
        <v>450.41</v>
      </c>
      <c r="X310">
        <v>1668.53</v>
      </c>
      <c r="Y310" t="s">
        <v>36</v>
      </c>
      <c r="Z310" s="3">
        <v>688.08</v>
      </c>
      <c r="AA310" t="s">
        <v>32</v>
      </c>
      <c r="AB310" t="s">
        <v>44</v>
      </c>
      <c r="AC310">
        <v>27.3</v>
      </c>
      <c r="AD310" t="s">
        <v>43</v>
      </c>
      <c r="AE310">
        <v>0</v>
      </c>
      <c r="AF310">
        <v>0</v>
      </c>
    </row>
    <row r="311" spans="3:32" x14ac:dyDescent="0.35">
      <c r="C311" s="1">
        <v>43646</v>
      </c>
      <c r="D311" s="2">
        <v>43617</v>
      </c>
      <c r="E311">
        <v>1166</v>
      </c>
      <c r="F311" s="3">
        <v>3688.43</v>
      </c>
      <c r="G311" s="3">
        <v>2154.1</v>
      </c>
      <c r="H311" s="3">
        <v>1534.33</v>
      </c>
      <c r="I311" s="3">
        <v>0.57999999999999996</v>
      </c>
      <c r="J311">
        <v>0.1</v>
      </c>
      <c r="K311">
        <v>2632.02</v>
      </c>
      <c r="L311" t="s">
        <v>39</v>
      </c>
      <c r="M311">
        <v>722</v>
      </c>
      <c r="N311">
        <v>0.34</v>
      </c>
      <c r="O311" s="3">
        <v>571.46</v>
      </c>
      <c r="P311" s="3">
        <v>0.15</v>
      </c>
      <c r="Q311" s="3">
        <v>410.23</v>
      </c>
      <c r="R311" s="3">
        <v>0.11</v>
      </c>
      <c r="S311">
        <v>5</v>
      </c>
      <c r="T311">
        <v>0</v>
      </c>
      <c r="U311">
        <v>27</v>
      </c>
      <c r="V311">
        <v>0</v>
      </c>
      <c r="W311">
        <v>147.54</v>
      </c>
      <c r="X311">
        <v>3187.41</v>
      </c>
      <c r="Y311" t="s">
        <v>36</v>
      </c>
      <c r="Z311" s="3">
        <v>1170.29</v>
      </c>
      <c r="AA311" t="s">
        <v>41</v>
      </c>
      <c r="AB311" t="s">
        <v>33</v>
      </c>
      <c r="AC311">
        <v>42.6</v>
      </c>
      <c r="AD311" t="s">
        <v>43</v>
      </c>
      <c r="AE311">
        <v>1534.33</v>
      </c>
      <c r="AF311">
        <v>0</v>
      </c>
    </row>
    <row r="312" spans="3:32" x14ac:dyDescent="0.35">
      <c r="C312" s="1">
        <v>43646</v>
      </c>
      <c r="D312" s="2">
        <v>43617</v>
      </c>
      <c r="E312">
        <v>1785</v>
      </c>
      <c r="F312" s="3">
        <v>4277.12</v>
      </c>
      <c r="G312" s="3">
        <v>2554.34</v>
      </c>
      <c r="H312" s="3">
        <v>1722.78</v>
      </c>
      <c r="I312" s="3">
        <v>0.6</v>
      </c>
      <c r="J312">
        <v>7.0000000000000007E-2</v>
      </c>
      <c r="K312">
        <v>3128.51</v>
      </c>
      <c r="L312" t="s">
        <v>39</v>
      </c>
      <c r="M312">
        <v>648</v>
      </c>
      <c r="N312">
        <v>0.37</v>
      </c>
      <c r="O312" s="3">
        <v>967.68</v>
      </c>
      <c r="P312" s="3">
        <v>0.23</v>
      </c>
      <c r="Q312" s="3">
        <v>397.2</v>
      </c>
      <c r="R312" s="3">
        <v>0.09</v>
      </c>
      <c r="S312">
        <v>8</v>
      </c>
      <c r="T312">
        <v>1372.75</v>
      </c>
      <c r="U312">
        <v>65</v>
      </c>
      <c r="V312">
        <v>0</v>
      </c>
      <c r="W312">
        <v>378.13</v>
      </c>
      <c r="X312">
        <v>1572.15</v>
      </c>
      <c r="Y312" t="s">
        <v>36</v>
      </c>
      <c r="Z312" s="3">
        <v>1540.42</v>
      </c>
      <c r="AA312" t="s">
        <v>51</v>
      </c>
      <c r="AB312" t="s">
        <v>33</v>
      </c>
      <c r="AC312">
        <v>77.099999999999994</v>
      </c>
      <c r="AD312" t="s">
        <v>43</v>
      </c>
      <c r="AE312">
        <v>1722.78</v>
      </c>
      <c r="AF312">
        <v>0</v>
      </c>
    </row>
    <row r="313" spans="3:32" x14ac:dyDescent="0.35">
      <c r="C313" s="1">
        <v>43646</v>
      </c>
      <c r="D313" s="2">
        <v>43617</v>
      </c>
      <c r="E313">
        <v>1397</v>
      </c>
      <c r="F313" s="3">
        <v>3129.53</v>
      </c>
      <c r="G313" s="3">
        <v>3770.92</v>
      </c>
      <c r="H313" s="3">
        <v>-641.39</v>
      </c>
      <c r="I313" s="3">
        <v>1.2</v>
      </c>
      <c r="J313">
        <v>0.37</v>
      </c>
      <c r="K313">
        <v>3665.33</v>
      </c>
      <c r="L313" t="s">
        <v>30</v>
      </c>
      <c r="M313">
        <v>660</v>
      </c>
      <c r="N313">
        <v>0.31</v>
      </c>
      <c r="O313" s="3">
        <v>477.26</v>
      </c>
      <c r="P313" s="3">
        <v>0.15</v>
      </c>
      <c r="Q313" s="3">
        <v>495.15</v>
      </c>
      <c r="R313" s="3">
        <v>0.16</v>
      </c>
      <c r="S313">
        <v>3</v>
      </c>
      <c r="T313">
        <v>1722.78</v>
      </c>
      <c r="U313">
        <v>44</v>
      </c>
      <c r="V313">
        <v>0</v>
      </c>
      <c r="W313">
        <v>457.83</v>
      </c>
      <c r="X313">
        <v>1099.9000000000001</v>
      </c>
      <c r="Y313" t="s">
        <v>36</v>
      </c>
      <c r="Z313" s="3">
        <v>653.13</v>
      </c>
      <c r="AA313" t="s">
        <v>50</v>
      </c>
      <c r="AB313" t="s">
        <v>42</v>
      </c>
      <c r="AC313">
        <v>72.5</v>
      </c>
      <c r="AD313" t="s">
        <v>34</v>
      </c>
      <c r="AE313">
        <v>0</v>
      </c>
      <c r="AF313">
        <v>0</v>
      </c>
    </row>
    <row r="314" spans="3:32" x14ac:dyDescent="0.35">
      <c r="C314" s="1">
        <v>43646</v>
      </c>
      <c r="D314" s="2">
        <v>43617</v>
      </c>
      <c r="E314">
        <v>1394</v>
      </c>
      <c r="F314" s="3">
        <v>2544.3000000000002</v>
      </c>
      <c r="G314" s="3">
        <v>4214.66</v>
      </c>
      <c r="H314" s="3">
        <v>-1670.36</v>
      </c>
      <c r="I314" s="3">
        <v>1.66</v>
      </c>
      <c r="J314">
        <v>0.16</v>
      </c>
      <c r="K314">
        <v>3077.87</v>
      </c>
      <c r="L314" t="s">
        <v>39</v>
      </c>
      <c r="M314">
        <v>744</v>
      </c>
      <c r="N314">
        <v>0.33</v>
      </c>
      <c r="O314" s="3">
        <v>508.4</v>
      </c>
      <c r="P314" s="3">
        <v>0.2</v>
      </c>
      <c r="Q314" s="3">
        <v>673.79</v>
      </c>
      <c r="R314" s="3">
        <v>0.26</v>
      </c>
      <c r="S314">
        <v>1</v>
      </c>
      <c r="T314">
        <v>1584.47</v>
      </c>
      <c r="U314">
        <v>68</v>
      </c>
      <c r="V314">
        <v>0</v>
      </c>
      <c r="W314">
        <v>416.13</v>
      </c>
      <c r="X314">
        <v>2600.5300000000002</v>
      </c>
      <c r="Y314" t="s">
        <v>36</v>
      </c>
      <c r="Z314" s="3">
        <v>1034.32</v>
      </c>
      <c r="AA314" t="s">
        <v>46</v>
      </c>
      <c r="AB314" t="s">
        <v>33</v>
      </c>
      <c r="AC314">
        <v>32.6</v>
      </c>
      <c r="AD314" t="s">
        <v>38</v>
      </c>
      <c r="AE314">
        <v>0</v>
      </c>
      <c r="AF314">
        <v>0</v>
      </c>
    </row>
    <row r="315" spans="3:32" x14ac:dyDescent="0.35">
      <c r="C315" s="1">
        <v>43646</v>
      </c>
      <c r="D315" s="2">
        <v>43617</v>
      </c>
      <c r="E315">
        <v>1232</v>
      </c>
      <c r="F315" s="3">
        <v>2786.48</v>
      </c>
      <c r="G315" s="3">
        <v>2067.02</v>
      </c>
      <c r="H315" s="3">
        <v>719.46</v>
      </c>
      <c r="I315" s="3">
        <v>0.74</v>
      </c>
      <c r="J315">
        <v>0.06</v>
      </c>
      <c r="K315">
        <v>2778.54</v>
      </c>
      <c r="L315" t="s">
        <v>35</v>
      </c>
      <c r="M315">
        <v>624</v>
      </c>
      <c r="N315">
        <v>0.32</v>
      </c>
      <c r="O315" s="3">
        <v>479.45</v>
      </c>
      <c r="P315" s="3">
        <v>0.17</v>
      </c>
      <c r="Q315" s="3">
        <v>517.59</v>
      </c>
      <c r="R315" s="3">
        <v>0.19</v>
      </c>
      <c r="S315">
        <v>1</v>
      </c>
      <c r="T315">
        <v>1295.81</v>
      </c>
      <c r="U315">
        <v>21</v>
      </c>
      <c r="V315">
        <v>0</v>
      </c>
      <c r="W315">
        <v>519.19000000000005</v>
      </c>
      <c r="X315">
        <v>2192.86</v>
      </c>
      <c r="Y315" t="s">
        <v>36</v>
      </c>
      <c r="Z315" s="3">
        <v>1276.32</v>
      </c>
      <c r="AA315" t="s">
        <v>50</v>
      </c>
      <c r="AB315" t="s">
        <v>33</v>
      </c>
      <c r="AC315">
        <v>81.7</v>
      </c>
      <c r="AD315" t="s">
        <v>43</v>
      </c>
      <c r="AE315">
        <v>719.46</v>
      </c>
      <c r="AF315">
        <v>0</v>
      </c>
    </row>
    <row r="316" spans="3:32" x14ac:dyDescent="0.35">
      <c r="C316" s="1">
        <v>43646</v>
      </c>
      <c r="D316" s="2">
        <v>43617</v>
      </c>
      <c r="E316">
        <v>1517</v>
      </c>
      <c r="F316" s="3">
        <v>6721.85</v>
      </c>
      <c r="G316" s="3">
        <v>3545.71</v>
      </c>
      <c r="H316" s="3">
        <v>3176.14</v>
      </c>
      <c r="I316" s="3">
        <v>0.53</v>
      </c>
      <c r="J316">
        <v>0.11</v>
      </c>
      <c r="K316">
        <v>2634.83</v>
      </c>
      <c r="L316" t="s">
        <v>30</v>
      </c>
      <c r="M316">
        <v>653</v>
      </c>
      <c r="N316">
        <v>0.14000000000000001</v>
      </c>
      <c r="O316" s="3">
        <v>701.41</v>
      </c>
      <c r="P316" s="3">
        <v>0.1</v>
      </c>
      <c r="Q316" s="3">
        <v>161.24</v>
      </c>
      <c r="R316" s="3">
        <v>0.02</v>
      </c>
      <c r="S316">
        <v>8</v>
      </c>
      <c r="T316">
        <v>1926.65</v>
      </c>
      <c r="U316">
        <v>57</v>
      </c>
      <c r="V316">
        <v>0</v>
      </c>
      <c r="W316">
        <v>618.05999999999995</v>
      </c>
      <c r="X316">
        <v>1000</v>
      </c>
      <c r="Y316" t="s">
        <v>36</v>
      </c>
      <c r="Z316" s="3">
        <v>300</v>
      </c>
      <c r="AA316" t="s">
        <v>41</v>
      </c>
      <c r="AB316" t="s">
        <v>33</v>
      </c>
      <c r="AC316">
        <v>26.3</v>
      </c>
      <c r="AD316" t="s">
        <v>34</v>
      </c>
      <c r="AE316">
        <v>3176.14</v>
      </c>
      <c r="AF316">
        <v>1</v>
      </c>
    </row>
    <row r="317" spans="3:32" x14ac:dyDescent="0.35">
      <c r="C317" s="1">
        <v>43646</v>
      </c>
      <c r="D317" s="2">
        <v>43617</v>
      </c>
      <c r="E317">
        <v>1204</v>
      </c>
      <c r="F317" s="3">
        <v>4343.6899999999996</v>
      </c>
      <c r="G317" s="3">
        <v>2591.83</v>
      </c>
      <c r="H317" s="3">
        <v>1751.86</v>
      </c>
      <c r="I317" s="3">
        <v>0.6</v>
      </c>
      <c r="J317">
        <v>0.25</v>
      </c>
      <c r="K317">
        <v>2629.67</v>
      </c>
      <c r="L317" t="s">
        <v>30</v>
      </c>
      <c r="M317">
        <v>765</v>
      </c>
      <c r="N317">
        <v>0.38</v>
      </c>
      <c r="O317" s="3">
        <v>526.96</v>
      </c>
      <c r="P317" s="3">
        <v>0.12</v>
      </c>
      <c r="Q317" s="3">
        <v>106.21</v>
      </c>
      <c r="R317" s="3">
        <v>0.02</v>
      </c>
      <c r="S317">
        <v>6</v>
      </c>
      <c r="T317">
        <v>703.81</v>
      </c>
      <c r="U317">
        <v>99</v>
      </c>
      <c r="V317">
        <v>0</v>
      </c>
      <c r="W317">
        <v>346.22</v>
      </c>
      <c r="X317">
        <v>1909.58</v>
      </c>
      <c r="Y317" t="s">
        <v>36</v>
      </c>
      <c r="Z317" s="3">
        <v>2060.2199999999998</v>
      </c>
      <c r="AA317" t="s">
        <v>32</v>
      </c>
      <c r="AB317" t="s">
        <v>44</v>
      </c>
      <c r="AC317">
        <v>78.900000000000006</v>
      </c>
      <c r="AD317" t="s">
        <v>34</v>
      </c>
      <c r="AE317">
        <v>1751.86</v>
      </c>
      <c r="AF317">
        <v>0</v>
      </c>
    </row>
    <row r="318" spans="3:32" x14ac:dyDescent="0.35">
      <c r="C318" s="1">
        <v>43646</v>
      </c>
      <c r="D318" s="2">
        <v>43617</v>
      </c>
      <c r="E318">
        <v>1937</v>
      </c>
      <c r="F318" s="3">
        <v>5904.98</v>
      </c>
      <c r="G318" s="3">
        <v>2453.7399999999998</v>
      </c>
      <c r="H318" s="3">
        <v>3451.24</v>
      </c>
      <c r="I318" s="3">
        <v>0.42</v>
      </c>
      <c r="J318">
        <v>0.25</v>
      </c>
      <c r="K318">
        <v>3199.33</v>
      </c>
      <c r="L318" t="s">
        <v>35</v>
      </c>
      <c r="M318">
        <v>657</v>
      </c>
      <c r="N318">
        <v>0.56000000000000005</v>
      </c>
      <c r="O318" s="3">
        <v>771.88</v>
      </c>
      <c r="P318" s="3">
        <v>0.13</v>
      </c>
      <c r="Q318" s="3">
        <v>199.68</v>
      </c>
      <c r="R318" s="3">
        <v>0.03</v>
      </c>
      <c r="S318">
        <v>3</v>
      </c>
      <c r="T318">
        <v>557.29999999999995</v>
      </c>
      <c r="U318">
        <v>77</v>
      </c>
      <c r="V318">
        <v>0</v>
      </c>
      <c r="W318">
        <v>562.83000000000004</v>
      </c>
      <c r="X318">
        <v>3070.53</v>
      </c>
      <c r="Y318" t="s">
        <v>36</v>
      </c>
      <c r="Z318" s="3">
        <v>1720.5</v>
      </c>
      <c r="AA318" t="s">
        <v>50</v>
      </c>
      <c r="AB318" t="s">
        <v>33</v>
      </c>
      <c r="AC318">
        <v>47.3</v>
      </c>
      <c r="AD318" t="s">
        <v>34</v>
      </c>
      <c r="AE318">
        <v>3451.24</v>
      </c>
      <c r="AF318">
        <v>1</v>
      </c>
    </row>
    <row r="319" spans="3:32" x14ac:dyDescent="0.35">
      <c r="C319" s="1">
        <v>43646</v>
      </c>
      <c r="D319" s="2">
        <v>43617</v>
      </c>
      <c r="E319">
        <v>1444</v>
      </c>
      <c r="F319" s="3">
        <v>5029.99</v>
      </c>
      <c r="G319" s="3">
        <v>3890.02</v>
      </c>
      <c r="H319" s="3">
        <v>1139.97</v>
      </c>
      <c r="I319" s="3">
        <v>0.77</v>
      </c>
      <c r="J319">
        <v>0.12</v>
      </c>
      <c r="K319">
        <v>2755.79</v>
      </c>
      <c r="L319" t="s">
        <v>35</v>
      </c>
      <c r="M319">
        <v>643</v>
      </c>
      <c r="N319">
        <v>0.56999999999999995</v>
      </c>
      <c r="O319" s="3">
        <v>598.04</v>
      </c>
      <c r="P319" s="3">
        <v>0.12</v>
      </c>
      <c r="Q319" s="3">
        <v>583.82000000000005</v>
      </c>
      <c r="R319" s="3">
        <v>0.12</v>
      </c>
      <c r="S319">
        <v>3</v>
      </c>
      <c r="T319">
        <v>1033.75</v>
      </c>
      <c r="U319">
        <v>69</v>
      </c>
      <c r="V319">
        <v>0</v>
      </c>
      <c r="W319">
        <v>436.04</v>
      </c>
      <c r="X319">
        <v>2015.3</v>
      </c>
      <c r="Y319" t="s">
        <v>36</v>
      </c>
      <c r="Z319" s="3">
        <v>1047.73</v>
      </c>
      <c r="AA319" t="s">
        <v>48</v>
      </c>
      <c r="AB319" t="s">
        <v>33</v>
      </c>
      <c r="AC319">
        <v>89.7</v>
      </c>
      <c r="AD319" t="s">
        <v>34</v>
      </c>
      <c r="AE319">
        <v>1139.97</v>
      </c>
      <c r="AF319">
        <v>0</v>
      </c>
    </row>
    <row r="320" spans="3:32" x14ac:dyDescent="0.35">
      <c r="C320" s="1">
        <v>43646</v>
      </c>
      <c r="D320" s="2">
        <v>43617</v>
      </c>
      <c r="E320">
        <v>1852</v>
      </c>
      <c r="F320" s="3">
        <v>4389.62</v>
      </c>
      <c r="G320" s="3">
        <v>1513.48</v>
      </c>
      <c r="H320" s="3">
        <v>2876.14</v>
      </c>
      <c r="I320" s="3">
        <v>0.34</v>
      </c>
      <c r="J320">
        <v>0.4</v>
      </c>
      <c r="K320">
        <v>2693.28</v>
      </c>
      <c r="L320" t="s">
        <v>30</v>
      </c>
      <c r="M320">
        <v>644</v>
      </c>
      <c r="N320">
        <v>0.23</v>
      </c>
      <c r="O320" s="3">
        <v>488.27</v>
      </c>
      <c r="P320" s="3">
        <v>0.11</v>
      </c>
      <c r="Q320" s="3">
        <v>966.49</v>
      </c>
      <c r="R320" s="3">
        <v>0.22</v>
      </c>
      <c r="S320">
        <v>9</v>
      </c>
      <c r="T320">
        <v>849.92</v>
      </c>
      <c r="U320">
        <v>95</v>
      </c>
      <c r="V320">
        <v>0</v>
      </c>
      <c r="W320">
        <v>404.91</v>
      </c>
      <c r="X320">
        <v>2265.3000000000002</v>
      </c>
      <c r="Y320" t="s">
        <v>36</v>
      </c>
      <c r="Z320" s="3">
        <v>901.46</v>
      </c>
      <c r="AA320" t="s">
        <v>32</v>
      </c>
      <c r="AB320" t="s">
        <v>44</v>
      </c>
      <c r="AC320">
        <v>86.1</v>
      </c>
      <c r="AD320" t="s">
        <v>34</v>
      </c>
      <c r="AE320">
        <v>2876.14</v>
      </c>
      <c r="AF320">
        <v>1</v>
      </c>
    </row>
    <row r="321" spans="3:32" x14ac:dyDescent="0.35">
      <c r="C321" s="1">
        <v>43646</v>
      </c>
      <c r="D321" s="2">
        <v>43617</v>
      </c>
      <c r="E321">
        <v>1287</v>
      </c>
      <c r="F321" s="3">
        <v>4918.62</v>
      </c>
      <c r="G321" s="3">
        <v>2495.46</v>
      </c>
      <c r="H321" s="3">
        <v>2423.16</v>
      </c>
      <c r="I321" s="3">
        <v>0.51</v>
      </c>
      <c r="J321">
        <v>0.25</v>
      </c>
      <c r="K321">
        <v>2819.8</v>
      </c>
      <c r="L321" t="s">
        <v>30</v>
      </c>
      <c r="M321">
        <v>737</v>
      </c>
      <c r="N321">
        <v>0.33</v>
      </c>
      <c r="O321" s="3">
        <v>328.05</v>
      </c>
      <c r="P321" s="3">
        <v>7.0000000000000007E-2</v>
      </c>
      <c r="Q321" s="3">
        <v>419.91</v>
      </c>
      <c r="R321" s="3">
        <v>0.09</v>
      </c>
      <c r="S321">
        <v>5</v>
      </c>
      <c r="T321">
        <v>767.24</v>
      </c>
      <c r="U321">
        <v>66</v>
      </c>
      <c r="V321">
        <v>0</v>
      </c>
      <c r="W321">
        <v>308.83</v>
      </c>
      <c r="X321">
        <v>2222.36</v>
      </c>
      <c r="Y321" t="s">
        <v>49</v>
      </c>
      <c r="Z321" s="3">
        <v>1080.8800000000001</v>
      </c>
      <c r="AA321" t="s">
        <v>32</v>
      </c>
      <c r="AB321" t="s">
        <v>33</v>
      </c>
      <c r="AC321">
        <v>78.900000000000006</v>
      </c>
      <c r="AD321" t="s">
        <v>43</v>
      </c>
      <c r="AE321">
        <v>2423.16</v>
      </c>
      <c r="AF321">
        <v>0</v>
      </c>
    </row>
    <row r="322" spans="3:32" x14ac:dyDescent="0.35">
      <c r="C322" s="1">
        <v>43646</v>
      </c>
      <c r="D322" s="2">
        <v>43617</v>
      </c>
      <c r="E322">
        <v>1915</v>
      </c>
      <c r="F322" s="3">
        <v>2844.51</v>
      </c>
      <c r="G322" s="3">
        <v>2201.04</v>
      </c>
      <c r="H322" s="3">
        <v>643.47</v>
      </c>
      <c r="I322" s="3">
        <v>0.77</v>
      </c>
      <c r="J322">
        <v>0.28000000000000003</v>
      </c>
      <c r="K322">
        <v>3359.04</v>
      </c>
      <c r="L322" t="s">
        <v>30</v>
      </c>
      <c r="M322">
        <v>717</v>
      </c>
      <c r="N322">
        <v>0.17</v>
      </c>
      <c r="O322" s="3">
        <v>307.45</v>
      </c>
      <c r="P322" s="3">
        <v>0.11</v>
      </c>
      <c r="Q322" s="3">
        <v>316.16000000000003</v>
      </c>
      <c r="R322" s="3">
        <v>0.11</v>
      </c>
      <c r="S322">
        <v>5</v>
      </c>
      <c r="T322">
        <v>1177.17</v>
      </c>
      <c r="U322">
        <v>43</v>
      </c>
      <c r="V322">
        <v>0</v>
      </c>
      <c r="W322">
        <v>562.89</v>
      </c>
      <c r="X322">
        <v>2491.6799999999998</v>
      </c>
      <c r="Y322" t="s">
        <v>36</v>
      </c>
      <c r="Z322" s="3">
        <v>1500.44</v>
      </c>
      <c r="AA322" t="s">
        <v>48</v>
      </c>
      <c r="AB322" t="s">
        <v>33</v>
      </c>
      <c r="AC322">
        <v>44.5</v>
      </c>
      <c r="AD322" t="s">
        <v>43</v>
      </c>
      <c r="AE322">
        <v>643.47</v>
      </c>
      <c r="AF322">
        <v>0</v>
      </c>
    </row>
    <row r="323" spans="3:32" x14ac:dyDescent="0.35">
      <c r="C323" s="1">
        <v>43646</v>
      </c>
      <c r="D323" s="2">
        <v>43617</v>
      </c>
      <c r="E323">
        <v>1177</v>
      </c>
      <c r="F323" s="3">
        <v>4130.08</v>
      </c>
      <c r="G323" s="3">
        <v>2204.4899999999998</v>
      </c>
      <c r="H323" s="3">
        <v>1925.59</v>
      </c>
      <c r="I323" s="3">
        <v>0.53</v>
      </c>
      <c r="J323">
        <v>0.16</v>
      </c>
      <c r="K323">
        <v>2704.44</v>
      </c>
      <c r="L323" t="s">
        <v>35</v>
      </c>
      <c r="M323">
        <v>603</v>
      </c>
      <c r="N323">
        <v>0.15</v>
      </c>
      <c r="O323" s="3">
        <v>623.82000000000005</v>
      </c>
      <c r="P323" s="3">
        <v>0.15</v>
      </c>
      <c r="Q323" s="3">
        <v>332.5</v>
      </c>
      <c r="R323" s="3">
        <v>0.08</v>
      </c>
      <c r="S323">
        <v>3</v>
      </c>
      <c r="T323">
        <v>337.89</v>
      </c>
      <c r="U323">
        <v>93</v>
      </c>
      <c r="V323">
        <v>0</v>
      </c>
      <c r="W323">
        <v>739.12</v>
      </c>
      <c r="X323">
        <v>1914.21</v>
      </c>
      <c r="Y323" t="s">
        <v>36</v>
      </c>
      <c r="Z323" s="3">
        <v>1086.93</v>
      </c>
      <c r="AA323" t="s">
        <v>46</v>
      </c>
      <c r="AB323" t="s">
        <v>44</v>
      </c>
      <c r="AC323">
        <v>57</v>
      </c>
      <c r="AD323" t="s">
        <v>34</v>
      </c>
      <c r="AE323">
        <v>1925.59</v>
      </c>
      <c r="AF323">
        <v>0</v>
      </c>
    </row>
    <row r="324" spans="3:32" x14ac:dyDescent="0.35">
      <c r="C324" s="1">
        <v>43646</v>
      </c>
      <c r="D324" s="2">
        <v>43617</v>
      </c>
      <c r="E324">
        <v>1862</v>
      </c>
      <c r="F324" s="3">
        <v>4520.96</v>
      </c>
      <c r="G324" s="3">
        <v>1683.56</v>
      </c>
      <c r="H324" s="3">
        <v>2837.4</v>
      </c>
      <c r="I324" s="3">
        <v>0.37</v>
      </c>
      <c r="J324">
        <v>0.19</v>
      </c>
      <c r="K324">
        <v>3512.01</v>
      </c>
      <c r="L324" t="s">
        <v>30</v>
      </c>
      <c r="M324">
        <v>644</v>
      </c>
      <c r="N324">
        <v>0.35</v>
      </c>
      <c r="O324" s="3">
        <v>506.96</v>
      </c>
      <c r="P324" s="3">
        <v>0.11</v>
      </c>
      <c r="Q324" s="3">
        <v>234.8</v>
      </c>
      <c r="R324" s="3">
        <v>0.05</v>
      </c>
      <c r="S324">
        <v>6</v>
      </c>
      <c r="T324">
        <v>537.70000000000005</v>
      </c>
      <c r="U324">
        <v>61</v>
      </c>
      <c r="V324">
        <v>0</v>
      </c>
      <c r="W324">
        <v>109.36</v>
      </c>
      <c r="X324">
        <v>2302.7800000000002</v>
      </c>
      <c r="Y324" t="s">
        <v>36</v>
      </c>
      <c r="Z324" s="3">
        <v>1270.1300000000001</v>
      </c>
      <c r="AA324" t="s">
        <v>47</v>
      </c>
      <c r="AB324" t="s">
        <v>33</v>
      </c>
      <c r="AC324">
        <v>95.4</v>
      </c>
      <c r="AD324" t="s">
        <v>38</v>
      </c>
      <c r="AE324">
        <v>2837.4</v>
      </c>
      <c r="AF324">
        <v>0</v>
      </c>
    </row>
    <row r="325" spans="3:32" x14ac:dyDescent="0.35">
      <c r="C325" s="1">
        <v>43646</v>
      </c>
      <c r="D325" s="2">
        <v>43617</v>
      </c>
      <c r="E325">
        <v>1215</v>
      </c>
      <c r="F325" s="3">
        <v>3593.24</v>
      </c>
      <c r="G325" s="3">
        <v>2719.12</v>
      </c>
      <c r="H325" s="3">
        <v>874.12</v>
      </c>
      <c r="I325" s="3">
        <v>0.76</v>
      </c>
      <c r="J325">
        <v>0.17</v>
      </c>
      <c r="K325">
        <v>2494.9899999999998</v>
      </c>
      <c r="L325" t="s">
        <v>30</v>
      </c>
      <c r="M325">
        <v>691</v>
      </c>
      <c r="N325">
        <v>0.11</v>
      </c>
      <c r="O325" s="3">
        <v>423.19</v>
      </c>
      <c r="P325" s="3">
        <v>0.12</v>
      </c>
      <c r="Q325" s="3">
        <v>408.55</v>
      </c>
      <c r="R325" s="3">
        <v>0.11</v>
      </c>
      <c r="S325">
        <v>4</v>
      </c>
      <c r="T325">
        <v>1712.98</v>
      </c>
      <c r="U325">
        <v>95</v>
      </c>
      <c r="V325">
        <v>0</v>
      </c>
      <c r="W325">
        <v>321.14</v>
      </c>
      <c r="X325">
        <v>2622.67</v>
      </c>
      <c r="Y325" t="s">
        <v>36</v>
      </c>
      <c r="Z325" s="3">
        <v>1012.76</v>
      </c>
      <c r="AA325" t="s">
        <v>40</v>
      </c>
      <c r="AB325" t="s">
        <v>33</v>
      </c>
      <c r="AC325">
        <v>70.5</v>
      </c>
      <c r="AD325" t="s">
        <v>43</v>
      </c>
      <c r="AE325">
        <v>874.12</v>
      </c>
      <c r="AF325">
        <v>0</v>
      </c>
    </row>
    <row r="326" spans="3:32" x14ac:dyDescent="0.35">
      <c r="C326" s="1">
        <v>43646</v>
      </c>
      <c r="D326" s="2">
        <v>43617</v>
      </c>
      <c r="E326">
        <v>1058</v>
      </c>
      <c r="F326" s="3">
        <v>3176.93</v>
      </c>
      <c r="G326" s="3">
        <v>3386.36</v>
      </c>
      <c r="H326" s="3">
        <v>-209.43</v>
      </c>
      <c r="I326" s="3">
        <v>1.07</v>
      </c>
      <c r="J326">
        <v>0.34</v>
      </c>
      <c r="K326">
        <v>3543.42</v>
      </c>
      <c r="L326" t="s">
        <v>35</v>
      </c>
      <c r="M326">
        <v>667</v>
      </c>
      <c r="N326">
        <v>0.42</v>
      </c>
      <c r="O326" s="3">
        <v>423.17</v>
      </c>
      <c r="P326" s="3">
        <v>0.13</v>
      </c>
      <c r="Q326" s="3">
        <v>347</v>
      </c>
      <c r="R326" s="3">
        <v>0.11</v>
      </c>
      <c r="S326">
        <v>8</v>
      </c>
      <c r="T326">
        <v>1198.27</v>
      </c>
      <c r="U326">
        <v>56</v>
      </c>
      <c r="V326">
        <v>0</v>
      </c>
      <c r="W326">
        <v>222.93</v>
      </c>
      <c r="X326">
        <v>2993.9</v>
      </c>
      <c r="Y326" t="s">
        <v>36</v>
      </c>
      <c r="Z326" s="3">
        <v>607.26</v>
      </c>
      <c r="AA326" t="s">
        <v>45</v>
      </c>
      <c r="AB326" t="s">
        <v>33</v>
      </c>
      <c r="AC326">
        <v>4.8</v>
      </c>
      <c r="AD326" t="s">
        <v>34</v>
      </c>
      <c r="AE326">
        <v>0</v>
      </c>
      <c r="AF326">
        <v>0</v>
      </c>
    </row>
    <row r="327" spans="3:32" x14ac:dyDescent="0.35">
      <c r="C327" s="1">
        <v>43646</v>
      </c>
      <c r="D327" s="2">
        <v>43617</v>
      </c>
      <c r="E327">
        <v>1525</v>
      </c>
      <c r="F327" s="3">
        <v>4451.08</v>
      </c>
      <c r="G327" s="3">
        <v>2457.54</v>
      </c>
      <c r="H327" s="3">
        <v>1993.54</v>
      </c>
      <c r="I327" s="3">
        <v>0.55000000000000004</v>
      </c>
      <c r="J327">
        <v>0.18</v>
      </c>
      <c r="K327">
        <v>1814.85</v>
      </c>
      <c r="L327" t="s">
        <v>30</v>
      </c>
      <c r="M327">
        <v>696</v>
      </c>
      <c r="N327">
        <v>0.38</v>
      </c>
      <c r="O327" s="3">
        <v>904.33</v>
      </c>
      <c r="P327" s="3">
        <v>0.2</v>
      </c>
      <c r="Q327" s="3">
        <v>375.81</v>
      </c>
      <c r="R327" s="3">
        <v>0.08</v>
      </c>
      <c r="S327">
        <v>2</v>
      </c>
      <c r="T327">
        <v>802.74</v>
      </c>
      <c r="U327">
        <v>78</v>
      </c>
      <c r="V327">
        <v>0</v>
      </c>
      <c r="W327">
        <v>707.39</v>
      </c>
      <c r="X327">
        <v>2967.87</v>
      </c>
      <c r="Y327" t="s">
        <v>49</v>
      </c>
      <c r="Z327" s="3">
        <v>1451.58</v>
      </c>
      <c r="AA327" t="s">
        <v>46</v>
      </c>
      <c r="AB327" t="s">
        <v>44</v>
      </c>
      <c r="AC327">
        <v>62</v>
      </c>
      <c r="AD327" t="s">
        <v>34</v>
      </c>
      <c r="AE327">
        <v>1993.54</v>
      </c>
      <c r="AF327">
        <v>1</v>
      </c>
    </row>
    <row r="328" spans="3:32" x14ac:dyDescent="0.35">
      <c r="C328" s="1">
        <v>43646</v>
      </c>
      <c r="D328" s="2">
        <v>43617</v>
      </c>
      <c r="E328">
        <v>1400</v>
      </c>
      <c r="F328" s="3">
        <v>3681.75</v>
      </c>
      <c r="G328" s="3">
        <v>3674.49</v>
      </c>
      <c r="H328" s="3">
        <v>7.26</v>
      </c>
      <c r="I328" s="3">
        <v>1</v>
      </c>
      <c r="J328">
        <v>0.19</v>
      </c>
      <c r="K328">
        <v>3213.16</v>
      </c>
      <c r="L328" t="s">
        <v>35</v>
      </c>
      <c r="M328">
        <v>678</v>
      </c>
      <c r="N328">
        <v>0.32</v>
      </c>
      <c r="O328" s="3">
        <v>184.37</v>
      </c>
      <c r="P328" s="3">
        <v>0.05</v>
      </c>
      <c r="Q328" s="3">
        <v>531.02</v>
      </c>
      <c r="R328" s="3">
        <v>0.14000000000000001</v>
      </c>
      <c r="S328">
        <v>2</v>
      </c>
      <c r="T328">
        <v>2319</v>
      </c>
      <c r="U328">
        <v>91</v>
      </c>
      <c r="V328">
        <v>0</v>
      </c>
      <c r="W328">
        <v>632.4</v>
      </c>
      <c r="X328">
        <v>2476.2399999999998</v>
      </c>
      <c r="Y328" t="s">
        <v>49</v>
      </c>
      <c r="Z328" s="3">
        <v>810.13</v>
      </c>
      <c r="AA328" t="s">
        <v>41</v>
      </c>
      <c r="AB328" t="s">
        <v>33</v>
      </c>
      <c r="AC328">
        <v>84.2</v>
      </c>
      <c r="AD328" t="s">
        <v>34</v>
      </c>
      <c r="AE328">
        <v>7.26</v>
      </c>
      <c r="AF328">
        <v>0</v>
      </c>
    </row>
    <row r="329" spans="3:32" x14ac:dyDescent="0.35">
      <c r="C329" s="1">
        <v>43646</v>
      </c>
      <c r="D329" s="2">
        <v>43617</v>
      </c>
      <c r="E329">
        <v>1841</v>
      </c>
      <c r="F329" s="3">
        <v>5502.74</v>
      </c>
      <c r="G329" s="3">
        <v>4024.48</v>
      </c>
      <c r="H329" s="3">
        <v>1478.26</v>
      </c>
      <c r="I329" s="3">
        <v>0.73</v>
      </c>
      <c r="J329">
        <v>0.37</v>
      </c>
      <c r="K329">
        <v>3064.05</v>
      </c>
      <c r="L329" t="s">
        <v>35</v>
      </c>
      <c r="M329">
        <v>567</v>
      </c>
      <c r="N329">
        <v>0.31</v>
      </c>
      <c r="O329" s="3">
        <v>435.03</v>
      </c>
      <c r="P329" s="3">
        <v>0.08</v>
      </c>
      <c r="Q329" s="3">
        <v>624.49</v>
      </c>
      <c r="R329" s="3">
        <v>0.11</v>
      </c>
      <c r="S329">
        <v>6</v>
      </c>
      <c r="T329">
        <v>1343.09</v>
      </c>
      <c r="U329">
        <v>62</v>
      </c>
      <c r="V329">
        <v>0</v>
      </c>
      <c r="W329">
        <v>778.98</v>
      </c>
      <c r="X329">
        <v>1213.6600000000001</v>
      </c>
      <c r="Y329" t="s">
        <v>49</v>
      </c>
      <c r="Z329" s="3">
        <v>971.14</v>
      </c>
      <c r="AA329" t="s">
        <v>48</v>
      </c>
      <c r="AB329" t="s">
        <v>42</v>
      </c>
      <c r="AC329">
        <v>86.8</v>
      </c>
      <c r="AD329" t="s">
        <v>34</v>
      </c>
      <c r="AE329">
        <v>1478.26</v>
      </c>
      <c r="AF329">
        <v>0</v>
      </c>
    </row>
    <row r="330" spans="3:32" x14ac:dyDescent="0.35">
      <c r="C330" s="1">
        <v>43646</v>
      </c>
      <c r="D330" s="2">
        <v>43617</v>
      </c>
      <c r="E330">
        <v>1406</v>
      </c>
      <c r="F330" s="3">
        <v>2645.91</v>
      </c>
      <c r="G330" s="3">
        <v>2565.6</v>
      </c>
      <c r="H330" s="3">
        <v>80.31</v>
      </c>
      <c r="I330" s="3">
        <v>0.97</v>
      </c>
      <c r="J330">
        <v>0.38</v>
      </c>
      <c r="K330">
        <v>3349.85</v>
      </c>
      <c r="L330" t="s">
        <v>35</v>
      </c>
      <c r="M330">
        <v>633</v>
      </c>
      <c r="N330">
        <v>0.47</v>
      </c>
      <c r="O330" s="3">
        <v>783.79</v>
      </c>
      <c r="P330" s="3">
        <v>0.3</v>
      </c>
      <c r="Q330" s="3">
        <v>0</v>
      </c>
      <c r="R330" s="3">
        <v>0</v>
      </c>
      <c r="S330">
        <v>5</v>
      </c>
      <c r="T330">
        <v>1206.03</v>
      </c>
      <c r="U330">
        <v>80</v>
      </c>
      <c r="V330">
        <v>0</v>
      </c>
      <c r="W330">
        <v>180.92</v>
      </c>
      <c r="X330">
        <v>2004.75</v>
      </c>
      <c r="Y330" t="s">
        <v>36</v>
      </c>
      <c r="Z330" s="3">
        <v>1284.73</v>
      </c>
      <c r="AA330" t="s">
        <v>45</v>
      </c>
      <c r="AB330" t="s">
        <v>42</v>
      </c>
      <c r="AC330">
        <v>25.4</v>
      </c>
      <c r="AD330" t="s">
        <v>34</v>
      </c>
      <c r="AE330">
        <v>80.31</v>
      </c>
      <c r="AF330">
        <v>0</v>
      </c>
    </row>
    <row r="331" spans="3:32" x14ac:dyDescent="0.35">
      <c r="C331" s="1">
        <v>43646</v>
      </c>
      <c r="D331" s="2">
        <v>43617</v>
      </c>
      <c r="E331">
        <v>1404</v>
      </c>
      <c r="F331" s="3">
        <v>3435.79</v>
      </c>
      <c r="G331" s="3">
        <v>1787.69</v>
      </c>
      <c r="H331" s="3">
        <v>1648.1</v>
      </c>
      <c r="I331" s="3">
        <v>0.52</v>
      </c>
      <c r="J331">
        <v>0.24</v>
      </c>
      <c r="K331">
        <v>3565.88</v>
      </c>
      <c r="L331" t="s">
        <v>30</v>
      </c>
      <c r="M331">
        <v>752</v>
      </c>
      <c r="N331">
        <v>0.19</v>
      </c>
      <c r="O331" s="3">
        <v>516.25</v>
      </c>
      <c r="P331" s="3">
        <v>0.15</v>
      </c>
      <c r="Q331" s="3">
        <v>408.05</v>
      </c>
      <c r="R331" s="3">
        <v>0.12</v>
      </c>
      <c r="S331">
        <v>2</v>
      </c>
      <c r="T331">
        <v>1792.07</v>
      </c>
      <c r="U331">
        <v>56</v>
      </c>
      <c r="V331">
        <v>0</v>
      </c>
      <c r="W331">
        <v>154.07</v>
      </c>
      <c r="X331">
        <v>1991.48</v>
      </c>
      <c r="Y331" t="s">
        <v>49</v>
      </c>
      <c r="Z331" s="3">
        <v>1129.81</v>
      </c>
      <c r="AA331" t="s">
        <v>45</v>
      </c>
      <c r="AB331" t="s">
        <v>44</v>
      </c>
      <c r="AC331">
        <v>27.4</v>
      </c>
      <c r="AD331" t="s">
        <v>34</v>
      </c>
      <c r="AE331">
        <v>1648.1</v>
      </c>
      <c r="AF331">
        <v>0</v>
      </c>
    </row>
    <row r="332" spans="3:32" x14ac:dyDescent="0.35">
      <c r="C332" s="1">
        <v>43646</v>
      </c>
      <c r="D332" s="2">
        <v>43617</v>
      </c>
      <c r="E332">
        <v>1629</v>
      </c>
      <c r="F332" s="3">
        <v>4949.43</v>
      </c>
      <c r="G332" s="3">
        <v>1950.65</v>
      </c>
      <c r="H332" s="3">
        <v>2998.78</v>
      </c>
      <c r="I332" s="3">
        <v>0.39</v>
      </c>
      <c r="J332">
        <v>0.28000000000000003</v>
      </c>
      <c r="K332">
        <v>2458.5500000000002</v>
      </c>
      <c r="L332" t="s">
        <v>30</v>
      </c>
      <c r="M332">
        <v>764</v>
      </c>
      <c r="N332">
        <v>0.39</v>
      </c>
      <c r="O332" s="3">
        <v>449.72</v>
      </c>
      <c r="P332" s="3">
        <v>0.09</v>
      </c>
      <c r="Q332" s="3">
        <v>250.99</v>
      </c>
      <c r="R332" s="3">
        <v>0.05</v>
      </c>
      <c r="S332">
        <v>7</v>
      </c>
      <c r="T332">
        <v>1522.46</v>
      </c>
      <c r="U332">
        <v>68</v>
      </c>
      <c r="V332">
        <v>0</v>
      </c>
      <c r="W332">
        <v>119.86</v>
      </c>
      <c r="X332">
        <v>1758.4</v>
      </c>
      <c r="Y332" t="s">
        <v>36</v>
      </c>
      <c r="Z332" s="3">
        <v>1263.8399999999999</v>
      </c>
      <c r="AA332" t="s">
        <v>37</v>
      </c>
      <c r="AB332" t="s">
        <v>42</v>
      </c>
      <c r="AC332">
        <v>57.8</v>
      </c>
      <c r="AD332" t="s">
        <v>43</v>
      </c>
      <c r="AE332">
        <v>2998.78</v>
      </c>
      <c r="AF332">
        <v>1</v>
      </c>
    </row>
    <row r="333" spans="3:32" x14ac:dyDescent="0.35">
      <c r="C333" s="1">
        <v>43646</v>
      </c>
      <c r="D333" s="2">
        <v>43617</v>
      </c>
      <c r="E333">
        <v>1261</v>
      </c>
      <c r="F333" s="3">
        <v>5115.83</v>
      </c>
      <c r="G333" s="3">
        <v>3869.5</v>
      </c>
      <c r="H333" s="3">
        <v>1246.33</v>
      </c>
      <c r="I333" s="3">
        <v>0.76</v>
      </c>
      <c r="J333">
        <v>0.13</v>
      </c>
      <c r="K333">
        <v>1981.72</v>
      </c>
      <c r="L333" t="s">
        <v>35</v>
      </c>
      <c r="M333">
        <v>678</v>
      </c>
      <c r="N333">
        <v>0.36</v>
      </c>
      <c r="O333" s="3">
        <v>755.37</v>
      </c>
      <c r="P333" s="3">
        <v>0.15</v>
      </c>
      <c r="Q333" s="3">
        <v>316.45</v>
      </c>
      <c r="R333" s="3">
        <v>0.06</v>
      </c>
      <c r="S333">
        <v>9</v>
      </c>
      <c r="T333">
        <v>768.76</v>
      </c>
      <c r="U333">
        <v>48</v>
      </c>
      <c r="V333">
        <v>0</v>
      </c>
      <c r="W333">
        <v>251.33</v>
      </c>
      <c r="X333">
        <v>1498.16</v>
      </c>
      <c r="Y333" t="s">
        <v>31</v>
      </c>
      <c r="Z333" s="3">
        <v>1247.0999999999999</v>
      </c>
      <c r="AA333" t="s">
        <v>46</v>
      </c>
      <c r="AB333" t="s">
        <v>44</v>
      </c>
      <c r="AC333">
        <v>98.7</v>
      </c>
      <c r="AD333" t="s">
        <v>34</v>
      </c>
      <c r="AE333">
        <v>1246.33</v>
      </c>
      <c r="AF333">
        <v>0</v>
      </c>
    </row>
    <row r="334" spans="3:32" x14ac:dyDescent="0.35">
      <c r="C334" s="1">
        <v>43646</v>
      </c>
      <c r="D334" s="2">
        <v>43617</v>
      </c>
      <c r="E334">
        <v>1713</v>
      </c>
      <c r="F334" s="3">
        <v>3862.71</v>
      </c>
      <c r="G334" s="3">
        <v>4210.6499999999996</v>
      </c>
      <c r="H334" s="3">
        <v>-347.94</v>
      </c>
      <c r="I334" s="3">
        <v>1.0900000000000001</v>
      </c>
      <c r="J334">
        <v>0.38</v>
      </c>
      <c r="K334">
        <v>3700.72</v>
      </c>
      <c r="L334" t="s">
        <v>35</v>
      </c>
      <c r="M334">
        <v>687</v>
      </c>
      <c r="N334">
        <v>0.59</v>
      </c>
      <c r="O334" s="3">
        <v>513.71</v>
      </c>
      <c r="P334" s="3">
        <v>0.13</v>
      </c>
      <c r="Q334" s="3">
        <v>349.36</v>
      </c>
      <c r="R334" s="3">
        <v>0.09</v>
      </c>
      <c r="S334">
        <v>5</v>
      </c>
      <c r="T334">
        <v>925.57</v>
      </c>
      <c r="U334">
        <v>33</v>
      </c>
      <c r="V334">
        <v>0</v>
      </c>
      <c r="W334">
        <v>457.18</v>
      </c>
      <c r="X334">
        <v>2246.71</v>
      </c>
      <c r="Y334" t="s">
        <v>36</v>
      </c>
      <c r="Z334" s="3">
        <v>2098</v>
      </c>
      <c r="AA334" t="s">
        <v>37</v>
      </c>
      <c r="AB334" t="s">
        <v>33</v>
      </c>
      <c r="AC334">
        <v>96.6</v>
      </c>
      <c r="AD334" t="s">
        <v>34</v>
      </c>
      <c r="AE334">
        <v>0</v>
      </c>
      <c r="AF334">
        <v>0</v>
      </c>
    </row>
    <row r="335" spans="3:32" x14ac:dyDescent="0.35">
      <c r="C335" s="1">
        <v>43646</v>
      </c>
      <c r="D335" s="2">
        <v>43617</v>
      </c>
      <c r="E335">
        <v>1074</v>
      </c>
      <c r="F335" s="3">
        <v>3162.57</v>
      </c>
      <c r="G335" s="3">
        <v>2665.74</v>
      </c>
      <c r="H335" s="3">
        <v>496.83</v>
      </c>
      <c r="I335" s="3">
        <v>0.84</v>
      </c>
      <c r="J335">
        <v>0.34</v>
      </c>
      <c r="K335">
        <v>2614.0700000000002</v>
      </c>
      <c r="L335" t="s">
        <v>39</v>
      </c>
      <c r="M335">
        <v>664</v>
      </c>
      <c r="N335">
        <v>0.26</v>
      </c>
      <c r="O335" s="3">
        <v>613.29999999999995</v>
      </c>
      <c r="P335" s="3">
        <v>0.19</v>
      </c>
      <c r="Q335" s="3">
        <v>0</v>
      </c>
      <c r="R335" s="3">
        <v>0</v>
      </c>
      <c r="S335">
        <v>7</v>
      </c>
      <c r="T335">
        <v>233.22</v>
      </c>
      <c r="U335">
        <v>66</v>
      </c>
      <c r="V335">
        <v>0</v>
      </c>
      <c r="W335">
        <v>553.23</v>
      </c>
      <c r="X335">
        <v>2635.55</v>
      </c>
      <c r="Y335" t="s">
        <v>36</v>
      </c>
      <c r="Z335" s="3">
        <v>328.91</v>
      </c>
      <c r="AA335" t="s">
        <v>51</v>
      </c>
      <c r="AB335" t="s">
        <v>33</v>
      </c>
      <c r="AC335">
        <v>48.3</v>
      </c>
      <c r="AD335" t="s">
        <v>43</v>
      </c>
      <c r="AE335">
        <v>496.83</v>
      </c>
      <c r="AF335">
        <v>0</v>
      </c>
    </row>
    <row r="336" spans="3:32" x14ac:dyDescent="0.35">
      <c r="C336" s="1">
        <v>43646</v>
      </c>
      <c r="D336" s="2">
        <v>43617</v>
      </c>
      <c r="E336">
        <v>1553</v>
      </c>
      <c r="F336" s="3">
        <v>2931.65</v>
      </c>
      <c r="G336" s="3">
        <v>2637.11</v>
      </c>
      <c r="H336" s="3">
        <v>294.54000000000002</v>
      </c>
      <c r="I336" s="3">
        <v>0.9</v>
      </c>
      <c r="J336">
        <v>0.32</v>
      </c>
      <c r="K336">
        <v>2703.08</v>
      </c>
      <c r="L336" t="s">
        <v>39</v>
      </c>
      <c r="M336">
        <v>675</v>
      </c>
      <c r="N336">
        <v>0.34</v>
      </c>
      <c r="O336" s="3">
        <v>698.65</v>
      </c>
      <c r="P336" s="3">
        <v>0.24</v>
      </c>
      <c r="Q336" s="3">
        <v>538.67999999999995</v>
      </c>
      <c r="R336" s="3">
        <v>0.18</v>
      </c>
      <c r="S336">
        <v>8</v>
      </c>
      <c r="T336">
        <v>762.03</v>
      </c>
      <c r="U336">
        <v>76</v>
      </c>
      <c r="V336">
        <v>0</v>
      </c>
      <c r="W336">
        <v>562.91</v>
      </c>
      <c r="X336">
        <v>2834.94</v>
      </c>
      <c r="Y336" t="s">
        <v>36</v>
      </c>
      <c r="Z336" s="3">
        <v>1752.25</v>
      </c>
      <c r="AA336" t="s">
        <v>46</v>
      </c>
      <c r="AB336" t="s">
        <v>42</v>
      </c>
      <c r="AC336">
        <v>97.6</v>
      </c>
      <c r="AD336" t="s">
        <v>34</v>
      </c>
      <c r="AE336">
        <v>294.54000000000002</v>
      </c>
      <c r="AF336">
        <v>0</v>
      </c>
    </row>
    <row r="337" spans="3:32" x14ac:dyDescent="0.35">
      <c r="C337" s="1">
        <v>43646</v>
      </c>
      <c r="D337" s="2">
        <v>43617</v>
      </c>
      <c r="E337">
        <v>1480</v>
      </c>
      <c r="F337" s="3">
        <v>7037.92</v>
      </c>
      <c r="G337" s="3">
        <v>3079.11</v>
      </c>
      <c r="H337" s="3">
        <v>3958.81</v>
      </c>
      <c r="I337" s="3">
        <v>0.44</v>
      </c>
      <c r="J337">
        <v>0.06</v>
      </c>
      <c r="K337">
        <v>2648.33</v>
      </c>
      <c r="L337" t="s">
        <v>30</v>
      </c>
      <c r="M337">
        <v>619</v>
      </c>
      <c r="N337">
        <v>0.5</v>
      </c>
      <c r="O337" s="3">
        <v>230.8</v>
      </c>
      <c r="P337" s="3">
        <v>0.03</v>
      </c>
      <c r="Q337" s="3">
        <v>750.3</v>
      </c>
      <c r="R337" s="3">
        <v>0.11</v>
      </c>
      <c r="S337">
        <v>9</v>
      </c>
      <c r="T337">
        <v>645.16</v>
      </c>
      <c r="U337">
        <v>32</v>
      </c>
      <c r="V337">
        <v>0</v>
      </c>
      <c r="W337">
        <v>786.05</v>
      </c>
      <c r="X337">
        <v>3387.77</v>
      </c>
      <c r="Y337" t="s">
        <v>36</v>
      </c>
      <c r="Z337" s="3">
        <v>1249.8399999999999</v>
      </c>
      <c r="AA337" t="s">
        <v>37</v>
      </c>
      <c r="AB337" t="s">
        <v>33</v>
      </c>
      <c r="AC337">
        <v>1</v>
      </c>
      <c r="AD337" t="s">
        <v>38</v>
      </c>
      <c r="AE337">
        <v>3958.81</v>
      </c>
      <c r="AF337">
        <v>1</v>
      </c>
    </row>
    <row r="338" spans="3:32" x14ac:dyDescent="0.35">
      <c r="C338" s="1">
        <v>43646</v>
      </c>
      <c r="D338" s="2">
        <v>43617</v>
      </c>
      <c r="E338">
        <v>1101</v>
      </c>
      <c r="F338" s="3">
        <v>6036.64</v>
      </c>
      <c r="G338" s="3">
        <v>3101.61</v>
      </c>
      <c r="H338" s="3">
        <v>2935.03</v>
      </c>
      <c r="I338" s="3">
        <v>0.51</v>
      </c>
      <c r="J338">
        <v>0.06</v>
      </c>
      <c r="K338">
        <v>2908.07</v>
      </c>
      <c r="L338" t="s">
        <v>35</v>
      </c>
      <c r="M338">
        <v>766</v>
      </c>
      <c r="N338">
        <v>0.15</v>
      </c>
      <c r="O338" s="3">
        <v>687.32</v>
      </c>
      <c r="P338" s="3">
        <v>0.11</v>
      </c>
      <c r="Q338" s="3">
        <v>618.30999999999995</v>
      </c>
      <c r="R338" s="3">
        <v>0.1</v>
      </c>
      <c r="S338">
        <v>9</v>
      </c>
      <c r="T338">
        <v>721.26</v>
      </c>
      <c r="U338">
        <v>92</v>
      </c>
      <c r="V338">
        <v>0</v>
      </c>
      <c r="W338">
        <v>212.44</v>
      </c>
      <c r="X338">
        <v>1000</v>
      </c>
      <c r="Y338" t="s">
        <v>36</v>
      </c>
      <c r="Z338" s="3">
        <v>907.18</v>
      </c>
      <c r="AA338" t="s">
        <v>50</v>
      </c>
      <c r="AB338" t="s">
        <v>42</v>
      </c>
      <c r="AC338">
        <v>86.2</v>
      </c>
      <c r="AD338" t="s">
        <v>43</v>
      </c>
      <c r="AE338">
        <v>2935.03</v>
      </c>
      <c r="AF338">
        <v>1</v>
      </c>
    </row>
    <row r="339" spans="3:32" x14ac:dyDescent="0.35">
      <c r="C339" s="1">
        <v>43646</v>
      </c>
      <c r="D339" s="2">
        <v>43617</v>
      </c>
      <c r="E339">
        <v>1112</v>
      </c>
      <c r="F339" s="3">
        <v>4830.7700000000004</v>
      </c>
      <c r="G339" s="3">
        <v>2529.59</v>
      </c>
      <c r="H339" s="3">
        <v>2301.1799999999998</v>
      </c>
      <c r="I339" s="3">
        <v>0.52</v>
      </c>
      <c r="J339">
        <v>0.36</v>
      </c>
      <c r="K339">
        <v>3016.71</v>
      </c>
      <c r="L339" t="s">
        <v>35</v>
      </c>
      <c r="M339">
        <v>675</v>
      </c>
      <c r="N339">
        <v>0.37</v>
      </c>
      <c r="O339" s="3">
        <v>509.29</v>
      </c>
      <c r="P339" s="3">
        <v>0.11</v>
      </c>
      <c r="Q339" s="3">
        <v>634.92999999999995</v>
      </c>
      <c r="R339" s="3">
        <v>0.13</v>
      </c>
      <c r="S339">
        <v>2</v>
      </c>
      <c r="T339">
        <v>1463.39</v>
      </c>
      <c r="U339">
        <v>82</v>
      </c>
      <c r="V339">
        <v>0</v>
      </c>
      <c r="W339">
        <v>282.24</v>
      </c>
      <c r="X339">
        <v>2194.5500000000002</v>
      </c>
      <c r="Y339" t="s">
        <v>31</v>
      </c>
      <c r="Z339" s="3">
        <v>1498.59</v>
      </c>
      <c r="AA339" t="s">
        <v>50</v>
      </c>
      <c r="AB339" t="s">
        <v>44</v>
      </c>
      <c r="AC339">
        <v>76.7</v>
      </c>
      <c r="AD339" t="s">
        <v>43</v>
      </c>
      <c r="AE339">
        <v>2301.1799999999998</v>
      </c>
      <c r="AF339">
        <v>0</v>
      </c>
    </row>
    <row r="340" spans="3:32" x14ac:dyDescent="0.35">
      <c r="C340" s="1">
        <v>43646</v>
      </c>
      <c r="D340" s="2">
        <v>43617</v>
      </c>
      <c r="E340">
        <v>1070</v>
      </c>
      <c r="F340" s="3">
        <v>5075.63</v>
      </c>
      <c r="G340" s="3">
        <v>1684.02</v>
      </c>
      <c r="H340" s="3">
        <v>3391.61</v>
      </c>
      <c r="I340" s="3">
        <v>0.33</v>
      </c>
      <c r="J340">
        <v>0.31</v>
      </c>
      <c r="K340">
        <v>3846.76</v>
      </c>
      <c r="L340" t="s">
        <v>35</v>
      </c>
      <c r="M340">
        <v>700</v>
      </c>
      <c r="N340">
        <v>0.41</v>
      </c>
      <c r="O340" s="3">
        <v>382.81</v>
      </c>
      <c r="P340" s="3">
        <v>0.08</v>
      </c>
      <c r="Q340" s="3">
        <v>194.9</v>
      </c>
      <c r="R340" s="3">
        <v>0.04</v>
      </c>
      <c r="S340">
        <v>2</v>
      </c>
      <c r="T340">
        <v>723.72</v>
      </c>
      <c r="U340">
        <v>25</v>
      </c>
      <c r="V340">
        <v>0</v>
      </c>
      <c r="W340">
        <v>744.47</v>
      </c>
      <c r="X340">
        <v>1694.69</v>
      </c>
      <c r="Y340" t="s">
        <v>36</v>
      </c>
      <c r="Z340" s="3">
        <v>1255.78</v>
      </c>
      <c r="AA340" t="s">
        <v>45</v>
      </c>
      <c r="AB340" t="s">
        <v>33</v>
      </c>
      <c r="AC340">
        <v>41.8</v>
      </c>
      <c r="AD340" t="s">
        <v>43</v>
      </c>
      <c r="AE340">
        <v>3391.61</v>
      </c>
      <c r="AF340">
        <v>0</v>
      </c>
    </row>
    <row r="341" spans="3:32" x14ac:dyDescent="0.35">
      <c r="C341" s="1">
        <v>43646</v>
      </c>
      <c r="D341" s="2">
        <v>43617</v>
      </c>
      <c r="E341">
        <v>1970</v>
      </c>
      <c r="F341" s="3">
        <v>3126.67</v>
      </c>
      <c r="G341" s="3">
        <v>3495.54</v>
      </c>
      <c r="H341" s="3">
        <v>-368.87</v>
      </c>
      <c r="I341" s="3">
        <v>1.1200000000000001</v>
      </c>
      <c r="J341">
        <v>0.24</v>
      </c>
      <c r="K341">
        <v>2871.7</v>
      </c>
      <c r="L341" t="s">
        <v>30</v>
      </c>
      <c r="M341">
        <v>696</v>
      </c>
      <c r="N341">
        <v>0.46</v>
      </c>
      <c r="O341" s="3">
        <v>756.21</v>
      </c>
      <c r="P341" s="3">
        <v>0.24</v>
      </c>
      <c r="Q341" s="3">
        <v>284.29000000000002</v>
      </c>
      <c r="R341" s="3">
        <v>0.09</v>
      </c>
      <c r="S341">
        <v>8</v>
      </c>
      <c r="T341">
        <v>1478.9</v>
      </c>
      <c r="U341">
        <v>31</v>
      </c>
      <c r="V341">
        <v>0</v>
      </c>
      <c r="W341">
        <v>627.1</v>
      </c>
      <c r="X341">
        <v>2897.38</v>
      </c>
      <c r="Y341" t="s">
        <v>36</v>
      </c>
      <c r="Z341" s="3">
        <v>690.46</v>
      </c>
      <c r="AA341" t="s">
        <v>47</v>
      </c>
      <c r="AB341" t="s">
        <v>33</v>
      </c>
      <c r="AC341">
        <v>56.1</v>
      </c>
      <c r="AD341" t="s">
        <v>43</v>
      </c>
      <c r="AE341">
        <v>0</v>
      </c>
      <c r="AF341">
        <v>0</v>
      </c>
    </row>
    <row r="342" spans="3:32" x14ac:dyDescent="0.35">
      <c r="C342" s="1">
        <v>43646</v>
      </c>
      <c r="D342" s="2">
        <v>43617</v>
      </c>
      <c r="E342">
        <v>1753</v>
      </c>
      <c r="F342" s="3">
        <v>2803.73</v>
      </c>
      <c r="G342" s="3">
        <v>3559.36</v>
      </c>
      <c r="H342" s="3">
        <v>-755.63</v>
      </c>
      <c r="I342" s="3">
        <v>1.27</v>
      </c>
      <c r="J342">
        <v>0.21</v>
      </c>
      <c r="K342">
        <v>2237.13</v>
      </c>
      <c r="L342" t="s">
        <v>39</v>
      </c>
      <c r="M342">
        <v>693</v>
      </c>
      <c r="N342">
        <v>0.18</v>
      </c>
      <c r="O342" s="3">
        <v>471.72</v>
      </c>
      <c r="P342" s="3">
        <v>0.17</v>
      </c>
      <c r="Q342" s="3">
        <v>383.84</v>
      </c>
      <c r="R342" s="3">
        <v>0.14000000000000001</v>
      </c>
      <c r="S342">
        <v>8</v>
      </c>
      <c r="T342">
        <v>1284.75</v>
      </c>
      <c r="U342">
        <v>40</v>
      </c>
      <c r="V342">
        <v>0</v>
      </c>
      <c r="W342">
        <v>608.79999999999995</v>
      </c>
      <c r="X342">
        <v>3164.79</v>
      </c>
      <c r="Y342" t="s">
        <v>36</v>
      </c>
      <c r="Z342" s="3">
        <v>435.27</v>
      </c>
      <c r="AA342" t="s">
        <v>48</v>
      </c>
      <c r="AB342" t="s">
        <v>44</v>
      </c>
      <c r="AC342">
        <v>74.3</v>
      </c>
      <c r="AD342" t="s">
        <v>43</v>
      </c>
      <c r="AE342">
        <v>0</v>
      </c>
      <c r="AF342">
        <v>0</v>
      </c>
    </row>
    <row r="343" spans="3:32" x14ac:dyDescent="0.35">
      <c r="C343" s="1">
        <v>43646</v>
      </c>
      <c r="D343" s="2">
        <v>43617</v>
      </c>
      <c r="E343">
        <v>1330</v>
      </c>
      <c r="F343" s="3">
        <v>4484.84</v>
      </c>
      <c r="G343" s="3">
        <v>3329.86</v>
      </c>
      <c r="H343" s="3">
        <v>1154.98</v>
      </c>
      <c r="I343" s="3">
        <v>0.74</v>
      </c>
      <c r="J343">
        <v>0.08</v>
      </c>
      <c r="K343">
        <v>2740.46</v>
      </c>
      <c r="L343" t="s">
        <v>35</v>
      </c>
      <c r="M343">
        <v>700</v>
      </c>
      <c r="N343">
        <v>0.56000000000000005</v>
      </c>
      <c r="O343" s="3">
        <v>493.39</v>
      </c>
      <c r="P343" s="3">
        <v>0.11</v>
      </c>
      <c r="Q343" s="3">
        <v>295.12</v>
      </c>
      <c r="R343" s="3">
        <v>7.0000000000000007E-2</v>
      </c>
      <c r="S343">
        <v>3</v>
      </c>
      <c r="T343">
        <v>844.22</v>
      </c>
      <c r="U343">
        <v>89</v>
      </c>
      <c r="V343">
        <v>0</v>
      </c>
      <c r="W343">
        <v>948.92</v>
      </c>
      <c r="X343">
        <v>1762.46</v>
      </c>
      <c r="Y343" t="s">
        <v>36</v>
      </c>
      <c r="Z343" s="3">
        <v>1053.74</v>
      </c>
      <c r="AA343" t="s">
        <v>50</v>
      </c>
      <c r="AB343" t="s">
        <v>44</v>
      </c>
      <c r="AC343">
        <v>67.400000000000006</v>
      </c>
      <c r="AD343" t="s">
        <v>38</v>
      </c>
      <c r="AE343">
        <v>1154.98</v>
      </c>
      <c r="AF343">
        <v>0</v>
      </c>
    </row>
    <row r="344" spans="3:32" x14ac:dyDescent="0.35">
      <c r="C344" s="1">
        <v>43646</v>
      </c>
      <c r="D344" s="2">
        <v>43617</v>
      </c>
      <c r="E344">
        <v>1370</v>
      </c>
      <c r="F344" s="3">
        <v>4415.7299999999996</v>
      </c>
      <c r="G344" s="3">
        <v>3042.43</v>
      </c>
      <c r="H344" s="3">
        <v>1373.3</v>
      </c>
      <c r="I344" s="3">
        <v>0.69</v>
      </c>
      <c r="J344">
        <v>0.14000000000000001</v>
      </c>
      <c r="K344">
        <v>2352.14</v>
      </c>
      <c r="L344" t="s">
        <v>39</v>
      </c>
      <c r="M344">
        <v>602</v>
      </c>
      <c r="N344">
        <v>0.33</v>
      </c>
      <c r="O344" s="3">
        <v>544.96</v>
      </c>
      <c r="P344" s="3">
        <v>0.12</v>
      </c>
      <c r="Q344" s="3">
        <v>947.07</v>
      </c>
      <c r="R344" s="3">
        <v>0.21</v>
      </c>
      <c r="S344">
        <v>9</v>
      </c>
      <c r="T344">
        <v>1603.17</v>
      </c>
      <c r="U344">
        <v>24</v>
      </c>
      <c r="V344">
        <v>0</v>
      </c>
      <c r="W344">
        <v>927.38</v>
      </c>
      <c r="X344">
        <v>1000</v>
      </c>
      <c r="Y344" t="s">
        <v>36</v>
      </c>
      <c r="Z344" s="3">
        <v>916.7</v>
      </c>
      <c r="AA344" t="s">
        <v>41</v>
      </c>
      <c r="AB344" t="s">
        <v>42</v>
      </c>
      <c r="AC344">
        <v>36.9</v>
      </c>
      <c r="AD344" t="s">
        <v>43</v>
      </c>
      <c r="AE344">
        <v>1373.3</v>
      </c>
      <c r="AF344">
        <v>0</v>
      </c>
    </row>
    <row r="345" spans="3:32" x14ac:dyDescent="0.35">
      <c r="C345" s="1">
        <v>43646</v>
      </c>
      <c r="D345" s="2">
        <v>43617</v>
      </c>
      <c r="E345">
        <v>1017</v>
      </c>
      <c r="F345" s="3">
        <v>2088.09</v>
      </c>
      <c r="G345" s="3">
        <v>1889.04</v>
      </c>
      <c r="H345" s="3">
        <v>199.05</v>
      </c>
      <c r="I345" s="3">
        <v>0.9</v>
      </c>
      <c r="J345">
        <v>0.35</v>
      </c>
      <c r="K345">
        <v>3916.17</v>
      </c>
      <c r="L345" t="s">
        <v>35</v>
      </c>
      <c r="M345">
        <v>680</v>
      </c>
      <c r="N345">
        <v>0.19</v>
      </c>
      <c r="O345" s="3">
        <v>607.85</v>
      </c>
      <c r="P345" s="3">
        <v>0.28999999999999998</v>
      </c>
      <c r="Q345" s="3">
        <v>787.56</v>
      </c>
      <c r="R345" s="3">
        <v>0.38</v>
      </c>
      <c r="S345">
        <v>1</v>
      </c>
      <c r="T345">
        <v>903.35</v>
      </c>
      <c r="U345">
        <v>32</v>
      </c>
      <c r="V345">
        <v>0</v>
      </c>
      <c r="W345">
        <v>401.47</v>
      </c>
      <c r="X345">
        <v>2910.03</v>
      </c>
      <c r="Y345" t="s">
        <v>36</v>
      </c>
      <c r="Z345" s="3">
        <v>1583.61</v>
      </c>
      <c r="AA345" t="s">
        <v>48</v>
      </c>
      <c r="AB345" t="s">
        <v>33</v>
      </c>
      <c r="AC345">
        <v>72.2</v>
      </c>
      <c r="AD345" t="s">
        <v>34</v>
      </c>
      <c r="AE345">
        <v>199.05</v>
      </c>
      <c r="AF345">
        <v>0</v>
      </c>
    </row>
    <row r="346" spans="3:32" x14ac:dyDescent="0.35">
      <c r="C346" s="1">
        <v>43646</v>
      </c>
      <c r="D346" s="2">
        <v>43617</v>
      </c>
      <c r="E346">
        <v>1741</v>
      </c>
      <c r="F346" s="3">
        <v>2668.89</v>
      </c>
      <c r="G346" s="3">
        <v>3551.11</v>
      </c>
      <c r="H346" s="3">
        <v>-882.22</v>
      </c>
      <c r="I346" s="3">
        <v>1.33</v>
      </c>
      <c r="J346">
        <v>0.12</v>
      </c>
      <c r="K346">
        <v>2528.7600000000002</v>
      </c>
      <c r="L346" t="s">
        <v>35</v>
      </c>
      <c r="M346">
        <v>634</v>
      </c>
      <c r="N346">
        <v>0.47</v>
      </c>
      <c r="O346" s="3">
        <v>575.49</v>
      </c>
      <c r="P346" s="3">
        <v>0.22</v>
      </c>
      <c r="Q346" s="3">
        <v>241.57</v>
      </c>
      <c r="R346" s="3">
        <v>0.09</v>
      </c>
      <c r="S346">
        <v>1</v>
      </c>
      <c r="T346">
        <v>751.94</v>
      </c>
      <c r="U346">
        <v>99</v>
      </c>
      <c r="V346">
        <v>0</v>
      </c>
      <c r="W346">
        <v>672.9</v>
      </c>
      <c r="X346">
        <v>1000</v>
      </c>
      <c r="Y346" t="s">
        <v>36</v>
      </c>
      <c r="Z346" s="3">
        <v>959.23</v>
      </c>
      <c r="AA346" t="s">
        <v>50</v>
      </c>
      <c r="AB346" t="s">
        <v>44</v>
      </c>
      <c r="AC346">
        <v>34.700000000000003</v>
      </c>
      <c r="AD346" t="s">
        <v>38</v>
      </c>
      <c r="AE346">
        <v>0</v>
      </c>
      <c r="AF346">
        <v>0</v>
      </c>
    </row>
    <row r="347" spans="3:32" x14ac:dyDescent="0.35">
      <c r="C347" s="1">
        <v>43646</v>
      </c>
      <c r="D347" s="2">
        <v>43617</v>
      </c>
      <c r="E347">
        <v>1211</v>
      </c>
      <c r="F347" s="3">
        <v>3866.63</v>
      </c>
      <c r="G347" s="3">
        <v>5106.8999999999996</v>
      </c>
      <c r="H347" s="3">
        <v>-1240.27</v>
      </c>
      <c r="I347" s="3">
        <v>1.32</v>
      </c>
      <c r="J347">
        <v>0.17</v>
      </c>
      <c r="K347">
        <v>2956.73</v>
      </c>
      <c r="L347" t="s">
        <v>39</v>
      </c>
      <c r="M347">
        <v>631</v>
      </c>
      <c r="N347">
        <v>0.5</v>
      </c>
      <c r="O347" s="3">
        <v>964.74</v>
      </c>
      <c r="P347" s="3">
        <v>0.25</v>
      </c>
      <c r="Q347" s="3">
        <v>323.48</v>
      </c>
      <c r="R347" s="3">
        <v>0.08</v>
      </c>
      <c r="S347">
        <v>2</v>
      </c>
      <c r="T347">
        <v>78.75</v>
      </c>
      <c r="U347">
        <v>28</v>
      </c>
      <c r="V347">
        <v>1</v>
      </c>
      <c r="W347">
        <v>648.08000000000004</v>
      </c>
      <c r="X347">
        <v>2652.75</v>
      </c>
      <c r="Y347" t="s">
        <v>36</v>
      </c>
      <c r="Z347" s="3">
        <v>1980.38</v>
      </c>
      <c r="AA347" t="s">
        <v>51</v>
      </c>
      <c r="AB347" t="s">
        <v>33</v>
      </c>
      <c r="AC347">
        <v>5.4</v>
      </c>
      <c r="AD347" t="s">
        <v>34</v>
      </c>
      <c r="AE347">
        <v>0</v>
      </c>
      <c r="AF347">
        <v>0</v>
      </c>
    </row>
    <row r="348" spans="3:32" x14ac:dyDescent="0.35">
      <c r="C348" s="1">
        <v>43646</v>
      </c>
      <c r="D348" s="2">
        <v>43617</v>
      </c>
      <c r="E348">
        <v>1186</v>
      </c>
      <c r="F348" s="3">
        <v>4478.78</v>
      </c>
      <c r="G348" s="3">
        <v>3190.63</v>
      </c>
      <c r="H348" s="3">
        <v>1288.1500000000001</v>
      </c>
      <c r="I348" s="3">
        <v>0.71</v>
      </c>
      <c r="J348">
        <v>0.06</v>
      </c>
      <c r="K348">
        <v>2752.43</v>
      </c>
      <c r="L348" t="s">
        <v>35</v>
      </c>
      <c r="M348">
        <v>632</v>
      </c>
      <c r="N348">
        <v>0.11</v>
      </c>
      <c r="O348" s="3">
        <v>457.55</v>
      </c>
      <c r="P348" s="3">
        <v>0.1</v>
      </c>
      <c r="Q348" s="3">
        <v>210.85</v>
      </c>
      <c r="R348" s="3">
        <v>0.05</v>
      </c>
      <c r="S348">
        <v>7</v>
      </c>
      <c r="T348">
        <v>1130.73</v>
      </c>
      <c r="U348">
        <v>37</v>
      </c>
      <c r="V348">
        <v>0</v>
      </c>
      <c r="W348">
        <v>159.04</v>
      </c>
      <c r="X348">
        <v>2394.08</v>
      </c>
      <c r="Y348" t="s">
        <v>36</v>
      </c>
      <c r="Z348" s="3">
        <v>300</v>
      </c>
      <c r="AA348" t="s">
        <v>47</v>
      </c>
      <c r="AB348" t="s">
        <v>33</v>
      </c>
      <c r="AC348">
        <v>78.099999999999994</v>
      </c>
      <c r="AD348" t="s">
        <v>34</v>
      </c>
      <c r="AE348">
        <v>1288.1500000000001</v>
      </c>
      <c r="AF348">
        <v>0</v>
      </c>
    </row>
    <row r="349" spans="3:32" x14ac:dyDescent="0.35">
      <c r="C349" s="1">
        <v>43646</v>
      </c>
      <c r="D349" s="2">
        <v>43617</v>
      </c>
      <c r="E349">
        <v>1668</v>
      </c>
      <c r="F349" s="3">
        <v>6392.56</v>
      </c>
      <c r="G349" s="3">
        <v>3031.79</v>
      </c>
      <c r="H349" s="3">
        <v>3360.77</v>
      </c>
      <c r="I349" s="3">
        <v>0.47</v>
      </c>
      <c r="J349">
        <v>0.15</v>
      </c>
      <c r="K349">
        <v>2516.9499999999998</v>
      </c>
      <c r="L349" t="s">
        <v>35</v>
      </c>
      <c r="M349">
        <v>736</v>
      </c>
      <c r="N349">
        <v>0.5</v>
      </c>
      <c r="O349" s="3">
        <v>594.20000000000005</v>
      </c>
      <c r="P349" s="3">
        <v>0.09</v>
      </c>
      <c r="Q349" s="3">
        <v>550.83000000000004</v>
      </c>
      <c r="R349" s="3">
        <v>0.09</v>
      </c>
      <c r="S349">
        <v>6</v>
      </c>
      <c r="T349">
        <v>1647.33</v>
      </c>
      <c r="U349">
        <v>25</v>
      </c>
      <c r="V349">
        <v>0</v>
      </c>
      <c r="W349">
        <v>577.05999999999995</v>
      </c>
      <c r="X349">
        <v>2319.0100000000002</v>
      </c>
      <c r="Y349" t="s">
        <v>49</v>
      </c>
      <c r="Z349" s="3">
        <v>1227.23</v>
      </c>
      <c r="AA349" t="s">
        <v>41</v>
      </c>
      <c r="AB349" t="s">
        <v>33</v>
      </c>
      <c r="AC349">
        <v>65.5</v>
      </c>
      <c r="AD349" t="s">
        <v>34</v>
      </c>
      <c r="AE349">
        <v>3360.77</v>
      </c>
      <c r="AF349">
        <v>1</v>
      </c>
    </row>
    <row r="350" spans="3:32" x14ac:dyDescent="0.35">
      <c r="C350" s="1">
        <v>43646</v>
      </c>
      <c r="D350" s="2">
        <v>43617</v>
      </c>
      <c r="E350">
        <v>1363</v>
      </c>
      <c r="F350" s="3">
        <v>4148.9799999999996</v>
      </c>
      <c r="G350" s="3">
        <v>3374.17</v>
      </c>
      <c r="H350" s="3">
        <v>774.81</v>
      </c>
      <c r="I350" s="3">
        <v>0.81</v>
      </c>
      <c r="J350">
        <v>0.15</v>
      </c>
      <c r="K350">
        <v>3015.78</v>
      </c>
      <c r="L350" t="s">
        <v>39</v>
      </c>
      <c r="M350">
        <v>592</v>
      </c>
      <c r="N350">
        <v>0.59</v>
      </c>
      <c r="O350" s="3">
        <v>319</v>
      </c>
      <c r="P350" s="3">
        <v>0.08</v>
      </c>
      <c r="Q350" s="3">
        <v>126.64</v>
      </c>
      <c r="R350" s="3">
        <v>0.03</v>
      </c>
      <c r="S350">
        <v>1</v>
      </c>
      <c r="T350">
        <v>1957.93</v>
      </c>
      <c r="U350">
        <v>22</v>
      </c>
      <c r="V350">
        <v>0</v>
      </c>
      <c r="W350">
        <v>405.67</v>
      </c>
      <c r="X350">
        <v>1595.64</v>
      </c>
      <c r="Y350" t="s">
        <v>49</v>
      </c>
      <c r="Z350" s="3">
        <v>832.47</v>
      </c>
      <c r="AA350" t="s">
        <v>45</v>
      </c>
      <c r="AB350" t="s">
        <v>33</v>
      </c>
      <c r="AC350">
        <v>43.5</v>
      </c>
      <c r="AD350" t="s">
        <v>34</v>
      </c>
      <c r="AE350">
        <v>774.81</v>
      </c>
      <c r="AF350">
        <v>0</v>
      </c>
    </row>
    <row r="351" spans="3:32" x14ac:dyDescent="0.35">
      <c r="C351" s="1">
        <v>43646</v>
      </c>
      <c r="D351" s="2">
        <v>43617</v>
      </c>
      <c r="E351">
        <v>1572</v>
      </c>
      <c r="F351" s="3">
        <v>3331.15</v>
      </c>
      <c r="G351" s="3">
        <v>2118.5100000000002</v>
      </c>
      <c r="H351" s="3">
        <v>1212.6400000000001</v>
      </c>
      <c r="I351" s="3">
        <v>0.64</v>
      </c>
      <c r="J351">
        <v>0.2</v>
      </c>
      <c r="K351">
        <v>2919.34</v>
      </c>
      <c r="L351" t="s">
        <v>35</v>
      </c>
      <c r="M351">
        <v>667</v>
      </c>
      <c r="N351">
        <v>0.19</v>
      </c>
      <c r="O351" s="3">
        <v>193.92</v>
      </c>
      <c r="P351" s="3">
        <v>0.06</v>
      </c>
      <c r="Q351" s="3">
        <v>455.14</v>
      </c>
      <c r="R351" s="3">
        <v>0.14000000000000001</v>
      </c>
      <c r="S351">
        <v>2</v>
      </c>
      <c r="T351">
        <v>742.87</v>
      </c>
      <c r="U351">
        <v>85</v>
      </c>
      <c r="V351">
        <v>0</v>
      </c>
      <c r="W351">
        <v>686.7</v>
      </c>
      <c r="X351">
        <v>2517.08</v>
      </c>
      <c r="Y351" t="s">
        <v>36</v>
      </c>
      <c r="Z351" s="3">
        <v>863.62</v>
      </c>
      <c r="AA351" t="s">
        <v>32</v>
      </c>
      <c r="AB351" t="s">
        <v>33</v>
      </c>
      <c r="AC351">
        <v>53.7</v>
      </c>
      <c r="AD351" t="s">
        <v>34</v>
      </c>
      <c r="AE351">
        <v>1212.6400000000001</v>
      </c>
      <c r="AF351">
        <v>0</v>
      </c>
    </row>
    <row r="352" spans="3:32" x14ac:dyDescent="0.35">
      <c r="C352" s="1">
        <v>43676</v>
      </c>
      <c r="D352" s="2">
        <v>43647</v>
      </c>
      <c r="E352">
        <v>1600</v>
      </c>
      <c r="F352" s="3">
        <v>3202.37</v>
      </c>
      <c r="G352" s="3">
        <v>2689.51</v>
      </c>
      <c r="H352" s="3">
        <v>512.86</v>
      </c>
      <c r="I352" s="3">
        <v>0.84</v>
      </c>
      <c r="J352">
        <v>0.25</v>
      </c>
      <c r="K352">
        <v>3650.48</v>
      </c>
      <c r="L352" t="s">
        <v>35</v>
      </c>
      <c r="M352">
        <v>655</v>
      </c>
      <c r="N352">
        <v>0.24</v>
      </c>
      <c r="O352" s="3">
        <v>524.64</v>
      </c>
      <c r="P352" s="3">
        <v>0.16</v>
      </c>
      <c r="Q352" s="3">
        <v>224.15</v>
      </c>
      <c r="R352" s="3">
        <v>7.0000000000000007E-2</v>
      </c>
      <c r="S352">
        <v>4</v>
      </c>
      <c r="T352">
        <v>732.71</v>
      </c>
      <c r="U352">
        <v>65</v>
      </c>
      <c r="V352">
        <v>0</v>
      </c>
      <c r="W352">
        <v>602.88</v>
      </c>
      <c r="X352">
        <v>3526.55</v>
      </c>
      <c r="Y352" t="s">
        <v>36</v>
      </c>
      <c r="Z352" s="3">
        <v>1453.18</v>
      </c>
      <c r="AA352" t="s">
        <v>51</v>
      </c>
      <c r="AB352" t="s">
        <v>42</v>
      </c>
      <c r="AC352">
        <v>83.1</v>
      </c>
      <c r="AD352" t="s">
        <v>43</v>
      </c>
      <c r="AE352">
        <v>512.86</v>
      </c>
      <c r="AF352">
        <v>0</v>
      </c>
    </row>
    <row r="353" spans="3:32" x14ac:dyDescent="0.35">
      <c r="C353" s="1">
        <v>43676</v>
      </c>
      <c r="D353" s="2">
        <v>43647</v>
      </c>
      <c r="E353">
        <v>1512</v>
      </c>
      <c r="F353" s="3">
        <v>5532.8</v>
      </c>
      <c r="G353" s="3">
        <v>810.91</v>
      </c>
      <c r="H353" s="3">
        <v>4721.8900000000003</v>
      </c>
      <c r="I353" s="3">
        <v>0.15</v>
      </c>
      <c r="J353">
        <v>0.32</v>
      </c>
      <c r="K353">
        <v>2731.72</v>
      </c>
      <c r="L353" t="s">
        <v>30</v>
      </c>
      <c r="M353">
        <v>691</v>
      </c>
      <c r="N353">
        <v>0.14000000000000001</v>
      </c>
      <c r="O353" s="3">
        <v>416.89</v>
      </c>
      <c r="P353" s="3">
        <v>0.08</v>
      </c>
      <c r="Q353" s="3">
        <v>228.69</v>
      </c>
      <c r="R353" s="3">
        <v>0.04</v>
      </c>
      <c r="S353">
        <v>9</v>
      </c>
      <c r="T353">
        <v>1635.48</v>
      </c>
      <c r="U353">
        <v>59</v>
      </c>
      <c r="V353">
        <v>0</v>
      </c>
      <c r="W353">
        <v>545.09</v>
      </c>
      <c r="X353">
        <v>2136.3200000000002</v>
      </c>
      <c r="Y353" t="s">
        <v>49</v>
      </c>
      <c r="Z353" s="3">
        <v>1562.54</v>
      </c>
      <c r="AA353" t="s">
        <v>32</v>
      </c>
      <c r="AB353" t="s">
        <v>33</v>
      </c>
      <c r="AC353">
        <v>45.2</v>
      </c>
      <c r="AD353" t="s">
        <v>43</v>
      </c>
      <c r="AE353">
        <v>4721.8900000000003</v>
      </c>
      <c r="AF353">
        <v>1</v>
      </c>
    </row>
    <row r="354" spans="3:32" x14ac:dyDescent="0.35">
      <c r="C354" s="1">
        <v>43676</v>
      </c>
      <c r="D354" s="2">
        <v>43647</v>
      </c>
      <c r="E354">
        <v>1905</v>
      </c>
      <c r="F354" s="3">
        <v>3482.5</v>
      </c>
      <c r="G354" s="3">
        <v>2302.83</v>
      </c>
      <c r="H354" s="3">
        <v>1179.67</v>
      </c>
      <c r="I354" s="3">
        <v>0.66</v>
      </c>
      <c r="J354">
        <v>0.33</v>
      </c>
      <c r="K354">
        <v>2970.08</v>
      </c>
      <c r="L354" t="s">
        <v>35</v>
      </c>
      <c r="M354">
        <v>630</v>
      </c>
      <c r="N354">
        <v>0.15</v>
      </c>
      <c r="O354" s="3">
        <v>704.13</v>
      </c>
      <c r="P354" s="3">
        <v>0.2</v>
      </c>
      <c r="Q354" s="3">
        <v>321</v>
      </c>
      <c r="R354" s="3">
        <v>0.09</v>
      </c>
      <c r="S354">
        <v>2</v>
      </c>
      <c r="T354">
        <v>683.01</v>
      </c>
      <c r="U354">
        <v>60</v>
      </c>
      <c r="V354">
        <v>0</v>
      </c>
      <c r="W354">
        <v>116.82</v>
      </c>
      <c r="X354">
        <v>2021.61</v>
      </c>
      <c r="Y354" t="s">
        <v>49</v>
      </c>
      <c r="Z354" s="3">
        <v>1423.22</v>
      </c>
      <c r="AA354" t="s">
        <v>32</v>
      </c>
      <c r="AB354" t="s">
        <v>42</v>
      </c>
      <c r="AC354">
        <v>90.1</v>
      </c>
      <c r="AD354" t="s">
        <v>43</v>
      </c>
      <c r="AE354">
        <v>1179.67</v>
      </c>
      <c r="AF354">
        <v>0</v>
      </c>
    </row>
    <row r="355" spans="3:32" x14ac:dyDescent="0.35">
      <c r="C355" s="1">
        <v>43676</v>
      </c>
      <c r="D355" s="2">
        <v>43647</v>
      </c>
      <c r="E355">
        <v>1784</v>
      </c>
      <c r="F355" s="3">
        <v>4018.31</v>
      </c>
      <c r="G355" s="3">
        <v>1566.09</v>
      </c>
      <c r="H355" s="3">
        <v>2452.2199999999998</v>
      </c>
      <c r="I355" s="3">
        <v>0.39</v>
      </c>
      <c r="J355">
        <v>0.12</v>
      </c>
      <c r="K355">
        <v>2757.69</v>
      </c>
      <c r="L355" t="s">
        <v>35</v>
      </c>
      <c r="M355">
        <v>765</v>
      </c>
      <c r="N355">
        <v>0.26</v>
      </c>
      <c r="O355" s="3">
        <v>414.11</v>
      </c>
      <c r="P355" s="3">
        <v>0.1</v>
      </c>
      <c r="Q355" s="3">
        <v>316.5</v>
      </c>
      <c r="R355" s="3">
        <v>0.08</v>
      </c>
      <c r="S355">
        <v>8</v>
      </c>
      <c r="T355">
        <v>1123.8599999999999</v>
      </c>
      <c r="U355">
        <v>98</v>
      </c>
      <c r="V355">
        <v>0</v>
      </c>
      <c r="W355">
        <v>238.58</v>
      </c>
      <c r="X355">
        <v>1612.76</v>
      </c>
      <c r="Y355" t="s">
        <v>36</v>
      </c>
      <c r="Z355" s="3">
        <v>1304.51</v>
      </c>
      <c r="AA355" t="s">
        <v>46</v>
      </c>
      <c r="AB355" t="s">
        <v>33</v>
      </c>
      <c r="AC355">
        <v>3.9</v>
      </c>
      <c r="AD355" t="s">
        <v>43</v>
      </c>
      <c r="AE355">
        <v>2452.2199999999998</v>
      </c>
      <c r="AF355">
        <v>0</v>
      </c>
    </row>
    <row r="356" spans="3:32" x14ac:dyDescent="0.35">
      <c r="C356" s="1">
        <v>43676</v>
      </c>
      <c r="D356" s="2">
        <v>43647</v>
      </c>
      <c r="E356">
        <v>1236</v>
      </c>
      <c r="F356" s="3">
        <v>4524.43</v>
      </c>
      <c r="G356" s="3">
        <v>3708.33</v>
      </c>
      <c r="H356" s="3">
        <v>816.1</v>
      </c>
      <c r="I356" s="3">
        <v>0.82</v>
      </c>
      <c r="J356">
        <v>0.16</v>
      </c>
      <c r="K356">
        <v>3306.8</v>
      </c>
      <c r="L356" t="s">
        <v>30</v>
      </c>
      <c r="M356">
        <v>714</v>
      </c>
      <c r="N356">
        <v>0.46</v>
      </c>
      <c r="O356" s="3">
        <v>705.24</v>
      </c>
      <c r="P356" s="3">
        <v>0.16</v>
      </c>
      <c r="Q356" s="3">
        <v>601.38</v>
      </c>
      <c r="R356" s="3">
        <v>0.13</v>
      </c>
      <c r="S356">
        <v>2</v>
      </c>
      <c r="T356">
        <v>1114.45</v>
      </c>
      <c r="U356">
        <v>67</v>
      </c>
      <c r="V356">
        <v>0</v>
      </c>
      <c r="W356">
        <v>506.18</v>
      </c>
      <c r="X356">
        <v>1860.51</v>
      </c>
      <c r="Y356" t="s">
        <v>36</v>
      </c>
      <c r="Z356" s="3">
        <v>1577.19</v>
      </c>
      <c r="AA356" t="s">
        <v>47</v>
      </c>
      <c r="AB356" t="s">
        <v>44</v>
      </c>
      <c r="AC356">
        <v>22.1</v>
      </c>
      <c r="AD356" t="s">
        <v>34</v>
      </c>
      <c r="AE356">
        <v>816.1</v>
      </c>
      <c r="AF356">
        <v>0</v>
      </c>
    </row>
    <row r="357" spans="3:32" x14ac:dyDescent="0.35">
      <c r="C357" s="1">
        <v>43676</v>
      </c>
      <c r="D357" s="2">
        <v>43647</v>
      </c>
      <c r="E357">
        <v>1311</v>
      </c>
      <c r="F357" s="3">
        <v>3261.08</v>
      </c>
      <c r="G357" s="3">
        <v>2935.4</v>
      </c>
      <c r="H357" s="3">
        <v>325.68</v>
      </c>
      <c r="I357" s="3">
        <v>0.9</v>
      </c>
      <c r="J357">
        <v>0.05</v>
      </c>
      <c r="K357">
        <v>2587.59</v>
      </c>
      <c r="L357" t="s">
        <v>30</v>
      </c>
      <c r="M357">
        <v>727</v>
      </c>
      <c r="N357">
        <v>0.28000000000000003</v>
      </c>
      <c r="O357" s="3">
        <v>633.75</v>
      </c>
      <c r="P357" s="3">
        <v>0.19</v>
      </c>
      <c r="Q357" s="3">
        <v>590.98</v>
      </c>
      <c r="R357" s="3">
        <v>0.18</v>
      </c>
      <c r="S357">
        <v>1</v>
      </c>
      <c r="T357">
        <v>563.4</v>
      </c>
      <c r="U357">
        <v>58</v>
      </c>
      <c r="V357">
        <v>0</v>
      </c>
      <c r="W357">
        <v>301.42</v>
      </c>
      <c r="X357">
        <v>2158.86</v>
      </c>
      <c r="Y357" t="s">
        <v>31</v>
      </c>
      <c r="Z357" s="3">
        <v>1193.31</v>
      </c>
      <c r="AA357" t="s">
        <v>45</v>
      </c>
      <c r="AB357" t="s">
        <v>33</v>
      </c>
      <c r="AC357">
        <v>45.3</v>
      </c>
      <c r="AD357" t="s">
        <v>34</v>
      </c>
      <c r="AE357">
        <v>325.68</v>
      </c>
      <c r="AF357">
        <v>0</v>
      </c>
    </row>
    <row r="358" spans="3:32" x14ac:dyDescent="0.35">
      <c r="C358" s="1">
        <v>43676</v>
      </c>
      <c r="D358" s="2">
        <v>43647</v>
      </c>
      <c r="E358">
        <v>1345</v>
      </c>
      <c r="F358" s="3">
        <v>3330.45</v>
      </c>
      <c r="G358" s="3">
        <v>3342.94</v>
      </c>
      <c r="H358" s="3">
        <v>-12.49</v>
      </c>
      <c r="I358" s="3">
        <v>1</v>
      </c>
      <c r="J358">
        <v>0.28999999999999998</v>
      </c>
      <c r="K358">
        <v>3418.93</v>
      </c>
      <c r="L358" t="s">
        <v>39</v>
      </c>
      <c r="M358">
        <v>813</v>
      </c>
      <c r="N358">
        <v>0.31</v>
      </c>
      <c r="O358" s="3">
        <v>662.7</v>
      </c>
      <c r="P358" s="3">
        <v>0.2</v>
      </c>
      <c r="Q358" s="3">
        <v>508.25</v>
      </c>
      <c r="R358" s="3">
        <v>0.15</v>
      </c>
      <c r="S358">
        <v>9</v>
      </c>
      <c r="T358">
        <v>871.36</v>
      </c>
      <c r="U358">
        <v>67</v>
      </c>
      <c r="V358">
        <v>0</v>
      </c>
      <c r="W358">
        <v>528.41</v>
      </c>
      <c r="X358">
        <v>2426.98</v>
      </c>
      <c r="Y358" t="s">
        <v>31</v>
      </c>
      <c r="Z358" s="3">
        <v>992.91</v>
      </c>
      <c r="AA358" t="s">
        <v>40</v>
      </c>
      <c r="AB358" t="s">
        <v>33</v>
      </c>
      <c r="AC358">
        <v>26.9</v>
      </c>
      <c r="AD358" t="s">
        <v>43</v>
      </c>
      <c r="AE358">
        <v>0</v>
      </c>
      <c r="AF358">
        <v>0</v>
      </c>
    </row>
    <row r="359" spans="3:32" x14ac:dyDescent="0.35">
      <c r="C359" s="1">
        <v>43676</v>
      </c>
      <c r="D359" s="2">
        <v>43647</v>
      </c>
      <c r="E359">
        <v>1034</v>
      </c>
      <c r="F359" s="3">
        <v>3880.74</v>
      </c>
      <c r="G359" s="3">
        <v>3054.91</v>
      </c>
      <c r="H359" s="3">
        <v>825.83</v>
      </c>
      <c r="I359" s="3">
        <v>0.79</v>
      </c>
      <c r="J359">
        <v>0.11</v>
      </c>
      <c r="K359">
        <v>2444.3000000000002</v>
      </c>
      <c r="L359" t="s">
        <v>30</v>
      </c>
      <c r="M359">
        <v>698</v>
      </c>
      <c r="N359">
        <v>0.37</v>
      </c>
      <c r="O359" s="3">
        <v>630.20000000000005</v>
      </c>
      <c r="P359" s="3">
        <v>0.16</v>
      </c>
      <c r="Q359" s="3">
        <v>589.59</v>
      </c>
      <c r="R359" s="3">
        <v>0.15</v>
      </c>
      <c r="S359">
        <v>7</v>
      </c>
      <c r="T359">
        <v>1354.99</v>
      </c>
      <c r="U359">
        <v>39</v>
      </c>
      <c r="V359">
        <v>0</v>
      </c>
      <c r="W359">
        <v>705.38</v>
      </c>
      <c r="X359">
        <v>1554.28</v>
      </c>
      <c r="Y359" t="s">
        <v>36</v>
      </c>
      <c r="Z359" s="3">
        <v>2252.27</v>
      </c>
      <c r="AA359" t="s">
        <v>47</v>
      </c>
      <c r="AB359" t="s">
        <v>42</v>
      </c>
      <c r="AC359">
        <v>11.8</v>
      </c>
      <c r="AD359" t="s">
        <v>43</v>
      </c>
      <c r="AE359">
        <v>825.83</v>
      </c>
      <c r="AF359">
        <v>0</v>
      </c>
    </row>
    <row r="360" spans="3:32" x14ac:dyDescent="0.35">
      <c r="C360" s="1">
        <v>43676</v>
      </c>
      <c r="D360" s="2">
        <v>43647</v>
      </c>
      <c r="E360">
        <v>1114</v>
      </c>
      <c r="F360" s="3">
        <v>2620.71</v>
      </c>
      <c r="G360" s="3">
        <v>2851.6</v>
      </c>
      <c r="H360" s="3">
        <v>-230.89</v>
      </c>
      <c r="I360" s="3">
        <v>1.0900000000000001</v>
      </c>
      <c r="J360">
        <v>0.27</v>
      </c>
      <c r="K360">
        <v>3410.49</v>
      </c>
      <c r="L360" t="s">
        <v>35</v>
      </c>
      <c r="M360">
        <v>603</v>
      </c>
      <c r="N360">
        <v>0.32</v>
      </c>
      <c r="O360" s="3">
        <v>83.22</v>
      </c>
      <c r="P360" s="3">
        <v>0.03</v>
      </c>
      <c r="Q360" s="3">
        <v>109.19</v>
      </c>
      <c r="R360" s="3">
        <v>0.04</v>
      </c>
      <c r="S360">
        <v>4</v>
      </c>
      <c r="T360">
        <v>1500.28</v>
      </c>
      <c r="U360">
        <v>31</v>
      </c>
      <c r="V360">
        <v>0</v>
      </c>
      <c r="W360">
        <v>870.07</v>
      </c>
      <c r="X360">
        <v>1991.89</v>
      </c>
      <c r="Y360" t="s">
        <v>36</v>
      </c>
      <c r="Z360" s="3">
        <v>1434.93</v>
      </c>
      <c r="AA360" t="s">
        <v>37</v>
      </c>
      <c r="AB360" t="s">
        <v>33</v>
      </c>
      <c r="AC360">
        <v>30.5</v>
      </c>
      <c r="AD360" t="s">
        <v>34</v>
      </c>
      <c r="AE360">
        <v>0</v>
      </c>
      <c r="AF360">
        <v>0</v>
      </c>
    </row>
    <row r="361" spans="3:32" x14ac:dyDescent="0.35">
      <c r="C361" s="1">
        <v>43676</v>
      </c>
      <c r="D361" s="2">
        <v>43647</v>
      </c>
      <c r="E361">
        <v>1977</v>
      </c>
      <c r="F361" s="3">
        <v>5095.78</v>
      </c>
      <c r="G361" s="3">
        <v>2996.72</v>
      </c>
      <c r="H361" s="3">
        <v>2099.06</v>
      </c>
      <c r="I361" s="3">
        <v>0.59</v>
      </c>
      <c r="J361">
        <v>0.39</v>
      </c>
      <c r="K361">
        <v>3353.53</v>
      </c>
      <c r="L361" t="s">
        <v>30</v>
      </c>
      <c r="M361">
        <v>765</v>
      </c>
      <c r="N361">
        <v>0.34</v>
      </c>
      <c r="O361" s="3">
        <v>255.18</v>
      </c>
      <c r="P361" s="3">
        <v>0.05</v>
      </c>
      <c r="Q361" s="3">
        <v>295.27</v>
      </c>
      <c r="R361" s="3">
        <v>0.06</v>
      </c>
      <c r="S361">
        <v>1</v>
      </c>
      <c r="T361">
        <v>472.84</v>
      </c>
      <c r="U361">
        <v>28</v>
      </c>
      <c r="V361">
        <v>0</v>
      </c>
      <c r="W361">
        <v>223.28</v>
      </c>
      <c r="X361">
        <v>1812.74</v>
      </c>
      <c r="Y361" t="s">
        <v>36</v>
      </c>
      <c r="Z361" s="3">
        <v>1152.3</v>
      </c>
      <c r="AA361" t="s">
        <v>46</v>
      </c>
      <c r="AB361" t="s">
        <v>33</v>
      </c>
      <c r="AC361">
        <v>67.2</v>
      </c>
      <c r="AD361" t="s">
        <v>43</v>
      </c>
      <c r="AE361">
        <v>2099.06</v>
      </c>
      <c r="AF361">
        <v>0</v>
      </c>
    </row>
    <row r="362" spans="3:32" x14ac:dyDescent="0.35">
      <c r="C362" s="1">
        <v>43676</v>
      </c>
      <c r="D362" s="2">
        <v>43647</v>
      </c>
      <c r="E362">
        <v>1671</v>
      </c>
      <c r="F362" s="3">
        <v>4480.08</v>
      </c>
      <c r="G362" s="3">
        <v>2618.86</v>
      </c>
      <c r="H362" s="3">
        <v>1861.22</v>
      </c>
      <c r="I362" s="3">
        <v>0.57999999999999996</v>
      </c>
      <c r="J362">
        <v>0.08</v>
      </c>
      <c r="K362">
        <v>3506.07</v>
      </c>
      <c r="L362" t="s">
        <v>35</v>
      </c>
      <c r="M362">
        <v>713</v>
      </c>
      <c r="N362">
        <v>0.38</v>
      </c>
      <c r="O362" s="3">
        <v>554.22</v>
      </c>
      <c r="P362" s="3">
        <v>0.12</v>
      </c>
      <c r="Q362" s="3">
        <v>235.42</v>
      </c>
      <c r="R362" s="3">
        <v>0.05</v>
      </c>
      <c r="S362">
        <v>5</v>
      </c>
      <c r="T362">
        <v>1267.3599999999999</v>
      </c>
      <c r="U362">
        <v>33</v>
      </c>
      <c r="V362">
        <v>0</v>
      </c>
      <c r="W362">
        <v>166.91</v>
      </c>
      <c r="X362">
        <v>2340.2800000000002</v>
      </c>
      <c r="Y362" t="s">
        <v>31</v>
      </c>
      <c r="Z362" s="3">
        <v>1334.49</v>
      </c>
      <c r="AA362" t="s">
        <v>45</v>
      </c>
      <c r="AB362" t="s">
        <v>33</v>
      </c>
      <c r="AC362">
        <v>46.1</v>
      </c>
      <c r="AD362" t="s">
        <v>34</v>
      </c>
      <c r="AE362">
        <v>1861.22</v>
      </c>
      <c r="AF362">
        <v>0</v>
      </c>
    </row>
    <row r="363" spans="3:32" x14ac:dyDescent="0.35">
      <c r="C363" s="1">
        <v>43676</v>
      </c>
      <c r="D363" s="2">
        <v>43647</v>
      </c>
      <c r="E363">
        <v>1930</v>
      </c>
      <c r="F363" s="3">
        <v>3107.57</v>
      </c>
      <c r="G363" s="3">
        <v>2485.88</v>
      </c>
      <c r="H363" s="3">
        <v>621.69000000000005</v>
      </c>
      <c r="I363" s="3">
        <v>0.8</v>
      </c>
      <c r="J363">
        <v>0.06</v>
      </c>
      <c r="K363">
        <v>3860.52</v>
      </c>
      <c r="L363" t="s">
        <v>30</v>
      </c>
      <c r="M363">
        <v>703</v>
      </c>
      <c r="N363">
        <v>0.56000000000000005</v>
      </c>
      <c r="O363" s="3">
        <v>549.96</v>
      </c>
      <c r="P363" s="3">
        <v>0.18</v>
      </c>
      <c r="Q363" s="3">
        <v>578.17999999999995</v>
      </c>
      <c r="R363" s="3">
        <v>0.19</v>
      </c>
      <c r="S363">
        <v>9</v>
      </c>
      <c r="T363">
        <v>1515.99</v>
      </c>
      <c r="U363">
        <v>62</v>
      </c>
      <c r="V363">
        <v>0</v>
      </c>
      <c r="W363">
        <v>422.45</v>
      </c>
      <c r="X363">
        <v>2259.41</v>
      </c>
      <c r="Y363" t="s">
        <v>36</v>
      </c>
      <c r="Z363" s="3">
        <v>923.48</v>
      </c>
      <c r="AA363" t="s">
        <v>41</v>
      </c>
      <c r="AB363" t="s">
        <v>44</v>
      </c>
      <c r="AC363">
        <v>75.7</v>
      </c>
      <c r="AD363" t="s">
        <v>34</v>
      </c>
      <c r="AE363">
        <v>621.69000000000005</v>
      </c>
      <c r="AF363">
        <v>0</v>
      </c>
    </row>
    <row r="364" spans="3:32" x14ac:dyDescent="0.35">
      <c r="C364" s="1">
        <v>43676</v>
      </c>
      <c r="D364" s="2">
        <v>43647</v>
      </c>
      <c r="E364">
        <v>1406</v>
      </c>
      <c r="F364" s="3">
        <v>4907.74</v>
      </c>
      <c r="G364" s="3">
        <v>4052.07</v>
      </c>
      <c r="H364" s="3">
        <v>855.67</v>
      </c>
      <c r="I364" s="3">
        <v>0.83</v>
      </c>
      <c r="J364">
        <v>0.16</v>
      </c>
      <c r="K364">
        <v>3173.14</v>
      </c>
      <c r="L364" t="s">
        <v>35</v>
      </c>
      <c r="M364">
        <v>601</v>
      </c>
      <c r="N364">
        <v>0.53</v>
      </c>
      <c r="O364" s="3">
        <v>527.73</v>
      </c>
      <c r="P364" s="3">
        <v>0.11</v>
      </c>
      <c r="Q364" s="3">
        <v>490.53</v>
      </c>
      <c r="R364" s="3">
        <v>0.1</v>
      </c>
      <c r="S364">
        <v>6</v>
      </c>
      <c r="T364">
        <v>0</v>
      </c>
      <c r="U364">
        <v>80</v>
      </c>
      <c r="V364">
        <v>0</v>
      </c>
      <c r="W364">
        <v>306.43</v>
      </c>
      <c r="X364">
        <v>3244.13</v>
      </c>
      <c r="Y364" t="s">
        <v>49</v>
      </c>
      <c r="Z364" s="3">
        <v>937.35</v>
      </c>
      <c r="AA364" t="s">
        <v>51</v>
      </c>
      <c r="AB364" t="s">
        <v>33</v>
      </c>
      <c r="AC364">
        <v>12.8</v>
      </c>
      <c r="AD364" t="s">
        <v>34</v>
      </c>
      <c r="AE364">
        <v>855.67</v>
      </c>
      <c r="AF364">
        <v>0</v>
      </c>
    </row>
    <row r="365" spans="3:32" x14ac:dyDescent="0.35">
      <c r="C365" s="1">
        <v>43676</v>
      </c>
      <c r="D365" s="2">
        <v>43647</v>
      </c>
      <c r="E365">
        <v>1226</v>
      </c>
      <c r="F365" s="3">
        <v>5357.38</v>
      </c>
      <c r="G365" s="3">
        <v>3129.44</v>
      </c>
      <c r="H365" s="3">
        <v>2227.94</v>
      </c>
      <c r="I365" s="3">
        <v>0.57999999999999996</v>
      </c>
      <c r="J365">
        <v>0.21</v>
      </c>
      <c r="K365">
        <v>2622.25</v>
      </c>
      <c r="L365" t="s">
        <v>35</v>
      </c>
      <c r="M365">
        <v>685</v>
      </c>
      <c r="N365">
        <v>0.35</v>
      </c>
      <c r="O365" s="3">
        <v>691.03</v>
      </c>
      <c r="P365" s="3">
        <v>0.13</v>
      </c>
      <c r="Q365" s="3">
        <v>378.35</v>
      </c>
      <c r="R365" s="3">
        <v>7.0000000000000007E-2</v>
      </c>
      <c r="S365">
        <v>5</v>
      </c>
      <c r="T365">
        <v>1546.13</v>
      </c>
      <c r="U365">
        <v>89</v>
      </c>
      <c r="V365">
        <v>0</v>
      </c>
      <c r="W365">
        <v>158.51</v>
      </c>
      <c r="X365">
        <v>1000</v>
      </c>
      <c r="Y365" t="s">
        <v>31</v>
      </c>
      <c r="Z365" s="3">
        <v>1285.23</v>
      </c>
      <c r="AA365" t="s">
        <v>51</v>
      </c>
      <c r="AB365" t="s">
        <v>33</v>
      </c>
      <c r="AC365">
        <v>14.8</v>
      </c>
      <c r="AD365" t="s">
        <v>38</v>
      </c>
      <c r="AE365">
        <v>2227.94</v>
      </c>
      <c r="AF365">
        <v>0</v>
      </c>
    </row>
    <row r="366" spans="3:32" x14ac:dyDescent="0.35">
      <c r="C366" s="1">
        <v>43676</v>
      </c>
      <c r="D366" s="2">
        <v>43647</v>
      </c>
      <c r="E366">
        <v>1057</v>
      </c>
      <c r="F366" s="3">
        <v>4316.4399999999996</v>
      </c>
      <c r="G366" s="3">
        <v>3157.77</v>
      </c>
      <c r="H366" s="3">
        <v>1158.67</v>
      </c>
      <c r="I366" s="3">
        <v>0.73</v>
      </c>
      <c r="J366">
        <v>0.18</v>
      </c>
      <c r="K366">
        <v>1707.87</v>
      </c>
      <c r="L366" t="s">
        <v>35</v>
      </c>
      <c r="M366">
        <v>754</v>
      </c>
      <c r="N366">
        <v>0.22</v>
      </c>
      <c r="O366" s="3">
        <v>430.81</v>
      </c>
      <c r="P366" s="3">
        <v>0.1</v>
      </c>
      <c r="Q366" s="3">
        <v>0</v>
      </c>
      <c r="R366" s="3">
        <v>0</v>
      </c>
      <c r="S366">
        <v>2</v>
      </c>
      <c r="T366">
        <v>1437.24</v>
      </c>
      <c r="U366">
        <v>53</v>
      </c>
      <c r="V366">
        <v>0</v>
      </c>
      <c r="W366">
        <v>315.19</v>
      </c>
      <c r="X366">
        <v>2000.56</v>
      </c>
      <c r="Y366" t="s">
        <v>36</v>
      </c>
      <c r="Z366" s="3">
        <v>1053.3</v>
      </c>
      <c r="AA366" t="s">
        <v>32</v>
      </c>
      <c r="AB366" t="s">
        <v>33</v>
      </c>
      <c r="AC366">
        <v>2.6</v>
      </c>
      <c r="AD366" t="s">
        <v>43</v>
      </c>
      <c r="AE366">
        <v>1158.67</v>
      </c>
      <c r="AF366">
        <v>0</v>
      </c>
    </row>
    <row r="367" spans="3:32" x14ac:dyDescent="0.35">
      <c r="C367" s="1">
        <v>43676</v>
      </c>
      <c r="D367" s="2">
        <v>43647</v>
      </c>
      <c r="E367">
        <v>1067</v>
      </c>
      <c r="F367" s="3">
        <v>4554.87</v>
      </c>
      <c r="G367" s="3">
        <v>2478.1</v>
      </c>
      <c r="H367" s="3">
        <v>2076.77</v>
      </c>
      <c r="I367" s="3">
        <v>0.54</v>
      </c>
      <c r="J367">
        <v>0.21</v>
      </c>
      <c r="K367">
        <v>2680.73</v>
      </c>
      <c r="L367" t="s">
        <v>35</v>
      </c>
      <c r="M367">
        <v>552</v>
      </c>
      <c r="N367">
        <v>0.28000000000000003</v>
      </c>
      <c r="O367" s="3">
        <v>287.51</v>
      </c>
      <c r="P367" s="3">
        <v>0.06</v>
      </c>
      <c r="Q367" s="3">
        <v>151.75</v>
      </c>
      <c r="R367" s="3">
        <v>0.03</v>
      </c>
      <c r="S367">
        <v>4</v>
      </c>
      <c r="T367">
        <v>878.76</v>
      </c>
      <c r="U367">
        <v>90</v>
      </c>
      <c r="V367">
        <v>0</v>
      </c>
      <c r="W367">
        <v>342.3</v>
      </c>
      <c r="X367">
        <v>3483.9</v>
      </c>
      <c r="Y367" t="s">
        <v>36</v>
      </c>
      <c r="Z367" s="3">
        <v>1413.46</v>
      </c>
      <c r="AA367" t="s">
        <v>51</v>
      </c>
      <c r="AB367" t="s">
        <v>42</v>
      </c>
      <c r="AC367">
        <v>48.3</v>
      </c>
      <c r="AD367" t="s">
        <v>43</v>
      </c>
      <c r="AE367">
        <v>2076.77</v>
      </c>
      <c r="AF367">
        <v>0</v>
      </c>
    </row>
    <row r="368" spans="3:32" x14ac:dyDescent="0.35">
      <c r="C368" s="1">
        <v>43676</v>
      </c>
      <c r="D368" s="2">
        <v>43647</v>
      </c>
      <c r="E368">
        <v>1153</v>
      </c>
      <c r="F368" s="3">
        <v>4773.79</v>
      </c>
      <c r="G368" s="3">
        <v>3260.39</v>
      </c>
      <c r="H368" s="3">
        <v>1513.4</v>
      </c>
      <c r="I368" s="3">
        <v>0.68</v>
      </c>
      <c r="J368">
        <v>0.15</v>
      </c>
      <c r="K368">
        <v>2885.79</v>
      </c>
      <c r="L368" t="s">
        <v>35</v>
      </c>
      <c r="M368">
        <v>709</v>
      </c>
      <c r="N368">
        <v>0.56999999999999995</v>
      </c>
      <c r="O368" s="3">
        <v>681.66</v>
      </c>
      <c r="P368" s="3">
        <v>0.14000000000000001</v>
      </c>
      <c r="Q368" s="3">
        <v>239.54</v>
      </c>
      <c r="R368" s="3">
        <v>0.05</v>
      </c>
      <c r="S368">
        <v>9</v>
      </c>
      <c r="T368">
        <v>89.82</v>
      </c>
      <c r="U368">
        <v>82</v>
      </c>
      <c r="V368">
        <v>1</v>
      </c>
      <c r="W368">
        <v>446.22</v>
      </c>
      <c r="X368">
        <v>2794.04</v>
      </c>
      <c r="Y368" t="s">
        <v>36</v>
      </c>
      <c r="Z368" s="3">
        <v>1806.75</v>
      </c>
      <c r="AA368" t="s">
        <v>40</v>
      </c>
      <c r="AB368" t="s">
        <v>33</v>
      </c>
      <c r="AC368">
        <v>33.200000000000003</v>
      </c>
      <c r="AD368" t="s">
        <v>43</v>
      </c>
      <c r="AE368">
        <v>1513.4</v>
      </c>
      <c r="AF368">
        <v>0</v>
      </c>
    </row>
    <row r="369" spans="3:32" x14ac:dyDescent="0.35">
      <c r="C369" s="1">
        <v>43676</v>
      </c>
      <c r="D369" s="2">
        <v>43647</v>
      </c>
      <c r="E369">
        <v>1183</v>
      </c>
      <c r="F369" s="3">
        <v>2312.9499999999998</v>
      </c>
      <c r="G369" s="3">
        <v>3945.06</v>
      </c>
      <c r="H369" s="3">
        <v>-1632.11</v>
      </c>
      <c r="I369" s="3">
        <v>1.71</v>
      </c>
      <c r="J369">
        <v>0.14000000000000001</v>
      </c>
      <c r="K369">
        <v>3176.74</v>
      </c>
      <c r="L369" t="s">
        <v>35</v>
      </c>
      <c r="M369">
        <v>731</v>
      </c>
      <c r="N369">
        <v>0.36</v>
      </c>
      <c r="O369" s="3">
        <v>349.9</v>
      </c>
      <c r="P369" s="3">
        <v>0.15</v>
      </c>
      <c r="Q369" s="3">
        <v>521.98</v>
      </c>
      <c r="R369" s="3">
        <v>0.23</v>
      </c>
      <c r="S369">
        <v>5</v>
      </c>
      <c r="T369">
        <v>0</v>
      </c>
      <c r="U369">
        <v>29</v>
      </c>
      <c r="V369">
        <v>0</v>
      </c>
      <c r="W369">
        <v>120.68</v>
      </c>
      <c r="X369">
        <v>2156.1999999999998</v>
      </c>
      <c r="Y369" t="s">
        <v>36</v>
      </c>
      <c r="Z369" s="3">
        <v>1000.82</v>
      </c>
      <c r="AA369" t="s">
        <v>50</v>
      </c>
      <c r="AB369" t="s">
        <v>33</v>
      </c>
      <c r="AC369">
        <v>0.6</v>
      </c>
      <c r="AD369" t="s">
        <v>43</v>
      </c>
      <c r="AE369">
        <v>0</v>
      </c>
      <c r="AF369">
        <v>0</v>
      </c>
    </row>
    <row r="370" spans="3:32" x14ac:dyDescent="0.35">
      <c r="C370" s="1">
        <v>43676</v>
      </c>
      <c r="D370" s="2">
        <v>43647</v>
      </c>
      <c r="E370">
        <v>1434</v>
      </c>
      <c r="F370" s="3">
        <v>4546.92</v>
      </c>
      <c r="G370" s="3">
        <v>3494.64</v>
      </c>
      <c r="H370" s="3">
        <v>1052.28</v>
      </c>
      <c r="I370" s="3">
        <v>0.77</v>
      </c>
      <c r="J370">
        <v>0.11</v>
      </c>
      <c r="K370">
        <v>2730.19</v>
      </c>
      <c r="L370" t="s">
        <v>35</v>
      </c>
      <c r="M370">
        <v>573</v>
      </c>
      <c r="N370">
        <v>0.5</v>
      </c>
      <c r="O370" s="3">
        <v>489.36</v>
      </c>
      <c r="P370" s="3">
        <v>0.11</v>
      </c>
      <c r="Q370" s="3">
        <v>480.44</v>
      </c>
      <c r="R370" s="3">
        <v>0.11</v>
      </c>
      <c r="S370">
        <v>7</v>
      </c>
      <c r="T370">
        <v>956.14</v>
      </c>
      <c r="U370">
        <v>71</v>
      </c>
      <c r="V370">
        <v>0</v>
      </c>
      <c r="W370">
        <v>339.82</v>
      </c>
      <c r="X370">
        <v>1823.65</v>
      </c>
      <c r="Y370" t="s">
        <v>36</v>
      </c>
      <c r="Z370" s="3">
        <v>752.01</v>
      </c>
      <c r="AA370" t="s">
        <v>37</v>
      </c>
      <c r="AB370" t="s">
        <v>33</v>
      </c>
      <c r="AC370">
        <v>9.1</v>
      </c>
      <c r="AD370" t="s">
        <v>34</v>
      </c>
      <c r="AE370">
        <v>1052.28</v>
      </c>
      <c r="AF370">
        <v>0</v>
      </c>
    </row>
    <row r="371" spans="3:32" x14ac:dyDescent="0.35">
      <c r="C371" s="1">
        <v>43676</v>
      </c>
      <c r="D371" s="2">
        <v>43647</v>
      </c>
      <c r="E371">
        <v>1344</v>
      </c>
      <c r="F371" s="3">
        <v>3266.03</v>
      </c>
      <c r="G371" s="3">
        <v>3162.23</v>
      </c>
      <c r="H371" s="3">
        <v>103.8</v>
      </c>
      <c r="I371" s="3">
        <v>0.97</v>
      </c>
      <c r="J371">
        <v>0.15</v>
      </c>
      <c r="K371">
        <v>2784.68</v>
      </c>
      <c r="L371" t="s">
        <v>35</v>
      </c>
      <c r="M371">
        <v>638</v>
      </c>
      <c r="N371">
        <v>0.44</v>
      </c>
      <c r="O371" s="3">
        <v>449.04</v>
      </c>
      <c r="P371" s="3">
        <v>0.14000000000000001</v>
      </c>
      <c r="Q371" s="3">
        <v>260.35000000000002</v>
      </c>
      <c r="R371" s="3">
        <v>0.08</v>
      </c>
      <c r="S371">
        <v>4</v>
      </c>
      <c r="T371">
        <v>1311.57</v>
      </c>
      <c r="U371">
        <v>28</v>
      </c>
      <c r="V371">
        <v>0</v>
      </c>
      <c r="W371">
        <v>353.47</v>
      </c>
      <c r="X371">
        <v>1947.26</v>
      </c>
      <c r="Y371" t="s">
        <v>49</v>
      </c>
      <c r="Z371" s="3">
        <v>1116.1400000000001</v>
      </c>
      <c r="AA371" t="s">
        <v>51</v>
      </c>
      <c r="AB371" t="s">
        <v>44</v>
      </c>
      <c r="AC371">
        <v>21.3</v>
      </c>
      <c r="AD371" t="s">
        <v>43</v>
      </c>
      <c r="AE371">
        <v>103.8</v>
      </c>
      <c r="AF371">
        <v>0</v>
      </c>
    </row>
    <row r="372" spans="3:32" x14ac:dyDescent="0.35">
      <c r="C372" s="1">
        <v>43676</v>
      </c>
      <c r="D372" s="2">
        <v>43647</v>
      </c>
      <c r="E372">
        <v>1819</v>
      </c>
      <c r="F372" s="3">
        <v>3908.07</v>
      </c>
      <c r="G372" s="3">
        <v>4207.54</v>
      </c>
      <c r="H372" s="3">
        <v>-299.47000000000003</v>
      </c>
      <c r="I372" s="3">
        <v>1.08</v>
      </c>
      <c r="J372">
        <v>0.32</v>
      </c>
      <c r="K372">
        <v>2744.19</v>
      </c>
      <c r="L372" t="s">
        <v>39</v>
      </c>
      <c r="M372">
        <v>749</v>
      </c>
      <c r="N372">
        <v>0.33</v>
      </c>
      <c r="O372" s="3">
        <v>409.84</v>
      </c>
      <c r="P372" s="3">
        <v>0.1</v>
      </c>
      <c r="Q372" s="3">
        <v>0</v>
      </c>
      <c r="R372" s="3">
        <v>0</v>
      </c>
      <c r="S372">
        <v>8</v>
      </c>
      <c r="T372">
        <v>1325.01</v>
      </c>
      <c r="U372">
        <v>21</v>
      </c>
      <c r="V372">
        <v>0</v>
      </c>
      <c r="W372">
        <v>437.28</v>
      </c>
      <c r="X372">
        <v>1123.94</v>
      </c>
      <c r="Y372" t="s">
        <v>31</v>
      </c>
      <c r="Z372" s="3">
        <v>1063.44</v>
      </c>
      <c r="AA372" t="s">
        <v>46</v>
      </c>
      <c r="AB372" t="s">
        <v>44</v>
      </c>
      <c r="AC372">
        <v>94.9</v>
      </c>
      <c r="AD372" t="s">
        <v>34</v>
      </c>
      <c r="AE372">
        <v>0</v>
      </c>
      <c r="AF372">
        <v>0</v>
      </c>
    </row>
    <row r="373" spans="3:32" x14ac:dyDescent="0.35">
      <c r="C373" s="1">
        <v>43676</v>
      </c>
      <c r="D373" s="2">
        <v>43647</v>
      </c>
      <c r="E373">
        <v>1933</v>
      </c>
      <c r="F373" s="3">
        <v>5030.32</v>
      </c>
      <c r="G373" s="3">
        <v>2995.05</v>
      </c>
      <c r="H373" s="3">
        <v>2035.27</v>
      </c>
      <c r="I373" s="3">
        <v>0.6</v>
      </c>
      <c r="J373">
        <v>0.39</v>
      </c>
      <c r="K373">
        <v>2375.16</v>
      </c>
      <c r="L373" t="s">
        <v>30</v>
      </c>
      <c r="M373">
        <v>729</v>
      </c>
      <c r="N373">
        <v>0.59</v>
      </c>
      <c r="O373" s="3">
        <v>447.37</v>
      </c>
      <c r="P373" s="3">
        <v>0.09</v>
      </c>
      <c r="Q373" s="3">
        <v>840.74</v>
      </c>
      <c r="R373" s="3">
        <v>0.17</v>
      </c>
      <c r="S373">
        <v>6</v>
      </c>
      <c r="T373">
        <v>614.66999999999996</v>
      </c>
      <c r="U373">
        <v>82</v>
      </c>
      <c r="V373">
        <v>0</v>
      </c>
      <c r="W373">
        <v>369.18</v>
      </c>
      <c r="X373">
        <v>2287.02</v>
      </c>
      <c r="Y373" t="s">
        <v>36</v>
      </c>
      <c r="Z373" s="3">
        <v>552.83000000000004</v>
      </c>
      <c r="AA373" t="s">
        <v>32</v>
      </c>
      <c r="AB373" t="s">
        <v>33</v>
      </c>
      <c r="AC373">
        <v>53.6</v>
      </c>
      <c r="AD373" t="s">
        <v>34</v>
      </c>
      <c r="AE373">
        <v>2035.27</v>
      </c>
      <c r="AF373">
        <v>0</v>
      </c>
    </row>
    <row r="374" spans="3:32" x14ac:dyDescent="0.35">
      <c r="C374" s="1">
        <v>43676</v>
      </c>
      <c r="D374" s="2">
        <v>43647</v>
      </c>
      <c r="E374">
        <v>1836</v>
      </c>
      <c r="F374" s="3">
        <v>5897.16</v>
      </c>
      <c r="G374" s="3">
        <v>2958.34</v>
      </c>
      <c r="H374" s="3">
        <v>2938.82</v>
      </c>
      <c r="I374" s="3">
        <v>0.5</v>
      </c>
      <c r="J374">
        <v>0.08</v>
      </c>
      <c r="K374">
        <v>2598.9499999999998</v>
      </c>
      <c r="L374" t="s">
        <v>35</v>
      </c>
      <c r="M374">
        <v>661</v>
      </c>
      <c r="N374">
        <v>0.52</v>
      </c>
      <c r="O374" s="3">
        <v>418.93</v>
      </c>
      <c r="P374" s="3">
        <v>7.0000000000000007E-2</v>
      </c>
      <c r="Q374" s="3">
        <v>500.91</v>
      </c>
      <c r="R374" s="3">
        <v>0.08</v>
      </c>
      <c r="S374">
        <v>1</v>
      </c>
      <c r="T374">
        <v>402.68</v>
      </c>
      <c r="U374">
        <v>32</v>
      </c>
      <c r="V374">
        <v>0</v>
      </c>
      <c r="W374">
        <v>325.56</v>
      </c>
      <c r="X374">
        <v>2464.04</v>
      </c>
      <c r="Y374" t="s">
        <v>36</v>
      </c>
      <c r="Z374" s="3">
        <v>992.13</v>
      </c>
      <c r="AA374" t="s">
        <v>47</v>
      </c>
      <c r="AB374" t="s">
        <v>33</v>
      </c>
      <c r="AC374">
        <v>13.2</v>
      </c>
      <c r="AD374" t="s">
        <v>34</v>
      </c>
      <c r="AE374">
        <v>2938.82</v>
      </c>
      <c r="AF374">
        <v>1</v>
      </c>
    </row>
    <row r="375" spans="3:32" x14ac:dyDescent="0.35">
      <c r="C375" s="1">
        <v>43676</v>
      </c>
      <c r="D375" s="2">
        <v>43647</v>
      </c>
      <c r="E375">
        <v>1034</v>
      </c>
      <c r="F375" s="3">
        <v>4269.91</v>
      </c>
      <c r="G375" s="3">
        <v>2400.56</v>
      </c>
      <c r="H375" s="3">
        <v>1869.35</v>
      </c>
      <c r="I375" s="3">
        <v>0.56000000000000005</v>
      </c>
      <c r="J375">
        <v>0.21</v>
      </c>
      <c r="K375">
        <v>3058.57</v>
      </c>
      <c r="L375" t="s">
        <v>39</v>
      </c>
      <c r="M375">
        <v>660</v>
      </c>
      <c r="N375">
        <v>0.39</v>
      </c>
      <c r="O375" s="3">
        <v>150.18</v>
      </c>
      <c r="P375" s="3">
        <v>0.04</v>
      </c>
      <c r="Q375" s="3">
        <v>219.3</v>
      </c>
      <c r="R375" s="3">
        <v>0.05</v>
      </c>
      <c r="S375">
        <v>7</v>
      </c>
      <c r="T375">
        <v>401.38</v>
      </c>
      <c r="U375">
        <v>30</v>
      </c>
      <c r="V375">
        <v>0</v>
      </c>
      <c r="W375">
        <v>272.11</v>
      </c>
      <c r="X375">
        <v>2269.58</v>
      </c>
      <c r="Y375" t="s">
        <v>36</v>
      </c>
      <c r="Z375" s="3">
        <v>1179.8399999999999</v>
      </c>
      <c r="AA375" t="s">
        <v>50</v>
      </c>
      <c r="AB375" t="s">
        <v>33</v>
      </c>
      <c r="AC375">
        <v>88.7</v>
      </c>
      <c r="AD375" t="s">
        <v>43</v>
      </c>
      <c r="AE375">
        <v>1869.35</v>
      </c>
      <c r="AF375">
        <v>0</v>
      </c>
    </row>
    <row r="376" spans="3:32" x14ac:dyDescent="0.35">
      <c r="C376" s="1">
        <v>43676</v>
      </c>
      <c r="D376" s="2">
        <v>43647</v>
      </c>
      <c r="E376">
        <v>1557</v>
      </c>
      <c r="F376" s="3">
        <v>3936.88</v>
      </c>
      <c r="G376" s="3">
        <v>2608.54</v>
      </c>
      <c r="H376" s="3">
        <v>1328.34</v>
      </c>
      <c r="I376" s="3">
        <v>0.66</v>
      </c>
      <c r="J376">
        <v>0.33</v>
      </c>
      <c r="K376">
        <v>3730.15</v>
      </c>
      <c r="L376" t="s">
        <v>35</v>
      </c>
      <c r="M376">
        <v>663</v>
      </c>
      <c r="N376">
        <v>0.2</v>
      </c>
      <c r="O376" s="3">
        <v>684.24</v>
      </c>
      <c r="P376" s="3">
        <v>0.17</v>
      </c>
      <c r="Q376" s="3">
        <v>281.66000000000003</v>
      </c>
      <c r="R376" s="3">
        <v>7.0000000000000007E-2</v>
      </c>
      <c r="S376">
        <v>8</v>
      </c>
      <c r="T376">
        <v>1225.92</v>
      </c>
      <c r="U376">
        <v>64</v>
      </c>
      <c r="V376">
        <v>0</v>
      </c>
      <c r="W376">
        <v>444.3</v>
      </c>
      <c r="X376">
        <v>2272.5300000000002</v>
      </c>
      <c r="Y376" t="s">
        <v>36</v>
      </c>
      <c r="Z376" s="3">
        <v>745.2</v>
      </c>
      <c r="AA376" t="s">
        <v>37</v>
      </c>
      <c r="AB376" t="s">
        <v>33</v>
      </c>
      <c r="AC376">
        <v>36.5</v>
      </c>
      <c r="AD376" t="s">
        <v>34</v>
      </c>
      <c r="AE376">
        <v>1328.34</v>
      </c>
      <c r="AF376">
        <v>0</v>
      </c>
    </row>
    <row r="377" spans="3:32" x14ac:dyDescent="0.35">
      <c r="C377" s="1">
        <v>43676</v>
      </c>
      <c r="D377" s="2">
        <v>43647</v>
      </c>
      <c r="E377">
        <v>1925</v>
      </c>
      <c r="F377" s="3">
        <v>3140.71</v>
      </c>
      <c r="G377" s="3">
        <v>1527.42</v>
      </c>
      <c r="H377" s="3">
        <v>1613.29</v>
      </c>
      <c r="I377" s="3">
        <v>0.49</v>
      </c>
      <c r="J377">
        <v>0.19</v>
      </c>
      <c r="K377">
        <v>3237.09</v>
      </c>
      <c r="L377" t="s">
        <v>35</v>
      </c>
      <c r="M377">
        <v>768</v>
      </c>
      <c r="N377">
        <v>0.19</v>
      </c>
      <c r="O377" s="3">
        <v>886.73</v>
      </c>
      <c r="P377" s="3">
        <v>0.28000000000000003</v>
      </c>
      <c r="Q377" s="3">
        <v>852.72</v>
      </c>
      <c r="R377" s="3">
        <v>0.27</v>
      </c>
      <c r="S377">
        <v>1</v>
      </c>
      <c r="T377">
        <v>477.09</v>
      </c>
      <c r="U377">
        <v>66</v>
      </c>
      <c r="V377">
        <v>0</v>
      </c>
      <c r="W377">
        <v>528.91</v>
      </c>
      <c r="X377">
        <v>1697.51</v>
      </c>
      <c r="Y377" t="s">
        <v>36</v>
      </c>
      <c r="Z377" s="3">
        <v>1056.1600000000001</v>
      </c>
      <c r="AA377" t="s">
        <v>48</v>
      </c>
      <c r="AB377" t="s">
        <v>33</v>
      </c>
      <c r="AC377">
        <v>65.099999999999994</v>
      </c>
      <c r="AD377" t="s">
        <v>38</v>
      </c>
      <c r="AE377">
        <v>1613.29</v>
      </c>
      <c r="AF377">
        <v>0</v>
      </c>
    </row>
    <row r="378" spans="3:32" x14ac:dyDescent="0.35">
      <c r="C378" s="1">
        <v>43676</v>
      </c>
      <c r="D378" s="2">
        <v>43647</v>
      </c>
      <c r="E378">
        <v>1387</v>
      </c>
      <c r="F378" s="3">
        <v>4298.25</v>
      </c>
      <c r="G378" s="3">
        <v>4202.5600000000004</v>
      </c>
      <c r="H378" s="3">
        <v>95.69</v>
      </c>
      <c r="I378" s="3">
        <v>0.98</v>
      </c>
      <c r="J378">
        <v>0.28000000000000003</v>
      </c>
      <c r="K378">
        <v>3467.47</v>
      </c>
      <c r="L378" t="s">
        <v>35</v>
      </c>
      <c r="M378">
        <v>629</v>
      </c>
      <c r="N378">
        <v>0.5</v>
      </c>
      <c r="O378" s="3">
        <v>294.49</v>
      </c>
      <c r="P378" s="3">
        <v>7.0000000000000007E-2</v>
      </c>
      <c r="Q378" s="3">
        <v>498.57</v>
      </c>
      <c r="R378" s="3">
        <v>0.12</v>
      </c>
      <c r="S378">
        <v>8</v>
      </c>
      <c r="T378">
        <v>1768.46</v>
      </c>
      <c r="U378">
        <v>90</v>
      </c>
      <c r="V378">
        <v>0</v>
      </c>
      <c r="W378">
        <v>468.41</v>
      </c>
      <c r="X378">
        <v>1058.6099999999999</v>
      </c>
      <c r="Y378" t="s">
        <v>36</v>
      </c>
      <c r="Z378" s="3">
        <v>1291.1500000000001</v>
      </c>
      <c r="AA378" t="s">
        <v>50</v>
      </c>
      <c r="AB378" t="s">
        <v>44</v>
      </c>
      <c r="AC378">
        <v>41.1</v>
      </c>
      <c r="AD378" t="s">
        <v>43</v>
      </c>
      <c r="AE378">
        <v>95.69</v>
      </c>
      <c r="AF378">
        <v>0</v>
      </c>
    </row>
    <row r="379" spans="3:32" x14ac:dyDescent="0.35">
      <c r="C379" s="1">
        <v>43676</v>
      </c>
      <c r="D379" s="2">
        <v>43647</v>
      </c>
      <c r="E379">
        <v>1260</v>
      </c>
      <c r="F379" s="3">
        <v>3800.93</v>
      </c>
      <c r="G379" s="3">
        <v>4495.05</v>
      </c>
      <c r="H379" s="3">
        <v>-694.12</v>
      </c>
      <c r="I379" s="3">
        <v>1.18</v>
      </c>
      <c r="J379">
        <v>0.4</v>
      </c>
      <c r="K379">
        <v>2830.46</v>
      </c>
      <c r="L379" t="s">
        <v>39</v>
      </c>
      <c r="M379">
        <v>655</v>
      </c>
      <c r="N379">
        <v>0.56999999999999995</v>
      </c>
      <c r="O379" s="3">
        <v>481.3</v>
      </c>
      <c r="P379" s="3">
        <v>0.13</v>
      </c>
      <c r="Q379" s="3">
        <v>303.55</v>
      </c>
      <c r="R379" s="3">
        <v>0.08</v>
      </c>
      <c r="S379">
        <v>7</v>
      </c>
      <c r="T379">
        <v>1656.36</v>
      </c>
      <c r="U379">
        <v>97</v>
      </c>
      <c r="V379">
        <v>0</v>
      </c>
      <c r="W379">
        <v>589.95000000000005</v>
      </c>
      <c r="X379">
        <v>2420.79</v>
      </c>
      <c r="Y379" t="s">
        <v>31</v>
      </c>
      <c r="Z379" s="3">
        <v>1787.11</v>
      </c>
      <c r="AA379" t="s">
        <v>40</v>
      </c>
      <c r="AB379" t="s">
        <v>33</v>
      </c>
      <c r="AC379">
        <v>10.5</v>
      </c>
      <c r="AD379" t="s">
        <v>34</v>
      </c>
      <c r="AE379">
        <v>0</v>
      </c>
      <c r="AF379">
        <v>0</v>
      </c>
    </row>
    <row r="380" spans="3:32" x14ac:dyDescent="0.35">
      <c r="C380" s="1">
        <v>43676</v>
      </c>
      <c r="D380" s="2">
        <v>43647</v>
      </c>
      <c r="E380">
        <v>1240</v>
      </c>
      <c r="F380" s="3">
        <v>6113.33</v>
      </c>
      <c r="G380" s="3">
        <v>3186.95</v>
      </c>
      <c r="H380" s="3">
        <v>2926.38</v>
      </c>
      <c r="I380" s="3">
        <v>0.52</v>
      </c>
      <c r="J380">
        <v>0.22</v>
      </c>
      <c r="K380">
        <v>3167.62</v>
      </c>
      <c r="L380" t="s">
        <v>35</v>
      </c>
      <c r="M380">
        <v>631</v>
      </c>
      <c r="N380">
        <v>0.41</v>
      </c>
      <c r="O380" s="3">
        <v>703.74</v>
      </c>
      <c r="P380" s="3">
        <v>0.12</v>
      </c>
      <c r="Q380" s="3">
        <v>337.84</v>
      </c>
      <c r="R380" s="3">
        <v>0.06</v>
      </c>
      <c r="S380">
        <v>9</v>
      </c>
      <c r="T380">
        <v>1077.6300000000001</v>
      </c>
      <c r="U380">
        <v>82</v>
      </c>
      <c r="V380">
        <v>0</v>
      </c>
      <c r="W380">
        <v>403.34</v>
      </c>
      <c r="X380">
        <v>1748.72</v>
      </c>
      <c r="Y380" t="s">
        <v>36</v>
      </c>
      <c r="Z380" s="3">
        <v>1432.72</v>
      </c>
      <c r="AA380" t="s">
        <v>51</v>
      </c>
      <c r="AB380" t="s">
        <v>33</v>
      </c>
      <c r="AC380">
        <v>91.8</v>
      </c>
      <c r="AD380" t="s">
        <v>43</v>
      </c>
      <c r="AE380">
        <v>2926.38</v>
      </c>
      <c r="AF380">
        <v>0</v>
      </c>
    </row>
    <row r="381" spans="3:32" x14ac:dyDescent="0.35">
      <c r="C381" s="1">
        <v>43676</v>
      </c>
      <c r="D381" s="2">
        <v>43647</v>
      </c>
      <c r="E381">
        <v>1790</v>
      </c>
      <c r="F381" s="3">
        <v>4064.85</v>
      </c>
      <c r="G381" s="3">
        <v>3149.12</v>
      </c>
      <c r="H381" s="3">
        <v>915.73</v>
      </c>
      <c r="I381" s="3">
        <v>0.77</v>
      </c>
      <c r="J381">
        <v>0.28999999999999998</v>
      </c>
      <c r="K381">
        <v>3156.36</v>
      </c>
      <c r="L381" t="s">
        <v>35</v>
      </c>
      <c r="M381">
        <v>622</v>
      </c>
      <c r="N381">
        <v>0.53</v>
      </c>
      <c r="O381" s="3">
        <v>453.53</v>
      </c>
      <c r="P381" s="3">
        <v>0.11</v>
      </c>
      <c r="Q381" s="3">
        <v>109.62</v>
      </c>
      <c r="R381" s="3">
        <v>0.03</v>
      </c>
      <c r="S381">
        <v>2</v>
      </c>
      <c r="T381">
        <v>717.83</v>
      </c>
      <c r="U381">
        <v>90</v>
      </c>
      <c r="V381">
        <v>0</v>
      </c>
      <c r="W381">
        <v>670.31</v>
      </c>
      <c r="X381">
        <v>1825</v>
      </c>
      <c r="Y381" t="s">
        <v>36</v>
      </c>
      <c r="Z381" s="3">
        <v>959.12</v>
      </c>
      <c r="AA381" t="s">
        <v>37</v>
      </c>
      <c r="AB381" t="s">
        <v>42</v>
      </c>
      <c r="AC381">
        <v>46.8</v>
      </c>
      <c r="AD381" t="s">
        <v>38</v>
      </c>
      <c r="AE381">
        <v>915.73</v>
      </c>
      <c r="AF381">
        <v>0</v>
      </c>
    </row>
    <row r="382" spans="3:32" x14ac:dyDescent="0.35">
      <c r="C382" s="1">
        <v>43676</v>
      </c>
      <c r="D382" s="2">
        <v>43647</v>
      </c>
      <c r="E382">
        <v>1638</v>
      </c>
      <c r="F382" s="3">
        <v>4403.6499999999996</v>
      </c>
      <c r="G382" s="3">
        <v>596.25</v>
      </c>
      <c r="H382" s="3">
        <v>3807.4</v>
      </c>
      <c r="I382" s="3">
        <v>0.14000000000000001</v>
      </c>
      <c r="J382">
        <v>0.06</v>
      </c>
      <c r="K382">
        <v>2692.09</v>
      </c>
      <c r="L382" t="s">
        <v>35</v>
      </c>
      <c r="M382">
        <v>696</v>
      </c>
      <c r="N382">
        <v>0.25</v>
      </c>
      <c r="O382" s="3">
        <v>706.83</v>
      </c>
      <c r="P382" s="3">
        <v>0.16</v>
      </c>
      <c r="Q382" s="3">
        <v>237.34</v>
      </c>
      <c r="R382" s="3">
        <v>0.05</v>
      </c>
      <c r="S382">
        <v>3</v>
      </c>
      <c r="T382">
        <v>563.72</v>
      </c>
      <c r="U382">
        <v>50</v>
      </c>
      <c r="V382">
        <v>0</v>
      </c>
      <c r="W382">
        <v>629.58000000000004</v>
      </c>
      <c r="X382">
        <v>2528.88</v>
      </c>
      <c r="Y382" t="s">
        <v>36</v>
      </c>
      <c r="Z382" s="3">
        <v>1471.68</v>
      </c>
      <c r="AA382" t="s">
        <v>32</v>
      </c>
      <c r="AB382" t="s">
        <v>42</v>
      </c>
      <c r="AC382">
        <v>88</v>
      </c>
      <c r="AD382" t="s">
        <v>34</v>
      </c>
      <c r="AE382">
        <v>3807.4</v>
      </c>
      <c r="AF382">
        <v>1</v>
      </c>
    </row>
    <row r="383" spans="3:32" x14ac:dyDescent="0.35">
      <c r="C383" s="1">
        <v>43676</v>
      </c>
      <c r="D383" s="2">
        <v>43647</v>
      </c>
      <c r="E383">
        <v>1451</v>
      </c>
      <c r="F383" s="3">
        <v>3114.69</v>
      </c>
      <c r="G383" s="3">
        <v>2511.13</v>
      </c>
      <c r="H383" s="3">
        <v>603.55999999999995</v>
      </c>
      <c r="I383" s="3">
        <v>0.81</v>
      </c>
      <c r="J383">
        <v>0.3</v>
      </c>
      <c r="K383">
        <v>2391.5</v>
      </c>
      <c r="L383" t="s">
        <v>35</v>
      </c>
      <c r="M383">
        <v>591</v>
      </c>
      <c r="N383">
        <v>0.11</v>
      </c>
      <c r="O383" s="3">
        <v>934.4</v>
      </c>
      <c r="P383" s="3">
        <v>0.3</v>
      </c>
      <c r="Q383" s="3">
        <v>683.31</v>
      </c>
      <c r="R383" s="3">
        <v>0.22</v>
      </c>
      <c r="S383">
        <v>3</v>
      </c>
      <c r="T383">
        <v>1060.49</v>
      </c>
      <c r="U383">
        <v>77</v>
      </c>
      <c r="V383">
        <v>0</v>
      </c>
      <c r="W383">
        <v>433.18</v>
      </c>
      <c r="X383">
        <v>1380.29</v>
      </c>
      <c r="Y383" t="s">
        <v>36</v>
      </c>
      <c r="Z383" s="3">
        <v>1499.07</v>
      </c>
      <c r="AA383" t="s">
        <v>40</v>
      </c>
      <c r="AB383" t="s">
        <v>33</v>
      </c>
      <c r="AC383">
        <v>65.3</v>
      </c>
      <c r="AD383" t="s">
        <v>34</v>
      </c>
      <c r="AE383">
        <v>603.55999999999995</v>
      </c>
      <c r="AF383">
        <v>0</v>
      </c>
    </row>
    <row r="384" spans="3:32" x14ac:dyDescent="0.35">
      <c r="C384" s="1">
        <v>43676</v>
      </c>
      <c r="D384" s="2">
        <v>43647</v>
      </c>
      <c r="E384">
        <v>1617</v>
      </c>
      <c r="F384" s="3">
        <v>1997.54</v>
      </c>
      <c r="G384" s="3">
        <v>3821.97</v>
      </c>
      <c r="H384" s="3">
        <v>-1824.43</v>
      </c>
      <c r="I384" s="3">
        <v>1.91</v>
      </c>
      <c r="J384">
        <v>0.3</v>
      </c>
      <c r="K384">
        <v>2459.79</v>
      </c>
      <c r="L384" t="s">
        <v>35</v>
      </c>
      <c r="M384">
        <v>630</v>
      </c>
      <c r="N384">
        <v>0.15</v>
      </c>
      <c r="O384" s="3">
        <v>757.25</v>
      </c>
      <c r="P384" s="3">
        <v>0.38</v>
      </c>
      <c r="Q384" s="3">
        <v>403.64</v>
      </c>
      <c r="R384" s="3">
        <v>0.2</v>
      </c>
      <c r="S384">
        <v>4</v>
      </c>
      <c r="T384">
        <v>302.41000000000003</v>
      </c>
      <c r="U384">
        <v>30</v>
      </c>
      <c r="V384">
        <v>0</v>
      </c>
      <c r="W384">
        <v>456.75</v>
      </c>
      <c r="X384">
        <v>3396.58</v>
      </c>
      <c r="Y384" t="s">
        <v>31</v>
      </c>
      <c r="Z384" s="3">
        <v>748.41</v>
      </c>
      <c r="AA384" t="s">
        <v>37</v>
      </c>
      <c r="AB384" t="s">
        <v>44</v>
      </c>
      <c r="AC384">
        <v>10</v>
      </c>
      <c r="AD384" t="s">
        <v>34</v>
      </c>
      <c r="AE384">
        <v>0</v>
      </c>
      <c r="AF384">
        <v>0</v>
      </c>
    </row>
    <row r="385" spans="3:32" x14ac:dyDescent="0.35">
      <c r="C385" s="1">
        <v>43676</v>
      </c>
      <c r="D385" s="2">
        <v>43647</v>
      </c>
      <c r="E385">
        <v>1122</v>
      </c>
      <c r="F385" s="3">
        <v>2652.02</v>
      </c>
      <c r="G385" s="3">
        <v>3580.11</v>
      </c>
      <c r="H385" s="3">
        <v>-928.09</v>
      </c>
      <c r="I385" s="3">
        <v>1.35</v>
      </c>
      <c r="J385">
        <v>0.2</v>
      </c>
      <c r="K385">
        <v>2741.46</v>
      </c>
      <c r="L385" t="s">
        <v>39</v>
      </c>
      <c r="M385">
        <v>560</v>
      </c>
      <c r="N385">
        <v>0.21</v>
      </c>
      <c r="O385" s="3">
        <v>242.58</v>
      </c>
      <c r="P385" s="3">
        <v>0.09</v>
      </c>
      <c r="Q385" s="3">
        <v>489.43</v>
      </c>
      <c r="R385" s="3">
        <v>0.18</v>
      </c>
      <c r="S385">
        <v>7</v>
      </c>
      <c r="T385">
        <v>145.61000000000001</v>
      </c>
      <c r="U385">
        <v>99</v>
      </c>
      <c r="V385">
        <v>0</v>
      </c>
      <c r="W385">
        <v>533.87</v>
      </c>
      <c r="X385">
        <v>2170.59</v>
      </c>
      <c r="Y385" t="s">
        <v>36</v>
      </c>
      <c r="Z385" s="3">
        <v>1908.38</v>
      </c>
      <c r="AA385" t="s">
        <v>45</v>
      </c>
      <c r="AB385" t="s">
        <v>33</v>
      </c>
      <c r="AC385">
        <v>16.899999999999999</v>
      </c>
      <c r="AD385" t="s">
        <v>43</v>
      </c>
      <c r="AE385">
        <v>0</v>
      </c>
      <c r="AF385">
        <v>0</v>
      </c>
    </row>
    <row r="386" spans="3:32" x14ac:dyDescent="0.35">
      <c r="C386" s="1">
        <v>43676</v>
      </c>
      <c r="D386" s="2">
        <v>43647</v>
      </c>
      <c r="E386">
        <v>1117</v>
      </c>
      <c r="F386" s="3">
        <v>5599.06</v>
      </c>
      <c r="G386" s="3">
        <v>3041.25</v>
      </c>
      <c r="H386" s="3">
        <v>2557.81</v>
      </c>
      <c r="I386" s="3">
        <v>0.54</v>
      </c>
      <c r="J386">
        <v>0.33</v>
      </c>
      <c r="K386">
        <v>2498.56</v>
      </c>
      <c r="L386" t="s">
        <v>35</v>
      </c>
      <c r="M386">
        <v>618</v>
      </c>
      <c r="N386">
        <v>0.12</v>
      </c>
      <c r="O386" s="3">
        <v>312.05</v>
      </c>
      <c r="P386" s="3">
        <v>0.06</v>
      </c>
      <c r="Q386" s="3">
        <v>652.46</v>
      </c>
      <c r="R386" s="3">
        <v>0.12</v>
      </c>
      <c r="S386">
        <v>9</v>
      </c>
      <c r="T386">
        <v>927.27</v>
      </c>
      <c r="U386">
        <v>60</v>
      </c>
      <c r="V386">
        <v>0</v>
      </c>
      <c r="W386">
        <v>601.08000000000004</v>
      </c>
      <c r="X386">
        <v>1434.92</v>
      </c>
      <c r="Y386" t="s">
        <v>36</v>
      </c>
      <c r="Z386" s="3">
        <v>990.14</v>
      </c>
      <c r="AA386" t="s">
        <v>37</v>
      </c>
      <c r="AB386" t="s">
        <v>44</v>
      </c>
      <c r="AC386">
        <v>79.7</v>
      </c>
      <c r="AD386" t="s">
        <v>38</v>
      </c>
      <c r="AE386">
        <v>2557.81</v>
      </c>
      <c r="AF386">
        <v>1</v>
      </c>
    </row>
    <row r="387" spans="3:32" x14ac:dyDescent="0.35">
      <c r="C387" s="1">
        <v>43676</v>
      </c>
      <c r="D387" s="2">
        <v>43647</v>
      </c>
      <c r="E387">
        <v>1982</v>
      </c>
      <c r="F387" s="3">
        <v>3833.63</v>
      </c>
      <c r="G387" s="3">
        <v>3068.96</v>
      </c>
      <c r="H387" s="3">
        <v>764.67</v>
      </c>
      <c r="I387" s="3">
        <v>0.8</v>
      </c>
      <c r="J387">
        <v>0.12</v>
      </c>
      <c r="K387">
        <v>2000.9</v>
      </c>
      <c r="L387" t="s">
        <v>35</v>
      </c>
      <c r="M387">
        <v>732</v>
      </c>
      <c r="N387">
        <v>0.38</v>
      </c>
      <c r="O387" s="3">
        <v>403.66</v>
      </c>
      <c r="P387" s="3">
        <v>0.11</v>
      </c>
      <c r="Q387" s="3">
        <v>667.91</v>
      </c>
      <c r="R387" s="3">
        <v>0.17</v>
      </c>
      <c r="S387">
        <v>7</v>
      </c>
      <c r="T387">
        <v>926.53</v>
      </c>
      <c r="U387">
        <v>27</v>
      </c>
      <c r="V387">
        <v>0</v>
      </c>
      <c r="W387">
        <v>233.27</v>
      </c>
      <c r="X387">
        <v>2619.04</v>
      </c>
      <c r="Y387" t="s">
        <v>36</v>
      </c>
      <c r="Z387" s="3">
        <v>945.82</v>
      </c>
      <c r="AA387" t="s">
        <v>50</v>
      </c>
      <c r="AB387" t="s">
        <v>42</v>
      </c>
      <c r="AC387">
        <v>46.2</v>
      </c>
      <c r="AD387" t="s">
        <v>38</v>
      </c>
      <c r="AE387">
        <v>764.67</v>
      </c>
      <c r="AF387">
        <v>0</v>
      </c>
    </row>
    <row r="388" spans="3:32" x14ac:dyDescent="0.35">
      <c r="C388" s="1">
        <v>43676</v>
      </c>
      <c r="D388" s="2">
        <v>43647</v>
      </c>
      <c r="E388">
        <v>1640</v>
      </c>
      <c r="F388" s="3">
        <v>2021.44</v>
      </c>
      <c r="G388" s="3">
        <v>3141.11</v>
      </c>
      <c r="H388" s="3">
        <v>-1119.67</v>
      </c>
      <c r="I388" s="3">
        <v>1.55</v>
      </c>
      <c r="J388">
        <v>0.14000000000000001</v>
      </c>
      <c r="K388">
        <v>3395.31</v>
      </c>
      <c r="L388" t="s">
        <v>30</v>
      </c>
      <c r="M388">
        <v>706</v>
      </c>
      <c r="N388">
        <v>0.54</v>
      </c>
      <c r="O388" s="3">
        <v>926.88</v>
      </c>
      <c r="P388" s="3">
        <v>0.46</v>
      </c>
      <c r="Q388" s="3">
        <v>609.51</v>
      </c>
      <c r="R388" s="3">
        <v>0.3</v>
      </c>
      <c r="S388">
        <v>1</v>
      </c>
      <c r="T388">
        <v>1435.09</v>
      </c>
      <c r="U388">
        <v>45</v>
      </c>
      <c r="V388">
        <v>0</v>
      </c>
      <c r="W388">
        <v>529.77</v>
      </c>
      <c r="X388">
        <v>2056.0300000000002</v>
      </c>
      <c r="Y388" t="s">
        <v>31</v>
      </c>
      <c r="Z388" s="3">
        <v>1726.27</v>
      </c>
      <c r="AA388" t="s">
        <v>51</v>
      </c>
      <c r="AB388" t="s">
        <v>33</v>
      </c>
      <c r="AC388">
        <v>4.0999999999999996</v>
      </c>
      <c r="AD388" t="s">
        <v>38</v>
      </c>
      <c r="AE388">
        <v>0</v>
      </c>
      <c r="AF388">
        <v>0</v>
      </c>
    </row>
    <row r="389" spans="3:32" x14ac:dyDescent="0.35">
      <c r="C389" s="1">
        <v>43676</v>
      </c>
      <c r="D389" s="2">
        <v>43647</v>
      </c>
      <c r="E389">
        <v>1997</v>
      </c>
      <c r="F389" s="3">
        <v>4387.0600000000004</v>
      </c>
      <c r="G389" s="3">
        <v>4041.03</v>
      </c>
      <c r="H389" s="3">
        <v>346.03</v>
      </c>
      <c r="I389" s="3">
        <v>0.92</v>
      </c>
      <c r="J389">
        <v>7.0000000000000007E-2</v>
      </c>
      <c r="K389">
        <v>2331.12</v>
      </c>
      <c r="L389" t="s">
        <v>35</v>
      </c>
      <c r="M389">
        <v>742</v>
      </c>
      <c r="N389">
        <v>0.57999999999999996</v>
      </c>
      <c r="O389" s="3">
        <v>731.5</v>
      </c>
      <c r="P389" s="3">
        <v>0.17</v>
      </c>
      <c r="Q389" s="3">
        <v>302.76</v>
      </c>
      <c r="R389" s="3">
        <v>7.0000000000000007E-2</v>
      </c>
      <c r="S389">
        <v>2</v>
      </c>
      <c r="T389">
        <v>1293.74</v>
      </c>
      <c r="U389">
        <v>64</v>
      </c>
      <c r="V389">
        <v>0</v>
      </c>
      <c r="W389">
        <v>267.76</v>
      </c>
      <c r="X389">
        <v>2642.72</v>
      </c>
      <c r="Y389" t="s">
        <v>36</v>
      </c>
      <c r="Z389" s="3">
        <v>1651.83</v>
      </c>
      <c r="AA389" t="s">
        <v>32</v>
      </c>
      <c r="AB389" t="s">
        <v>33</v>
      </c>
      <c r="AC389">
        <v>69.3</v>
      </c>
      <c r="AD389" t="s">
        <v>34</v>
      </c>
      <c r="AE389">
        <v>346.03</v>
      </c>
      <c r="AF389">
        <v>0</v>
      </c>
    </row>
    <row r="390" spans="3:32" x14ac:dyDescent="0.35">
      <c r="C390" s="1">
        <v>43676</v>
      </c>
      <c r="D390" s="2">
        <v>43647</v>
      </c>
      <c r="E390">
        <v>1627</v>
      </c>
      <c r="F390" s="3">
        <v>3542.86</v>
      </c>
      <c r="G390" s="3">
        <v>2872.43</v>
      </c>
      <c r="H390" s="3">
        <v>670.43</v>
      </c>
      <c r="I390" s="3">
        <v>0.81</v>
      </c>
      <c r="J390">
        <v>0.08</v>
      </c>
      <c r="K390">
        <v>1539.01</v>
      </c>
      <c r="L390" t="s">
        <v>35</v>
      </c>
      <c r="M390">
        <v>689</v>
      </c>
      <c r="N390">
        <v>0.49</v>
      </c>
      <c r="O390" s="3">
        <v>206.75</v>
      </c>
      <c r="P390" s="3">
        <v>0.06</v>
      </c>
      <c r="Q390" s="3">
        <v>355.32</v>
      </c>
      <c r="R390" s="3">
        <v>0.1</v>
      </c>
      <c r="S390">
        <v>2</v>
      </c>
      <c r="T390">
        <v>686.12</v>
      </c>
      <c r="U390">
        <v>35</v>
      </c>
      <c r="V390">
        <v>0</v>
      </c>
      <c r="W390">
        <v>321.89</v>
      </c>
      <c r="X390">
        <v>3259.13</v>
      </c>
      <c r="Y390" t="s">
        <v>36</v>
      </c>
      <c r="Z390" s="3">
        <v>482.93</v>
      </c>
      <c r="AA390" t="s">
        <v>46</v>
      </c>
      <c r="AB390" t="s">
        <v>44</v>
      </c>
      <c r="AC390">
        <v>64.3</v>
      </c>
      <c r="AD390" t="s">
        <v>43</v>
      </c>
      <c r="AE390">
        <v>670.43</v>
      </c>
      <c r="AF390">
        <v>0</v>
      </c>
    </row>
    <row r="391" spans="3:32" x14ac:dyDescent="0.35">
      <c r="C391" s="1">
        <v>43676</v>
      </c>
      <c r="D391" s="2">
        <v>43647</v>
      </c>
      <c r="E391">
        <v>1198</v>
      </c>
      <c r="F391" s="3">
        <v>3713.23</v>
      </c>
      <c r="G391" s="3">
        <v>2825.5</v>
      </c>
      <c r="H391" s="3">
        <v>887.73</v>
      </c>
      <c r="I391" s="3">
        <v>0.76</v>
      </c>
      <c r="J391">
        <v>0.23</v>
      </c>
      <c r="K391">
        <v>3133.33</v>
      </c>
      <c r="L391" t="s">
        <v>39</v>
      </c>
      <c r="M391">
        <v>699</v>
      </c>
      <c r="N391">
        <v>0.56000000000000005</v>
      </c>
      <c r="O391" s="3">
        <v>337.9</v>
      </c>
      <c r="P391" s="3">
        <v>0.09</v>
      </c>
      <c r="Q391" s="3">
        <v>113.5</v>
      </c>
      <c r="R391" s="3">
        <v>0.03</v>
      </c>
      <c r="S391">
        <v>8</v>
      </c>
      <c r="T391">
        <v>1626.79</v>
      </c>
      <c r="U391">
        <v>63</v>
      </c>
      <c r="V391">
        <v>0</v>
      </c>
      <c r="W391">
        <v>460.15</v>
      </c>
      <c r="X391">
        <v>2712.54</v>
      </c>
      <c r="Y391" t="s">
        <v>36</v>
      </c>
      <c r="Z391" s="3">
        <v>517.21</v>
      </c>
      <c r="AA391" t="s">
        <v>51</v>
      </c>
      <c r="AB391" t="s">
        <v>33</v>
      </c>
      <c r="AC391">
        <v>14</v>
      </c>
      <c r="AD391" t="s">
        <v>34</v>
      </c>
      <c r="AE391">
        <v>887.73</v>
      </c>
      <c r="AF391">
        <v>0</v>
      </c>
    </row>
    <row r="392" spans="3:32" x14ac:dyDescent="0.35">
      <c r="C392" s="1">
        <v>43676</v>
      </c>
      <c r="D392" s="2">
        <v>43647</v>
      </c>
      <c r="E392">
        <v>1571</v>
      </c>
      <c r="F392" s="3">
        <v>4782.4399999999996</v>
      </c>
      <c r="G392" s="3">
        <v>1302.77</v>
      </c>
      <c r="H392" s="3">
        <v>3479.67</v>
      </c>
      <c r="I392" s="3">
        <v>0.27</v>
      </c>
      <c r="J392">
        <v>0.18</v>
      </c>
      <c r="K392">
        <v>2990.7</v>
      </c>
      <c r="L392" t="s">
        <v>35</v>
      </c>
      <c r="M392">
        <v>686</v>
      </c>
      <c r="N392">
        <v>0.52</v>
      </c>
      <c r="O392" s="3">
        <v>469.98</v>
      </c>
      <c r="P392" s="3">
        <v>0.1</v>
      </c>
      <c r="Q392" s="3">
        <v>384.66</v>
      </c>
      <c r="R392" s="3">
        <v>0.08</v>
      </c>
      <c r="S392">
        <v>5</v>
      </c>
      <c r="T392">
        <v>776.04</v>
      </c>
      <c r="U392">
        <v>79</v>
      </c>
      <c r="V392">
        <v>0</v>
      </c>
      <c r="W392">
        <v>770.32</v>
      </c>
      <c r="X392">
        <v>2489.88</v>
      </c>
      <c r="Y392" t="s">
        <v>36</v>
      </c>
      <c r="Z392" s="3">
        <v>465.54</v>
      </c>
      <c r="AA392" t="s">
        <v>51</v>
      </c>
      <c r="AB392" t="s">
        <v>42</v>
      </c>
      <c r="AC392">
        <v>9.9</v>
      </c>
      <c r="AD392" t="s">
        <v>43</v>
      </c>
      <c r="AE392">
        <v>3479.67</v>
      </c>
      <c r="AF392">
        <v>1</v>
      </c>
    </row>
    <row r="393" spans="3:32" x14ac:dyDescent="0.35">
      <c r="C393" s="1">
        <v>43676</v>
      </c>
      <c r="D393" s="2">
        <v>43647</v>
      </c>
      <c r="E393">
        <v>1747</v>
      </c>
      <c r="F393" s="3">
        <v>3546.98</v>
      </c>
      <c r="G393" s="3">
        <v>3456.1</v>
      </c>
      <c r="H393" s="3">
        <v>90.88</v>
      </c>
      <c r="I393" s="3">
        <v>0.97</v>
      </c>
      <c r="J393">
        <v>7.0000000000000007E-2</v>
      </c>
      <c r="K393">
        <v>3220.98</v>
      </c>
      <c r="L393" t="s">
        <v>39</v>
      </c>
      <c r="M393">
        <v>661</v>
      </c>
      <c r="N393">
        <v>0.11</v>
      </c>
      <c r="O393" s="3">
        <v>546.36</v>
      </c>
      <c r="P393" s="3">
        <v>0.15</v>
      </c>
      <c r="Q393" s="3">
        <v>362.76</v>
      </c>
      <c r="R393" s="3">
        <v>0.1</v>
      </c>
      <c r="S393">
        <v>5</v>
      </c>
      <c r="T393">
        <v>761.59</v>
      </c>
      <c r="U393">
        <v>61</v>
      </c>
      <c r="V393">
        <v>0</v>
      </c>
      <c r="W393">
        <v>513.28</v>
      </c>
      <c r="X393">
        <v>3206.74</v>
      </c>
      <c r="Y393" t="s">
        <v>36</v>
      </c>
      <c r="Z393" s="3">
        <v>1758.08</v>
      </c>
      <c r="AA393" t="s">
        <v>46</v>
      </c>
      <c r="AB393" t="s">
        <v>33</v>
      </c>
      <c r="AC393">
        <v>59.6</v>
      </c>
      <c r="AD393" t="s">
        <v>38</v>
      </c>
      <c r="AE393">
        <v>90.88</v>
      </c>
      <c r="AF393">
        <v>0</v>
      </c>
    </row>
    <row r="394" spans="3:32" x14ac:dyDescent="0.35">
      <c r="C394" s="1">
        <v>43676</v>
      </c>
      <c r="D394" s="2">
        <v>43647</v>
      </c>
      <c r="E394">
        <v>1532</v>
      </c>
      <c r="F394" s="3">
        <v>3091.74</v>
      </c>
      <c r="G394" s="3">
        <v>2857.83</v>
      </c>
      <c r="H394" s="3">
        <v>233.91</v>
      </c>
      <c r="I394" s="3">
        <v>0.92</v>
      </c>
      <c r="J394">
        <v>0.38</v>
      </c>
      <c r="K394">
        <v>3234.68</v>
      </c>
      <c r="L394" t="s">
        <v>35</v>
      </c>
      <c r="M394">
        <v>651</v>
      </c>
      <c r="N394">
        <v>0.15</v>
      </c>
      <c r="O394" s="3">
        <v>415.92</v>
      </c>
      <c r="P394" s="3">
        <v>0.13</v>
      </c>
      <c r="Q394" s="3">
        <v>102.65</v>
      </c>
      <c r="R394" s="3">
        <v>0.03</v>
      </c>
      <c r="S394">
        <v>3</v>
      </c>
      <c r="T394">
        <v>795.84</v>
      </c>
      <c r="U394">
        <v>97</v>
      </c>
      <c r="V394">
        <v>0</v>
      </c>
      <c r="W394">
        <v>540.80999999999995</v>
      </c>
      <c r="X394">
        <v>2250.6</v>
      </c>
      <c r="Y394" t="s">
        <v>36</v>
      </c>
      <c r="Z394" s="3">
        <v>1405.57</v>
      </c>
      <c r="AA394" t="s">
        <v>45</v>
      </c>
      <c r="AB394" t="s">
        <v>33</v>
      </c>
      <c r="AC394">
        <v>19.2</v>
      </c>
      <c r="AD394" t="s">
        <v>34</v>
      </c>
      <c r="AE394">
        <v>233.91</v>
      </c>
      <c r="AF394">
        <v>0</v>
      </c>
    </row>
    <row r="395" spans="3:32" x14ac:dyDescent="0.35">
      <c r="C395" s="1">
        <v>43676</v>
      </c>
      <c r="D395" s="2">
        <v>43647</v>
      </c>
      <c r="E395">
        <v>1551</v>
      </c>
      <c r="F395" s="3">
        <v>2370.31</v>
      </c>
      <c r="G395" s="3">
        <v>4077.64</v>
      </c>
      <c r="H395" s="3">
        <v>-1707.33</v>
      </c>
      <c r="I395" s="3">
        <v>1.72</v>
      </c>
      <c r="J395">
        <v>0.12</v>
      </c>
      <c r="K395">
        <v>2504.04</v>
      </c>
      <c r="L395" t="s">
        <v>35</v>
      </c>
      <c r="M395">
        <v>739</v>
      </c>
      <c r="N395">
        <v>0.44</v>
      </c>
      <c r="O395" s="3">
        <v>803.12</v>
      </c>
      <c r="P395" s="3">
        <v>0.34</v>
      </c>
      <c r="Q395" s="3">
        <v>878.93</v>
      </c>
      <c r="R395" s="3">
        <v>0.37</v>
      </c>
      <c r="S395">
        <v>7</v>
      </c>
      <c r="T395">
        <v>1154.28</v>
      </c>
      <c r="U395">
        <v>73</v>
      </c>
      <c r="V395">
        <v>0</v>
      </c>
      <c r="W395">
        <v>704.41</v>
      </c>
      <c r="X395">
        <v>2360.9</v>
      </c>
      <c r="Y395" t="s">
        <v>31</v>
      </c>
      <c r="Z395" s="3">
        <v>1349.82</v>
      </c>
      <c r="AA395" t="s">
        <v>45</v>
      </c>
      <c r="AB395" t="s">
        <v>44</v>
      </c>
      <c r="AC395">
        <v>58.1</v>
      </c>
      <c r="AD395" t="s">
        <v>43</v>
      </c>
      <c r="AE395">
        <v>0</v>
      </c>
      <c r="AF395">
        <v>0</v>
      </c>
    </row>
    <row r="396" spans="3:32" x14ac:dyDescent="0.35">
      <c r="C396" s="1">
        <v>43676</v>
      </c>
      <c r="D396" s="2">
        <v>43647</v>
      </c>
      <c r="E396">
        <v>1921</v>
      </c>
      <c r="F396" s="3">
        <v>4455.12</v>
      </c>
      <c r="G396" s="3">
        <v>2669.96</v>
      </c>
      <c r="H396" s="3">
        <v>1785.16</v>
      </c>
      <c r="I396" s="3">
        <v>0.6</v>
      </c>
      <c r="J396">
        <v>0.19</v>
      </c>
      <c r="K396">
        <v>3281.61</v>
      </c>
      <c r="L396" t="s">
        <v>30</v>
      </c>
      <c r="M396">
        <v>702</v>
      </c>
      <c r="N396">
        <v>0.17</v>
      </c>
      <c r="O396" s="3">
        <v>613.52</v>
      </c>
      <c r="P396" s="3">
        <v>0.14000000000000001</v>
      </c>
      <c r="Q396" s="3">
        <v>472.72</v>
      </c>
      <c r="R396" s="3">
        <v>0.11</v>
      </c>
      <c r="S396">
        <v>8</v>
      </c>
      <c r="T396">
        <v>1095.6099999999999</v>
      </c>
      <c r="U396">
        <v>36</v>
      </c>
      <c r="V396">
        <v>0</v>
      </c>
      <c r="W396">
        <v>342.72</v>
      </c>
      <c r="X396">
        <v>2072.7199999999998</v>
      </c>
      <c r="Y396" t="s">
        <v>36</v>
      </c>
      <c r="Z396" s="3">
        <v>1320.04</v>
      </c>
      <c r="AA396" t="s">
        <v>45</v>
      </c>
      <c r="AB396" t="s">
        <v>42</v>
      </c>
      <c r="AC396">
        <v>38.9</v>
      </c>
      <c r="AD396" t="s">
        <v>34</v>
      </c>
      <c r="AE396">
        <v>1785.16</v>
      </c>
      <c r="AF396">
        <v>0</v>
      </c>
    </row>
    <row r="397" spans="3:32" x14ac:dyDescent="0.35">
      <c r="C397" s="1">
        <v>43676</v>
      </c>
      <c r="D397" s="2">
        <v>43647</v>
      </c>
      <c r="E397">
        <v>1475</v>
      </c>
      <c r="F397" s="3">
        <v>5160.8900000000003</v>
      </c>
      <c r="G397" s="3">
        <v>2513.62</v>
      </c>
      <c r="H397" s="3">
        <v>2647.27</v>
      </c>
      <c r="I397" s="3">
        <v>0.49</v>
      </c>
      <c r="J397">
        <v>0.36</v>
      </c>
      <c r="K397">
        <v>2139.14</v>
      </c>
      <c r="L397" t="s">
        <v>30</v>
      </c>
      <c r="M397">
        <v>649</v>
      </c>
      <c r="N397">
        <v>0.32</v>
      </c>
      <c r="O397" s="3">
        <v>322.98</v>
      </c>
      <c r="P397" s="3">
        <v>0.06</v>
      </c>
      <c r="Q397" s="3">
        <v>440.18</v>
      </c>
      <c r="R397" s="3">
        <v>0.09</v>
      </c>
      <c r="S397">
        <v>7</v>
      </c>
      <c r="T397">
        <v>1096.7</v>
      </c>
      <c r="U397">
        <v>35</v>
      </c>
      <c r="V397">
        <v>0</v>
      </c>
      <c r="W397">
        <v>922.25</v>
      </c>
      <c r="X397">
        <v>1982.05</v>
      </c>
      <c r="Y397" t="s">
        <v>49</v>
      </c>
      <c r="Z397" s="3">
        <v>1023.21</v>
      </c>
      <c r="AA397" t="s">
        <v>45</v>
      </c>
      <c r="AB397" t="s">
        <v>33</v>
      </c>
      <c r="AC397">
        <v>99.9</v>
      </c>
      <c r="AD397" t="s">
        <v>34</v>
      </c>
      <c r="AE397">
        <v>2647.27</v>
      </c>
      <c r="AF397">
        <v>1</v>
      </c>
    </row>
    <row r="398" spans="3:32" x14ac:dyDescent="0.35">
      <c r="C398" s="1">
        <v>43676</v>
      </c>
      <c r="D398" s="2">
        <v>43647</v>
      </c>
      <c r="E398">
        <v>1315</v>
      </c>
      <c r="F398" s="3">
        <v>2097.52</v>
      </c>
      <c r="G398" s="3">
        <v>4403.1400000000003</v>
      </c>
      <c r="H398" s="3">
        <v>-2305.62</v>
      </c>
      <c r="I398" s="3">
        <v>2.1</v>
      </c>
      <c r="J398">
        <v>0.37</v>
      </c>
      <c r="K398">
        <v>3017.51</v>
      </c>
      <c r="L398" t="s">
        <v>35</v>
      </c>
      <c r="M398">
        <v>658</v>
      </c>
      <c r="N398">
        <v>0.28000000000000003</v>
      </c>
      <c r="O398" s="3">
        <v>610.22</v>
      </c>
      <c r="P398" s="3">
        <v>0.28999999999999998</v>
      </c>
      <c r="Q398" s="3">
        <v>28.99</v>
      </c>
      <c r="R398" s="3">
        <v>0.01</v>
      </c>
      <c r="S398">
        <v>9</v>
      </c>
      <c r="T398">
        <v>938.7</v>
      </c>
      <c r="U398">
        <v>57</v>
      </c>
      <c r="V398">
        <v>0</v>
      </c>
      <c r="W398">
        <v>601.95000000000005</v>
      </c>
      <c r="X398">
        <v>3608.57</v>
      </c>
      <c r="Y398" t="s">
        <v>36</v>
      </c>
      <c r="Z398" s="3">
        <v>1287.6199999999999</v>
      </c>
      <c r="AA398" t="s">
        <v>37</v>
      </c>
      <c r="AB398" t="s">
        <v>33</v>
      </c>
      <c r="AC398">
        <v>87.3</v>
      </c>
      <c r="AD398" t="s">
        <v>43</v>
      </c>
      <c r="AE398">
        <v>0</v>
      </c>
      <c r="AF398">
        <v>0</v>
      </c>
    </row>
    <row r="399" spans="3:32" x14ac:dyDescent="0.35">
      <c r="C399" s="1">
        <v>43676</v>
      </c>
      <c r="D399" s="2">
        <v>43647</v>
      </c>
      <c r="E399">
        <v>1200</v>
      </c>
      <c r="F399" s="3">
        <v>2963.42</v>
      </c>
      <c r="G399" s="3">
        <v>3658.31</v>
      </c>
      <c r="H399" s="3">
        <v>-694.89</v>
      </c>
      <c r="I399" s="3">
        <v>1.23</v>
      </c>
      <c r="J399">
        <v>0.14000000000000001</v>
      </c>
      <c r="K399">
        <v>3342.9</v>
      </c>
      <c r="L399" t="s">
        <v>35</v>
      </c>
      <c r="M399">
        <v>716</v>
      </c>
      <c r="N399">
        <v>0.4</v>
      </c>
      <c r="O399" s="3">
        <v>531.41</v>
      </c>
      <c r="P399" s="3">
        <v>0.18</v>
      </c>
      <c r="Q399" s="3">
        <v>494.25</v>
      </c>
      <c r="R399" s="3">
        <v>0.17</v>
      </c>
      <c r="S399">
        <v>8</v>
      </c>
      <c r="T399">
        <v>1829.8</v>
      </c>
      <c r="U399">
        <v>26</v>
      </c>
      <c r="V399">
        <v>0</v>
      </c>
      <c r="W399">
        <v>281.63</v>
      </c>
      <c r="X399">
        <v>2672.15</v>
      </c>
      <c r="Y399" t="s">
        <v>36</v>
      </c>
      <c r="Z399" s="3">
        <v>1354.65</v>
      </c>
      <c r="AA399" t="s">
        <v>50</v>
      </c>
      <c r="AB399" t="s">
        <v>33</v>
      </c>
      <c r="AC399">
        <v>89.3</v>
      </c>
      <c r="AD399" t="s">
        <v>38</v>
      </c>
      <c r="AE399">
        <v>0</v>
      </c>
      <c r="AF399">
        <v>0</v>
      </c>
    </row>
    <row r="400" spans="3:32" x14ac:dyDescent="0.35">
      <c r="C400" s="1">
        <v>43676</v>
      </c>
      <c r="D400" s="2">
        <v>43647</v>
      </c>
      <c r="E400">
        <v>1964</v>
      </c>
      <c r="F400" s="3">
        <v>3119.97</v>
      </c>
      <c r="G400" s="3">
        <v>2867.39</v>
      </c>
      <c r="H400" s="3">
        <v>252.58</v>
      </c>
      <c r="I400" s="3">
        <v>0.92</v>
      </c>
      <c r="J400">
        <v>0.39</v>
      </c>
      <c r="K400">
        <v>2903.96</v>
      </c>
      <c r="L400" t="s">
        <v>35</v>
      </c>
      <c r="M400">
        <v>689</v>
      </c>
      <c r="N400">
        <v>0.15</v>
      </c>
      <c r="O400" s="3">
        <v>88.74</v>
      </c>
      <c r="P400" s="3">
        <v>0.03</v>
      </c>
      <c r="Q400" s="3">
        <v>223.52</v>
      </c>
      <c r="R400" s="3">
        <v>7.0000000000000007E-2</v>
      </c>
      <c r="S400">
        <v>2</v>
      </c>
      <c r="T400">
        <v>1310.95</v>
      </c>
      <c r="U400">
        <v>72</v>
      </c>
      <c r="V400">
        <v>0</v>
      </c>
      <c r="W400">
        <v>278.75</v>
      </c>
      <c r="X400">
        <v>2877.75</v>
      </c>
      <c r="Y400" t="s">
        <v>36</v>
      </c>
      <c r="Z400" s="3">
        <v>1392.31</v>
      </c>
      <c r="AA400" t="s">
        <v>37</v>
      </c>
      <c r="AB400" t="s">
        <v>33</v>
      </c>
      <c r="AC400">
        <v>93.5</v>
      </c>
      <c r="AD400" t="s">
        <v>34</v>
      </c>
      <c r="AE400">
        <v>252.58</v>
      </c>
      <c r="AF400">
        <v>0</v>
      </c>
    </row>
    <row r="401" spans="3:32" x14ac:dyDescent="0.35">
      <c r="C401" s="1">
        <v>43676</v>
      </c>
      <c r="D401" s="2">
        <v>43647</v>
      </c>
      <c r="E401">
        <v>1422</v>
      </c>
      <c r="F401" s="3">
        <v>5941.25</v>
      </c>
      <c r="G401" s="3">
        <v>2760.54</v>
      </c>
      <c r="H401" s="3">
        <v>3180.71</v>
      </c>
      <c r="I401" s="3">
        <v>0.46</v>
      </c>
      <c r="J401">
        <v>7.0000000000000007E-2</v>
      </c>
      <c r="K401">
        <v>2811.88</v>
      </c>
      <c r="L401" t="s">
        <v>35</v>
      </c>
      <c r="M401">
        <v>686</v>
      </c>
      <c r="N401">
        <v>0.35</v>
      </c>
      <c r="O401" s="3">
        <v>375.36</v>
      </c>
      <c r="P401" s="3">
        <v>0.06</v>
      </c>
      <c r="Q401" s="3">
        <v>175.61</v>
      </c>
      <c r="R401" s="3">
        <v>0.03</v>
      </c>
      <c r="S401">
        <v>1</v>
      </c>
      <c r="T401">
        <v>941.36</v>
      </c>
      <c r="U401">
        <v>30</v>
      </c>
      <c r="V401">
        <v>0</v>
      </c>
      <c r="W401">
        <v>651.86</v>
      </c>
      <c r="X401">
        <v>2515.65</v>
      </c>
      <c r="Y401" t="s">
        <v>36</v>
      </c>
      <c r="Z401" s="3">
        <v>726.75</v>
      </c>
      <c r="AA401" t="s">
        <v>46</v>
      </c>
      <c r="AB401" t="s">
        <v>33</v>
      </c>
      <c r="AC401">
        <v>35.5</v>
      </c>
      <c r="AD401" t="s">
        <v>38</v>
      </c>
      <c r="AE401">
        <v>3180.71</v>
      </c>
      <c r="AF401">
        <v>1</v>
      </c>
    </row>
    <row r="402" spans="3:32" x14ac:dyDescent="0.35">
      <c r="C402" s="1">
        <v>43706</v>
      </c>
      <c r="D402" s="2">
        <v>43678</v>
      </c>
      <c r="E402">
        <v>1835</v>
      </c>
      <c r="F402" s="3">
        <v>4765.1099999999997</v>
      </c>
      <c r="G402" s="3">
        <v>2628.56</v>
      </c>
      <c r="H402" s="3">
        <v>2136.5500000000002</v>
      </c>
      <c r="I402" s="3">
        <v>0.55000000000000004</v>
      </c>
      <c r="J402">
        <v>0.06</v>
      </c>
      <c r="K402">
        <v>2813.81</v>
      </c>
      <c r="L402" t="s">
        <v>35</v>
      </c>
      <c r="M402">
        <v>715</v>
      </c>
      <c r="N402">
        <v>0.52</v>
      </c>
      <c r="O402" s="3">
        <v>103.3</v>
      </c>
      <c r="P402" s="3">
        <v>0.02</v>
      </c>
      <c r="Q402" s="3">
        <v>0</v>
      </c>
      <c r="R402" s="3">
        <v>0</v>
      </c>
      <c r="S402">
        <v>7</v>
      </c>
      <c r="T402">
        <v>1623.05</v>
      </c>
      <c r="U402">
        <v>99</v>
      </c>
      <c r="V402">
        <v>0</v>
      </c>
      <c r="W402">
        <v>733.67</v>
      </c>
      <c r="X402">
        <v>2503.65</v>
      </c>
      <c r="Y402" t="s">
        <v>36</v>
      </c>
      <c r="Z402" s="3">
        <v>1675.75</v>
      </c>
      <c r="AA402" t="s">
        <v>46</v>
      </c>
      <c r="AB402" t="s">
        <v>44</v>
      </c>
      <c r="AC402">
        <v>71.599999999999994</v>
      </c>
      <c r="AD402" t="s">
        <v>34</v>
      </c>
      <c r="AE402">
        <v>2136.5500000000002</v>
      </c>
      <c r="AF402">
        <v>0</v>
      </c>
    </row>
    <row r="403" spans="3:32" x14ac:dyDescent="0.35">
      <c r="C403" s="1">
        <v>43706</v>
      </c>
      <c r="D403" s="2">
        <v>43678</v>
      </c>
      <c r="E403">
        <v>1458</v>
      </c>
      <c r="F403" s="3">
        <v>5295.24</v>
      </c>
      <c r="G403" s="3">
        <v>1740.05</v>
      </c>
      <c r="H403" s="3">
        <v>3555.19</v>
      </c>
      <c r="I403" s="3">
        <v>0.33</v>
      </c>
      <c r="J403">
        <v>0.11</v>
      </c>
      <c r="K403">
        <v>3118.97</v>
      </c>
      <c r="L403" t="s">
        <v>35</v>
      </c>
      <c r="M403">
        <v>726</v>
      </c>
      <c r="N403">
        <v>0.16</v>
      </c>
      <c r="O403" s="3">
        <v>525.73</v>
      </c>
      <c r="P403" s="3">
        <v>0.1</v>
      </c>
      <c r="Q403" s="3">
        <v>356.75</v>
      </c>
      <c r="R403" s="3">
        <v>7.0000000000000007E-2</v>
      </c>
      <c r="S403">
        <v>8</v>
      </c>
      <c r="T403">
        <v>1003.08</v>
      </c>
      <c r="U403">
        <v>24</v>
      </c>
      <c r="V403">
        <v>0</v>
      </c>
      <c r="W403">
        <v>811.35</v>
      </c>
      <c r="X403">
        <v>1293.5999999999999</v>
      </c>
      <c r="Y403" t="s">
        <v>31</v>
      </c>
      <c r="Z403" s="3">
        <v>1000.74</v>
      </c>
      <c r="AA403" t="s">
        <v>41</v>
      </c>
      <c r="AB403" t="s">
        <v>33</v>
      </c>
      <c r="AC403">
        <v>72.3</v>
      </c>
      <c r="AD403" t="s">
        <v>34</v>
      </c>
      <c r="AE403">
        <v>3555.19</v>
      </c>
      <c r="AF403">
        <v>1</v>
      </c>
    </row>
    <row r="404" spans="3:32" x14ac:dyDescent="0.35">
      <c r="C404" s="1">
        <v>43706</v>
      </c>
      <c r="D404" s="2">
        <v>43678</v>
      </c>
      <c r="E404">
        <v>1925</v>
      </c>
      <c r="F404" s="3">
        <v>4313.75</v>
      </c>
      <c r="G404" s="3">
        <v>2613.77</v>
      </c>
      <c r="H404" s="3">
        <v>1699.98</v>
      </c>
      <c r="I404" s="3">
        <v>0.61</v>
      </c>
      <c r="J404">
        <v>0.33</v>
      </c>
      <c r="K404">
        <v>2414.02</v>
      </c>
      <c r="L404" t="s">
        <v>35</v>
      </c>
      <c r="M404">
        <v>616</v>
      </c>
      <c r="N404">
        <v>0.27</v>
      </c>
      <c r="O404" s="3">
        <v>459.07</v>
      </c>
      <c r="P404" s="3">
        <v>0.11</v>
      </c>
      <c r="Q404" s="3">
        <v>544.20000000000005</v>
      </c>
      <c r="R404" s="3">
        <v>0.13</v>
      </c>
      <c r="S404">
        <v>5</v>
      </c>
      <c r="T404">
        <v>757.58</v>
      </c>
      <c r="U404">
        <v>45</v>
      </c>
      <c r="V404">
        <v>0</v>
      </c>
      <c r="W404">
        <v>1007.33</v>
      </c>
      <c r="X404">
        <v>2905.84</v>
      </c>
      <c r="Y404" t="s">
        <v>36</v>
      </c>
      <c r="Z404" s="3">
        <v>1846.99</v>
      </c>
      <c r="AA404" t="s">
        <v>50</v>
      </c>
      <c r="AB404" t="s">
        <v>33</v>
      </c>
      <c r="AC404">
        <v>43.3</v>
      </c>
      <c r="AD404" t="s">
        <v>43</v>
      </c>
      <c r="AE404">
        <v>1699.98</v>
      </c>
      <c r="AF404">
        <v>0</v>
      </c>
    </row>
    <row r="405" spans="3:32" x14ac:dyDescent="0.35">
      <c r="C405" s="1">
        <v>43706</v>
      </c>
      <c r="D405" s="2">
        <v>43678</v>
      </c>
      <c r="E405">
        <v>1283</v>
      </c>
      <c r="F405" s="3">
        <v>6187.45</v>
      </c>
      <c r="G405" s="3">
        <v>3518.25</v>
      </c>
      <c r="H405" s="3">
        <v>2669.2</v>
      </c>
      <c r="I405" s="3">
        <v>0.56999999999999995</v>
      </c>
      <c r="J405">
        <v>0.23</v>
      </c>
      <c r="K405">
        <v>2703.76</v>
      </c>
      <c r="L405" t="s">
        <v>30</v>
      </c>
      <c r="M405">
        <v>676</v>
      </c>
      <c r="N405">
        <v>0.22</v>
      </c>
      <c r="O405" s="3">
        <v>733.8</v>
      </c>
      <c r="P405" s="3">
        <v>0.12</v>
      </c>
      <c r="Q405" s="3">
        <v>443.23</v>
      </c>
      <c r="R405" s="3">
        <v>7.0000000000000007E-2</v>
      </c>
      <c r="S405">
        <v>6</v>
      </c>
      <c r="T405">
        <v>976.4</v>
      </c>
      <c r="U405">
        <v>79</v>
      </c>
      <c r="V405">
        <v>0</v>
      </c>
      <c r="W405">
        <v>457.05</v>
      </c>
      <c r="X405">
        <v>2462.77</v>
      </c>
      <c r="Y405" t="s">
        <v>31</v>
      </c>
      <c r="Z405" s="3">
        <v>612.75</v>
      </c>
      <c r="AA405" t="s">
        <v>45</v>
      </c>
      <c r="AB405" t="s">
        <v>42</v>
      </c>
      <c r="AC405">
        <v>56.2</v>
      </c>
      <c r="AD405" t="s">
        <v>34</v>
      </c>
      <c r="AE405">
        <v>2669.2</v>
      </c>
      <c r="AF405">
        <v>0</v>
      </c>
    </row>
    <row r="406" spans="3:32" x14ac:dyDescent="0.35">
      <c r="C406" s="1">
        <v>43706</v>
      </c>
      <c r="D406" s="2">
        <v>43678</v>
      </c>
      <c r="E406">
        <v>1398</v>
      </c>
      <c r="F406" s="3">
        <v>3624.63</v>
      </c>
      <c r="G406" s="3">
        <v>2615.67</v>
      </c>
      <c r="H406" s="3">
        <v>1008.96</v>
      </c>
      <c r="I406" s="3">
        <v>0.72</v>
      </c>
      <c r="J406">
        <v>0.28999999999999998</v>
      </c>
      <c r="K406">
        <v>2958.93</v>
      </c>
      <c r="L406" t="s">
        <v>35</v>
      </c>
      <c r="M406">
        <v>712</v>
      </c>
      <c r="N406">
        <v>0.6</v>
      </c>
      <c r="O406" s="3">
        <v>811.57</v>
      </c>
      <c r="P406" s="3">
        <v>0.22</v>
      </c>
      <c r="Q406" s="3">
        <v>457.97</v>
      </c>
      <c r="R406" s="3">
        <v>0.13</v>
      </c>
      <c r="S406">
        <v>3</v>
      </c>
      <c r="T406">
        <v>1289.3599999999999</v>
      </c>
      <c r="U406">
        <v>95</v>
      </c>
      <c r="V406">
        <v>0</v>
      </c>
      <c r="W406">
        <v>695.06</v>
      </c>
      <c r="X406">
        <v>1551.12</v>
      </c>
      <c r="Y406" t="s">
        <v>36</v>
      </c>
      <c r="Z406" s="3">
        <v>1298.3699999999999</v>
      </c>
      <c r="AA406" t="s">
        <v>48</v>
      </c>
      <c r="AB406" t="s">
        <v>33</v>
      </c>
      <c r="AC406">
        <v>35.299999999999997</v>
      </c>
      <c r="AD406" t="s">
        <v>43</v>
      </c>
      <c r="AE406">
        <v>1008.96</v>
      </c>
      <c r="AF406">
        <v>0</v>
      </c>
    </row>
    <row r="407" spans="3:32" x14ac:dyDescent="0.35">
      <c r="C407" s="1">
        <v>43706</v>
      </c>
      <c r="D407" s="2">
        <v>43678</v>
      </c>
      <c r="E407">
        <v>1856</v>
      </c>
      <c r="F407" s="3">
        <v>4344.0200000000004</v>
      </c>
      <c r="G407" s="3">
        <v>2797.36</v>
      </c>
      <c r="H407" s="3">
        <v>1546.66</v>
      </c>
      <c r="I407" s="3">
        <v>0.64</v>
      </c>
      <c r="J407">
        <v>0.33</v>
      </c>
      <c r="K407">
        <v>2189.92</v>
      </c>
      <c r="L407" t="s">
        <v>35</v>
      </c>
      <c r="M407">
        <v>710</v>
      </c>
      <c r="N407">
        <v>0.16</v>
      </c>
      <c r="O407" s="3">
        <v>809.89</v>
      </c>
      <c r="P407" s="3">
        <v>0.19</v>
      </c>
      <c r="Q407" s="3">
        <v>583.72</v>
      </c>
      <c r="R407" s="3">
        <v>0.13</v>
      </c>
      <c r="S407">
        <v>8</v>
      </c>
      <c r="T407">
        <v>281.72000000000003</v>
      </c>
      <c r="U407">
        <v>61</v>
      </c>
      <c r="V407">
        <v>0</v>
      </c>
      <c r="W407">
        <v>0</v>
      </c>
      <c r="X407">
        <v>1734.17</v>
      </c>
      <c r="Y407" t="s">
        <v>36</v>
      </c>
      <c r="Z407" s="3">
        <v>1443.29</v>
      </c>
      <c r="AA407" t="s">
        <v>48</v>
      </c>
      <c r="AB407" t="s">
        <v>33</v>
      </c>
      <c r="AC407">
        <v>67.8</v>
      </c>
      <c r="AD407" t="s">
        <v>34</v>
      </c>
      <c r="AE407">
        <v>1546.66</v>
      </c>
      <c r="AF407">
        <v>0</v>
      </c>
    </row>
    <row r="408" spans="3:32" x14ac:dyDescent="0.35">
      <c r="C408" s="1">
        <v>43706</v>
      </c>
      <c r="D408" s="2">
        <v>43678</v>
      </c>
      <c r="E408">
        <v>1030</v>
      </c>
      <c r="F408" s="3">
        <v>2905.47</v>
      </c>
      <c r="G408" s="3">
        <v>4065.73</v>
      </c>
      <c r="H408" s="3">
        <v>-1160.26</v>
      </c>
      <c r="I408" s="3">
        <v>1.4</v>
      </c>
      <c r="J408">
        <v>0.39</v>
      </c>
      <c r="K408">
        <v>2433.1999999999998</v>
      </c>
      <c r="L408" t="s">
        <v>35</v>
      </c>
      <c r="M408">
        <v>616</v>
      </c>
      <c r="N408">
        <v>0.3</v>
      </c>
      <c r="O408" s="3">
        <v>469.58</v>
      </c>
      <c r="P408" s="3">
        <v>0.16</v>
      </c>
      <c r="Q408" s="3">
        <v>299.51</v>
      </c>
      <c r="R408" s="3">
        <v>0.1</v>
      </c>
      <c r="S408">
        <v>7</v>
      </c>
      <c r="T408">
        <v>395.59</v>
      </c>
      <c r="U408">
        <v>68</v>
      </c>
      <c r="V408">
        <v>0</v>
      </c>
      <c r="W408">
        <v>485.41</v>
      </c>
      <c r="X408">
        <v>2262.98</v>
      </c>
      <c r="Y408" t="s">
        <v>36</v>
      </c>
      <c r="Z408" s="3">
        <v>1994.25</v>
      </c>
      <c r="AA408" t="s">
        <v>40</v>
      </c>
      <c r="AB408" t="s">
        <v>44</v>
      </c>
      <c r="AC408">
        <v>75.099999999999994</v>
      </c>
      <c r="AD408" t="s">
        <v>43</v>
      </c>
      <c r="AE408">
        <v>0</v>
      </c>
      <c r="AF408">
        <v>0</v>
      </c>
    </row>
    <row r="409" spans="3:32" x14ac:dyDescent="0.35">
      <c r="C409" s="1">
        <v>43706</v>
      </c>
      <c r="D409" s="2">
        <v>43678</v>
      </c>
      <c r="E409">
        <v>1655</v>
      </c>
      <c r="F409" s="3">
        <v>5089.88</v>
      </c>
      <c r="G409" s="3">
        <v>3012.55</v>
      </c>
      <c r="H409" s="3">
        <v>2077.33</v>
      </c>
      <c r="I409" s="3">
        <v>0.59</v>
      </c>
      <c r="J409">
        <v>0.34</v>
      </c>
      <c r="K409">
        <v>3143.18</v>
      </c>
      <c r="L409" t="s">
        <v>35</v>
      </c>
      <c r="M409">
        <v>745</v>
      </c>
      <c r="N409">
        <v>0.52</v>
      </c>
      <c r="O409" s="3">
        <v>153.44</v>
      </c>
      <c r="P409" s="3">
        <v>0.03</v>
      </c>
      <c r="Q409" s="3">
        <v>980.57</v>
      </c>
      <c r="R409" s="3">
        <v>0.19</v>
      </c>
      <c r="S409">
        <v>3</v>
      </c>
      <c r="T409">
        <v>742.5</v>
      </c>
      <c r="U409">
        <v>68</v>
      </c>
      <c r="V409">
        <v>0</v>
      </c>
      <c r="W409">
        <v>482.65</v>
      </c>
      <c r="X409">
        <v>3162.15</v>
      </c>
      <c r="Y409" t="s">
        <v>31</v>
      </c>
      <c r="Z409" s="3">
        <v>622.6</v>
      </c>
      <c r="AA409" t="s">
        <v>47</v>
      </c>
      <c r="AB409" t="s">
        <v>33</v>
      </c>
      <c r="AC409">
        <v>7</v>
      </c>
      <c r="AD409" t="s">
        <v>43</v>
      </c>
      <c r="AE409">
        <v>2077.33</v>
      </c>
      <c r="AF409">
        <v>0</v>
      </c>
    </row>
    <row r="410" spans="3:32" x14ac:dyDescent="0.35">
      <c r="C410" s="1">
        <v>43706</v>
      </c>
      <c r="D410" s="2">
        <v>43678</v>
      </c>
      <c r="E410">
        <v>1438</v>
      </c>
      <c r="F410" s="3">
        <v>2823.98</v>
      </c>
      <c r="G410" s="3">
        <v>1370.53</v>
      </c>
      <c r="H410" s="3">
        <v>1453.45</v>
      </c>
      <c r="I410" s="3">
        <v>0.49</v>
      </c>
      <c r="J410">
        <v>0.25</v>
      </c>
      <c r="K410">
        <v>2994.82</v>
      </c>
      <c r="L410" t="s">
        <v>35</v>
      </c>
      <c r="M410">
        <v>683</v>
      </c>
      <c r="N410">
        <v>0.26</v>
      </c>
      <c r="O410" s="3">
        <v>790.96</v>
      </c>
      <c r="P410" s="3">
        <v>0.28000000000000003</v>
      </c>
      <c r="Q410" s="3">
        <v>720.02</v>
      </c>
      <c r="R410" s="3">
        <v>0.25</v>
      </c>
      <c r="S410">
        <v>2</v>
      </c>
      <c r="T410">
        <v>1547.78</v>
      </c>
      <c r="U410">
        <v>28</v>
      </c>
      <c r="V410">
        <v>0</v>
      </c>
      <c r="W410">
        <v>836.38</v>
      </c>
      <c r="X410">
        <v>1943.07</v>
      </c>
      <c r="Y410" t="s">
        <v>49</v>
      </c>
      <c r="Z410" s="3">
        <v>1154.06</v>
      </c>
      <c r="AA410" t="s">
        <v>47</v>
      </c>
      <c r="AB410" t="s">
        <v>33</v>
      </c>
      <c r="AC410">
        <v>8.3000000000000007</v>
      </c>
      <c r="AD410" t="s">
        <v>43</v>
      </c>
      <c r="AE410">
        <v>1453.45</v>
      </c>
      <c r="AF410">
        <v>0</v>
      </c>
    </row>
    <row r="411" spans="3:32" x14ac:dyDescent="0.35">
      <c r="C411" s="1">
        <v>43706</v>
      </c>
      <c r="D411" s="2">
        <v>43678</v>
      </c>
      <c r="E411">
        <v>1926</v>
      </c>
      <c r="F411" s="3">
        <v>3737.22</v>
      </c>
      <c r="G411" s="3">
        <v>2710.1</v>
      </c>
      <c r="H411" s="3">
        <v>1027.1199999999999</v>
      </c>
      <c r="I411" s="3">
        <v>0.73</v>
      </c>
      <c r="J411">
        <v>0.06</v>
      </c>
      <c r="K411">
        <v>3080.03</v>
      </c>
      <c r="L411" t="s">
        <v>35</v>
      </c>
      <c r="M411">
        <v>711</v>
      </c>
      <c r="N411">
        <v>0.3</v>
      </c>
      <c r="O411" s="3">
        <v>454.42</v>
      </c>
      <c r="P411" s="3">
        <v>0.12</v>
      </c>
      <c r="Q411" s="3">
        <v>632.47</v>
      </c>
      <c r="R411" s="3">
        <v>0.17</v>
      </c>
      <c r="S411">
        <v>9</v>
      </c>
      <c r="T411">
        <v>1025.95</v>
      </c>
      <c r="U411">
        <v>69</v>
      </c>
      <c r="V411">
        <v>0</v>
      </c>
      <c r="W411">
        <v>491.84</v>
      </c>
      <c r="X411">
        <v>1930.57</v>
      </c>
      <c r="Y411" t="s">
        <v>36</v>
      </c>
      <c r="Z411" s="3">
        <v>1111.01</v>
      </c>
      <c r="AA411" t="s">
        <v>40</v>
      </c>
      <c r="AB411" t="s">
        <v>42</v>
      </c>
      <c r="AC411">
        <v>90.1</v>
      </c>
      <c r="AD411" t="s">
        <v>43</v>
      </c>
      <c r="AE411">
        <v>1027.1199999999999</v>
      </c>
      <c r="AF411">
        <v>0</v>
      </c>
    </row>
    <row r="412" spans="3:32" x14ac:dyDescent="0.35">
      <c r="C412" s="1">
        <v>43706</v>
      </c>
      <c r="D412" s="2">
        <v>43678</v>
      </c>
      <c r="E412">
        <v>1463</v>
      </c>
      <c r="F412" s="3">
        <v>4504.05</v>
      </c>
      <c r="G412" s="3">
        <v>3495.71</v>
      </c>
      <c r="H412" s="3">
        <v>1008.34</v>
      </c>
      <c r="I412" s="3">
        <v>0.78</v>
      </c>
      <c r="J412">
        <v>0.33</v>
      </c>
      <c r="K412">
        <v>1883.7</v>
      </c>
      <c r="L412" t="s">
        <v>35</v>
      </c>
      <c r="M412">
        <v>654</v>
      </c>
      <c r="N412">
        <v>0.12</v>
      </c>
      <c r="O412" s="3">
        <v>674.75</v>
      </c>
      <c r="P412" s="3">
        <v>0.15</v>
      </c>
      <c r="Q412" s="3">
        <v>584.07000000000005</v>
      </c>
      <c r="R412" s="3">
        <v>0.13</v>
      </c>
      <c r="S412">
        <v>2</v>
      </c>
      <c r="T412">
        <v>1607.61</v>
      </c>
      <c r="U412">
        <v>58</v>
      </c>
      <c r="V412">
        <v>0</v>
      </c>
      <c r="W412">
        <v>777.48</v>
      </c>
      <c r="X412">
        <v>2764.99</v>
      </c>
      <c r="Y412" t="s">
        <v>49</v>
      </c>
      <c r="Z412" s="3">
        <v>713.6</v>
      </c>
      <c r="AA412" t="s">
        <v>45</v>
      </c>
      <c r="AB412" t="s">
        <v>33</v>
      </c>
      <c r="AC412">
        <v>72.8</v>
      </c>
      <c r="AD412" t="s">
        <v>34</v>
      </c>
      <c r="AE412">
        <v>1008.34</v>
      </c>
      <c r="AF412">
        <v>0</v>
      </c>
    </row>
    <row r="413" spans="3:32" x14ac:dyDescent="0.35">
      <c r="C413" s="1">
        <v>43706</v>
      </c>
      <c r="D413" s="2">
        <v>43678</v>
      </c>
      <c r="E413">
        <v>1154</v>
      </c>
      <c r="F413" s="3">
        <v>4763.3900000000003</v>
      </c>
      <c r="G413" s="3">
        <v>3122.35</v>
      </c>
      <c r="H413" s="3">
        <v>1641.04</v>
      </c>
      <c r="I413" s="3">
        <v>0.66</v>
      </c>
      <c r="J413">
        <v>0.19</v>
      </c>
      <c r="K413">
        <v>2587.44</v>
      </c>
      <c r="L413" t="s">
        <v>35</v>
      </c>
      <c r="M413">
        <v>743</v>
      </c>
      <c r="N413">
        <v>0.17</v>
      </c>
      <c r="O413" s="3">
        <v>953.62</v>
      </c>
      <c r="P413" s="3">
        <v>0.2</v>
      </c>
      <c r="Q413" s="3">
        <v>634.83000000000004</v>
      </c>
      <c r="R413" s="3">
        <v>0.13</v>
      </c>
      <c r="S413">
        <v>1</v>
      </c>
      <c r="T413">
        <v>1558.32</v>
      </c>
      <c r="U413">
        <v>85</v>
      </c>
      <c r="V413">
        <v>1</v>
      </c>
      <c r="W413">
        <v>398.32</v>
      </c>
      <c r="X413">
        <v>2308.92</v>
      </c>
      <c r="Y413" t="s">
        <v>36</v>
      </c>
      <c r="Z413" s="3">
        <v>532.82000000000005</v>
      </c>
      <c r="AA413" t="s">
        <v>47</v>
      </c>
      <c r="AB413" t="s">
        <v>33</v>
      </c>
      <c r="AC413">
        <v>18.8</v>
      </c>
      <c r="AD413" t="s">
        <v>34</v>
      </c>
      <c r="AE413">
        <v>1641.04</v>
      </c>
      <c r="AF413">
        <v>0</v>
      </c>
    </row>
    <row r="414" spans="3:32" x14ac:dyDescent="0.35">
      <c r="C414" s="1">
        <v>43706</v>
      </c>
      <c r="D414" s="2">
        <v>43678</v>
      </c>
      <c r="E414">
        <v>1404</v>
      </c>
      <c r="F414" s="3">
        <v>2405.42</v>
      </c>
      <c r="G414" s="3">
        <v>4386.3900000000003</v>
      </c>
      <c r="H414" s="3">
        <v>-1980.97</v>
      </c>
      <c r="I414" s="3">
        <v>1.82</v>
      </c>
      <c r="J414">
        <v>0.32</v>
      </c>
      <c r="K414">
        <v>4144.82</v>
      </c>
      <c r="L414" t="s">
        <v>39</v>
      </c>
      <c r="M414">
        <v>770</v>
      </c>
      <c r="N414">
        <v>0.42</v>
      </c>
      <c r="O414" s="3">
        <v>322.36</v>
      </c>
      <c r="P414" s="3">
        <v>0.13</v>
      </c>
      <c r="Q414" s="3">
        <v>102.27</v>
      </c>
      <c r="R414" s="3">
        <v>0.04</v>
      </c>
      <c r="S414">
        <v>3</v>
      </c>
      <c r="T414">
        <v>1025.73</v>
      </c>
      <c r="U414">
        <v>25</v>
      </c>
      <c r="V414">
        <v>0</v>
      </c>
      <c r="W414">
        <v>339.88</v>
      </c>
      <c r="X414">
        <v>2002.05</v>
      </c>
      <c r="Y414" t="s">
        <v>36</v>
      </c>
      <c r="Z414" s="3">
        <v>1430.42</v>
      </c>
      <c r="AA414" t="s">
        <v>50</v>
      </c>
      <c r="AB414" t="s">
        <v>42</v>
      </c>
      <c r="AC414">
        <v>6.2</v>
      </c>
      <c r="AD414" t="s">
        <v>43</v>
      </c>
      <c r="AE414">
        <v>0</v>
      </c>
      <c r="AF414">
        <v>0</v>
      </c>
    </row>
    <row r="415" spans="3:32" x14ac:dyDescent="0.35">
      <c r="C415" s="1">
        <v>43706</v>
      </c>
      <c r="D415" s="2">
        <v>43678</v>
      </c>
      <c r="E415">
        <v>1289</v>
      </c>
      <c r="F415" s="3">
        <v>4172.0600000000004</v>
      </c>
      <c r="G415" s="3">
        <v>2504.38</v>
      </c>
      <c r="H415" s="3">
        <v>1667.68</v>
      </c>
      <c r="I415" s="3">
        <v>0.6</v>
      </c>
      <c r="J415">
        <v>0.1</v>
      </c>
      <c r="K415">
        <v>3495.42</v>
      </c>
      <c r="L415" t="s">
        <v>35</v>
      </c>
      <c r="M415">
        <v>645</v>
      </c>
      <c r="N415">
        <v>0.47</v>
      </c>
      <c r="O415" s="3">
        <v>394.86</v>
      </c>
      <c r="P415" s="3">
        <v>0.09</v>
      </c>
      <c r="Q415" s="3">
        <v>373.81</v>
      </c>
      <c r="R415" s="3">
        <v>0.09</v>
      </c>
      <c r="S415">
        <v>9</v>
      </c>
      <c r="T415">
        <v>1349.96</v>
      </c>
      <c r="U415">
        <v>68</v>
      </c>
      <c r="V415">
        <v>0</v>
      </c>
      <c r="W415">
        <v>731.41</v>
      </c>
      <c r="X415">
        <v>1702.44</v>
      </c>
      <c r="Y415" t="s">
        <v>36</v>
      </c>
      <c r="Z415" s="3">
        <v>999.5</v>
      </c>
      <c r="AA415" t="s">
        <v>48</v>
      </c>
      <c r="AB415" t="s">
        <v>42</v>
      </c>
      <c r="AC415">
        <v>95.5</v>
      </c>
      <c r="AD415" t="s">
        <v>43</v>
      </c>
      <c r="AE415">
        <v>1667.68</v>
      </c>
      <c r="AF415">
        <v>0</v>
      </c>
    </row>
    <row r="416" spans="3:32" x14ac:dyDescent="0.35">
      <c r="C416" s="1">
        <v>43706</v>
      </c>
      <c r="D416" s="2">
        <v>43678</v>
      </c>
      <c r="E416">
        <v>1785</v>
      </c>
      <c r="F416" s="3">
        <v>4853.09</v>
      </c>
      <c r="G416" s="3">
        <v>3691.65</v>
      </c>
      <c r="H416" s="3">
        <v>1161.44</v>
      </c>
      <c r="I416" s="3">
        <v>0.76</v>
      </c>
      <c r="J416">
        <v>0.2</v>
      </c>
      <c r="K416">
        <v>2875.84</v>
      </c>
      <c r="L416" t="s">
        <v>35</v>
      </c>
      <c r="M416">
        <v>723</v>
      </c>
      <c r="N416">
        <v>0.17</v>
      </c>
      <c r="O416" s="3">
        <v>638.97</v>
      </c>
      <c r="P416" s="3">
        <v>0.13</v>
      </c>
      <c r="Q416" s="3">
        <v>262.10000000000002</v>
      </c>
      <c r="R416" s="3">
        <v>0.05</v>
      </c>
      <c r="S416">
        <v>9</v>
      </c>
      <c r="T416">
        <v>1478.05</v>
      </c>
      <c r="U416">
        <v>20</v>
      </c>
      <c r="V416">
        <v>0</v>
      </c>
      <c r="W416">
        <v>726.36</v>
      </c>
      <c r="X416">
        <v>2231.88</v>
      </c>
      <c r="Y416" t="s">
        <v>36</v>
      </c>
      <c r="Z416" s="3">
        <v>1231.71</v>
      </c>
      <c r="AA416" t="s">
        <v>40</v>
      </c>
      <c r="AB416" t="s">
        <v>33</v>
      </c>
      <c r="AC416">
        <v>84.9</v>
      </c>
      <c r="AD416" t="s">
        <v>43</v>
      </c>
      <c r="AE416">
        <v>1161.44</v>
      </c>
      <c r="AF416">
        <v>0</v>
      </c>
    </row>
    <row r="417" spans="3:32" x14ac:dyDescent="0.35">
      <c r="C417" s="1">
        <v>43706</v>
      </c>
      <c r="D417" s="2">
        <v>43678</v>
      </c>
      <c r="E417">
        <v>1521</v>
      </c>
      <c r="F417" s="3">
        <v>5290.5</v>
      </c>
      <c r="G417" s="3">
        <v>3598.39</v>
      </c>
      <c r="H417" s="3">
        <v>1692.11</v>
      </c>
      <c r="I417" s="3">
        <v>0.68</v>
      </c>
      <c r="J417">
        <v>0.22</v>
      </c>
      <c r="K417">
        <v>2437.0500000000002</v>
      </c>
      <c r="L417" t="s">
        <v>35</v>
      </c>
      <c r="M417">
        <v>822</v>
      </c>
      <c r="N417">
        <v>0.28000000000000003</v>
      </c>
      <c r="O417" s="3">
        <v>603.13</v>
      </c>
      <c r="P417" s="3">
        <v>0.11</v>
      </c>
      <c r="Q417" s="3">
        <v>229.16</v>
      </c>
      <c r="R417" s="3">
        <v>0.04</v>
      </c>
      <c r="S417">
        <v>6</v>
      </c>
      <c r="T417">
        <v>1055.6099999999999</v>
      </c>
      <c r="U417">
        <v>59</v>
      </c>
      <c r="V417">
        <v>0</v>
      </c>
      <c r="W417">
        <v>601.47</v>
      </c>
      <c r="X417">
        <v>1981.52</v>
      </c>
      <c r="Y417" t="s">
        <v>36</v>
      </c>
      <c r="Z417" s="3">
        <v>1572.51</v>
      </c>
      <c r="AA417" t="s">
        <v>47</v>
      </c>
      <c r="AB417" t="s">
        <v>33</v>
      </c>
      <c r="AC417">
        <v>29.7</v>
      </c>
      <c r="AD417" t="s">
        <v>38</v>
      </c>
      <c r="AE417">
        <v>1692.11</v>
      </c>
      <c r="AF417">
        <v>0</v>
      </c>
    </row>
    <row r="418" spans="3:32" x14ac:dyDescent="0.35">
      <c r="C418" s="1">
        <v>43706</v>
      </c>
      <c r="D418" s="2">
        <v>43678</v>
      </c>
      <c r="E418">
        <v>1495</v>
      </c>
      <c r="F418" s="3">
        <v>4782.3599999999997</v>
      </c>
      <c r="G418" s="3">
        <v>2279.8000000000002</v>
      </c>
      <c r="H418" s="3">
        <v>2502.56</v>
      </c>
      <c r="I418" s="3">
        <v>0.48</v>
      </c>
      <c r="J418">
        <v>0.08</v>
      </c>
      <c r="K418">
        <v>2489.35</v>
      </c>
      <c r="L418" t="s">
        <v>35</v>
      </c>
      <c r="M418">
        <v>681</v>
      </c>
      <c r="N418">
        <v>0.28999999999999998</v>
      </c>
      <c r="O418" s="3">
        <v>191.94</v>
      </c>
      <c r="P418" s="3">
        <v>0.04</v>
      </c>
      <c r="Q418" s="3">
        <v>459.47</v>
      </c>
      <c r="R418" s="3">
        <v>0.1</v>
      </c>
      <c r="S418">
        <v>5</v>
      </c>
      <c r="T418">
        <v>906.01</v>
      </c>
      <c r="U418">
        <v>69</v>
      </c>
      <c r="V418">
        <v>0</v>
      </c>
      <c r="W418">
        <v>679.35</v>
      </c>
      <c r="X418">
        <v>3331.9</v>
      </c>
      <c r="Y418" t="s">
        <v>31</v>
      </c>
      <c r="Z418" s="3">
        <v>948.53</v>
      </c>
      <c r="AA418" t="s">
        <v>46</v>
      </c>
      <c r="AB418" t="s">
        <v>33</v>
      </c>
      <c r="AC418">
        <v>97.1</v>
      </c>
      <c r="AD418" t="s">
        <v>43</v>
      </c>
      <c r="AE418">
        <v>2502.56</v>
      </c>
      <c r="AF418">
        <v>1</v>
      </c>
    </row>
    <row r="419" spans="3:32" x14ac:dyDescent="0.35">
      <c r="C419" s="1">
        <v>43706</v>
      </c>
      <c r="D419" s="2">
        <v>43678</v>
      </c>
      <c r="E419">
        <v>1606</v>
      </c>
      <c r="F419" s="3">
        <v>3482.26</v>
      </c>
      <c r="G419" s="3">
        <v>3200.29</v>
      </c>
      <c r="H419" s="3">
        <v>281.97000000000003</v>
      </c>
      <c r="I419" s="3">
        <v>0.92</v>
      </c>
      <c r="J419">
        <v>0.28999999999999998</v>
      </c>
      <c r="K419">
        <v>2318.06</v>
      </c>
      <c r="L419" t="s">
        <v>30</v>
      </c>
      <c r="M419">
        <v>617</v>
      </c>
      <c r="N419">
        <v>0.18</v>
      </c>
      <c r="O419" s="3">
        <v>181.27</v>
      </c>
      <c r="P419" s="3">
        <v>0.05</v>
      </c>
      <c r="Q419" s="3">
        <v>562.4</v>
      </c>
      <c r="R419" s="3">
        <v>0.16</v>
      </c>
      <c r="S419">
        <v>8</v>
      </c>
      <c r="T419">
        <v>669.44</v>
      </c>
      <c r="U419">
        <v>76</v>
      </c>
      <c r="V419">
        <v>0</v>
      </c>
      <c r="W419">
        <v>304.02</v>
      </c>
      <c r="X419">
        <v>1000</v>
      </c>
      <c r="Y419" t="s">
        <v>36</v>
      </c>
      <c r="Z419" s="3">
        <v>1299.05</v>
      </c>
      <c r="AA419" t="s">
        <v>40</v>
      </c>
      <c r="AB419" t="s">
        <v>44</v>
      </c>
      <c r="AC419">
        <v>83.6</v>
      </c>
      <c r="AD419" t="s">
        <v>34</v>
      </c>
      <c r="AE419">
        <v>281.97000000000003</v>
      </c>
      <c r="AF419">
        <v>0</v>
      </c>
    </row>
    <row r="420" spans="3:32" x14ac:dyDescent="0.35">
      <c r="C420" s="1">
        <v>43706</v>
      </c>
      <c r="D420" s="2">
        <v>43678</v>
      </c>
      <c r="E420">
        <v>1973</v>
      </c>
      <c r="F420" s="3">
        <v>5103.96</v>
      </c>
      <c r="G420" s="3">
        <v>2071.5700000000002</v>
      </c>
      <c r="H420" s="3">
        <v>3032.39</v>
      </c>
      <c r="I420" s="3">
        <v>0.41</v>
      </c>
      <c r="J420">
        <v>0.3</v>
      </c>
      <c r="K420">
        <v>2494.09</v>
      </c>
      <c r="L420" t="s">
        <v>30</v>
      </c>
      <c r="M420">
        <v>656</v>
      </c>
      <c r="N420">
        <v>0.3</v>
      </c>
      <c r="O420" s="3">
        <v>489.04</v>
      </c>
      <c r="P420" s="3">
        <v>0.1</v>
      </c>
      <c r="Q420" s="3">
        <v>0</v>
      </c>
      <c r="R420" s="3">
        <v>0</v>
      </c>
      <c r="S420">
        <v>6</v>
      </c>
      <c r="T420">
        <v>725</v>
      </c>
      <c r="U420">
        <v>65</v>
      </c>
      <c r="V420">
        <v>0</v>
      </c>
      <c r="W420">
        <v>520.20000000000005</v>
      </c>
      <c r="X420">
        <v>2626.66</v>
      </c>
      <c r="Y420" t="s">
        <v>36</v>
      </c>
      <c r="Z420" s="3">
        <v>821.44</v>
      </c>
      <c r="AA420" t="s">
        <v>32</v>
      </c>
      <c r="AB420" t="s">
        <v>42</v>
      </c>
      <c r="AC420">
        <v>42.8</v>
      </c>
      <c r="AD420" t="s">
        <v>34</v>
      </c>
      <c r="AE420">
        <v>3032.39</v>
      </c>
      <c r="AF420">
        <v>1</v>
      </c>
    </row>
    <row r="421" spans="3:32" x14ac:dyDescent="0.35">
      <c r="C421" s="1">
        <v>43706</v>
      </c>
      <c r="D421" s="2">
        <v>43678</v>
      </c>
      <c r="E421">
        <v>1970</v>
      </c>
      <c r="F421" s="3">
        <v>6847.04</v>
      </c>
      <c r="G421" s="3">
        <v>3906.19</v>
      </c>
      <c r="H421" s="3">
        <v>2940.85</v>
      </c>
      <c r="I421" s="3">
        <v>0.56999999999999995</v>
      </c>
      <c r="J421">
        <v>0.39</v>
      </c>
      <c r="K421">
        <v>1920.98</v>
      </c>
      <c r="L421" t="s">
        <v>35</v>
      </c>
      <c r="M421">
        <v>718</v>
      </c>
      <c r="N421">
        <v>0.1</v>
      </c>
      <c r="O421" s="3">
        <v>450.95</v>
      </c>
      <c r="P421" s="3">
        <v>7.0000000000000007E-2</v>
      </c>
      <c r="Q421" s="3">
        <v>476.11</v>
      </c>
      <c r="R421" s="3">
        <v>7.0000000000000007E-2</v>
      </c>
      <c r="S421">
        <v>7</v>
      </c>
      <c r="T421">
        <v>1302.25</v>
      </c>
      <c r="U421">
        <v>53</v>
      </c>
      <c r="V421">
        <v>0</v>
      </c>
      <c r="W421">
        <v>656.6</v>
      </c>
      <c r="X421">
        <v>2737.36</v>
      </c>
      <c r="Y421" t="s">
        <v>49</v>
      </c>
      <c r="Z421" s="3">
        <v>1542.08</v>
      </c>
      <c r="AA421" t="s">
        <v>45</v>
      </c>
      <c r="AB421" t="s">
        <v>42</v>
      </c>
      <c r="AC421">
        <v>17.5</v>
      </c>
      <c r="AD421" t="s">
        <v>34</v>
      </c>
      <c r="AE421">
        <v>2940.85</v>
      </c>
      <c r="AF421">
        <v>1</v>
      </c>
    </row>
    <row r="422" spans="3:32" x14ac:dyDescent="0.35">
      <c r="C422" s="1">
        <v>43706</v>
      </c>
      <c r="D422" s="2">
        <v>43678</v>
      </c>
      <c r="E422">
        <v>1045</v>
      </c>
      <c r="F422" s="3">
        <v>5263.54</v>
      </c>
      <c r="G422" s="3">
        <v>2606.3200000000002</v>
      </c>
      <c r="H422" s="3">
        <v>2657.22</v>
      </c>
      <c r="I422" s="3">
        <v>0.5</v>
      </c>
      <c r="J422">
        <v>0.13</v>
      </c>
      <c r="K422">
        <v>2888.43</v>
      </c>
      <c r="L422" t="s">
        <v>39</v>
      </c>
      <c r="M422">
        <v>663</v>
      </c>
      <c r="N422">
        <v>0.34</v>
      </c>
      <c r="O422" s="3">
        <v>439.34</v>
      </c>
      <c r="P422" s="3">
        <v>0.08</v>
      </c>
      <c r="Q422" s="3">
        <v>677.1</v>
      </c>
      <c r="R422" s="3">
        <v>0.13</v>
      </c>
      <c r="S422">
        <v>8</v>
      </c>
      <c r="T422">
        <v>866.03</v>
      </c>
      <c r="U422">
        <v>44</v>
      </c>
      <c r="V422">
        <v>0</v>
      </c>
      <c r="W422">
        <v>961.46</v>
      </c>
      <c r="X422">
        <v>1592.53</v>
      </c>
      <c r="Y422" t="s">
        <v>31</v>
      </c>
      <c r="Z422" s="3">
        <v>1125.1600000000001</v>
      </c>
      <c r="AA422" t="s">
        <v>40</v>
      </c>
      <c r="AB422" t="s">
        <v>42</v>
      </c>
      <c r="AC422">
        <v>49</v>
      </c>
      <c r="AD422" t="s">
        <v>34</v>
      </c>
      <c r="AE422">
        <v>2657.22</v>
      </c>
      <c r="AF422">
        <v>0</v>
      </c>
    </row>
    <row r="423" spans="3:32" x14ac:dyDescent="0.35">
      <c r="C423" s="1">
        <v>43706</v>
      </c>
      <c r="D423" s="2">
        <v>43678</v>
      </c>
      <c r="E423">
        <v>1297</v>
      </c>
      <c r="F423" s="3">
        <v>3759.87</v>
      </c>
      <c r="G423" s="3">
        <v>3993.16</v>
      </c>
      <c r="H423" s="3">
        <v>-233.29</v>
      </c>
      <c r="I423" s="3">
        <v>1.06</v>
      </c>
      <c r="J423">
        <v>0.15</v>
      </c>
      <c r="K423">
        <v>2931.08</v>
      </c>
      <c r="L423" t="s">
        <v>39</v>
      </c>
      <c r="M423">
        <v>674</v>
      </c>
      <c r="N423">
        <v>0.27</v>
      </c>
      <c r="O423" s="3">
        <v>257.08999999999997</v>
      </c>
      <c r="P423" s="3">
        <v>7.0000000000000007E-2</v>
      </c>
      <c r="Q423" s="3">
        <v>636.33000000000004</v>
      </c>
      <c r="R423" s="3">
        <v>0.17</v>
      </c>
      <c r="S423">
        <v>2</v>
      </c>
      <c r="T423">
        <v>1725.63</v>
      </c>
      <c r="U423">
        <v>92</v>
      </c>
      <c r="V423">
        <v>0</v>
      </c>
      <c r="W423">
        <v>668.16</v>
      </c>
      <c r="X423">
        <v>2277.3200000000002</v>
      </c>
      <c r="Y423" t="s">
        <v>36</v>
      </c>
      <c r="Z423" s="3">
        <v>983.83</v>
      </c>
      <c r="AA423" t="s">
        <v>40</v>
      </c>
      <c r="AB423" t="s">
        <v>42</v>
      </c>
      <c r="AC423">
        <v>75.599999999999994</v>
      </c>
      <c r="AD423" t="s">
        <v>34</v>
      </c>
      <c r="AE423">
        <v>0</v>
      </c>
      <c r="AF423">
        <v>0</v>
      </c>
    </row>
    <row r="424" spans="3:32" x14ac:dyDescent="0.35">
      <c r="C424" s="1">
        <v>43706</v>
      </c>
      <c r="D424" s="2">
        <v>43678</v>
      </c>
      <c r="E424">
        <v>1645</v>
      </c>
      <c r="F424" s="3">
        <v>4708.68</v>
      </c>
      <c r="G424" s="3">
        <v>3491.93</v>
      </c>
      <c r="H424" s="3">
        <v>1216.75</v>
      </c>
      <c r="I424" s="3">
        <v>0.74</v>
      </c>
      <c r="J424">
        <v>0.22</v>
      </c>
      <c r="K424">
        <v>2315.08</v>
      </c>
      <c r="L424" t="s">
        <v>30</v>
      </c>
      <c r="M424">
        <v>659</v>
      </c>
      <c r="N424">
        <v>0.28000000000000003</v>
      </c>
      <c r="O424" s="3">
        <v>237.72</v>
      </c>
      <c r="P424" s="3">
        <v>0.05</v>
      </c>
      <c r="Q424" s="3">
        <v>354.54</v>
      </c>
      <c r="R424" s="3">
        <v>0.08</v>
      </c>
      <c r="S424">
        <v>7</v>
      </c>
      <c r="T424">
        <v>672.01</v>
      </c>
      <c r="U424">
        <v>27</v>
      </c>
      <c r="V424">
        <v>0</v>
      </c>
      <c r="W424">
        <v>375.62</v>
      </c>
      <c r="X424">
        <v>3003.59</v>
      </c>
      <c r="Y424" t="s">
        <v>36</v>
      </c>
      <c r="Z424" s="3">
        <v>937.73</v>
      </c>
      <c r="AA424" t="s">
        <v>32</v>
      </c>
      <c r="AB424" t="s">
        <v>42</v>
      </c>
      <c r="AC424">
        <v>40.5</v>
      </c>
      <c r="AD424" t="s">
        <v>43</v>
      </c>
      <c r="AE424">
        <v>1216.75</v>
      </c>
      <c r="AF424">
        <v>0</v>
      </c>
    </row>
    <row r="425" spans="3:32" x14ac:dyDescent="0.35">
      <c r="C425" s="1">
        <v>43706</v>
      </c>
      <c r="D425" s="2">
        <v>43678</v>
      </c>
      <c r="E425">
        <v>1423</v>
      </c>
      <c r="F425" s="3">
        <v>3348.56</v>
      </c>
      <c r="G425" s="3">
        <v>2438.94</v>
      </c>
      <c r="H425" s="3">
        <v>909.62</v>
      </c>
      <c r="I425" s="3">
        <v>0.73</v>
      </c>
      <c r="J425">
        <v>0.3</v>
      </c>
      <c r="K425">
        <v>3369.49</v>
      </c>
      <c r="L425" t="s">
        <v>39</v>
      </c>
      <c r="M425">
        <v>638</v>
      </c>
      <c r="N425">
        <v>0.24</v>
      </c>
      <c r="O425" s="3">
        <v>243.56</v>
      </c>
      <c r="P425" s="3">
        <v>7.0000000000000007E-2</v>
      </c>
      <c r="Q425" s="3">
        <v>712.26</v>
      </c>
      <c r="R425" s="3">
        <v>0.21</v>
      </c>
      <c r="S425">
        <v>7</v>
      </c>
      <c r="T425">
        <v>1333.03</v>
      </c>
      <c r="U425">
        <v>63</v>
      </c>
      <c r="V425">
        <v>0</v>
      </c>
      <c r="W425">
        <v>694.54</v>
      </c>
      <c r="X425">
        <v>2795.62</v>
      </c>
      <c r="Y425" t="s">
        <v>31</v>
      </c>
      <c r="Z425" s="3">
        <v>1614.57</v>
      </c>
      <c r="AA425" t="s">
        <v>46</v>
      </c>
      <c r="AB425" t="s">
        <v>44</v>
      </c>
      <c r="AC425">
        <v>55.8</v>
      </c>
      <c r="AD425" t="s">
        <v>34</v>
      </c>
      <c r="AE425">
        <v>909.62</v>
      </c>
      <c r="AF425">
        <v>0</v>
      </c>
    </row>
    <row r="426" spans="3:32" x14ac:dyDescent="0.35">
      <c r="C426" s="1">
        <v>43706</v>
      </c>
      <c r="D426" s="2">
        <v>43678</v>
      </c>
      <c r="E426">
        <v>1629</v>
      </c>
      <c r="F426" s="3">
        <v>2928.28</v>
      </c>
      <c r="G426" s="3">
        <v>1433.28</v>
      </c>
      <c r="H426" s="3">
        <v>1495</v>
      </c>
      <c r="I426" s="3">
        <v>0.49</v>
      </c>
      <c r="J426">
        <v>0.4</v>
      </c>
      <c r="K426">
        <v>2314.5300000000002</v>
      </c>
      <c r="L426" t="s">
        <v>39</v>
      </c>
      <c r="M426">
        <v>651</v>
      </c>
      <c r="N426">
        <v>0.48</v>
      </c>
      <c r="O426" s="3">
        <v>555.70000000000005</v>
      </c>
      <c r="P426" s="3">
        <v>0.19</v>
      </c>
      <c r="Q426" s="3">
        <v>244.24</v>
      </c>
      <c r="R426" s="3">
        <v>0.08</v>
      </c>
      <c r="S426">
        <v>7</v>
      </c>
      <c r="T426">
        <v>1992.36</v>
      </c>
      <c r="U426">
        <v>90</v>
      </c>
      <c r="V426">
        <v>0</v>
      </c>
      <c r="W426">
        <v>517.99</v>
      </c>
      <c r="X426">
        <v>2878.17</v>
      </c>
      <c r="Y426" t="s">
        <v>31</v>
      </c>
      <c r="Z426" s="3">
        <v>1494.44</v>
      </c>
      <c r="AA426" t="s">
        <v>45</v>
      </c>
      <c r="AB426" t="s">
        <v>44</v>
      </c>
      <c r="AC426">
        <v>22.6</v>
      </c>
      <c r="AD426" t="s">
        <v>34</v>
      </c>
      <c r="AE426">
        <v>1495</v>
      </c>
      <c r="AF426">
        <v>0</v>
      </c>
    </row>
    <row r="427" spans="3:32" x14ac:dyDescent="0.35">
      <c r="C427" s="1">
        <v>43706</v>
      </c>
      <c r="D427" s="2">
        <v>43678</v>
      </c>
      <c r="E427">
        <v>1770</v>
      </c>
      <c r="F427" s="3">
        <v>5401.29</v>
      </c>
      <c r="G427" s="3">
        <v>3667.52</v>
      </c>
      <c r="H427" s="3">
        <v>1733.77</v>
      </c>
      <c r="I427" s="3">
        <v>0.68</v>
      </c>
      <c r="J427">
        <v>0.38</v>
      </c>
      <c r="K427">
        <v>2057.15</v>
      </c>
      <c r="L427" t="s">
        <v>35</v>
      </c>
      <c r="M427">
        <v>662</v>
      </c>
      <c r="N427">
        <v>0.52</v>
      </c>
      <c r="O427" s="3">
        <v>422.71</v>
      </c>
      <c r="P427" s="3">
        <v>0.08</v>
      </c>
      <c r="Q427" s="3">
        <v>828.41</v>
      </c>
      <c r="R427" s="3">
        <v>0.15</v>
      </c>
      <c r="S427">
        <v>3</v>
      </c>
      <c r="T427">
        <v>603.30999999999995</v>
      </c>
      <c r="U427">
        <v>92</v>
      </c>
      <c r="V427">
        <v>0</v>
      </c>
      <c r="W427">
        <v>608.78</v>
      </c>
      <c r="X427">
        <v>2964.37</v>
      </c>
      <c r="Y427" t="s">
        <v>31</v>
      </c>
      <c r="Z427" s="3">
        <v>976.19</v>
      </c>
      <c r="AA427" t="s">
        <v>40</v>
      </c>
      <c r="AB427" t="s">
        <v>33</v>
      </c>
      <c r="AC427">
        <v>56.1</v>
      </c>
      <c r="AD427" t="s">
        <v>34</v>
      </c>
      <c r="AE427">
        <v>1733.77</v>
      </c>
      <c r="AF427">
        <v>0</v>
      </c>
    </row>
    <row r="428" spans="3:32" x14ac:dyDescent="0.35">
      <c r="C428" s="1">
        <v>43706</v>
      </c>
      <c r="D428" s="2">
        <v>43678</v>
      </c>
      <c r="E428">
        <v>1548</v>
      </c>
      <c r="F428" s="3">
        <v>3536.27</v>
      </c>
      <c r="G428" s="3">
        <v>2603.5</v>
      </c>
      <c r="H428" s="3">
        <v>932.77</v>
      </c>
      <c r="I428" s="3">
        <v>0.74</v>
      </c>
      <c r="J428">
        <v>0.26</v>
      </c>
      <c r="K428">
        <v>2996.39</v>
      </c>
      <c r="L428" t="s">
        <v>35</v>
      </c>
      <c r="M428">
        <v>697</v>
      </c>
      <c r="N428">
        <v>0.55000000000000004</v>
      </c>
      <c r="O428" s="3">
        <v>651.73</v>
      </c>
      <c r="P428" s="3">
        <v>0.18</v>
      </c>
      <c r="Q428" s="3">
        <v>363.09</v>
      </c>
      <c r="R428" s="3">
        <v>0.1</v>
      </c>
      <c r="S428">
        <v>6</v>
      </c>
      <c r="T428">
        <v>540.26</v>
      </c>
      <c r="U428">
        <v>32</v>
      </c>
      <c r="V428">
        <v>0</v>
      </c>
      <c r="W428">
        <v>236.07</v>
      </c>
      <c r="X428">
        <v>1881.39</v>
      </c>
      <c r="Y428" t="s">
        <v>36</v>
      </c>
      <c r="Z428" s="3">
        <v>1484.19</v>
      </c>
      <c r="AA428" t="s">
        <v>50</v>
      </c>
      <c r="AB428" t="s">
        <v>33</v>
      </c>
      <c r="AC428">
        <v>79.8</v>
      </c>
      <c r="AD428" t="s">
        <v>43</v>
      </c>
      <c r="AE428">
        <v>932.77</v>
      </c>
      <c r="AF428">
        <v>0</v>
      </c>
    </row>
    <row r="429" spans="3:32" x14ac:dyDescent="0.35">
      <c r="C429" s="1">
        <v>43706</v>
      </c>
      <c r="D429" s="2">
        <v>43678</v>
      </c>
      <c r="E429">
        <v>1669</v>
      </c>
      <c r="F429" s="3">
        <v>4345.13</v>
      </c>
      <c r="G429" s="3">
        <v>2819.94</v>
      </c>
      <c r="H429" s="3">
        <v>1525.19</v>
      </c>
      <c r="I429" s="3">
        <v>0.65</v>
      </c>
      <c r="J429">
        <v>0.38</v>
      </c>
      <c r="K429">
        <v>2765.32</v>
      </c>
      <c r="L429" t="s">
        <v>35</v>
      </c>
      <c r="M429">
        <v>556</v>
      </c>
      <c r="N429">
        <v>0.2</v>
      </c>
      <c r="O429" s="3">
        <v>501.96</v>
      </c>
      <c r="P429" s="3">
        <v>0.12</v>
      </c>
      <c r="Q429" s="3">
        <v>838.36</v>
      </c>
      <c r="R429" s="3">
        <v>0.19</v>
      </c>
      <c r="S429">
        <v>5</v>
      </c>
      <c r="T429">
        <v>1018.21</v>
      </c>
      <c r="U429">
        <v>38</v>
      </c>
      <c r="V429">
        <v>0</v>
      </c>
      <c r="W429">
        <v>445.35</v>
      </c>
      <c r="X429">
        <v>2234.88</v>
      </c>
      <c r="Y429" t="s">
        <v>49</v>
      </c>
      <c r="Z429" s="3">
        <v>1464.63</v>
      </c>
      <c r="AA429" t="s">
        <v>40</v>
      </c>
      <c r="AB429" t="s">
        <v>42</v>
      </c>
      <c r="AC429">
        <v>47.2</v>
      </c>
      <c r="AD429" t="s">
        <v>34</v>
      </c>
      <c r="AE429">
        <v>1525.19</v>
      </c>
      <c r="AF429">
        <v>0</v>
      </c>
    </row>
    <row r="430" spans="3:32" x14ac:dyDescent="0.35">
      <c r="C430" s="1">
        <v>43706</v>
      </c>
      <c r="D430" s="2">
        <v>43678</v>
      </c>
      <c r="E430">
        <v>1402</v>
      </c>
      <c r="F430" s="3">
        <v>4043.37</v>
      </c>
      <c r="G430" s="3">
        <v>2346.0700000000002</v>
      </c>
      <c r="H430" s="3">
        <v>1697.3</v>
      </c>
      <c r="I430" s="3">
        <v>0.57999999999999996</v>
      </c>
      <c r="J430">
        <v>0.3</v>
      </c>
      <c r="K430">
        <v>3538.39</v>
      </c>
      <c r="L430" t="s">
        <v>39</v>
      </c>
      <c r="M430">
        <v>750</v>
      </c>
      <c r="N430">
        <v>0.28000000000000003</v>
      </c>
      <c r="O430" s="3">
        <v>359.93</v>
      </c>
      <c r="P430" s="3">
        <v>0.09</v>
      </c>
      <c r="Q430" s="3">
        <v>456.42</v>
      </c>
      <c r="R430" s="3">
        <v>0.11</v>
      </c>
      <c r="S430">
        <v>2</v>
      </c>
      <c r="T430">
        <v>1183.1099999999999</v>
      </c>
      <c r="U430">
        <v>72</v>
      </c>
      <c r="V430">
        <v>0</v>
      </c>
      <c r="W430">
        <v>959.91</v>
      </c>
      <c r="X430">
        <v>3014.02</v>
      </c>
      <c r="Y430" t="s">
        <v>31</v>
      </c>
      <c r="Z430" s="3">
        <v>960.56</v>
      </c>
      <c r="AA430" t="s">
        <v>32</v>
      </c>
      <c r="AB430" t="s">
        <v>33</v>
      </c>
      <c r="AC430">
        <v>47.1</v>
      </c>
      <c r="AD430" t="s">
        <v>34</v>
      </c>
      <c r="AE430">
        <v>1697.3</v>
      </c>
      <c r="AF430">
        <v>0</v>
      </c>
    </row>
    <row r="431" spans="3:32" x14ac:dyDescent="0.35">
      <c r="C431" s="1">
        <v>43706</v>
      </c>
      <c r="D431" s="2">
        <v>43678</v>
      </c>
      <c r="E431">
        <v>1330</v>
      </c>
      <c r="F431" s="3">
        <v>3337.68</v>
      </c>
      <c r="G431" s="3">
        <v>3131.63</v>
      </c>
      <c r="H431" s="3">
        <v>206.05</v>
      </c>
      <c r="I431" s="3">
        <v>0.94</v>
      </c>
      <c r="J431">
        <v>0.32</v>
      </c>
      <c r="K431">
        <v>2633.47</v>
      </c>
      <c r="L431" t="s">
        <v>39</v>
      </c>
      <c r="M431">
        <v>708</v>
      </c>
      <c r="N431">
        <v>0.22</v>
      </c>
      <c r="O431" s="3">
        <v>565.55999999999995</v>
      </c>
      <c r="P431" s="3">
        <v>0.17</v>
      </c>
      <c r="Q431" s="3">
        <v>347.21</v>
      </c>
      <c r="R431" s="3">
        <v>0.1</v>
      </c>
      <c r="S431">
        <v>9</v>
      </c>
      <c r="T431">
        <v>1009.97</v>
      </c>
      <c r="U431">
        <v>79</v>
      </c>
      <c r="V431">
        <v>0</v>
      </c>
      <c r="W431">
        <v>439.11</v>
      </c>
      <c r="X431">
        <v>2319.6999999999998</v>
      </c>
      <c r="Y431" t="s">
        <v>36</v>
      </c>
      <c r="Z431" s="3">
        <v>1200.3</v>
      </c>
      <c r="AA431" t="s">
        <v>41</v>
      </c>
      <c r="AB431" t="s">
        <v>33</v>
      </c>
      <c r="AC431">
        <v>9.4</v>
      </c>
      <c r="AD431" t="s">
        <v>43</v>
      </c>
      <c r="AE431">
        <v>206.05</v>
      </c>
      <c r="AF431">
        <v>0</v>
      </c>
    </row>
    <row r="432" spans="3:32" x14ac:dyDescent="0.35">
      <c r="C432" s="1">
        <v>43706</v>
      </c>
      <c r="D432" s="2">
        <v>43678</v>
      </c>
      <c r="E432">
        <v>1183</v>
      </c>
      <c r="F432" s="3">
        <v>3335.29</v>
      </c>
      <c r="G432" s="3">
        <v>4431.57</v>
      </c>
      <c r="H432" s="3">
        <v>-1096.28</v>
      </c>
      <c r="I432" s="3">
        <v>1.33</v>
      </c>
      <c r="J432">
        <v>0.3</v>
      </c>
      <c r="K432">
        <v>2721.65</v>
      </c>
      <c r="L432" t="s">
        <v>35</v>
      </c>
      <c r="M432">
        <v>686</v>
      </c>
      <c r="N432">
        <v>0.24</v>
      </c>
      <c r="O432" s="3">
        <v>386.68</v>
      </c>
      <c r="P432" s="3">
        <v>0.12</v>
      </c>
      <c r="Q432" s="3">
        <v>153.58000000000001</v>
      </c>
      <c r="R432" s="3">
        <v>0.05</v>
      </c>
      <c r="S432">
        <v>4</v>
      </c>
      <c r="T432">
        <v>1154.56</v>
      </c>
      <c r="U432">
        <v>51</v>
      </c>
      <c r="V432">
        <v>0</v>
      </c>
      <c r="W432">
        <v>522.07000000000005</v>
      </c>
      <c r="X432">
        <v>2007.5</v>
      </c>
      <c r="Y432" t="s">
        <v>36</v>
      </c>
      <c r="Z432" s="3">
        <v>2096.34</v>
      </c>
      <c r="AA432" t="s">
        <v>45</v>
      </c>
      <c r="AB432" t="s">
        <v>33</v>
      </c>
      <c r="AC432">
        <v>82.4</v>
      </c>
      <c r="AD432" t="s">
        <v>38</v>
      </c>
      <c r="AE432">
        <v>0</v>
      </c>
      <c r="AF432">
        <v>0</v>
      </c>
    </row>
    <row r="433" spans="3:32" x14ac:dyDescent="0.35">
      <c r="C433" s="1">
        <v>43706</v>
      </c>
      <c r="D433" s="2">
        <v>43678</v>
      </c>
      <c r="E433">
        <v>1212</v>
      </c>
      <c r="F433" s="3">
        <v>3982.15</v>
      </c>
      <c r="G433" s="3">
        <v>1987.45</v>
      </c>
      <c r="H433" s="3">
        <v>1994.7</v>
      </c>
      <c r="I433" s="3">
        <v>0.5</v>
      </c>
      <c r="J433">
        <v>0.12</v>
      </c>
      <c r="K433">
        <v>2288.14</v>
      </c>
      <c r="L433" t="s">
        <v>35</v>
      </c>
      <c r="M433">
        <v>666</v>
      </c>
      <c r="N433">
        <v>0.56000000000000005</v>
      </c>
      <c r="O433" s="3">
        <v>514.24</v>
      </c>
      <c r="P433" s="3">
        <v>0.13</v>
      </c>
      <c r="Q433" s="3">
        <v>158.99</v>
      </c>
      <c r="R433" s="3">
        <v>0.04</v>
      </c>
      <c r="S433">
        <v>2</v>
      </c>
      <c r="T433">
        <v>1228.02</v>
      </c>
      <c r="U433">
        <v>48</v>
      </c>
      <c r="V433">
        <v>0</v>
      </c>
      <c r="W433">
        <v>154.93</v>
      </c>
      <c r="X433">
        <v>1286.58</v>
      </c>
      <c r="Y433" t="s">
        <v>31</v>
      </c>
      <c r="Z433" s="3">
        <v>781.28</v>
      </c>
      <c r="AA433" t="s">
        <v>51</v>
      </c>
      <c r="AB433" t="s">
        <v>33</v>
      </c>
      <c r="AC433">
        <v>70.7</v>
      </c>
      <c r="AD433" t="s">
        <v>34</v>
      </c>
      <c r="AE433">
        <v>1994.7</v>
      </c>
      <c r="AF433">
        <v>0</v>
      </c>
    </row>
    <row r="434" spans="3:32" x14ac:dyDescent="0.35">
      <c r="C434" s="1">
        <v>43706</v>
      </c>
      <c r="D434" s="2">
        <v>43678</v>
      </c>
      <c r="E434">
        <v>1683</v>
      </c>
      <c r="F434" s="3">
        <v>4162.16</v>
      </c>
      <c r="G434" s="3">
        <v>2769.09</v>
      </c>
      <c r="H434" s="3">
        <v>1393.07</v>
      </c>
      <c r="I434" s="3">
        <v>0.67</v>
      </c>
      <c r="J434">
        <v>0.28999999999999998</v>
      </c>
      <c r="K434">
        <v>2095.87</v>
      </c>
      <c r="L434" t="s">
        <v>35</v>
      </c>
      <c r="M434">
        <v>677</v>
      </c>
      <c r="N434">
        <v>0.51</v>
      </c>
      <c r="O434" s="3">
        <v>296.51</v>
      </c>
      <c r="P434" s="3">
        <v>7.0000000000000007E-2</v>
      </c>
      <c r="Q434" s="3">
        <v>73.28</v>
      </c>
      <c r="R434" s="3">
        <v>0.02</v>
      </c>
      <c r="S434">
        <v>4</v>
      </c>
      <c r="T434">
        <v>921.09</v>
      </c>
      <c r="U434">
        <v>54</v>
      </c>
      <c r="V434">
        <v>0</v>
      </c>
      <c r="W434">
        <v>158.12</v>
      </c>
      <c r="X434">
        <v>2358.79</v>
      </c>
      <c r="Y434" t="s">
        <v>31</v>
      </c>
      <c r="Z434" s="3">
        <v>1055.29</v>
      </c>
      <c r="AA434" t="s">
        <v>40</v>
      </c>
      <c r="AB434" t="s">
        <v>33</v>
      </c>
      <c r="AC434">
        <v>94.2</v>
      </c>
      <c r="AD434" t="s">
        <v>38</v>
      </c>
      <c r="AE434">
        <v>1393.07</v>
      </c>
      <c r="AF434">
        <v>0</v>
      </c>
    </row>
    <row r="435" spans="3:32" x14ac:dyDescent="0.35">
      <c r="C435" s="1">
        <v>43706</v>
      </c>
      <c r="D435" s="2">
        <v>43678</v>
      </c>
      <c r="E435">
        <v>1695</v>
      </c>
      <c r="F435" s="3">
        <v>4567.5200000000004</v>
      </c>
      <c r="G435" s="3">
        <v>3845.59</v>
      </c>
      <c r="H435" s="3">
        <v>721.93</v>
      </c>
      <c r="I435" s="3">
        <v>0.84</v>
      </c>
      <c r="J435">
        <v>0.21</v>
      </c>
      <c r="K435">
        <v>1995.9</v>
      </c>
      <c r="L435" t="s">
        <v>39</v>
      </c>
      <c r="M435">
        <v>694</v>
      </c>
      <c r="N435">
        <v>0.37</v>
      </c>
      <c r="O435" s="3">
        <v>313.88</v>
      </c>
      <c r="P435" s="3">
        <v>7.0000000000000007E-2</v>
      </c>
      <c r="Q435" s="3">
        <v>0</v>
      </c>
      <c r="R435" s="3">
        <v>0</v>
      </c>
      <c r="S435">
        <v>6</v>
      </c>
      <c r="T435">
        <v>0</v>
      </c>
      <c r="U435">
        <v>22</v>
      </c>
      <c r="V435">
        <v>0</v>
      </c>
      <c r="W435">
        <v>311.83</v>
      </c>
      <c r="X435">
        <v>1904.77</v>
      </c>
      <c r="Y435" t="s">
        <v>31</v>
      </c>
      <c r="Z435" s="3">
        <v>1376.42</v>
      </c>
      <c r="AA435" t="s">
        <v>51</v>
      </c>
      <c r="AB435" t="s">
        <v>33</v>
      </c>
      <c r="AC435">
        <v>18.5</v>
      </c>
      <c r="AD435" t="s">
        <v>34</v>
      </c>
      <c r="AE435">
        <v>721.93</v>
      </c>
      <c r="AF435">
        <v>0</v>
      </c>
    </row>
    <row r="436" spans="3:32" x14ac:dyDescent="0.35">
      <c r="C436" s="1">
        <v>43706</v>
      </c>
      <c r="D436" s="2">
        <v>43678</v>
      </c>
      <c r="E436">
        <v>1888</v>
      </c>
      <c r="F436" s="3">
        <v>3705.7</v>
      </c>
      <c r="G436" s="3">
        <v>3096.15</v>
      </c>
      <c r="H436" s="3">
        <v>609.54999999999995</v>
      </c>
      <c r="I436" s="3">
        <v>0.84</v>
      </c>
      <c r="J436">
        <v>0.34</v>
      </c>
      <c r="K436">
        <v>3409.55</v>
      </c>
      <c r="L436" t="s">
        <v>30</v>
      </c>
      <c r="M436">
        <v>789</v>
      </c>
      <c r="N436">
        <v>0.28000000000000003</v>
      </c>
      <c r="O436" s="3">
        <v>246.21</v>
      </c>
      <c r="P436" s="3">
        <v>7.0000000000000007E-2</v>
      </c>
      <c r="Q436" s="3">
        <v>383.64</v>
      </c>
      <c r="R436" s="3">
        <v>0.1</v>
      </c>
      <c r="S436">
        <v>7</v>
      </c>
      <c r="T436">
        <v>520.39</v>
      </c>
      <c r="U436">
        <v>28</v>
      </c>
      <c r="V436">
        <v>0</v>
      </c>
      <c r="W436">
        <v>221.17</v>
      </c>
      <c r="X436">
        <v>1444.1</v>
      </c>
      <c r="Y436" t="s">
        <v>49</v>
      </c>
      <c r="Z436" s="3">
        <v>829.53</v>
      </c>
      <c r="AA436" t="s">
        <v>46</v>
      </c>
      <c r="AB436" t="s">
        <v>33</v>
      </c>
      <c r="AC436">
        <v>91.4</v>
      </c>
      <c r="AD436" t="s">
        <v>34</v>
      </c>
      <c r="AE436">
        <v>609.54999999999995</v>
      </c>
      <c r="AF436">
        <v>0</v>
      </c>
    </row>
    <row r="437" spans="3:32" x14ac:dyDescent="0.35">
      <c r="C437" s="1">
        <v>43706</v>
      </c>
      <c r="D437" s="2">
        <v>43678</v>
      </c>
      <c r="E437">
        <v>1940</v>
      </c>
      <c r="F437" s="3">
        <v>4963.1099999999997</v>
      </c>
      <c r="G437" s="3">
        <v>2114.38</v>
      </c>
      <c r="H437" s="3">
        <v>2848.73</v>
      </c>
      <c r="I437" s="3">
        <v>0.43</v>
      </c>
      <c r="J437">
        <v>0.18</v>
      </c>
      <c r="K437">
        <v>3074.25</v>
      </c>
      <c r="L437" t="s">
        <v>30</v>
      </c>
      <c r="M437">
        <v>650</v>
      </c>
      <c r="N437">
        <v>0.53</v>
      </c>
      <c r="O437" s="3">
        <v>385.78</v>
      </c>
      <c r="P437" s="3">
        <v>0.08</v>
      </c>
      <c r="Q437" s="3">
        <v>169.69</v>
      </c>
      <c r="R437" s="3">
        <v>0.03</v>
      </c>
      <c r="S437">
        <v>9</v>
      </c>
      <c r="T437">
        <v>1457.37</v>
      </c>
      <c r="U437">
        <v>82</v>
      </c>
      <c r="V437">
        <v>0</v>
      </c>
      <c r="W437">
        <v>512.96</v>
      </c>
      <c r="X437">
        <v>2440.5100000000002</v>
      </c>
      <c r="Y437" t="s">
        <v>49</v>
      </c>
      <c r="Z437" s="3">
        <v>1105.3800000000001</v>
      </c>
      <c r="AA437" t="s">
        <v>48</v>
      </c>
      <c r="AB437" t="s">
        <v>33</v>
      </c>
      <c r="AC437">
        <v>13</v>
      </c>
      <c r="AD437" t="s">
        <v>34</v>
      </c>
      <c r="AE437">
        <v>2848.73</v>
      </c>
      <c r="AF437">
        <v>0</v>
      </c>
    </row>
    <row r="438" spans="3:32" x14ac:dyDescent="0.35">
      <c r="C438" s="1">
        <v>43706</v>
      </c>
      <c r="D438" s="2">
        <v>43678</v>
      </c>
      <c r="E438">
        <v>1064</v>
      </c>
      <c r="F438" s="3">
        <v>3248.45</v>
      </c>
      <c r="G438" s="3">
        <v>3543.08</v>
      </c>
      <c r="H438" s="3">
        <v>-294.63</v>
      </c>
      <c r="I438" s="3">
        <v>1.0900000000000001</v>
      </c>
      <c r="J438">
        <v>0.18</v>
      </c>
      <c r="K438">
        <v>3388</v>
      </c>
      <c r="L438" t="s">
        <v>35</v>
      </c>
      <c r="M438">
        <v>645</v>
      </c>
      <c r="N438">
        <v>0.32</v>
      </c>
      <c r="O438" s="3">
        <v>370.96</v>
      </c>
      <c r="P438" s="3">
        <v>0.11</v>
      </c>
      <c r="Q438" s="3">
        <v>506.02</v>
      </c>
      <c r="R438" s="3">
        <v>0.16</v>
      </c>
      <c r="S438">
        <v>6</v>
      </c>
      <c r="T438">
        <v>864.63</v>
      </c>
      <c r="U438">
        <v>31</v>
      </c>
      <c r="V438">
        <v>0</v>
      </c>
      <c r="W438">
        <v>572.55999999999995</v>
      </c>
      <c r="X438">
        <v>2542.38</v>
      </c>
      <c r="Y438" t="s">
        <v>49</v>
      </c>
      <c r="Z438" s="3">
        <v>1326.8</v>
      </c>
      <c r="AA438" t="s">
        <v>32</v>
      </c>
      <c r="AB438" t="s">
        <v>42</v>
      </c>
      <c r="AC438">
        <v>41.2</v>
      </c>
      <c r="AD438" t="s">
        <v>34</v>
      </c>
      <c r="AE438">
        <v>0</v>
      </c>
      <c r="AF438">
        <v>0</v>
      </c>
    </row>
    <row r="439" spans="3:32" x14ac:dyDescent="0.35">
      <c r="C439" s="1">
        <v>43706</v>
      </c>
      <c r="D439" s="2">
        <v>43678</v>
      </c>
      <c r="E439">
        <v>1361</v>
      </c>
      <c r="F439" s="3">
        <v>2299.83</v>
      </c>
      <c r="G439" s="3">
        <v>3381.44</v>
      </c>
      <c r="H439" s="3">
        <v>-1081.6099999999999</v>
      </c>
      <c r="I439" s="3">
        <v>1.47</v>
      </c>
      <c r="J439">
        <v>0.17</v>
      </c>
      <c r="K439">
        <v>2504.7600000000002</v>
      </c>
      <c r="L439" t="s">
        <v>35</v>
      </c>
      <c r="M439">
        <v>740</v>
      </c>
      <c r="N439">
        <v>0.47</v>
      </c>
      <c r="O439" s="3">
        <v>508.06</v>
      </c>
      <c r="P439" s="3">
        <v>0.22</v>
      </c>
      <c r="Q439" s="3">
        <v>742.51</v>
      </c>
      <c r="R439" s="3">
        <v>0.32</v>
      </c>
      <c r="S439">
        <v>7</v>
      </c>
      <c r="T439">
        <v>729.88</v>
      </c>
      <c r="U439">
        <v>66</v>
      </c>
      <c r="V439">
        <v>0</v>
      </c>
      <c r="W439">
        <v>699.82</v>
      </c>
      <c r="X439">
        <v>1815.15</v>
      </c>
      <c r="Y439" t="s">
        <v>36</v>
      </c>
      <c r="Z439" s="3">
        <v>1349.08</v>
      </c>
      <c r="AA439" t="s">
        <v>47</v>
      </c>
      <c r="AB439" t="s">
        <v>44</v>
      </c>
      <c r="AC439">
        <v>83.4</v>
      </c>
      <c r="AD439" t="s">
        <v>34</v>
      </c>
      <c r="AE439">
        <v>0</v>
      </c>
      <c r="AF439">
        <v>0</v>
      </c>
    </row>
    <row r="440" spans="3:32" x14ac:dyDescent="0.35">
      <c r="C440" s="1">
        <v>43706</v>
      </c>
      <c r="D440" s="2">
        <v>43678</v>
      </c>
      <c r="E440">
        <v>1856</v>
      </c>
      <c r="F440" s="3">
        <v>3839.81</v>
      </c>
      <c r="G440" s="3">
        <v>3850.24</v>
      </c>
      <c r="H440" s="3">
        <v>-10.43</v>
      </c>
      <c r="I440" s="3">
        <v>1</v>
      </c>
      <c r="J440">
        <v>0.39</v>
      </c>
      <c r="K440">
        <v>3066.87</v>
      </c>
      <c r="L440" t="s">
        <v>39</v>
      </c>
      <c r="M440">
        <v>738</v>
      </c>
      <c r="N440">
        <v>0.37</v>
      </c>
      <c r="O440" s="3">
        <v>36.380000000000003</v>
      </c>
      <c r="P440" s="3">
        <v>0.01</v>
      </c>
      <c r="Q440" s="3">
        <v>269.63</v>
      </c>
      <c r="R440" s="3">
        <v>7.0000000000000007E-2</v>
      </c>
      <c r="S440">
        <v>2</v>
      </c>
      <c r="T440">
        <v>1677.24</v>
      </c>
      <c r="U440">
        <v>89</v>
      </c>
      <c r="V440">
        <v>0</v>
      </c>
      <c r="W440">
        <v>434.05</v>
      </c>
      <c r="X440">
        <v>1000</v>
      </c>
      <c r="Y440" t="s">
        <v>36</v>
      </c>
      <c r="Z440" s="3">
        <v>1415.55</v>
      </c>
      <c r="AA440" t="s">
        <v>40</v>
      </c>
      <c r="AB440" t="s">
        <v>42</v>
      </c>
      <c r="AC440">
        <v>24.5</v>
      </c>
      <c r="AD440" t="s">
        <v>38</v>
      </c>
      <c r="AE440">
        <v>0</v>
      </c>
      <c r="AF440">
        <v>0</v>
      </c>
    </row>
    <row r="441" spans="3:32" x14ac:dyDescent="0.35">
      <c r="C441" s="1">
        <v>43706</v>
      </c>
      <c r="D441" s="2">
        <v>43678</v>
      </c>
      <c r="E441">
        <v>1529</v>
      </c>
      <c r="F441" s="3">
        <v>5363.63</v>
      </c>
      <c r="G441" s="3">
        <v>3374.67</v>
      </c>
      <c r="H441" s="3">
        <v>1988.96</v>
      </c>
      <c r="I441" s="3">
        <v>0.63</v>
      </c>
      <c r="J441">
        <v>7.0000000000000007E-2</v>
      </c>
      <c r="K441">
        <v>2877.08</v>
      </c>
      <c r="L441" t="s">
        <v>35</v>
      </c>
      <c r="M441">
        <v>689</v>
      </c>
      <c r="N441">
        <v>0.37</v>
      </c>
      <c r="O441" s="3">
        <v>730.61</v>
      </c>
      <c r="P441" s="3">
        <v>0.14000000000000001</v>
      </c>
      <c r="Q441" s="3">
        <v>48.38</v>
      </c>
      <c r="R441" s="3">
        <v>0.01</v>
      </c>
      <c r="S441">
        <v>8</v>
      </c>
      <c r="T441">
        <v>604.51</v>
      </c>
      <c r="U441">
        <v>21</v>
      </c>
      <c r="V441">
        <v>0</v>
      </c>
      <c r="W441">
        <v>557</v>
      </c>
      <c r="X441">
        <v>2468.79</v>
      </c>
      <c r="Y441" t="s">
        <v>31</v>
      </c>
      <c r="Z441" s="3">
        <v>1399.46</v>
      </c>
      <c r="AA441" t="s">
        <v>41</v>
      </c>
      <c r="AB441" t="s">
        <v>33</v>
      </c>
      <c r="AC441">
        <v>43.4</v>
      </c>
      <c r="AD441" t="s">
        <v>34</v>
      </c>
      <c r="AE441">
        <v>1988.96</v>
      </c>
      <c r="AF441">
        <v>0</v>
      </c>
    </row>
    <row r="442" spans="3:32" x14ac:dyDescent="0.35">
      <c r="C442" s="1">
        <v>43706</v>
      </c>
      <c r="D442" s="2">
        <v>43678</v>
      </c>
      <c r="E442">
        <v>1094</v>
      </c>
      <c r="F442" s="3">
        <v>4157.9799999999996</v>
      </c>
      <c r="G442" s="3">
        <v>3327.52</v>
      </c>
      <c r="H442" s="3">
        <v>830.46</v>
      </c>
      <c r="I442" s="3">
        <v>0.8</v>
      </c>
      <c r="J442">
        <v>0.14000000000000001</v>
      </c>
      <c r="K442">
        <v>3434.96</v>
      </c>
      <c r="L442" t="s">
        <v>35</v>
      </c>
      <c r="M442">
        <v>767</v>
      </c>
      <c r="N442">
        <v>0.46</v>
      </c>
      <c r="O442" s="3">
        <v>629.48</v>
      </c>
      <c r="P442" s="3">
        <v>0.15</v>
      </c>
      <c r="Q442" s="3">
        <v>448.39</v>
      </c>
      <c r="R442" s="3">
        <v>0.11</v>
      </c>
      <c r="S442">
        <v>7</v>
      </c>
      <c r="T442">
        <v>826.59</v>
      </c>
      <c r="U442">
        <v>28</v>
      </c>
      <c r="V442">
        <v>0</v>
      </c>
      <c r="W442">
        <v>562.42999999999995</v>
      </c>
      <c r="X442">
        <v>2066.85</v>
      </c>
      <c r="Y442" t="s">
        <v>36</v>
      </c>
      <c r="Z442" s="3">
        <v>1403.3</v>
      </c>
      <c r="AA442" t="s">
        <v>46</v>
      </c>
      <c r="AB442" t="s">
        <v>42</v>
      </c>
      <c r="AC442">
        <v>50.8</v>
      </c>
      <c r="AD442" t="s">
        <v>34</v>
      </c>
      <c r="AE442">
        <v>830.46</v>
      </c>
      <c r="AF442">
        <v>0</v>
      </c>
    </row>
    <row r="443" spans="3:32" x14ac:dyDescent="0.35">
      <c r="C443" s="1">
        <v>43706</v>
      </c>
      <c r="D443" s="2">
        <v>43678</v>
      </c>
      <c r="E443">
        <v>1705</v>
      </c>
      <c r="F443" s="3">
        <v>3207.33</v>
      </c>
      <c r="G443" s="3">
        <v>3144.3</v>
      </c>
      <c r="H443" s="3">
        <v>63.03</v>
      </c>
      <c r="I443" s="3">
        <v>0.98</v>
      </c>
      <c r="J443">
        <v>7.0000000000000007E-2</v>
      </c>
      <c r="K443">
        <v>2011.84</v>
      </c>
      <c r="L443" t="s">
        <v>35</v>
      </c>
      <c r="M443">
        <v>655</v>
      </c>
      <c r="N443">
        <v>0.51</v>
      </c>
      <c r="O443" s="3">
        <v>60.63</v>
      </c>
      <c r="P443" s="3">
        <v>0.02</v>
      </c>
      <c r="Q443" s="3">
        <v>956.98</v>
      </c>
      <c r="R443" s="3">
        <v>0.3</v>
      </c>
      <c r="S443">
        <v>5</v>
      </c>
      <c r="T443">
        <v>656.3</v>
      </c>
      <c r="U443">
        <v>86</v>
      </c>
      <c r="V443">
        <v>0</v>
      </c>
      <c r="W443">
        <v>184.1</v>
      </c>
      <c r="X443">
        <v>1307.69</v>
      </c>
      <c r="Y443" t="s">
        <v>49</v>
      </c>
      <c r="Z443" s="3">
        <v>859.69</v>
      </c>
      <c r="AA443" t="s">
        <v>47</v>
      </c>
      <c r="AB443" t="s">
        <v>33</v>
      </c>
      <c r="AC443">
        <v>19.2</v>
      </c>
      <c r="AD443" t="s">
        <v>34</v>
      </c>
      <c r="AE443">
        <v>63.03</v>
      </c>
      <c r="AF443">
        <v>0</v>
      </c>
    </row>
    <row r="444" spans="3:32" x14ac:dyDescent="0.35">
      <c r="C444" s="1">
        <v>43706</v>
      </c>
      <c r="D444" s="2">
        <v>43678</v>
      </c>
      <c r="E444">
        <v>1565</v>
      </c>
      <c r="F444" s="3">
        <v>4791.07</v>
      </c>
      <c r="G444" s="3">
        <v>2547.23</v>
      </c>
      <c r="H444" s="3">
        <v>2243.84</v>
      </c>
      <c r="I444" s="3">
        <v>0.53</v>
      </c>
      <c r="J444">
        <v>0.2</v>
      </c>
      <c r="K444">
        <v>3765.74</v>
      </c>
      <c r="L444" t="s">
        <v>35</v>
      </c>
      <c r="M444">
        <v>641</v>
      </c>
      <c r="N444">
        <v>0.1</v>
      </c>
      <c r="O444" s="3">
        <v>957.01</v>
      </c>
      <c r="P444" s="3">
        <v>0.2</v>
      </c>
      <c r="Q444" s="3">
        <v>256.62</v>
      </c>
      <c r="R444" s="3">
        <v>0.05</v>
      </c>
      <c r="S444">
        <v>9</v>
      </c>
      <c r="T444">
        <v>1194.3</v>
      </c>
      <c r="U444">
        <v>30</v>
      </c>
      <c r="V444">
        <v>0</v>
      </c>
      <c r="W444">
        <v>479.48</v>
      </c>
      <c r="X444">
        <v>3235.56</v>
      </c>
      <c r="Y444" t="s">
        <v>49</v>
      </c>
      <c r="Z444" s="3">
        <v>1733.3</v>
      </c>
      <c r="AA444" t="s">
        <v>37</v>
      </c>
      <c r="AB444" t="s">
        <v>42</v>
      </c>
      <c r="AC444">
        <v>13.1</v>
      </c>
      <c r="AD444" t="s">
        <v>34</v>
      </c>
      <c r="AE444">
        <v>2243.84</v>
      </c>
      <c r="AF444">
        <v>0</v>
      </c>
    </row>
    <row r="445" spans="3:32" x14ac:dyDescent="0.35">
      <c r="C445" s="1">
        <v>43706</v>
      </c>
      <c r="D445" s="2">
        <v>43678</v>
      </c>
      <c r="E445">
        <v>1829</v>
      </c>
      <c r="F445" s="3">
        <v>2925.98</v>
      </c>
      <c r="G445" s="3">
        <v>3851.42</v>
      </c>
      <c r="H445" s="3">
        <v>-925.44</v>
      </c>
      <c r="I445" s="3">
        <v>1.32</v>
      </c>
      <c r="J445">
        <v>0.08</v>
      </c>
      <c r="K445">
        <v>3612.55</v>
      </c>
      <c r="L445" t="s">
        <v>39</v>
      </c>
      <c r="M445">
        <v>812</v>
      </c>
      <c r="N445">
        <v>0.55000000000000004</v>
      </c>
      <c r="O445" s="3">
        <v>452.95</v>
      </c>
      <c r="P445" s="3">
        <v>0.15</v>
      </c>
      <c r="Q445" s="3">
        <v>363.97</v>
      </c>
      <c r="R445" s="3">
        <v>0.12</v>
      </c>
      <c r="S445">
        <v>1</v>
      </c>
      <c r="T445">
        <v>464</v>
      </c>
      <c r="U445">
        <v>80</v>
      </c>
      <c r="V445">
        <v>0</v>
      </c>
      <c r="W445">
        <v>488.6</v>
      </c>
      <c r="X445">
        <v>2102.23</v>
      </c>
      <c r="Y445" t="s">
        <v>36</v>
      </c>
      <c r="Z445" s="3">
        <v>1631.4</v>
      </c>
      <c r="AA445" t="s">
        <v>50</v>
      </c>
      <c r="AB445" t="s">
        <v>44</v>
      </c>
      <c r="AC445">
        <v>7.4</v>
      </c>
      <c r="AD445" t="s">
        <v>34</v>
      </c>
      <c r="AE445">
        <v>0</v>
      </c>
      <c r="AF445">
        <v>0</v>
      </c>
    </row>
    <row r="446" spans="3:32" x14ac:dyDescent="0.35">
      <c r="C446" s="1">
        <v>43706</v>
      </c>
      <c r="D446" s="2">
        <v>43678</v>
      </c>
      <c r="E446">
        <v>1823</v>
      </c>
      <c r="F446" s="3">
        <v>3139.62</v>
      </c>
      <c r="G446" s="3">
        <v>4186.8900000000003</v>
      </c>
      <c r="H446" s="3">
        <v>-1047.27</v>
      </c>
      <c r="I446" s="3">
        <v>1.33</v>
      </c>
      <c r="J446">
        <v>0.3</v>
      </c>
      <c r="K446">
        <v>2431.98</v>
      </c>
      <c r="L446" t="s">
        <v>30</v>
      </c>
      <c r="M446">
        <v>694</v>
      </c>
      <c r="N446">
        <v>0.52</v>
      </c>
      <c r="O446" s="3">
        <v>359.36</v>
      </c>
      <c r="P446" s="3">
        <v>0.11</v>
      </c>
      <c r="Q446" s="3">
        <v>581.41</v>
      </c>
      <c r="R446" s="3">
        <v>0.19</v>
      </c>
      <c r="S446">
        <v>5</v>
      </c>
      <c r="T446">
        <v>1378.33</v>
      </c>
      <c r="U446">
        <v>88</v>
      </c>
      <c r="V446">
        <v>0</v>
      </c>
      <c r="W446">
        <v>246.46</v>
      </c>
      <c r="X446">
        <v>2463.0500000000002</v>
      </c>
      <c r="Y446" t="s">
        <v>49</v>
      </c>
      <c r="Z446" s="3">
        <v>1017.52</v>
      </c>
      <c r="AA446" t="s">
        <v>45</v>
      </c>
      <c r="AB446" t="s">
        <v>44</v>
      </c>
      <c r="AC446">
        <v>16.5</v>
      </c>
      <c r="AD446" t="s">
        <v>34</v>
      </c>
      <c r="AE446">
        <v>0</v>
      </c>
      <c r="AF446">
        <v>0</v>
      </c>
    </row>
    <row r="447" spans="3:32" x14ac:dyDescent="0.35">
      <c r="C447" s="1">
        <v>43706</v>
      </c>
      <c r="D447" s="2">
        <v>43678</v>
      </c>
      <c r="E447">
        <v>1649</v>
      </c>
      <c r="F447" s="3">
        <v>4543.47</v>
      </c>
      <c r="G447" s="3">
        <v>2187.2600000000002</v>
      </c>
      <c r="H447" s="3">
        <v>2356.21</v>
      </c>
      <c r="I447" s="3">
        <v>0.48</v>
      </c>
      <c r="J447">
        <v>0.09</v>
      </c>
      <c r="K447">
        <v>2771.86</v>
      </c>
      <c r="L447" t="s">
        <v>35</v>
      </c>
      <c r="M447">
        <v>698</v>
      </c>
      <c r="N447">
        <v>0.3</v>
      </c>
      <c r="O447" s="3">
        <v>399.66</v>
      </c>
      <c r="P447" s="3">
        <v>0.09</v>
      </c>
      <c r="Q447" s="3">
        <v>80.53</v>
      </c>
      <c r="R447" s="3">
        <v>0.02</v>
      </c>
      <c r="S447">
        <v>7</v>
      </c>
      <c r="T447">
        <v>1582.48</v>
      </c>
      <c r="U447">
        <v>37</v>
      </c>
      <c r="V447">
        <v>0</v>
      </c>
      <c r="W447">
        <v>439.06</v>
      </c>
      <c r="X447">
        <v>2190.5500000000002</v>
      </c>
      <c r="Y447" t="s">
        <v>36</v>
      </c>
      <c r="Z447" s="3">
        <v>730.39</v>
      </c>
      <c r="AA447" t="s">
        <v>48</v>
      </c>
      <c r="AB447" t="s">
        <v>33</v>
      </c>
      <c r="AC447">
        <v>70.8</v>
      </c>
      <c r="AD447" t="s">
        <v>34</v>
      </c>
      <c r="AE447">
        <v>2356.21</v>
      </c>
      <c r="AF447">
        <v>0</v>
      </c>
    </row>
    <row r="448" spans="3:32" x14ac:dyDescent="0.35">
      <c r="C448" s="1">
        <v>43706</v>
      </c>
      <c r="D448" s="2">
        <v>43678</v>
      </c>
      <c r="E448">
        <v>1411</v>
      </c>
      <c r="F448" s="3">
        <v>3605.42</v>
      </c>
      <c r="G448" s="3">
        <v>1967.19</v>
      </c>
      <c r="H448" s="3">
        <v>1638.23</v>
      </c>
      <c r="I448" s="3">
        <v>0.55000000000000004</v>
      </c>
      <c r="J448">
        <v>0.12</v>
      </c>
      <c r="K448">
        <v>3775.75</v>
      </c>
      <c r="L448" t="s">
        <v>35</v>
      </c>
      <c r="M448">
        <v>632</v>
      </c>
      <c r="N448">
        <v>0.31</v>
      </c>
      <c r="O448" s="3">
        <v>460.33</v>
      </c>
      <c r="P448" s="3">
        <v>0.13</v>
      </c>
      <c r="Q448" s="3">
        <v>802.34</v>
      </c>
      <c r="R448" s="3">
        <v>0.22</v>
      </c>
      <c r="S448">
        <v>7</v>
      </c>
      <c r="T448">
        <v>669.82</v>
      </c>
      <c r="U448">
        <v>85</v>
      </c>
      <c r="V448">
        <v>0</v>
      </c>
      <c r="W448">
        <v>752.72</v>
      </c>
      <c r="X448">
        <v>2787.72</v>
      </c>
      <c r="Y448" t="s">
        <v>36</v>
      </c>
      <c r="Z448" s="3">
        <v>763.19</v>
      </c>
      <c r="AA448" t="s">
        <v>46</v>
      </c>
      <c r="AB448" t="s">
        <v>33</v>
      </c>
      <c r="AC448">
        <v>67.099999999999994</v>
      </c>
      <c r="AD448" t="s">
        <v>34</v>
      </c>
      <c r="AE448">
        <v>1638.23</v>
      </c>
      <c r="AF448">
        <v>0</v>
      </c>
    </row>
    <row r="449" spans="3:32" x14ac:dyDescent="0.35">
      <c r="C449" s="1">
        <v>43706</v>
      </c>
      <c r="D449" s="2">
        <v>43678</v>
      </c>
      <c r="E449">
        <v>1607</v>
      </c>
      <c r="F449" s="3">
        <v>1988.41</v>
      </c>
      <c r="G449" s="3">
        <v>2745.91</v>
      </c>
      <c r="H449" s="3">
        <v>-757.5</v>
      </c>
      <c r="I449" s="3">
        <v>1.38</v>
      </c>
      <c r="J449">
        <v>0.18</v>
      </c>
      <c r="K449">
        <v>2064.9299999999998</v>
      </c>
      <c r="L449" t="s">
        <v>35</v>
      </c>
      <c r="M449">
        <v>685</v>
      </c>
      <c r="N449">
        <v>0.15</v>
      </c>
      <c r="O449" s="3">
        <v>173.49</v>
      </c>
      <c r="P449" s="3">
        <v>0.09</v>
      </c>
      <c r="Q449" s="3">
        <v>0</v>
      </c>
      <c r="R449" s="3">
        <v>0</v>
      </c>
      <c r="S449">
        <v>7</v>
      </c>
      <c r="T449">
        <v>1106.1400000000001</v>
      </c>
      <c r="U449">
        <v>39</v>
      </c>
      <c r="V449">
        <v>0</v>
      </c>
      <c r="W449">
        <v>372.8</v>
      </c>
      <c r="X449">
        <v>2435.91</v>
      </c>
      <c r="Y449" t="s">
        <v>31</v>
      </c>
      <c r="Z449" s="3">
        <v>811.73</v>
      </c>
      <c r="AA449" t="s">
        <v>32</v>
      </c>
      <c r="AB449" t="s">
        <v>33</v>
      </c>
      <c r="AC449">
        <v>35.200000000000003</v>
      </c>
      <c r="AD449" t="s">
        <v>43</v>
      </c>
      <c r="AE449">
        <v>0</v>
      </c>
      <c r="AF449">
        <v>0</v>
      </c>
    </row>
    <row r="450" spans="3:32" x14ac:dyDescent="0.35">
      <c r="C450" s="1">
        <v>43706</v>
      </c>
      <c r="D450" s="2">
        <v>43678</v>
      </c>
      <c r="E450">
        <v>1541</v>
      </c>
      <c r="F450" s="3">
        <v>3658.24</v>
      </c>
      <c r="G450" s="3">
        <v>3009.93</v>
      </c>
      <c r="H450" s="3">
        <v>648.30999999999995</v>
      </c>
      <c r="I450" s="3">
        <v>0.82</v>
      </c>
      <c r="J450">
        <v>0.18</v>
      </c>
      <c r="K450">
        <v>2489.2399999999998</v>
      </c>
      <c r="L450" t="s">
        <v>35</v>
      </c>
      <c r="M450">
        <v>684</v>
      </c>
      <c r="N450">
        <v>0.6</v>
      </c>
      <c r="O450" s="3">
        <v>250.23</v>
      </c>
      <c r="P450" s="3">
        <v>7.0000000000000007E-2</v>
      </c>
      <c r="Q450" s="3">
        <v>661.53</v>
      </c>
      <c r="R450" s="3">
        <v>0.18</v>
      </c>
      <c r="S450">
        <v>6</v>
      </c>
      <c r="T450">
        <v>955.7</v>
      </c>
      <c r="U450">
        <v>28</v>
      </c>
      <c r="V450">
        <v>0</v>
      </c>
      <c r="W450">
        <v>282.08999999999997</v>
      </c>
      <c r="X450">
        <v>1412.52</v>
      </c>
      <c r="Y450" t="s">
        <v>31</v>
      </c>
      <c r="Z450" s="3">
        <v>1225.4100000000001</v>
      </c>
      <c r="AA450" t="s">
        <v>32</v>
      </c>
      <c r="AB450" t="s">
        <v>33</v>
      </c>
      <c r="AC450">
        <v>22.9</v>
      </c>
      <c r="AD450" t="s">
        <v>43</v>
      </c>
      <c r="AE450">
        <v>648.30999999999995</v>
      </c>
      <c r="AF450">
        <v>0</v>
      </c>
    </row>
    <row r="451" spans="3:32" x14ac:dyDescent="0.35">
      <c r="C451" s="1">
        <v>43706</v>
      </c>
      <c r="D451" s="2">
        <v>43678</v>
      </c>
      <c r="E451">
        <v>1171</v>
      </c>
      <c r="F451" s="3">
        <v>4373.5</v>
      </c>
      <c r="G451" s="3">
        <v>3078.52</v>
      </c>
      <c r="H451" s="3">
        <v>1294.98</v>
      </c>
      <c r="I451" s="3">
        <v>0.7</v>
      </c>
      <c r="J451">
        <v>0.15</v>
      </c>
      <c r="K451">
        <v>2364.9</v>
      </c>
      <c r="L451" t="s">
        <v>35</v>
      </c>
      <c r="M451">
        <v>681</v>
      </c>
      <c r="N451">
        <v>0.56999999999999995</v>
      </c>
      <c r="O451" s="3">
        <v>280.56</v>
      </c>
      <c r="P451" s="3">
        <v>0.06</v>
      </c>
      <c r="Q451" s="3">
        <v>614.42999999999995</v>
      </c>
      <c r="R451" s="3">
        <v>0.14000000000000001</v>
      </c>
      <c r="S451">
        <v>2</v>
      </c>
      <c r="T451">
        <v>1583.72</v>
      </c>
      <c r="U451">
        <v>71</v>
      </c>
      <c r="V451">
        <v>0</v>
      </c>
      <c r="W451">
        <v>390.81</v>
      </c>
      <c r="X451">
        <v>2605.64</v>
      </c>
      <c r="Y451" t="s">
        <v>36</v>
      </c>
      <c r="Z451" s="3">
        <v>1223.07</v>
      </c>
      <c r="AA451" t="s">
        <v>51</v>
      </c>
      <c r="AB451" t="s">
        <v>33</v>
      </c>
      <c r="AC451">
        <v>83.8</v>
      </c>
      <c r="AD451" t="s">
        <v>38</v>
      </c>
      <c r="AE451">
        <v>1294.98</v>
      </c>
      <c r="AF451">
        <v>0</v>
      </c>
    </row>
    <row r="452" spans="3:32" x14ac:dyDescent="0.35">
      <c r="C452" s="1">
        <v>43736</v>
      </c>
      <c r="D452" s="2">
        <v>43709</v>
      </c>
      <c r="E452">
        <v>1454</v>
      </c>
      <c r="F452" s="3">
        <v>3581.79</v>
      </c>
      <c r="G452" s="3">
        <v>3370.8</v>
      </c>
      <c r="H452" s="3">
        <v>210.99</v>
      </c>
      <c r="I452" s="3">
        <v>0.94</v>
      </c>
      <c r="J452">
        <v>0.13</v>
      </c>
      <c r="K452">
        <v>2195.92</v>
      </c>
      <c r="L452" t="s">
        <v>35</v>
      </c>
      <c r="M452">
        <v>749</v>
      </c>
      <c r="N452">
        <v>0.52</v>
      </c>
      <c r="O452" s="3">
        <v>643.48</v>
      </c>
      <c r="P452" s="3">
        <v>0.18</v>
      </c>
      <c r="Q452" s="3">
        <v>261.39</v>
      </c>
      <c r="R452" s="3">
        <v>7.0000000000000007E-2</v>
      </c>
      <c r="S452">
        <v>9</v>
      </c>
      <c r="T452">
        <v>1057.0999999999999</v>
      </c>
      <c r="U452">
        <v>91</v>
      </c>
      <c r="V452">
        <v>0</v>
      </c>
      <c r="W452">
        <v>464.34</v>
      </c>
      <c r="X452">
        <v>1691.26</v>
      </c>
      <c r="Y452" t="s">
        <v>36</v>
      </c>
      <c r="Z452" s="3">
        <v>682.16</v>
      </c>
      <c r="AA452" t="s">
        <v>51</v>
      </c>
      <c r="AB452" t="s">
        <v>33</v>
      </c>
      <c r="AC452">
        <v>77.900000000000006</v>
      </c>
      <c r="AD452" t="s">
        <v>38</v>
      </c>
      <c r="AE452">
        <v>210.99</v>
      </c>
      <c r="AF452">
        <v>0</v>
      </c>
    </row>
    <row r="453" spans="3:32" x14ac:dyDescent="0.35">
      <c r="C453" s="1">
        <v>43736</v>
      </c>
      <c r="D453" s="2">
        <v>43709</v>
      </c>
      <c r="E453">
        <v>1038</v>
      </c>
      <c r="F453" s="3">
        <v>3705.56</v>
      </c>
      <c r="G453" s="3">
        <v>2972.45</v>
      </c>
      <c r="H453" s="3">
        <v>733.11</v>
      </c>
      <c r="I453" s="3">
        <v>0.8</v>
      </c>
      <c r="J453">
        <v>0.18</v>
      </c>
      <c r="K453">
        <v>2874.56</v>
      </c>
      <c r="L453" t="s">
        <v>35</v>
      </c>
      <c r="M453">
        <v>692</v>
      </c>
      <c r="N453">
        <v>0.11</v>
      </c>
      <c r="O453" s="3">
        <v>686.14</v>
      </c>
      <c r="P453" s="3">
        <v>0.19</v>
      </c>
      <c r="Q453" s="3">
        <v>0</v>
      </c>
      <c r="R453" s="3">
        <v>0</v>
      </c>
      <c r="S453">
        <v>4</v>
      </c>
      <c r="T453">
        <v>1420.62</v>
      </c>
      <c r="U453">
        <v>77</v>
      </c>
      <c r="V453">
        <v>0</v>
      </c>
      <c r="W453">
        <v>47.46</v>
      </c>
      <c r="X453">
        <v>1052.47</v>
      </c>
      <c r="Y453" t="s">
        <v>36</v>
      </c>
      <c r="Z453" s="3">
        <v>1347.05</v>
      </c>
      <c r="AA453" t="s">
        <v>48</v>
      </c>
      <c r="AB453" t="s">
        <v>44</v>
      </c>
      <c r="AC453">
        <v>97.4</v>
      </c>
      <c r="AD453" t="s">
        <v>43</v>
      </c>
      <c r="AE453">
        <v>733.11</v>
      </c>
      <c r="AF453">
        <v>0</v>
      </c>
    </row>
    <row r="454" spans="3:32" x14ac:dyDescent="0.35">
      <c r="C454" s="1">
        <v>43736</v>
      </c>
      <c r="D454" s="2">
        <v>43709</v>
      </c>
      <c r="E454">
        <v>1120</v>
      </c>
      <c r="F454" s="3">
        <v>2413.7399999999998</v>
      </c>
      <c r="G454" s="3">
        <v>2468.21</v>
      </c>
      <c r="H454" s="3">
        <v>-54.47</v>
      </c>
      <c r="I454" s="3">
        <v>1.02</v>
      </c>
      <c r="J454">
        <v>0.36</v>
      </c>
      <c r="K454">
        <v>1868.91</v>
      </c>
      <c r="L454" t="s">
        <v>35</v>
      </c>
      <c r="M454">
        <v>728</v>
      </c>
      <c r="N454">
        <v>0.23</v>
      </c>
      <c r="O454" s="3">
        <v>775.44</v>
      </c>
      <c r="P454" s="3">
        <v>0.32</v>
      </c>
      <c r="Q454" s="3">
        <v>391.76</v>
      </c>
      <c r="R454" s="3">
        <v>0.16</v>
      </c>
      <c r="S454">
        <v>8</v>
      </c>
      <c r="T454">
        <v>1205.19</v>
      </c>
      <c r="U454">
        <v>60</v>
      </c>
      <c r="V454">
        <v>0</v>
      </c>
      <c r="W454">
        <v>309.67</v>
      </c>
      <c r="X454">
        <v>2016.58</v>
      </c>
      <c r="Y454" t="s">
        <v>36</v>
      </c>
      <c r="Z454" s="3">
        <v>1710.16</v>
      </c>
      <c r="AA454" t="s">
        <v>41</v>
      </c>
      <c r="AB454" t="s">
        <v>33</v>
      </c>
      <c r="AC454">
        <v>6.3</v>
      </c>
      <c r="AD454" t="s">
        <v>38</v>
      </c>
      <c r="AE454">
        <v>0</v>
      </c>
      <c r="AF454">
        <v>0</v>
      </c>
    </row>
    <row r="455" spans="3:32" x14ac:dyDescent="0.35">
      <c r="C455" s="1">
        <v>43736</v>
      </c>
      <c r="D455" s="2">
        <v>43709</v>
      </c>
      <c r="E455">
        <v>1567</v>
      </c>
      <c r="F455" s="3">
        <v>2602.6999999999998</v>
      </c>
      <c r="G455" s="3">
        <v>3487.53</v>
      </c>
      <c r="H455" s="3">
        <v>-884.83</v>
      </c>
      <c r="I455" s="3">
        <v>1.34</v>
      </c>
      <c r="J455">
        <v>0.38</v>
      </c>
      <c r="K455">
        <v>2589.63</v>
      </c>
      <c r="L455" t="s">
        <v>35</v>
      </c>
      <c r="M455">
        <v>654</v>
      </c>
      <c r="N455">
        <v>0.19</v>
      </c>
      <c r="O455" s="3">
        <v>306.94</v>
      </c>
      <c r="P455" s="3">
        <v>0.12</v>
      </c>
      <c r="Q455" s="3">
        <v>289.13</v>
      </c>
      <c r="R455" s="3">
        <v>0.11</v>
      </c>
      <c r="S455">
        <v>1</v>
      </c>
      <c r="T455">
        <v>1684.59</v>
      </c>
      <c r="U455">
        <v>34</v>
      </c>
      <c r="V455">
        <v>0</v>
      </c>
      <c r="W455">
        <v>236.9</v>
      </c>
      <c r="X455">
        <v>1778.1</v>
      </c>
      <c r="Y455" t="s">
        <v>36</v>
      </c>
      <c r="Z455" s="3">
        <v>1418.38</v>
      </c>
      <c r="AA455" t="s">
        <v>37</v>
      </c>
      <c r="AB455" t="s">
        <v>42</v>
      </c>
      <c r="AC455">
        <v>86.1</v>
      </c>
      <c r="AD455" t="s">
        <v>43</v>
      </c>
      <c r="AE455">
        <v>0</v>
      </c>
      <c r="AF455">
        <v>0</v>
      </c>
    </row>
    <row r="456" spans="3:32" x14ac:dyDescent="0.35">
      <c r="C456" s="1">
        <v>43736</v>
      </c>
      <c r="D456" s="2">
        <v>43709</v>
      </c>
      <c r="E456">
        <v>1432</v>
      </c>
      <c r="F456" s="3">
        <v>4636.99</v>
      </c>
      <c r="G456" s="3">
        <v>2274.65</v>
      </c>
      <c r="H456" s="3">
        <v>2362.34</v>
      </c>
      <c r="I456" s="3">
        <v>0.49</v>
      </c>
      <c r="J456">
        <v>0.31</v>
      </c>
      <c r="K456">
        <v>1541.2</v>
      </c>
      <c r="L456" t="s">
        <v>39</v>
      </c>
      <c r="M456">
        <v>691</v>
      </c>
      <c r="N456">
        <v>0.41</v>
      </c>
      <c r="O456" s="3">
        <v>689.38</v>
      </c>
      <c r="P456" s="3">
        <v>0.15</v>
      </c>
      <c r="Q456" s="3">
        <v>360.27</v>
      </c>
      <c r="R456" s="3">
        <v>0.08</v>
      </c>
      <c r="S456">
        <v>5</v>
      </c>
      <c r="T456">
        <v>789.39</v>
      </c>
      <c r="U456">
        <v>28</v>
      </c>
      <c r="V456">
        <v>0</v>
      </c>
      <c r="W456">
        <v>843.52</v>
      </c>
      <c r="X456">
        <v>3159.83</v>
      </c>
      <c r="Y456" t="s">
        <v>49</v>
      </c>
      <c r="Z456" s="3">
        <v>1368.84</v>
      </c>
      <c r="AA456" t="s">
        <v>37</v>
      </c>
      <c r="AB456" t="s">
        <v>33</v>
      </c>
      <c r="AC456">
        <v>34.799999999999997</v>
      </c>
      <c r="AD456" t="s">
        <v>34</v>
      </c>
      <c r="AE456">
        <v>2362.34</v>
      </c>
      <c r="AF456">
        <v>1</v>
      </c>
    </row>
    <row r="457" spans="3:32" x14ac:dyDescent="0.35">
      <c r="C457" s="1">
        <v>43736</v>
      </c>
      <c r="D457" s="2">
        <v>43709</v>
      </c>
      <c r="E457">
        <v>1702</v>
      </c>
      <c r="F457" s="3">
        <v>2981.02</v>
      </c>
      <c r="G457" s="3">
        <v>1794.53</v>
      </c>
      <c r="H457" s="3">
        <v>1186.49</v>
      </c>
      <c r="I457" s="3">
        <v>0.6</v>
      </c>
      <c r="J457">
        <v>0.25</v>
      </c>
      <c r="K457">
        <v>2942.05</v>
      </c>
      <c r="L457" t="s">
        <v>39</v>
      </c>
      <c r="M457">
        <v>722</v>
      </c>
      <c r="N457">
        <v>0.37</v>
      </c>
      <c r="O457" s="3">
        <v>790.68</v>
      </c>
      <c r="P457" s="3">
        <v>0.27</v>
      </c>
      <c r="Q457" s="3">
        <v>813.49</v>
      </c>
      <c r="R457" s="3">
        <v>0.27</v>
      </c>
      <c r="S457">
        <v>9</v>
      </c>
      <c r="T457">
        <v>2026.73</v>
      </c>
      <c r="U457">
        <v>49</v>
      </c>
      <c r="V457">
        <v>0</v>
      </c>
      <c r="W457">
        <v>267.45999999999998</v>
      </c>
      <c r="X457">
        <v>2625.12</v>
      </c>
      <c r="Y457" t="s">
        <v>36</v>
      </c>
      <c r="Z457" s="3">
        <v>1491.65</v>
      </c>
      <c r="AA457" t="s">
        <v>32</v>
      </c>
      <c r="AB457" t="s">
        <v>42</v>
      </c>
      <c r="AC457">
        <v>13.7</v>
      </c>
      <c r="AD457" t="s">
        <v>38</v>
      </c>
      <c r="AE457">
        <v>1186.49</v>
      </c>
      <c r="AF457">
        <v>0</v>
      </c>
    </row>
    <row r="458" spans="3:32" x14ac:dyDescent="0.35">
      <c r="C458" s="1">
        <v>43736</v>
      </c>
      <c r="D458" s="2">
        <v>43709</v>
      </c>
      <c r="E458">
        <v>1661</v>
      </c>
      <c r="F458" s="3">
        <v>3247.54</v>
      </c>
      <c r="G458" s="3">
        <v>2924.49</v>
      </c>
      <c r="H458" s="3">
        <v>323.05</v>
      </c>
      <c r="I458" s="3">
        <v>0.9</v>
      </c>
      <c r="J458">
        <v>0.19</v>
      </c>
      <c r="K458">
        <v>2637.44</v>
      </c>
      <c r="L458" t="s">
        <v>35</v>
      </c>
      <c r="M458">
        <v>726</v>
      </c>
      <c r="N458">
        <v>0.6</v>
      </c>
      <c r="O458" s="3">
        <v>288.20999999999998</v>
      </c>
      <c r="P458" s="3">
        <v>0.09</v>
      </c>
      <c r="Q458" s="3">
        <v>522.91</v>
      </c>
      <c r="R458" s="3">
        <v>0.16</v>
      </c>
      <c r="S458">
        <v>8</v>
      </c>
      <c r="T458">
        <v>1403.94</v>
      </c>
      <c r="U458">
        <v>81</v>
      </c>
      <c r="V458">
        <v>0</v>
      </c>
      <c r="W458">
        <v>447.47</v>
      </c>
      <c r="X458">
        <v>2216.73</v>
      </c>
      <c r="Y458" t="s">
        <v>49</v>
      </c>
      <c r="Z458" s="3">
        <v>1370.43</v>
      </c>
      <c r="AA458" t="s">
        <v>37</v>
      </c>
      <c r="AB458" t="s">
        <v>33</v>
      </c>
      <c r="AC458">
        <v>41.2</v>
      </c>
      <c r="AD458" t="s">
        <v>34</v>
      </c>
      <c r="AE458">
        <v>323.05</v>
      </c>
      <c r="AF458">
        <v>0</v>
      </c>
    </row>
    <row r="459" spans="3:32" x14ac:dyDescent="0.35">
      <c r="C459" s="1">
        <v>43736</v>
      </c>
      <c r="D459" s="2">
        <v>43709</v>
      </c>
      <c r="E459">
        <v>1573</v>
      </c>
      <c r="F459" s="3">
        <v>3669.75</v>
      </c>
      <c r="G459" s="3">
        <v>3842.72</v>
      </c>
      <c r="H459" s="3">
        <v>-172.97</v>
      </c>
      <c r="I459" s="3">
        <v>1.05</v>
      </c>
      <c r="J459">
        <v>0.21</v>
      </c>
      <c r="K459">
        <v>3079.28</v>
      </c>
      <c r="L459" t="s">
        <v>35</v>
      </c>
      <c r="M459">
        <v>643</v>
      </c>
      <c r="N459">
        <v>0.56000000000000005</v>
      </c>
      <c r="O459" s="3">
        <v>531.91</v>
      </c>
      <c r="P459" s="3">
        <v>0.14000000000000001</v>
      </c>
      <c r="Q459" s="3">
        <v>812.19</v>
      </c>
      <c r="R459" s="3">
        <v>0.22</v>
      </c>
      <c r="S459">
        <v>2</v>
      </c>
      <c r="T459">
        <v>1225.71</v>
      </c>
      <c r="U459">
        <v>96</v>
      </c>
      <c r="V459">
        <v>0</v>
      </c>
      <c r="W459">
        <v>544.49</v>
      </c>
      <c r="X459">
        <v>2439.15</v>
      </c>
      <c r="Y459" t="s">
        <v>36</v>
      </c>
      <c r="Z459" s="3">
        <v>1291.8599999999999</v>
      </c>
      <c r="AA459" t="s">
        <v>40</v>
      </c>
      <c r="AB459" t="s">
        <v>33</v>
      </c>
      <c r="AC459">
        <v>99.8</v>
      </c>
      <c r="AD459" t="s">
        <v>34</v>
      </c>
      <c r="AE459">
        <v>0</v>
      </c>
      <c r="AF459">
        <v>0</v>
      </c>
    </row>
    <row r="460" spans="3:32" x14ac:dyDescent="0.35">
      <c r="C460" s="1">
        <v>43736</v>
      </c>
      <c r="D460" s="2">
        <v>43709</v>
      </c>
      <c r="E460">
        <v>1071</v>
      </c>
      <c r="F460" s="3">
        <v>3700.95</v>
      </c>
      <c r="G460" s="3">
        <v>2040.78</v>
      </c>
      <c r="H460" s="3">
        <v>1660.17</v>
      </c>
      <c r="I460" s="3">
        <v>0.55000000000000004</v>
      </c>
      <c r="J460">
        <v>0.11</v>
      </c>
      <c r="K460">
        <v>3534.57</v>
      </c>
      <c r="L460" t="s">
        <v>35</v>
      </c>
      <c r="M460">
        <v>636</v>
      </c>
      <c r="N460">
        <v>0.15</v>
      </c>
      <c r="O460" s="3">
        <v>608.58000000000004</v>
      </c>
      <c r="P460" s="3">
        <v>0.16</v>
      </c>
      <c r="Q460" s="3">
        <v>0</v>
      </c>
      <c r="R460" s="3">
        <v>0</v>
      </c>
      <c r="S460">
        <v>8</v>
      </c>
      <c r="T460">
        <v>1749.08</v>
      </c>
      <c r="U460">
        <v>82</v>
      </c>
      <c r="V460">
        <v>0</v>
      </c>
      <c r="W460">
        <v>359.12</v>
      </c>
      <c r="X460">
        <v>2535.4499999999998</v>
      </c>
      <c r="Y460" t="s">
        <v>31</v>
      </c>
      <c r="Z460" s="3">
        <v>1756.04</v>
      </c>
      <c r="AA460" t="s">
        <v>41</v>
      </c>
      <c r="AB460" t="s">
        <v>42</v>
      </c>
      <c r="AC460">
        <v>68.2</v>
      </c>
      <c r="AD460" t="s">
        <v>43</v>
      </c>
      <c r="AE460">
        <v>1660.17</v>
      </c>
      <c r="AF460">
        <v>0</v>
      </c>
    </row>
    <row r="461" spans="3:32" x14ac:dyDescent="0.35">
      <c r="C461" s="1">
        <v>43736</v>
      </c>
      <c r="D461" s="2">
        <v>43709</v>
      </c>
      <c r="E461">
        <v>1616</v>
      </c>
      <c r="F461" s="3">
        <v>5145.97</v>
      </c>
      <c r="G461" s="3">
        <v>2035.42</v>
      </c>
      <c r="H461" s="3">
        <v>3110.55</v>
      </c>
      <c r="I461" s="3">
        <v>0.4</v>
      </c>
      <c r="J461">
        <v>0.1</v>
      </c>
      <c r="K461">
        <v>2841.29</v>
      </c>
      <c r="L461" t="s">
        <v>35</v>
      </c>
      <c r="M461">
        <v>693</v>
      </c>
      <c r="N461">
        <v>0.48</v>
      </c>
      <c r="O461" s="3">
        <v>270.82</v>
      </c>
      <c r="P461" s="3">
        <v>0.05</v>
      </c>
      <c r="Q461" s="3">
        <v>354.12</v>
      </c>
      <c r="R461" s="3">
        <v>7.0000000000000007E-2</v>
      </c>
      <c r="S461">
        <v>7</v>
      </c>
      <c r="T461">
        <v>1025.98</v>
      </c>
      <c r="U461">
        <v>30</v>
      </c>
      <c r="V461">
        <v>0</v>
      </c>
      <c r="W461">
        <v>571.86</v>
      </c>
      <c r="X461">
        <v>1282.6300000000001</v>
      </c>
      <c r="Y461" t="s">
        <v>36</v>
      </c>
      <c r="Z461" s="3">
        <v>1600.01</v>
      </c>
      <c r="AA461" t="s">
        <v>51</v>
      </c>
      <c r="AB461" t="s">
        <v>33</v>
      </c>
      <c r="AC461">
        <v>10.1</v>
      </c>
      <c r="AD461" t="s">
        <v>34</v>
      </c>
      <c r="AE461">
        <v>3110.55</v>
      </c>
      <c r="AF461">
        <v>1</v>
      </c>
    </row>
    <row r="462" spans="3:32" x14ac:dyDescent="0.35">
      <c r="C462" s="1">
        <v>43736</v>
      </c>
      <c r="D462" s="2">
        <v>43709</v>
      </c>
      <c r="E462">
        <v>1788</v>
      </c>
      <c r="F462" s="3">
        <v>2699.8</v>
      </c>
      <c r="G462" s="3">
        <v>3344.48</v>
      </c>
      <c r="H462" s="3">
        <v>-644.67999999999995</v>
      </c>
      <c r="I462" s="3">
        <v>1.24</v>
      </c>
      <c r="J462">
        <v>0.36</v>
      </c>
      <c r="K462">
        <v>3116.25</v>
      </c>
      <c r="L462" t="s">
        <v>35</v>
      </c>
      <c r="M462">
        <v>637</v>
      </c>
      <c r="N462">
        <v>0.22</v>
      </c>
      <c r="O462" s="3">
        <v>513.32000000000005</v>
      </c>
      <c r="P462" s="3">
        <v>0.19</v>
      </c>
      <c r="Q462" s="3">
        <v>533.78</v>
      </c>
      <c r="R462" s="3">
        <v>0.2</v>
      </c>
      <c r="S462">
        <v>9</v>
      </c>
      <c r="T462">
        <v>1167.3499999999999</v>
      </c>
      <c r="U462">
        <v>68</v>
      </c>
      <c r="V462">
        <v>0</v>
      </c>
      <c r="W462">
        <v>614.46</v>
      </c>
      <c r="X462">
        <v>2244.25</v>
      </c>
      <c r="Y462" t="s">
        <v>36</v>
      </c>
      <c r="Z462" s="3">
        <v>1698.5</v>
      </c>
      <c r="AA462" t="s">
        <v>37</v>
      </c>
      <c r="AB462" t="s">
        <v>44</v>
      </c>
      <c r="AC462">
        <v>22.8</v>
      </c>
      <c r="AD462" t="s">
        <v>43</v>
      </c>
      <c r="AE462">
        <v>0</v>
      </c>
      <c r="AF462">
        <v>0</v>
      </c>
    </row>
    <row r="463" spans="3:32" x14ac:dyDescent="0.35">
      <c r="C463" s="1">
        <v>43736</v>
      </c>
      <c r="D463" s="2">
        <v>43709</v>
      </c>
      <c r="E463">
        <v>1963</v>
      </c>
      <c r="F463" s="3">
        <v>2648.79</v>
      </c>
      <c r="G463" s="3">
        <v>1408.03</v>
      </c>
      <c r="H463" s="3">
        <v>1240.76</v>
      </c>
      <c r="I463" s="3">
        <v>0.53</v>
      </c>
      <c r="J463">
        <v>0.09</v>
      </c>
      <c r="K463">
        <v>3518.22</v>
      </c>
      <c r="L463" t="s">
        <v>39</v>
      </c>
      <c r="M463">
        <v>744</v>
      </c>
      <c r="N463">
        <v>0.37</v>
      </c>
      <c r="O463" s="3">
        <v>123.09</v>
      </c>
      <c r="P463" s="3">
        <v>0.05</v>
      </c>
      <c r="Q463" s="3">
        <v>224.6</v>
      </c>
      <c r="R463" s="3">
        <v>0.08</v>
      </c>
      <c r="S463">
        <v>2</v>
      </c>
      <c r="T463">
        <v>1017.48</v>
      </c>
      <c r="U463">
        <v>27</v>
      </c>
      <c r="V463">
        <v>0</v>
      </c>
      <c r="W463">
        <v>287.86</v>
      </c>
      <c r="X463">
        <v>1935.56</v>
      </c>
      <c r="Y463" t="s">
        <v>36</v>
      </c>
      <c r="Z463" s="3">
        <v>1148.49</v>
      </c>
      <c r="AA463" t="s">
        <v>41</v>
      </c>
      <c r="AB463" t="s">
        <v>33</v>
      </c>
      <c r="AC463">
        <v>4.9000000000000004</v>
      </c>
      <c r="AD463" t="s">
        <v>34</v>
      </c>
      <c r="AE463">
        <v>1240.76</v>
      </c>
      <c r="AF463">
        <v>0</v>
      </c>
    </row>
    <row r="464" spans="3:32" x14ac:dyDescent="0.35">
      <c r="C464" s="1">
        <v>43736</v>
      </c>
      <c r="D464" s="2">
        <v>43709</v>
      </c>
      <c r="E464">
        <v>1886</v>
      </c>
      <c r="F464" s="3">
        <v>5234.17</v>
      </c>
      <c r="G464" s="3">
        <v>3556.83</v>
      </c>
      <c r="H464" s="3">
        <v>1677.34</v>
      </c>
      <c r="I464" s="3">
        <v>0.68</v>
      </c>
      <c r="J464">
        <v>0.15</v>
      </c>
      <c r="K464">
        <v>3054.28</v>
      </c>
      <c r="L464" t="s">
        <v>35</v>
      </c>
      <c r="M464">
        <v>665</v>
      </c>
      <c r="N464">
        <v>0.39</v>
      </c>
      <c r="O464" s="3">
        <v>419.42</v>
      </c>
      <c r="P464" s="3">
        <v>0.08</v>
      </c>
      <c r="Q464" s="3">
        <v>206.82</v>
      </c>
      <c r="R464" s="3">
        <v>0.04</v>
      </c>
      <c r="S464">
        <v>5</v>
      </c>
      <c r="T464">
        <v>2140.65</v>
      </c>
      <c r="U464">
        <v>66</v>
      </c>
      <c r="V464">
        <v>0</v>
      </c>
      <c r="W464">
        <v>686.73</v>
      </c>
      <c r="X464">
        <v>1188.17</v>
      </c>
      <c r="Y464" t="s">
        <v>36</v>
      </c>
      <c r="Z464" s="3">
        <v>817.47</v>
      </c>
      <c r="AA464" t="s">
        <v>37</v>
      </c>
      <c r="AB464" t="s">
        <v>33</v>
      </c>
      <c r="AC464">
        <v>20.5</v>
      </c>
      <c r="AD464" t="s">
        <v>34</v>
      </c>
      <c r="AE464">
        <v>1677.34</v>
      </c>
      <c r="AF464">
        <v>0</v>
      </c>
    </row>
    <row r="465" spans="3:32" x14ac:dyDescent="0.35">
      <c r="C465" s="1">
        <v>43736</v>
      </c>
      <c r="D465" s="2">
        <v>43709</v>
      </c>
      <c r="E465">
        <v>1442</v>
      </c>
      <c r="F465" s="3">
        <v>2153.9299999999998</v>
      </c>
      <c r="G465" s="3">
        <v>2102.7600000000002</v>
      </c>
      <c r="H465" s="3">
        <v>51.17</v>
      </c>
      <c r="I465" s="3">
        <v>0.98</v>
      </c>
      <c r="J465">
        <v>0.23</v>
      </c>
      <c r="K465">
        <v>3403.05</v>
      </c>
      <c r="L465" t="s">
        <v>35</v>
      </c>
      <c r="M465">
        <v>711</v>
      </c>
      <c r="N465">
        <v>0.43</v>
      </c>
      <c r="O465" s="3">
        <v>639.59</v>
      </c>
      <c r="P465" s="3">
        <v>0.3</v>
      </c>
      <c r="Q465" s="3">
        <v>727.82</v>
      </c>
      <c r="R465" s="3">
        <v>0.34</v>
      </c>
      <c r="S465">
        <v>9</v>
      </c>
      <c r="T465">
        <v>1049.8499999999999</v>
      </c>
      <c r="U465">
        <v>74</v>
      </c>
      <c r="V465">
        <v>0</v>
      </c>
      <c r="W465">
        <v>271.3</v>
      </c>
      <c r="X465">
        <v>2687.07</v>
      </c>
      <c r="Y465" t="s">
        <v>31</v>
      </c>
      <c r="Z465" s="3">
        <v>1178.43</v>
      </c>
      <c r="AA465" t="s">
        <v>40</v>
      </c>
      <c r="AB465" t="s">
        <v>44</v>
      </c>
      <c r="AC465">
        <v>35.4</v>
      </c>
      <c r="AD465" t="s">
        <v>38</v>
      </c>
      <c r="AE465">
        <v>51.17</v>
      </c>
      <c r="AF465">
        <v>0</v>
      </c>
    </row>
    <row r="466" spans="3:32" x14ac:dyDescent="0.35">
      <c r="C466" s="1">
        <v>43736</v>
      </c>
      <c r="D466" s="2">
        <v>43709</v>
      </c>
      <c r="E466">
        <v>1854</v>
      </c>
      <c r="F466" s="3">
        <v>4190.03</v>
      </c>
      <c r="G466" s="3">
        <v>2549.08</v>
      </c>
      <c r="H466" s="3">
        <v>1640.95</v>
      </c>
      <c r="I466" s="3">
        <v>0.61</v>
      </c>
      <c r="J466">
        <v>0.4</v>
      </c>
      <c r="K466">
        <v>2804.52</v>
      </c>
      <c r="L466" t="s">
        <v>35</v>
      </c>
      <c r="M466">
        <v>725</v>
      </c>
      <c r="N466">
        <v>0.13</v>
      </c>
      <c r="O466" s="3">
        <v>413.88</v>
      </c>
      <c r="P466" s="3">
        <v>0.1</v>
      </c>
      <c r="Q466" s="3">
        <v>192.72</v>
      </c>
      <c r="R466" s="3">
        <v>0.05</v>
      </c>
      <c r="S466">
        <v>9</v>
      </c>
      <c r="T466">
        <v>1584.57</v>
      </c>
      <c r="U466">
        <v>82</v>
      </c>
      <c r="V466">
        <v>0</v>
      </c>
      <c r="W466">
        <v>659.97</v>
      </c>
      <c r="X466">
        <v>1596.84</v>
      </c>
      <c r="Y466" t="s">
        <v>36</v>
      </c>
      <c r="Z466" s="3">
        <v>583.36</v>
      </c>
      <c r="AA466" t="s">
        <v>48</v>
      </c>
      <c r="AB466" t="s">
        <v>33</v>
      </c>
      <c r="AC466">
        <v>12.6</v>
      </c>
      <c r="AD466" t="s">
        <v>43</v>
      </c>
      <c r="AE466">
        <v>1640.95</v>
      </c>
      <c r="AF466">
        <v>0</v>
      </c>
    </row>
    <row r="467" spans="3:32" x14ac:dyDescent="0.35">
      <c r="C467" s="1">
        <v>43736</v>
      </c>
      <c r="D467" s="2">
        <v>43709</v>
      </c>
      <c r="E467">
        <v>1226</v>
      </c>
      <c r="F467" s="3">
        <v>2315.79</v>
      </c>
      <c r="G467" s="3">
        <v>2489.11</v>
      </c>
      <c r="H467" s="3">
        <v>-173.32</v>
      </c>
      <c r="I467" s="3">
        <v>1.07</v>
      </c>
      <c r="J467">
        <v>0.27</v>
      </c>
      <c r="K467">
        <v>2498.29</v>
      </c>
      <c r="L467" t="s">
        <v>39</v>
      </c>
      <c r="M467">
        <v>735</v>
      </c>
      <c r="N467">
        <v>0.28999999999999998</v>
      </c>
      <c r="O467" s="3">
        <v>590.73</v>
      </c>
      <c r="P467" s="3">
        <v>0.26</v>
      </c>
      <c r="Q467" s="3">
        <v>0</v>
      </c>
      <c r="R467" s="3">
        <v>0</v>
      </c>
      <c r="S467">
        <v>9</v>
      </c>
      <c r="T467">
        <v>764.82</v>
      </c>
      <c r="U467">
        <v>88</v>
      </c>
      <c r="V467">
        <v>0</v>
      </c>
      <c r="W467">
        <v>397.97</v>
      </c>
      <c r="X467">
        <v>2406.2199999999998</v>
      </c>
      <c r="Y467" t="s">
        <v>36</v>
      </c>
      <c r="Z467" s="3">
        <v>1465.42</v>
      </c>
      <c r="AA467" t="s">
        <v>45</v>
      </c>
      <c r="AB467" t="s">
        <v>33</v>
      </c>
      <c r="AC467">
        <v>14.1</v>
      </c>
      <c r="AD467" t="s">
        <v>34</v>
      </c>
      <c r="AE467">
        <v>0</v>
      </c>
      <c r="AF467">
        <v>0</v>
      </c>
    </row>
    <row r="468" spans="3:32" x14ac:dyDescent="0.35">
      <c r="C468" s="1">
        <v>43736</v>
      </c>
      <c r="D468" s="2">
        <v>43709</v>
      </c>
      <c r="E468">
        <v>1223</v>
      </c>
      <c r="F468" s="3">
        <v>5370.44</v>
      </c>
      <c r="G468" s="3">
        <v>3621.65</v>
      </c>
      <c r="H468" s="3">
        <v>1748.79</v>
      </c>
      <c r="I468" s="3">
        <v>0.67</v>
      </c>
      <c r="J468">
        <v>0.16</v>
      </c>
      <c r="K468">
        <v>3037.85</v>
      </c>
      <c r="L468" t="s">
        <v>35</v>
      </c>
      <c r="M468">
        <v>717</v>
      </c>
      <c r="N468">
        <v>0.12</v>
      </c>
      <c r="O468" s="3">
        <v>663.98</v>
      </c>
      <c r="P468" s="3">
        <v>0.12</v>
      </c>
      <c r="Q468" s="3">
        <v>0</v>
      </c>
      <c r="R468" s="3">
        <v>0</v>
      </c>
      <c r="S468">
        <v>1</v>
      </c>
      <c r="T468">
        <v>132.26</v>
      </c>
      <c r="U468">
        <v>20</v>
      </c>
      <c r="V468">
        <v>0</v>
      </c>
      <c r="W468">
        <v>450.86</v>
      </c>
      <c r="X468">
        <v>1463.71</v>
      </c>
      <c r="Y468" t="s">
        <v>49</v>
      </c>
      <c r="Z468" s="3">
        <v>1842.48</v>
      </c>
      <c r="AA468" t="s">
        <v>46</v>
      </c>
      <c r="AB468" t="s">
        <v>44</v>
      </c>
      <c r="AC468">
        <v>74.400000000000006</v>
      </c>
      <c r="AD468" t="s">
        <v>43</v>
      </c>
      <c r="AE468">
        <v>1748.79</v>
      </c>
      <c r="AF468">
        <v>0</v>
      </c>
    </row>
    <row r="469" spans="3:32" x14ac:dyDescent="0.35">
      <c r="C469" s="1">
        <v>43736</v>
      </c>
      <c r="D469" s="2">
        <v>43709</v>
      </c>
      <c r="E469">
        <v>1773</v>
      </c>
      <c r="F469" s="3">
        <v>3354.24</v>
      </c>
      <c r="G469" s="3">
        <v>3694.49</v>
      </c>
      <c r="H469" s="3">
        <v>-340.25</v>
      </c>
      <c r="I469" s="3">
        <v>1.1000000000000001</v>
      </c>
      <c r="J469">
        <v>0.25</v>
      </c>
      <c r="K469">
        <v>2493.17</v>
      </c>
      <c r="L469" t="s">
        <v>35</v>
      </c>
      <c r="M469">
        <v>644</v>
      </c>
      <c r="N469">
        <v>0.56999999999999995</v>
      </c>
      <c r="O469" s="3">
        <v>792.28</v>
      </c>
      <c r="P469" s="3">
        <v>0.24</v>
      </c>
      <c r="Q469" s="3">
        <v>34.770000000000003</v>
      </c>
      <c r="R469" s="3">
        <v>0.01</v>
      </c>
      <c r="S469">
        <v>5</v>
      </c>
      <c r="T469">
        <v>162.94</v>
      </c>
      <c r="U469">
        <v>85</v>
      </c>
      <c r="V469">
        <v>0</v>
      </c>
      <c r="W469">
        <v>0</v>
      </c>
      <c r="X469">
        <v>2872.78</v>
      </c>
      <c r="Y469" t="s">
        <v>36</v>
      </c>
      <c r="Z469" s="3">
        <v>1182.78</v>
      </c>
      <c r="AA469" t="s">
        <v>50</v>
      </c>
      <c r="AB469" t="s">
        <v>44</v>
      </c>
      <c r="AC469">
        <v>28.5</v>
      </c>
      <c r="AD469" t="s">
        <v>34</v>
      </c>
      <c r="AE469">
        <v>0</v>
      </c>
      <c r="AF469">
        <v>0</v>
      </c>
    </row>
    <row r="470" spans="3:32" x14ac:dyDescent="0.35">
      <c r="C470" s="1">
        <v>43736</v>
      </c>
      <c r="D470" s="2">
        <v>43709</v>
      </c>
      <c r="E470">
        <v>1606</v>
      </c>
      <c r="F470" s="3">
        <v>4053.47</v>
      </c>
      <c r="G470" s="3">
        <v>4006.81</v>
      </c>
      <c r="H470" s="3">
        <v>46.66</v>
      </c>
      <c r="I470" s="3">
        <v>0.99</v>
      </c>
      <c r="J470">
        <v>0.14000000000000001</v>
      </c>
      <c r="K470">
        <v>2391.9299999999998</v>
      </c>
      <c r="L470" t="s">
        <v>35</v>
      </c>
      <c r="M470">
        <v>622</v>
      </c>
      <c r="N470">
        <v>0.31</v>
      </c>
      <c r="O470" s="3">
        <v>491.23</v>
      </c>
      <c r="P470" s="3">
        <v>0.12</v>
      </c>
      <c r="Q470" s="3">
        <v>645.73</v>
      </c>
      <c r="R470" s="3">
        <v>0.16</v>
      </c>
      <c r="S470">
        <v>5</v>
      </c>
      <c r="T470">
        <v>890.18</v>
      </c>
      <c r="U470">
        <v>84</v>
      </c>
      <c r="V470">
        <v>0</v>
      </c>
      <c r="W470">
        <v>337.57</v>
      </c>
      <c r="X470">
        <v>1820.37</v>
      </c>
      <c r="Y470" t="s">
        <v>36</v>
      </c>
      <c r="Z470" s="3">
        <v>1588.74</v>
      </c>
      <c r="AA470" t="s">
        <v>46</v>
      </c>
      <c r="AB470" t="s">
        <v>42</v>
      </c>
      <c r="AC470">
        <v>86</v>
      </c>
      <c r="AD470" t="s">
        <v>34</v>
      </c>
      <c r="AE470">
        <v>46.66</v>
      </c>
      <c r="AF470">
        <v>0</v>
      </c>
    </row>
    <row r="471" spans="3:32" x14ac:dyDescent="0.35">
      <c r="C471" s="1">
        <v>43736</v>
      </c>
      <c r="D471" s="2">
        <v>43709</v>
      </c>
      <c r="E471">
        <v>1105</v>
      </c>
      <c r="F471" s="3">
        <v>4897.5200000000004</v>
      </c>
      <c r="G471" s="3">
        <v>2716.08</v>
      </c>
      <c r="H471" s="3">
        <v>2181.44</v>
      </c>
      <c r="I471" s="3">
        <v>0.55000000000000004</v>
      </c>
      <c r="J471">
        <v>0.35</v>
      </c>
      <c r="K471">
        <v>3564.76</v>
      </c>
      <c r="L471" t="s">
        <v>35</v>
      </c>
      <c r="M471">
        <v>612</v>
      </c>
      <c r="N471">
        <v>0.18</v>
      </c>
      <c r="O471" s="3">
        <v>560.64</v>
      </c>
      <c r="P471" s="3">
        <v>0.11</v>
      </c>
      <c r="Q471" s="3">
        <v>225.72</v>
      </c>
      <c r="R471" s="3">
        <v>0.05</v>
      </c>
      <c r="S471">
        <v>7</v>
      </c>
      <c r="T471">
        <v>809.11</v>
      </c>
      <c r="U471">
        <v>53</v>
      </c>
      <c r="V471">
        <v>0</v>
      </c>
      <c r="W471">
        <v>579.20000000000005</v>
      </c>
      <c r="X471">
        <v>2551</v>
      </c>
      <c r="Y471" t="s">
        <v>36</v>
      </c>
      <c r="Z471" s="3">
        <v>547.27</v>
      </c>
      <c r="AA471" t="s">
        <v>50</v>
      </c>
      <c r="AB471" t="s">
        <v>44</v>
      </c>
      <c r="AC471">
        <v>23.4</v>
      </c>
      <c r="AD471" t="s">
        <v>38</v>
      </c>
      <c r="AE471">
        <v>2181.44</v>
      </c>
      <c r="AF471">
        <v>0</v>
      </c>
    </row>
    <row r="472" spans="3:32" x14ac:dyDescent="0.35">
      <c r="C472" s="1">
        <v>43736</v>
      </c>
      <c r="D472" s="2">
        <v>43709</v>
      </c>
      <c r="E472">
        <v>1309</v>
      </c>
      <c r="F472" s="3">
        <v>2578.67</v>
      </c>
      <c r="G472" s="3">
        <v>2666.67</v>
      </c>
      <c r="H472" s="3">
        <v>-88</v>
      </c>
      <c r="I472" s="3">
        <v>1.03</v>
      </c>
      <c r="J472">
        <v>0.32</v>
      </c>
      <c r="K472">
        <v>3519.54</v>
      </c>
      <c r="L472" t="s">
        <v>39</v>
      </c>
      <c r="M472">
        <v>605</v>
      </c>
      <c r="N472">
        <v>0.56000000000000005</v>
      </c>
      <c r="O472" s="3">
        <v>361.18</v>
      </c>
      <c r="P472" s="3">
        <v>0.14000000000000001</v>
      </c>
      <c r="Q472" s="3">
        <v>455.21</v>
      </c>
      <c r="R472" s="3">
        <v>0.18</v>
      </c>
      <c r="S472">
        <v>8</v>
      </c>
      <c r="T472">
        <v>1211.68</v>
      </c>
      <c r="U472">
        <v>94</v>
      </c>
      <c r="V472">
        <v>0</v>
      </c>
      <c r="W472">
        <v>108.36</v>
      </c>
      <c r="X472">
        <v>1408.92</v>
      </c>
      <c r="Y472" t="s">
        <v>36</v>
      </c>
      <c r="Z472" s="3">
        <v>496.4</v>
      </c>
      <c r="AA472" t="s">
        <v>51</v>
      </c>
      <c r="AB472" t="s">
        <v>33</v>
      </c>
      <c r="AC472">
        <v>13.5</v>
      </c>
      <c r="AD472" t="s">
        <v>34</v>
      </c>
      <c r="AE472">
        <v>0</v>
      </c>
      <c r="AF472">
        <v>0</v>
      </c>
    </row>
    <row r="473" spans="3:32" x14ac:dyDescent="0.35">
      <c r="C473" s="1">
        <v>43736</v>
      </c>
      <c r="D473" s="2">
        <v>43709</v>
      </c>
      <c r="E473">
        <v>1019</v>
      </c>
      <c r="F473" s="3">
        <v>6272.02</v>
      </c>
      <c r="G473" s="3">
        <v>3516.79</v>
      </c>
      <c r="H473" s="3">
        <v>2755.23</v>
      </c>
      <c r="I473" s="3">
        <v>0.56000000000000005</v>
      </c>
      <c r="J473">
        <v>0.38</v>
      </c>
      <c r="K473">
        <v>2664.64</v>
      </c>
      <c r="L473" t="s">
        <v>30</v>
      </c>
      <c r="M473">
        <v>559</v>
      </c>
      <c r="N473">
        <v>0.55000000000000004</v>
      </c>
      <c r="O473" s="3">
        <v>727.15</v>
      </c>
      <c r="P473" s="3">
        <v>0.12</v>
      </c>
      <c r="Q473" s="3">
        <v>158.62</v>
      </c>
      <c r="R473" s="3">
        <v>0.03</v>
      </c>
      <c r="S473">
        <v>8</v>
      </c>
      <c r="T473">
        <v>1999.89</v>
      </c>
      <c r="U473">
        <v>72</v>
      </c>
      <c r="V473">
        <v>0</v>
      </c>
      <c r="W473">
        <v>228.67</v>
      </c>
      <c r="X473">
        <v>1811.31</v>
      </c>
      <c r="Y473" t="s">
        <v>36</v>
      </c>
      <c r="Z473" s="3">
        <v>599.04</v>
      </c>
      <c r="AA473" t="s">
        <v>45</v>
      </c>
      <c r="AB473" t="s">
        <v>33</v>
      </c>
      <c r="AC473">
        <v>75.7</v>
      </c>
      <c r="AD473" t="s">
        <v>34</v>
      </c>
      <c r="AE473">
        <v>2755.23</v>
      </c>
      <c r="AF473">
        <v>1</v>
      </c>
    </row>
    <row r="474" spans="3:32" x14ac:dyDescent="0.35">
      <c r="C474" s="1">
        <v>43736</v>
      </c>
      <c r="D474" s="2">
        <v>43709</v>
      </c>
      <c r="E474">
        <v>1378</v>
      </c>
      <c r="F474" s="3">
        <v>5083.2700000000004</v>
      </c>
      <c r="G474" s="3">
        <v>2207.13</v>
      </c>
      <c r="H474" s="3">
        <v>2876.14</v>
      </c>
      <c r="I474" s="3">
        <v>0.43</v>
      </c>
      <c r="J474">
        <v>0.08</v>
      </c>
      <c r="K474">
        <v>3276.37</v>
      </c>
      <c r="L474" t="s">
        <v>35</v>
      </c>
      <c r="M474">
        <v>678</v>
      </c>
      <c r="N474">
        <v>0.47</v>
      </c>
      <c r="O474" s="3">
        <v>443.73</v>
      </c>
      <c r="P474" s="3">
        <v>0.09</v>
      </c>
      <c r="Q474" s="3">
        <v>224.95</v>
      </c>
      <c r="R474" s="3">
        <v>0.04</v>
      </c>
      <c r="S474">
        <v>1</v>
      </c>
      <c r="T474">
        <v>1423.77</v>
      </c>
      <c r="U474">
        <v>46</v>
      </c>
      <c r="V474">
        <v>0</v>
      </c>
      <c r="W474">
        <v>399.37</v>
      </c>
      <c r="X474">
        <v>2368.61</v>
      </c>
      <c r="Y474" t="s">
        <v>31</v>
      </c>
      <c r="Z474" s="3">
        <v>805.56</v>
      </c>
      <c r="AA474" t="s">
        <v>40</v>
      </c>
      <c r="AB474" t="s">
        <v>33</v>
      </c>
      <c r="AC474">
        <v>63.3</v>
      </c>
      <c r="AD474" t="s">
        <v>38</v>
      </c>
      <c r="AE474">
        <v>2876.14</v>
      </c>
      <c r="AF474">
        <v>0</v>
      </c>
    </row>
    <row r="475" spans="3:32" x14ac:dyDescent="0.35">
      <c r="C475" s="1">
        <v>43736</v>
      </c>
      <c r="D475" s="2">
        <v>43709</v>
      </c>
      <c r="E475">
        <v>1272</v>
      </c>
      <c r="F475" s="3">
        <v>3343.67</v>
      </c>
      <c r="G475" s="3">
        <v>4040.85</v>
      </c>
      <c r="H475" s="3">
        <v>-697.18</v>
      </c>
      <c r="I475" s="3">
        <v>1.21</v>
      </c>
      <c r="J475">
        <v>0.39</v>
      </c>
      <c r="K475">
        <v>2225.0300000000002</v>
      </c>
      <c r="L475" t="s">
        <v>30</v>
      </c>
      <c r="M475">
        <v>709</v>
      </c>
      <c r="N475">
        <v>0.19</v>
      </c>
      <c r="O475" s="3">
        <v>886.84</v>
      </c>
      <c r="P475" s="3">
        <v>0.27</v>
      </c>
      <c r="Q475" s="3">
        <v>453.44</v>
      </c>
      <c r="R475" s="3">
        <v>0.14000000000000001</v>
      </c>
      <c r="S475">
        <v>9</v>
      </c>
      <c r="T475">
        <v>260.54000000000002</v>
      </c>
      <c r="U475">
        <v>97</v>
      </c>
      <c r="V475">
        <v>0</v>
      </c>
      <c r="W475">
        <v>677.08</v>
      </c>
      <c r="X475">
        <v>3043.98</v>
      </c>
      <c r="Y475" t="s">
        <v>36</v>
      </c>
      <c r="Z475" s="3">
        <v>843.92</v>
      </c>
      <c r="AA475" t="s">
        <v>45</v>
      </c>
      <c r="AB475" t="s">
        <v>44</v>
      </c>
      <c r="AC475">
        <v>58.4</v>
      </c>
      <c r="AD475" t="s">
        <v>43</v>
      </c>
      <c r="AE475">
        <v>0</v>
      </c>
      <c r="AF475">
        <v>0</v>
      </c>
    </row>
    <row r="476" spans="3:32" x14ac:dyDescent="0.35">
      <c r="C476" s="1">
        <v>43736</v>
      </c>
      <c r="D476" s="2">
        <v>43709</v>
      </c>
      <c r="E476">
        <v>1876</v>
      </c>
      <c r="F476" s="3">
        <v>3515.59</v>
      </c>
      <c r="G476" s="3">
        <v>2670.95</v>
      </c>
      <c r="H476" s="3">
        <v>844.64</v>
      </c>
      <c r="I476" s="3">
        <v>0.76</v>
      </c>
      <c r="J476">
        <v>0.16</v>
      </c>
      <c r="K476">
        <v>2901.02</v>
      </c>
      <c r="L476" t="s">
        <v>39</v>
      </c>
      <c r="M476">
        <v>638</v>
      </c>
      <c r="N476">
        <v>0.51</v>
      </c>
      <c r="O476" s="3">
        <v>246.31</v>
      </c>
      <c r="P476" s="3">
        <v>7.0000000000000007E-2</v>
      </c>
      <c r="Q476" s="3">
        <v>531.52</v>
      </c>
      <c r="R476" s="3">
        <v>0.15</v>
      </c>
      <c r="S476">
        <v>5</v>
      </c>
      <c r="T476">
        <v>332.72</v>
      </c>
      <c r="U476">
        <v>53</v>
      </c>
      <c r="V476">
        <v>0</v>
      </c>
      <c r="W476">
        <v>704.24</v>
      </c>
      <c r="X476">
        <v>1243.48</v>
      </c>
      <c r="Y476" t="s">
        <v>36</v>
      </c>
      <c r="Z476" s="3">
        <v>1342.14</v>
      </c>
      <c r="AA476" t="s">
        <v>50</v>
      </c>
      <c r="AB476" t="s">
        <v>42</v>
      </c>
      <c r="AC476">
        <v>66.400000000000006</v>
      </c>
      <c r="AD476" t="s">
        <v>38</v>
      </c>
      <c r="AE476">
        <v>844.64</v>
      </c>
      <c r="AF476">
        <v>0</v>
      </c>
    </row>
    <row r="477" spans="3:32" x14ac:dyDescent="0.35">
      <c r="C477" s="1">
        <v>43736</v>
      </c>
      <c r="D477" s="2">
        <v>43709</v>
      </c>
      <c r="E477">
        <v>1799</v>
      </c>
      <c r="F477" s="3">
        <v>3695.13</v>
      </c>
      <c r="G477" s="3">
        <v>1871.43</v>
      </c>
      <c r="H477" s="3">
        <v>1823.7</v>
      </c>
      <c r="I477" s="3">
        <v>0.51</v>
      </c>
      <c r="J477">
        <v>0.37</v>
      </c>
      <c r="K477">
        <v>3777.31</v>
      </c>
      <c r="L477" t="s">
        <v>30</v>
      </c>
      <c r="M477">
        <v>692</v>
      </c>
      <c r="N477">
        <v>0.47</v>
      </c>
      <c r="O477" s="3">
        <v>543.62</v>
      </c>
      <c r="P477" s="3">
        <v>0.15</v>
      </c>
      <c r="Q477" s="3">
        <v>202.39</v>
      </c>
      <c r="R477" s="3">
        <v>0.05</v>
      </c>
      <c r="S477">
        <v>1</v>
      </c>
      <c r="T477">
        <v>83.95</v>
      </c>
      <c r="U477">
        <v>85</v>
      </c>
      <c r="V477">
        <v>0</v>
      </c>
      <c r="W477">
        <v>358.11</v>
      </c>
      <c r="X477">
        <v>3034.33</v>
      </c>
      <c r="Y477" t="s">
        <v>36</v>
      </c>
      <c r="Z477" s="3">
        <v>985.86</v>
      </c>
      <c r="AA477" t="s">
        <v>46</v>
      </c>
      <c r="AB477" t="s">
        <v>33</v>
      </c>
      <c r="AC477">
        <v>53.5</v>
      </c>
      <c r="AD477" t="s">
        <v>34</v>
      </c>
      <c r="AE477">
        <v>1823.7</v>
      </c>
      <c r="AF477">
        <v>0</v>
      </c>
    </row>
    <row r="478" spans="3:32" x14ac:dyDescent="0.35">
      <c r="C478" s="1">
        <v>43736</v>
      </c>
      <c r="D478" s="2">
        <v>43709</v>
      </c>
      <c r="E478">
        <v>1521</v>
      </c>
      <c r="F478" s="3">
        <v>4900.43</v>
      </c>
      <c r="G478" s="3">
        <v>3829.43</v>
      </c>
      <c r="H478" s="3">
        <v>1071</v>
      </c>
      <c r="I478" s="3">
        <v>0.78</v>
      </c>
      <c r="J478">
        <v>7.0000000000000007E-2</v>
      </c>
      <c r="K478">
        <v>2610.75</v>
      </c>
      <c r="L478" t="s">
        <v>35</v>
      </c>
      <c r="M478">
        <v>710</v>
      </c>
      <c r="N478">
        <v>0.33</v>
      </c>
      <c r="O478" s="3">
        <v>404.32</v>
      </c>
      <c r="P478" s="3">
        <v>0.08</v>
      </c>
      <c r="Q478" s="3">
        <v>318.27</v>
      </c>
      <c r="R478" s="3">
        <v>0.06</v>
      </c>
      <c r="S478">
        <v>6</v>
      </c>
      <c r="T478">
        <v>357.73</v>
      </c>
      <c r="U478">
        <v>94</v>
      </c>
      <c r="V478">
        <v>0</v>
      </c>
      <c r="W478">
        <v>702.48</v>
      </c>
      <c r="X478">
        <v>3137.2</v>
      </c>
      <c r="Y478" t="s">
        <v>36</v>
      </c>
      <c r="Z478" s="3">
        <v>898.59</v>
      </c>
      <c r="AA478" t="s">
        <v>37</v>
      </c>
      <c r="AB478" t="s">
        <v>33</v>
      </c>
      <c r="AC478">
        <v>42.2</v>
      </c>
      <c r="AD478" t="s">
        <v>34</v>
      </c>
      <c r="AE478">
        <v>1071</v>
      </c>
      <c r="AF478">
        <v>0</v>
      </c>
    </row>
    <row r="479" spans="3:32" x14ac:dyDescent="0.35">
      <c r="C479" s="1">
        <v>43736</v>
      </c>
      <c r="D479" s="2">
        <v>43709</v>
      </c>
      <c r="E479">
        <v>1974</v>
      </c>
      <c r="F479" s="3">
        <v>4319.0200000000004</v>
      </c>
      <c r="G479" s="3">
        <v>2586.75</v>
      </c>
      <c r="H479" s="3">
        <v>1732.27</v>
      </c>
      <c r="I479" s="3">
        <v>0.6</v>
      </c>
      <c r="J479">
        <v>0.31</v>
      </c>
      <c r="K479">
        <v>4263.1499999999996</v>
      </c>
      <c r="L479" t="s">
        <v>30</v>
      </c>
      <c r="M479">
        <v>750</v>
      </c>
      <c r="N479">
        <v>0.57999999999999996</v>
      </c>
      <c r="O479" s="3">
        <v>775.89</v>
      </c>
      <c r="P479" s="3">
        <v>0.18</v>
      </c>
      <c r="Q479" s="3">
        <v>67.540000000000006</v>
      </c>
      <c r="R479" s="3">
        <v>0.02</v>
      </c>
      <c r="S479">
        <v>6</v>
      </c>
      <c r="T479">
        <v>1108.6400000000001</v>
      </c>
      <c r="U479">
        <v>45</v>
      </c>
      <c r="V479">
        <v>0</v>
      </c>
      <c r="W479">
        <v>363.63</v>
      </c>
      <c r="X479">
        <v>1766.05</v>
      </c>
      <c r="Y479" t="s">
        <v>31</v>
      </c>
      <c r="Z479" s="3">
        <v>1461.33</v>
      </c>
      <c r="AA479" t="s">
        <v>51</v>
      </c>
      <c r="AB479" t="s">
        <v>44</v>
      </c>
      <c r="AC479">
        <v>54.8</v>
      </c>
      <c r="AD479" t="s">
        <v>38</v>
      </c>
      <c r="AE479">
        <v>1732.27</v>
      </c>
      <c r="AF479">
        <v>0</v>
      </c>
    </row>
    <row r="480" spans="3:32" x14ac:dyDescent="0.35">
      <c r="C480" s="1">
        <v>43736</v>
      </c>
      <c r="D480" s="2">
        <v>43709</v>
      </c>
      <c r="E480">
        <v>1418</v>
      </c>
      <c r="F480" s="3">
        <v>3739.5</v>
      </c>
      <c r="G480" s="3">
        <v>3502.33</v>
      </c>
      <c r="H480" s="3">
        <v>237.17</v>
      </c>
      <c r="I480" s="3">
        <v>0.94</v>
      </c>
      <c r="J480">
        <v>7.0000000000000007E-2</v>
      </c>
      <c r="K480">
        <v>3396.07</v>
      </c>
      <c r="L480" t="s">
        <v>35</v>
      </c>
      <c r="M480">
        <v>686</v>
      </c>
      <c r="N480">
        <v>0.56000000000000005</v>
      </c>
      <c r="O480" s="3">
        <v>531.17999999999995</v>
      </c>
      <c r="P480" s="3">
        <v>0.14000000000000001</v>
      </c>
      <c r="Q480" s="3">
        <v>284.02</v>
      </c>
      <c r="R480" s="3">
        <v>0.08</v>
      </c>
      <c r="S480">
        <v>8</v>
      </c>
      <c r="T480">
        <v>1634.17</v>
      </c>
      <c r="U480">
        <v>80</v>
      </c>
      <c r="V480">
        <v>0</v>
      </c>
      <c r="W480">
        <v>1132.6099999999999</v>
      </c>
      <c r="X480">
        <v>1867.51</v>
      </c>
      <c r="Y480" t="s">
        <v>36</v>
      </c>
      <c r="Z480" s="3">
        <v>1128.93</v>
      </c>
      <c r="AA480" t="s">
        <v>46</v>
      </c>
      <c r="AB480" t="s">
        <v>33</v>
      </c>
      <c r="AC480">
        <v>11.3</v>
      </c>
      <c r="AD480" t="s">
        <v>34</v>
      </c>
      <c r="AE480">
        <v>237.17</v>
      </c>
      <c r="AF480">
        <v>0</v>
      </c>
    </row>
    <row r="481" spans="3:32" x14ac:dyDescent="0.35">
      <c r="C481" s="1">
        <v>43736</v>
      </c>
      <c r="D481" s="2">
        <v>43709</v>
      </c>
      <c r="E481">
        <v>1000</v>
      </c>
      <c r="F481" s="3">
        <v>3374.92</v>
      </c>
      <c r="G481" s="3">
        <v>4718.17</v>
      </c>
      <c r="H481" s="3">
        <v>-1343.25</v>
      </c>
      <c r="I481" s="3">
        <v>1.4</v>
      </c>
      <c r="J481">
        <v>0.38</v>
      </c>
      <c r="K481">
        <v>3863.29</v>
      </c>
      <c r="L481" t="s">
        <v>30</v>
      </c>
      <c r="M481">
        <v>677</v>
      </c>
      <c r="N481">
        <v>0.36</v>
      </c>
      <c r="O481" s="3">
        <v>527.88</v>
      </c>
      <c r="P481" s="3">
        <v>0.16</v>
      </c>
      <c r="Q481" s="3">
        <v>402.65</v>
      </c>
      <c r="R481" s="3">
        <v>0.12</v>
      </c>
      <c r="S481">
        <v>8</v>
      </c>
      <c r="T481">
        <v>1110.0999999999999</v>
      </c>
      <c r="U481">
        <v>61</v>
      </c>
      <c r="V481">
        <v>0</v>
      </c>
      <c r="W481">
        <v>456.4</v>
      </c>
      <c r="X481">
        <v>2245.69</v>
      </c>
      <c r="Y481" t="s">
        <v>31</v>
      </c>
      <c r="Z481" s="3">
        <v>1521.3</v>
      </c>
      <c r="AA481" t="s">
        <v>40</v>
      </c>
      <c r="AB481" t="s">
        <v>44</v>
      </c>
      <c r="AC481">
        <v>31.7</v>
      </c>
      <c r="AD481" t="s">
        <v>34</v>
      </c>
      <c r="AE481">
        <v>0</v>
      </c>
      <c r="AF481">
        <v>0</v>
      </c>
    </row>
    <row r="482" spans="3:32" x14ac:dyDescent="0.35">
      <c r="C482" s="1">
        <v>43736</v>
      </c>
      <c r="D482" s="2">
        <v>43709</v>
      </c>
      <c r="E482">
        <v>1072</v>
      </c>
      <c r="F482" s="3">
        <v>3396.12</v>
      </c>
      <c r="G482" s="3">
        <v>3121.91</v>
      </c>
      <c r="H482" s="3">
        <v>274.20999999999998</v>
      </c>
      <c r="I482" s="3">
        <v>0.92</v>
      </c>
      <c r="J482">
        <v>0.26</v>
      </c>
      <c r="K482">
        <v>2760.99</v>
      </c>
      <c r="L482" t="s">
        <v>30</v>
      </c>
      <c r="M482">
        <v>651</v>
      </c>
      <c r="N482">
        <v>0.4</v>
      </c>
      <c r="O482" s="3">
        <v>380.08</v>
      </c>
      <c r="P482" s="3">
        <v>0.11</v>
      </c>
      <c r="Q482" s="3">
        <v>0</v>
      </c>
      <c r="R482" s="3">
        <v>0</v>
      </c>
      <c r="S482">
        <v>4</v>
      </c>
      <c r="T482">
        <v>437.95</v>
      </c>
      <c r="U482">
        <v>59</v>
      </c>
      <c r="V482">
        <v>0</v>
      </c>
      <c r="W482">
        <v>253.96</v>
      </c>
      <c r="X482">
        <v>1845.56</v>
      </c>
      <c r="Y482" t="s">
        <v>31</v>
      </c>
      <c r="Z482" s="3">
        <v>1897.05</v>
      </c>
      <c r="AA482" t="s">
        <v>41</v>
      </c>
      <c r="AB482" t="s">
        <v>42</v>
      </c>
      <c r="AC482">
        <v>49.8</v>
      </c>
      <c r="AD482" t="s">
        <v>34</v>
      </c>
      <c r="AE482">
        <v>274.20999999999998</v>
      </c>
      <c r="AF482">
        <v>0</v>
      </c>
    </row>
    <row r="483" spans="3:32" x14ac:dyDescent="0.35">
      <c r="C483" s="1">
        <v>43736</v>
      </c>
      <c r="D483" s="2">
        <v>43709</v>
      </c>
      <c r="E483">
        <v>1035</v>
      </c>
      <c r="F483" s="3">
        <v>4483.58</v>
      </c>
      <c r="G483" s="3">
        <v>3970.71</v>
      </c>
      <c r="H483" s="3">
        <v>512.87</v>
      </c>
      <c r="I483" s="3">
        <v>0.89</v>
      </c>
      <c r="J483">
        <v>0.12</v>
      </c>
      <c r="K483">
        <v>1672.27</v>
      </c>
      <c r="L483" t="s">
        <v>30</v>
      </c>
      <c r="M483">
        <v>661</v>
      </c>
      <c r="N483">
        <v>0.18</v>
      </c>
      <c r="O483" s="3">
        <v>190.4</v>
      </c>
      <c r="P483" s="3">
        <v>0.04</v>
      </c>
      <c r="Q483" s="3">
        <v>209.18</v>
      </c>
      <c r="R483" s="3">
        <v>0.05</v>
      </c>
      <c r="S483">
        <v>6</v>
      </c>
      <c r="T483">
        <v>747.42</v>
      </c>
      <c r="U483">
        <v>71</v>
      </c>
      <c r="V483">
        <v>0</v>
      </c>
      <c r="W483">
        <v>431.81</v>
      </c>
      <c r="X483">
        <v>2178.7399999999998</v>
      </c>
      <c r="Y483" t="s">
        <v>36</v>
      </c>
      <c r="Z483" s="3">
        <v>960.35</v>
      </c>
      <c r="AA483" t="s">
        <v>50</v>
      </c>
      <c r="AB483" t="s">
        <v>44</v>
      </c>
      <c r="AC483">
        <v>0.9</v>
      </c>
      <c r="AD483" t="s">
        <v>34</v>
      </c>
      <c r="AE483">
        <v>512.87</v>
      </c>
      <c r="AF483">
        <v>0</v>
      </c>
    </row>
    <row r="484" spans="3:32" x14ac:dyDescent="0.35">
      <c r="C484" s="1">
        <v>43736</v>
      </c>
      <c r="D484" s="2">
        <v>43709</v>
      </c>
      <c r="E484">
        <v>1650</v>
      </c>
      <c r="F484" s="3">
        <v>4234.68</v>
      </c>
      <c r="G484" s="3">
        <v>3186.99</v>
      </c>
      <c r="H484" s="3">
        <v>1047.69</v>
      </c>
      <c r="I484" s="3">
        <v>0.75</v>
      </c>
      <c r="J484">
        <v>0.4</v>
      </c>
      <c r="K484">
        <v>2816.06</v>
      </c>
      <c r="L484" t="s">
        <v>35</v>
      </c>
      <c r="M484">
        <v>715</v>
      </c>
      <c r="N484">
        <v>0.15</v>
      </c>
      <c r="O484" s="3">
        <v>522.77</v>
      </c>
      <c r="P484" s="3">
        <v>0.12</v>
      </c>
      <c r="Q484" s="3">
        <v>561.25</v>
      </c>
      <c r="R484" s="3">
        <v>0.13</v>
      </c>
      <c r="S484">
        <v>9</v>
      </c>
      <c r="T484">
        <v>1507.11</v>
      </c>
      <c r="U484">
        <v>97</v>
      </c>
      <c r="V484">
        <v>0</v>
      </c>
      <c r="W484">
        <v>532.01</v>
      </c>
      <c r="X484">
        <v>2005.38</v>
      </c>
      <c r="Y484" t="s">
        <v>49</v>
      </c>
      <c r="Z484" s="3">
        <v>2215.04</v>
      </c>
      <c r="AA484" t="s">
        <v>32</v>
      </c>
      <c r="AB484" t="s">
        <v>42</v>
      </c>
      <c r="AC484">
        <v>36</v>
      </c>
      <c r="AD484" t="s">
        <v>34</v>
      </c>
      <c r="AE484">
        <v>1047.69</v>
      </c>
      <c r="AF484">
        <v>0</v>
      </c>
    </row>
    <row r="485" spans="3:32" x14ac:dyDescent="0.35">
      <c r="C485" s="1">
        <v>43736</v>
      </c>
      <c r="D485" s="2">
        <v>43709</v>
      </c>
      <c r="E485">
        <v>1549</v>
      </c>
      <c r="F485" s="3">
        <v>3972.99</v>
      </c>
      <c r="G485" s="3">
        <v>2917.83</v>
      </c>
      <c r="H485" s="3">
        <v>1055.1600000000001</v>
      </c>
      <c r="I485" s="3">
        <v>0.73</v>
      </c>
      <c r="J485">
        <v>0.34</v>
      </c>
      <c r="K485">
        <v>2605.37</v>
      </c>
      <c r="L485" t="s">
        <v>35</v>
      </c>
      <c r="M485">
        <v>637</v>
      </c>
      <c r="N485">
        <v>0.6</v>
      </c>
      <c r="O485" s="3">
        <v>638.22</v>
      </c>
      <c r="P485" s="3">
        <v>0.16</v>
      </c>
      <c r="Q485" s="3">
        <v>592.83000000000004</v>
      </c>
      <c r="R485" s="3">
        <v>0.15</v>
      </c>
      <c r="S485">
        <v>7</v>
      </c>
      <c r="T485">
        <v>1511.13</v>
      </c>
      <c r="U485">
        <v>24</v>
      </c>
      <c r="V485">
        <v>0</v>
      </c>
      <c r="W485">
        <v>492.63</v>
      </c>
      <c r="X485">
        <v>2386.09</v>
      </c>
      <c r="Y485" t="s">
        <v>36</v>
      </c>
      <c r="Z485" s="3">
        <v>956.17</v>
      </c>
      <c r="AA485" t="s">
        <v>45</v>
      </c>
      <c r="AB485" t="s">
        <v>33</v>
      </c>
      <c r="AC485">
        <v>50.5</v>
      </c>
      <c r="AD485" t="s">
        <v>34</v>
      </c>
      <c r="AE485">
        <v>1055.1600000000001</v>
      </c>
      <c r="AF485">
        <v>0</v>
      </c>
    </row>
    <row r="486" spans="3:32" x14ac:dyDescent="0.35">
      <c r="C486" s="1">
        <v>43736</v>
      </c>
      <c r="D486" s="2">
        <v>43709</v>
      </c>
      <c r="E486">
        <v>1100</v>
      </c>
      <c r="F486" s="3">
        <v>4101.62</v>
      </c>
      <c r="G486" s="3">
        <v>3541.71</v>
      </c>
      <c r="H486" s="3">
        <v>559.91</v>
      </c>
      <c r="I486" s="3">
        <v>0.86</v>
      </c>
      <c r="J486">
        <v>0.14000000000000001</v>
      </c>
      <c r="K486">
        <v>2793.18</v>
      </c>
      <c r="L486" t="s">
        <v>35</v>
      </c>
      <c r="M486">
        <v>667</v>
      </c>
      <c r="N486">
        <v>0.32</v>
      </c>
      <c r="O486" s="3">
        <v>279.47000000000003</v>
      </c>
      <c r="P486" s="3">
        <v>7.0000000000000007E-2</v>
      </c>
      <c r="Q486" s="3">
        <v>469.83</v>
      </c>
      <c r="R486" s="3">
        <v>0.11</v>
      </c>
      <c r="S486">
        <v>7</v>
      </c>
      <c r="T486">
        <v>1674.38</v>
      </c>
      <c r="U486">
        <v>39</v>
      </c>
      <c r="V486">
        <v>0</v>
      </c>
      <c r="W486">
        <v>558.04</v>
      </c>
      <c r="X486">
        <v>1333.24</v>
      </c>
      <c r="Y486" t="s">
        <v>36</v>
      </c>
      <c r="Z486" s="3">
        <v>1373.16</v>
      </c>
      <c r="AA486" t="s">
        <v>32</v>
      </c>
      <c r="AB486" t="s">
        <v>33</v>
      </c>
      <c r="AC486">
        <v>39.700000000000003</v>
      </c>
      <c r="AD486" t="s">
        <v>34</v>
      </c>
      <c r="AE486">
        <v>559.91</v>
      </c>
      <c r="AF486">
        <v>0</v>
      </c>
    </row>
    <row r="487" spans="3:32" x14ac:dyDescent="0.35">
      <c r="C487" s="1">
        <v>43736</v>
      </c>
      <c r="D487" s="2">
        <v>43709</v>
      </c>
      <c r="E487">
        <v>1938</v>
      </c>
      <c r="F487" s="3">
        <v>3381.06</v>
      </c>
      <c r="G487" s="3">
        <v>2417.67</v>
      </c>
      <c r="H487" s="3">
        <v>963.39</v>
      </c>
      <c r="I487" s="3">
        <v>0.72</v>
      </c>
      <c r="J487">
        <v>0.33</v>
      </c>
      <c r="K487">
        <v>2632.84</v>
      </c>
      <c r="L487" t="s">
        <v>35</v>
      </c>
      <c r="M487">
        <v>697</v>
      </c>
      <c r="N487">
        <v>0.14000000000000001</v>
      </c>
      <c r="O487" s="3">
        <v>155.80000000000001</v>
      </c>
      <c r="P487" s="3">
        <v>0.05</v>
      </c>
      <c r="Q487" s="3">
        <v>392.1</v>
      </c>
      <c r="R487" s="3">
        <v>0.12</v>
      </c>
      <c r="S487">
        <v>8</v>
      </c>
      <c r="T487">
        <v>766.2</v>
      </c>
      <c r="U487">
        <v>58</v>
      </c>
      <c r="V487">
        <v>0</v>
      </c>
      <c r="W487">
        <v>196.61</v>
      </c>
      <c r="X487">
        <v>2723.06</v>
      </c>
      <c r="Y487" t="s">
        <v>36</v>
      </c>
      <c r="Z487" s="3">
        <v>1095.73</v>
      </c>
      <c r="AA487" t="s">
        <v>40</v>
      </c>
      <c r="AB487" t="s">
        <v>33</v>
      </c>
      <c r="AC487">
        <v>83.2</v>
      </c>
      <c r="AD487" t="s">
        <v>34</v>
      </c>
      <c r="AE487">
        <v>963.39</v>
      </c>
      <c r="AF487">
        <v>0</v>
      </c>
    </row>
    <row r="488" spans="3:32" x14ac:dyDescent="0.35">
      <c r="C488" s="1">
        <v>43736</v>
      </c>
      <c r="D488" s="2">
        <v>43709</v>
      </c>
      <c r="E488">
        <v>1082</v>
      </c>
      <c r="F488" s="3">
        <v>3947.11</v>
      </c>
      <c r="G488" s="3">
        <v>2107.58</v>
      </c>
      <c r="H488" s="3">
        <v>1839.53</v>
      </c>
      <c r="I488" s="3">
        <v>0.53</v>
      </c>
      <c r="J488">
        <v>0.23</v>
      </c>
      <c r="K488">
        <v>2304.5</v>
      </c>
      <c r="L488" t="s">
        <v>35</v>
      </c>
      <c r="M488">
        <v>606</v>
      </c>
      <c r="N488">
        <v>0.14000000000000001</v>
      </c>
      <c r="O488" s="3">
        <v>383.28</v>
      </c>
      <c r="P488" s="3">
        <v>0.1</v>
      </c>
      <c r="Q488" s="3">
        <v>504.7</v>
      </c>
      <c r="R488" s="3">
        <v>0.13</v>
      </c>
      <c r="S488">
        <v>8</v>
      </c>
      <c r="T488">
        <v>573.9</v>
      </c>
      <c r="U488">
        <v>23</v>
      </c>
      <c r="V488">
        <v>0</v>
      </c>
      <c r="W488">
        <v>451.65</v>
      </c>
      <c r="X488">
        <v>1933.5</v>
      </c>
      <c r="Y488" t="s">
        <v>36</v>
      </c>
      <c r="Z488" s="3">
        <v>1326.35</v>
      </c>
      <c r="AA488" t="s">
        <v>37</v>
      </c>
      <c r="AB488" t="s">
        <v>42</v>
      </c>
      <c r="AC488">
        <v>34.9</v>
      </c>
      <c r="AD488" t="s">
        <v>38</v>
      </c>
      <c r="AE488">
        <v>1839.53</v>
      </c>
      <c r="AF488">
        <v>0</v>
      </c>
    </row>
    <row r="489" spans="3:32" x14ac:dyDescent="0.35">
      <c r="C489" s="1">
        <v>43736</v>
      </c>
      <c r="D489" s="2">
        <v>43709</v>
      </c>
      <c r="E489">
        <v>1946</v>
      </c>
      <c r="F489" s="3">
        <v>4335.41</v>
      </c>
      <c r="G489" s="3">
        <v>3622.24</v>
      </c>
      <c r="H489" s="3">
        <v>713.17</v>
      </c>
      <c r="I489" s="3">
        <v>0.84</v>
      </c>
      <c r="J489">
        <v>0.05</v>
      </c>
      <c r="K489">
        <v>2914.92</v>
      </c>
      <c r="L489" t="s">
        <v>30</v>
      </c>
      <c r="M489">
        <v>671</v>
      </c>
      <c r="N489">
        <v>0.49</v>
      </c>
      <c r="O489" s="3">
        <v>292.95999999999998</v>
      </c>
      <c r="P489" s="3">
        <v>7.0000000000000007E-2</v>
      </c>
      <c r="Q489" s="3">
        <v>258.66000000000003</v>
      </c>
      <c r="R489" s="3">
        <v>0.06</v>
      </c>
      <c r="S489">
        <v>1</v>
      </c>
      <c r="T489">
        <v>943.66</v>
      </c>
      <c r="U489">
        <v>97</v>
      </c>
      <c r="V489">
        <v>0</v>
      </c>
      <c r="W489">
        <v>592.32000000000005</v>
      </c>
      <c r="X489">
        <v>2888.68</v>
      </c>
      <c r="Y489" t="s">
        <v>49</v>
      </c>
      <c r="Z489" s="3">
        <v>1696.48</v>
      </c>
      <c r="AA489" t="s">
        <v>45</v>
      </c>
      <c r="AB489" t="s">
        <v>44</v>
      </c>
      <c r="AC489">
        <v>31.1</v>
      </c>
      <c r="AD489" t="s">
        <v>34</v>
      </c>
      <c r="AE489">
        <v>713.17</v>
      </c>
      <c r="AF489">
        <v>0</v>
      </c>
    </row>
    <row r="490" spans="3:32" x14ac:dyDescent="0.35">
      <c r="C490" s="1">
        <v>43736</v>
      </c>
      <c r="D490" s="2">
        <v>43709</v>
      </c>
      <c r="E490">
        <v>1048</v>
      </c>
      <c r="F490" s="3">
        <v>3642.81</v>
      </c>
      <c r="G490" s="3">
        <v>2100.88</v>
      </c>
      <c r="H490" s="3">
        <v>1541.93</v>
      </c>
      <c r="I490" s="3">
        <v>0.57999999999999996</v>
      </c>
      <c r="J490">
        <v>0.2</v>
      </c>
      <c r="K490">
        <v>2936.39</v>
      </c>
      <c r="L490" t="s">
        <v>35</v>
      </c>
      <c r="M490">
        <v>650</v>
      </c>
      <c r="N490">
        <v>0.55000000000000004</v>
      </c>
      <c r="O490" s="3">
        <v>527.30999999999995</v>
      </c>
      <c r="P490" s="3">
        <v>0.14000000000000001</v>
      </c>
      <c r="Q490" s="3">
        <v>376.91</v>
      </c>
      <c r="R490" s="3">
        <v>0.1</v>
      </c>
      <c r="S490">
        <v>1</v>
      </c>
      <c r="T490">
        <v>498.42</v>
      </c>
      <c r="U490">
        <v>38</v>
      </c>
      <c r="V490">
        <v>0</v>
      </c>
      <c r="W490">
        <v>843.03</v>
      </c>
      <c r="X490">
        <v>2424.02</v>
      </c>
      <c r="Y490" t="s">
        <v>36</v>
      </c>
      <c r="Z490" s="3">
        <v>1045.58</v>
      </c>
      <c r="AA490" t="s">
        <v>48</v>
      </c>
      <c r="AB490" t="s">
        <v>42</v>
      </c>
      <c r="AC490">
        <v>47.5</v>
      </c>
      <c r="AD490" t="s">
        <v>34</v>
      </c>
      <c r="AE490">
        <v>1541.93</v>
      </c>
      <c r="AF490">
        <v>0</v>
      </c>
    </row>
    <row r="491" spans="3:32" x14ac:dyDescent="0.35">
      <c r="C491" s="1">
        <v>43736</v>
      </c>
      <c r="D491" s="2">
        <v>43709</v>
      </c>
      <c r="E491">
        <v>1122</v>
      </c>
      <c r="F491" s="3">
        <v>5339.91</v>
      </c>
      <c r="G491" s="3">
        <v>4261.75</v>
      </c>
      <c r="H491" s="3">
        <v>1078.1600000000001</v>
      </c>
      <c r="I491" s="3">
        <v>0.8</v>
      </c>
      <c r="J491">
        <v>0.25</v>
      </c>
      <c r="K491">
        <v>2114.91</v>
      </c>
      <c r="L491" t="s">
        <v>35</v>
      </c>
      <c r="M491">
        <v>635</v>
      </c>
      <c r="N491">
        <v>0.32</v>
      </c>
      <c r="O491" s="3">
        <v>639.38</v>
      </c>
      <c r="P491" s="3">
        <v>0.12</v>
      </c>
      <c r="Q491" s="3">
        <v>327.54000000000002</v>
      </c>
      <c r="R491" s="3">
        <v>0.06</v>
      </c>
      <c r="S491">
        <v>7</v>
      </c>
      <c r="T491">
        <v>1435.96</v>
      </c>
      <c r="U491">
        <v>90</v>
      </c>
      <c r="V491">
        <v>0</v>
      </c>
      <c r="W491">
        <v>424.66</v>
      </c>
      <c r="X491">
        <v>3797.5</v>
      </c>
      <c r="Y491" t="s">
        <v>31</v>
      </c>
      <c r="Z491" s="3">
        <v>1461.61</v>
      </c>
      <c r="AA491" t="s">
        <v>48</v>
      </c>
      <c r="AB491" t="s">
        <v>33</v>
      </c>
      <c r="AC491">
        <v>90.3</v>
      </c>
      <c r="AD491" t="s">
        <v>34</v>
      </c>
      <c r="AE491">
        <v>1078.1600000000001</v>
      </c>
      <c r="AF491">
        <v>0</v>
      </c>
    </row>
    <row r="492" spans="3:32" x14ac:dyDescent="0.35">
      <c r="C492" s="1">
        <v>43736</v>
      </c>
      <c r="D492" s="2">
        <v>43709</v>
      </c>
      <c r="E492">
        <v>1585</v>
      </c>
      <c r="F492" s="3">
        <v>2420.64</v>
      </c>
      <c r="G492" s="3">
        <v>3221.73</v>
      </c>
      <c r="H492" s="3">
        <v>-801.09</v>
      </c>
      <c r="I492" s="3">
        <v>1.33</v>
      </c>
      <c r="J492">
        <v>0.35</v>
      </c>
      <c r="K492">
        <v>2484.69</v>
      </c>
      <c r="L492" t="s">
        <v>30</v>
      </c>
      <c r="M492">
        <v>713</v>
      </c>
      <c r="N492">
        <v>0.15</v>
      </c>
      <c r="O492" s="3">
        <v>648.54</v>
      </c>
      <c r="P492" s="3">
        <v>0.27</v>
      </c>
      <c r="Q492" s="3">
        <v>615.16999999999996</v>
      </c>
      <c r="R492" s="3">
        <v>0.25</v>
      </c>
      <c r="S492">
        <v>6</v>
      </c>
      <c r="T492">
        <v>1191.82</v>
      </c>
      <c r="U492">
        <v>61</v>
      </c>
      <c r="V492">
        <v>0</v>
      </c>
      <c r="W492">
        <v>724.04</v>
      </c>
      <c r="X492">
        <v>3108.26</v>
      </c>
      <c r="Y492" t="s">
        <v>36</v>
      </c>
      <c r="Z492" s="3">
        <v>1084.42</v>
      </c>
      <c r="AA492" t="s">
        <v>37</v>
      </c>
      <c r="AB492" t="s">
        <v>42</v>
      </c>
      <c r="AC492">
        <v>12.9</v>
      </c>
      <c r="AD492" t="s">
        <v>43</v>
      </c>
      <c r="AE492">
        <v>0</v>
      </c>
      <c r="AF492">
        <v>0</v>
      </c>
    </row>
    <row r="493" spans="3:32" x14ac:dyDescent="0.35">
      <c r="C493" s="1">
        <v>43736</v>
      </c>
      <c r="D493" s="2">
        <v>43709</v>
      </c>
      <c r="E493">
        <v>1881</v>
      </c>
      <c r="F493" s="3">
        <v>5100.75</v>
      </c>
      <c r="G493" s="3">
        <v>2667.75</v>
      </c>
      <c r="H493" s="3">
        <v>2433</v>
      </c>
      <c r="I493" s="3">
        <v>0.52</v>
      </c>
      <c r="J493">
        <v>0.28999999999999998</v>
      </c>
      <c r="K493">
        <v>2814.12</v>
      </c>
      <c r="L493" t="s">
        <v>35</v>
      </c>
      <c r="M493">
        <v>810</v>
      </c>
      <c r="N493">
        <v>0.18</v>
      </c>
      <c r="O493" s="3">
        <v>661.33</v>
      </c>
      <c r="P493" s="3">
        <v>0.13</v>
      </c>
      <c r="Q493" s="3">
        <v>631.11</v>
      </c>
      <c r="R493" s="3">
        <v>0.12</v>
      </c>
      <c r="S493">
        <v>6</v>
      </c>
      <c r="T493">
        <v>1151.68</v>
      </c>
      <c r="U493">
        <v>62</v>
      </c>
      <c r="V493">
        <v>0</v>
      </c>
      <c r="W493">
        <v>590.16999999999996</v>
      </c>
      <c r="X493">
        <v>2289.87</v>
      </c>
      <c r="Y493" t="s">
        <v>36</v>
      </c>
      <c r="Z493" s="3">
        <v>1090.94</v>
      </c>
      <c r="AA493" t="s">
        <v>45</v>
      </c>
      <c r="AB493" t="s">
        <v>33</v>
      </c>
      <c r="AC493">
        <v>23.7</v>
      </c>
      <c r="AD493" t="s">
        <v>38</v>
      </c>
      <c r="AE493">
        <v>2433</v>
      </c>
      <c r="AF493">
        <v>0</v>
      </c>
    </row>
    <row r="494" spans="3:32" x14ac:dyDescent="0.35">
      <c r="C494" s="1">
        <v>43736</v>
      </c>
      <c r="D494" s="2">
        <v>43709</v>
      </c>
      <c r="E494">
        <v>1825</v>
      </c>
      <c r="F494" s="3">
        <v>4575.2700000000004</v>
      </c>
      <c r="G494" s="3">
        <v>3696.96</v>
      </c>
      <c r="H494" s="3">
        <v>878.31</v>
      </c>
      <c r="I494" s="3">
        <v>0.81</v>
      </c>
      <c r="J494">
        <v>0.34</v>
      </c>
      <c r="K494">
        <v>2896.57</v>
      </c>
      <c r="L494" t="s">
        <v>35</v>
      </c>
      <c r="M494">
        <v>698</v>
      </c>
      <c r="N494">
        <v>0.14000000000000001</v>
      </c>
      <c r="O494" s="3">
        <v>476.15</v>
      </c>
      <c r="P494" s="3">
        <v>0.1</v>
      </c>
      <c r="Q494" s="3">
        <v>0</v>
      </c>
      <c r="R494" s="3">
        <v>0</v>
      </c>
      <c r="S494">
        <v>3</v>
      </c>
      <c r="T494">
        <v>1173.53</v>
      </c>
      <c r="U494">
        <v>60</v>
      </c>
      <c r="V494">
        <v>0</v>
      </c>
      <c r="W494">
        <v>331.97</v>
      </c>
      <c r="X494">
        <v>2235.36</v>
      </c>
      <c r="Y494" t="s">
        <v>31</v>
      </c>
      <c r="Z494" s="3">
        <v>1211.81</v>
      </c>
      <c r="AA494" t="s">
        <v>40</v>
      </c>
      <c r="AB494" t="s">
        <v>33</v>
      </c>
      <c r="AC494">
        <v>70.900000000000006</v>
      </c>
      <c r="AD494" t="s">
        <v>38</v>
      </c>
      <c r="AE494">
        <v>878.31</v>
      </c>
      <c r="AF494">
        <v>0</v>
      </c>
    </row>
    <row r="495" spans="3:32" x14ac:dyDescent="0.35">
      <c r="C495" s="1">
        <v>43736</v>
      </c>
      <c r="D495" s="2">
        <v>43709</v>
      </c>
      <c r="E495">
        <v>1192</v>
      </c>
      <c r="F495" s="3">
        <v>3884.71</v>
      </c>
      <c r="G495" s="3">
        <v>1642.92</v>
      </c>
      <c r="H495" s="3">
        <v>2241.79</v>
      </c>
      <c r="I495" s="3">
        <v>0.42</v>
      </c>
      <c r="J495">
        <v>0.08</v>
      </c>
      <c r="K495">
        <v>2196.84</v>
      </c>
      <c r="L495" t="s">
        <v>30</v>
      </c>
      <c r="M495">
        <v>752</v>
      </c>
      <c r="N495">
        <v>0.5</v>
      </c>
      <c r="O495" s="3">
        <v>281.29000000000002</v>
      </c>
      <c r="P495" s="3">
        <v>7.0000000000000007E-2</v>
      </c>
      <c r="Q495" s="3">
        <v>369.17</v>
      </c>
      <c r="R495" s="3">
        <v>0.1</v>
      </c>
      <c r="S495">
        <v>7</v>
      </c>
      <c r="T495">
        <v>1081.9000000000001</v>
      </c>
      <c r="U495">
        <v>93</v>
      </c>
      <c r="V495">
        <v>0</v>
      </c>
      <c r="W495">
        <v>556</v>
      </c>
      <c r="X495">
        <v>1051.5</v>
      </c>
      <c r="Y495" t="s">
        <v>36</v>
      </c>
      <c r="Z495" s="3">
        <v>1890.47</v>
      </c>
      <c r="AA495" t="s">
        <v>37</v>
      </c>
      <c r="AB495" t="s">
        <v>33</v>
      </c>
      <c r="AC495">
        <v>56.4</v>
      </c>
      <c r="AD495" t="s">
        <v>43</v>
      </c>
      <c r="AE495">
        <v>2241.79</v>
      </c>
      <c r="AF495">
        <v>1</v>
      </c>
    </row>
    <row r="496" spans="3:32" x14ac:dyDescent="0.35">
      <c r="C496" s="1">
        <v>43736</v>
      </c>
      <c r="D496" s="2">
        <v>43709</v>
      </c>
      <c r="E496">
        <v>1200</v>
      </c>
      <c r="F496" s="3">
        <v>4569.58</v>
      </c>
      <c r="G496" s="3">
        <v>3569.71</v>
      </c>
      <c r="H496" s="3">
        <v>999.87</v>
      </c>
      <c r="I496" s="3">
        <v>0.78</v>
      </c>
      <c r="J496">
        <v>0.21</v>
      </c>
      <c r="K496">
        <v>2778.01</v>
      </c>
      <c r="L496" t="s">
        <v>35</v>
      </c>
      <c r="M496">
        <v>625</v>
      </c>
      <c r="N496">
        <v>0.27</v>
      </c>
      <c r="O496" s="3">
        <v>669.93</v>
      </c>
      <c r="P496" s="3">
        <v>0.15</v>
      </c>
      <c r="Q496" s="3">
        <v>561.14</v>
      </c>
      <c r="R496" s="3">
        <v>0.12</v>
      </c>
      <c r="S496">
        <v>8</v>
      </c>
      <c r="T496">
        <v>1267.48</v>
      </c>
      <c r="U496">
        <v>66</v>
      </c>
      <c r="V496">
        <v>0</v>
      </c>
      <c r="W496">
        <v>660.7</v>
      </c>
      <c r="X496">
        <v>3072.73</v>
      </c>
      <c r="Y496" t="s">
        <v>36</v>
      </c>
      <c r="Z496" s="3">
        <v>971.84</v>
      </c>
      <c r="AA496" t="s">
        <v>40</v>
      </c>
      <c r="AB496" t="s">
        <v>44</v>
      </c>
      <c r="AC496">
        <v>5.0999999999999996</v>
      </c>
      <c r="AD496" t="s">
        <v>34</v>
      </c>
      <c r="AE496">
        <v>999.87</v>
      </c>
      <c r="AF496">
        <v>0</v>
      </c>
    </row>
    <row r="497" spans="3:32" x14ac:dyDescent="0.35">
      <c r="C497" s="1">
        <v>43736</v>
      </c>
      <c r="D497" s="2">
        <v>43709</v>
      </c>
      <c r="E497">
        <v>1464</v>
      </c>
      <c r="F497" s="3">
        <v>4184.43</v>
      </c>
      <c r="G497" s="3">
        <v>2190.7800000000002</v>
      </c>
      <c r="H497" s="3">
        <v>1993.65</v>
      </c>
      <c r="I497" s="3">
        <v>0.52</v>
      </c>
      <c r="J497">
        <v>0.21</v>
      </c>
      <c r="K497">
        <v>2728.62</v>
      </c>
      <c r="L497" t="s">
        <v>35</v>
      </c>
      <c r="M497">
        <v>636</v>
      </c>
      <c r="N497">
        <v>0.51</v>
      </c>
      <c r="O497" s="3">
        <v>353.45</v>
      </c>
      <c r="P497" s="3">
        <v>0.08</v>
      </c>
      <c r="Q497" s="3">
        <v>0</v>
      </c>
      <c r="R497" s="3">
        <v>0</v>
      </c>
      <c r="S497">
        <v>7</v>
      </c>
      <c r="T497">
        <v>1000.13</v>
      </c>
      <c r="U497">
        <v>67</v>
      </c>
      <c r="V497">
        <v>0</v>
      </c>
      <c r="W497">
        <v>333.29</v>
      </c>
      <c r="X497">
        <v>3286.93</v>
      </c>
      <c r="Y497" t="s">
        <v>31</v>
      </c>
      <c r="Z497" s="3">
        <v>965.31</v>
      </c>
      <c r="AA497" t="s">
        <v>37</v>
      </c>
      <c r="AB497" t="s">
        <v>33</v>
      </c>
      <c r="AC497">
        <v>66.8</v>
      </c>
      <c r="AD497" t="s">
        <v>43</v>
      </c>
      <c r="AE497">
        <v>1993.65</v>
      </c>
      <c r="AF497">
        <v>0</v>
      </c>
    </row>
    <row r="498" spans="3:32" x14ac:dyDescent="0.35">
      <c r="C498" s="1">
        <v>43736</v>
      </c>
      <c r="D498" s="2">
        <v>43709</v>
      </c>
      <c r="E498">
        <v>1227</v>
      </c>
      <c r="F498" s="3">
        <v>3704.29</v>
      </c>
      <c r="G498" s="3">
        <v>3077.46</v>
      </c>
      <c r="H498" s="3">
        <v>626.83000000000004</v>
      </c>
      <c r="I498" s="3">
        <v>0.83</v>
      </c>
      <c r="J498">
        <v>0.33</v>
      </c>
      <c r="K498">
        <v>2194.0500000000002</v>
      </c>
      <c r="L498" t="s">
        <v>39</v>
      </c>
      <c r="M498">
        <v>632</v>
      </c>
      <c r="N498">
        <v>0.57999999999999996</v>
      </c>
      <c r="O498" s="3">
        <v>569.28</v>
      </c>
      <c r="P498" s="3">
        <v>0.15</v>
      </c>
      <c r="Q498" s="3">
        <v>140.81</v>
      </c>
      <c r="R498" s="3">
        <v>0.04</v>
      </c>
      <c r="S498">
        <v>3</v>
      </c>
      <c r="T498">
        <v>540.88</v>
      </c>
      <c r="U498">
        <v>69</v>
      </c>
      <c r="V498">
        <v>0</v>
      </c>
      <c r="W498">
        <v>464.49</v>
      </c>
      <c r="X498">
        <v>1786.51</v>
      </c>
      <c r="Y498" t="s">
        <v>31</v>
      </c>
      <c r="Z498" s="3">
        <v>1071.82</v>
      </c>
      <c r="AA498" t="s">
        <v>40</v>
      </c>
      <c r="AB498" t="s">
        <v>44</v>
      </c>
      <c r="AC498">
        <v>89.4</v>
      </c>
      <c r="AD498" t="s">
        <v>43</v>
      </c>
      <c r="AE498">
        <v>626.83000000000004</v>
      </c>
      <c r="AF498">
        <v>0</v>
      </c>
    </row>
    <row r="499" spans="3:32" x14ac:dyDescent="0.35">
      <c r="C499" s="1">
        <v>43736</v>
      </c>
      <c r="D499" s="2">
        <v>43709</v>
      </c>
      <c r="E499">
        <v>1087</v>
      </c>
      <c r="F499" s="3">
        <v>4045.07</v>
      </c>
      <c r="G499" s="3">
        <v>3018.16</v>
      </c>
      <c r="H499" s="3">
        <v>1026.9100000000001</v>
      </c>
      <c r="I499" s="3">
        <v>0.75</v>
      </c>
      <c r="J499">
        <v>0.24</v>
      </c>
      <c r="K499">
        <v>2691.5</v>
      </c>
      <c r="L499" t="s">
        <v>35</v>
      </c>
      <c r="M499">
        <v>652</v>
      </c>
      <c r="N499">
        <v>0.21</v>
      </c>
      <c r="O499" s="3">
        <v>678.91</v>
      </c>
      <c r="P499" s="3">
        <v>0.17</v>
      </c>
      <c r="Q499" s="3">
        <v>340.77</v>
      </c>
      <c r="R499" s="3">
        <v>0.08</v>
      </c>
      <c r="S499">
        <v>6</v>
      </c>
      <c r="T499">
        <v>1266.3800000000001</v>
      </c>
      <c r="U499">
        <v>99</v>
      </c>
      <c r="V499">
        <v>0</v>
      </c>
      <c r="W499">
        <v>557.61</v>
      </c>
      <c r="X499">
        <v>1893.1</v>
      </c>
      <c r="Y499" t="s">
        <v>36</v>
      </c>
      <c r="Z499" s="3">
        <v>911.51</v>
      </c>
      <c r="AA499" t="s">
        <v>40</v>
      </c>
      <c r="AB499" t="s">
        <v>33</v>
      </c>
      <c r="AC499">
        <v>55.1</v>
      </c>
      <c r="AD499" t="s">
        <v>38</v>
      </c>
      <c r="AE499">
        <v>1026.9100000000001</v>
      </c>
      <c r="AF499">
        <v>0</v>
      </c>
    </row>
    <row r="500" spans="3:32" x14ac:dyDescent="0.35">
      <c r="C500" s="1">
        <v>43736</v>
      </c>
      <c r="D500" s="2">
        <v>43709</v>
      </c>
      <c r="E500">
        <v>1975</v>
      </c>
      <c r="F500" s="3">
        <v>3195.06</v>
      </c>
      <c r="G500" s="3">
        <v>1142.97</v>
      </c>
      <c r="H500" s="3">
        <v>2052.09</v>
      </c>
      <c r="I500" s="3">
        <v>0.36</v>
      </c>
      <c r="J500">
        <v>0.09</v>
      </c>
      <c r="K500">
        <v>3431.81</v>
      </c>
      <c r="L500" t="s">
        <v>35</v>
      </c>
      <c r="M500">
        <v>738</v>
      </c>
      <c r="N500">
        <v>0.11</v>
      </c>
      <c r="O500" s="3">
        <v>610.42999999999995</v>
      </c>
      <c r="P500" s="3">
        <v>0.19</v>
      </c>
      <c r="Q500" s="3">
        <v>343.98</v>
      </c>
      <c r="R500" s="3">
        <v>0.11</v>
      </c>
      <c r="S500">
        <v>9</v>
      </c>
      <c r="T500">
        <v>349.47</v>
      </c>
      <c r="U500">
        <v>74</v>
      </c>
      <c r="V500">
        <v>0</v>
      </c>
      <c r="W500">
        <v>517.16999999999996</v>
      </c>
      <c r="X500">
        <v>1059.52</v>
      </c>
      <c r="Y500" t="s">
        <v>36</v>
      </c>
      <c r="Z500" s="3">
        <v>662.86</v>
      </c>
      <c r="AA500" t="s">
        <v>45</v>
      </c>
      <c r="AB500" t="s">
        <v>33</v>
      </c>
      <c r="AC500">
        <v>53.6</v>
      </c>
      <c r="AD500" t="s">
        <v>34</v>
      </c>
      <c r="AE500">
        <v>2052.09</v>
      </c>
      <c r="AF500">
        <v>0</v>
      </c>
    </row>
    <row r="501" spans="3:32" x14ac:dyDescent="0.35">
      <c r="C501" s="1">
        <v>43736</v>
      </c>
      <c r="D501" s="2">
        <v>43709</v>
      </c>
      <c r="E501">
        <v>1825</v>
      </c>
      <c r="F501" s="3">
        <v>3270.53</v>
      </c>
      <c r="G501" s="3">
        <v>3556.06</v>
      </c>
      <c r="H501" s="3">
        <v>-285.52999999999997</v>
      </c>
      <c r="I501" s="3">
        <v>1.0900000000000001</v>
      </c>
      <c r="J501">
        <v>0.31</v>
      </c>
      <c r="K501">
        <v>2727.97</v>
      </c>
      <c r="L501" t="s">
        <v>39</v>
      </c>
      <c r="M501">
        <v>620</v>
      </c>
      <c r="N501">
        <v>0.18</v>
      </c>
      <c r="O501" s="3">
        <v>604.15</v>
      </c>
      <c r="P501" s="3">
        <v>0.18</v>
      </c>
      <c r="Q501" s="3">
        <v>778.78</v>
      </c>
      <c r="R501" s="3">
        <v>0.24</v>
      </c>
      <c r="S501">
        <v>4</v>
      </c>
      <c r="T501">
        <v>995.67</v>
      </c>
      <c r="U501">
        <v>50</v>
      </c>
      <c r="V501">
        <v>0</v>
      </c>
      <c r="W501">
        <v>564.54999999999995</v>
      </c>
      <c r="X501">
        <v>3401.18</v>
      </c>
      <c r="Y501" t="s">
        <v>36</v>
      </c>
      <c r="Z501" s="3">
        <v>1478.25</v>
      </c>
      <c r="AA501" t="s">
        <v>37</v>
      </c>
      <c r="AB501" t="s">
        <v>42</v>
      </c>
      <c r="AC501">
        <v>41.9</v>
      </c>
      <c r="AD501" t="s">
        <v>38</v>
      </c>
      <c r="AE501">
        <v>0</v>
      </c>
      <c r="AF501">
        <v>0</v>
      </c>
    </row>
    <row r="502" spans="3:32" x14ac:dyDescent="0.35">
      <c r="C502" s="1">
        <v>43766</v>
      </c>
      <c r="D502" s="2">
        <v>43739</v>
      </c>
      <c r="E502">
        <v>1045</v>
      </c>
      <c r="F502" s="3">
        <v>3832.71</v>
      </c>
      <c r="G502" s="3">
        <v>3230.77</v>
      </c>
      <c r="H502" s="3">
        <v>601.94000000000005</v>
      </c>
      <c r="I502" s="3">
        <v>0.84</v>
      </c>
      <c r="J502">
        <v>0.23</v>
      </c>
      <c r="K502">
        <v>3178.17</v>
      </c>
      <c r="L502" t="s">
        <v>35</v>
      </c>
      <c r="M502">
        <v>611</v>
      </c>
      <c r="N502">
        <v>0.19</v>
      </c>
      <c r="O502" s="3">
        <v>316.33999999999997</v>
      </c>
      <c r="P502" s="3">
        <v>0.08</v>
      </c>
      <c r="Q502" s="3">
        <v>452.59</v>
      </c>
      <c r="R502" s="3">
        <v>0.12</v>
      </c>
      <c r="S502">
        <v>9</v>
      </c>
      <c r="T502">
        <v>1095.6300000000001</v>
      </c>
      <c r="U502">
        <v>73</v>
      </c>
      <c r="V502">
        <v>0</v>
      </c>
      <c r="W502">
        <v>585.69000000000005</v>
      </c>
      <c r="X502">
        <v>3029.36</v>
      </c>
      <c r="Y502" t="s">
        <v>49</v>
      </c>
      <c r="Z502" s="3">
        <v>1254.48</v>
      </c>
      <c r="AA502" t="s">
        <v>32</v>
      </c>
      <c r="AB502" t="s">
        <v>33</v>
      </c>
      <c r="AC502">
        <v>62.5</v>
      </c>
      <c r="AD502" t="s">
        <v>43</v>
      </c>
      <c r="AE502">
        <v>601.94000000000005</v>
      </c>
      <c r="AF502">
        <v>0</v>
      </c>
    </row>
    <row r="503" spans="3:32" x14ac:dyDescent="0.35">
      <c r="C503" s="1">
        <v>43766</v>
      </c>
      <c r="D503" s="2">
        <v>43739</v>
      </c>
      <c r="E503">
        <v>1595</v>
      </c>
      <c r="F503" s="3">
        <v>4521.79</v>
      </c>
      <c r="G503" s="3">
        <v>3131.93</v>
      </c>
      <c r="H503" s="3">
        <v>1389.86</v>
      </c>
      <c r="I503" s="3">
        <v>0.69</v>
      </c>
      <c r="J503">
        <v>0.37</v>
      </c>
      <c r="K503">
        <v>3025.06</v>
      </c>
      <c r="L503" t="s">
        <v>35</v>
      </c>
      <c r="M503">
        <v>645</v>
      </c>
      <c r="N503">
        <v>0.41</v>
      </c>
      <c r="O503" s="3">
        <v>280.93</v>
      </c>
      <c r="P503" s="3">
        <v>0.06</v>
      </c>
      <c r="Q503" s="3">
        <v>303.33999999999997</v>
      </c>
      <c r="R503" s="3">
        <v>7.0000000000000007E-2</v>
      </c>
      <c r="S503">
        <v>1</v>
      </c>
      <c r="T503">
        <v>1013.99</v>
      </c>
      <c r="U503">
        <v>90</v>
      </c>
      <c r="V503">
        <v>0</v>
      </c>
      <c r="W503">
        <v>187.14</v>
      </c>
      <c r="X503">
        <v>1731.05</v>
      </c>
      <c r="Y503" t="s">
        <v>36</v>
      </c>
      <c r="Z503" s="3">
        <v>368.58</v>
      </c>
      <c r="AA503" t="s">
        <v>51</v>
      </c>
      <c r="AB503" t="s">
        <v>44</v>
      </c>
      <c r="AC503">
        <v>62.2</v>
      </c>
      <c r="AD503" t="s">
        <v>38</v>
      </c>
      <c r="AE503">
        <v>1389.86</v>
      </c>
      <c r="AF503">
        <v>0</v>
      </c>
    </row>
    <row r="504" spans="3:32" x14ac:dyDescent="0.35">
      <c r="C504" s="1">
        <v>43766</v>
      </c>
      <c r="D504" s="2">
        <v>43739</v>
      </c>
      <c r="E504">
        <v>1942</v>
      </c>
      <c r="F504" s="3">
        <v>3351.95</v>
      </c>
      <c r="G504" s="3">
        <v>2206.7600000000002</v>
      </c>
      <c r="H504" s="3">
        <v>1145.19</v>
      </c>
      <c r="I504" s="3">
        <v>0.66</v>
      </c>
      <c r="J504">
        <v>0.16</v>
      </c>
      <c r="K504">
        <v>3223.23</v>
      </c>
      <c r="L504" t="s">
        <v>35</v>
      </c>
      <c r="M504">
        <v>731</v>
      </c>
      <c r="N504">
        <v>0.33</v>
      </c>
      <c r="O504" s="3">
        <v>615.16</v>
      </c>
      <c r="P504" s="3">
        <v>0.18</v>
      </c>
      <c r="Q504" s="3">
        <v>369.66</v>
      </c>
      <c r="R504" s="3">
        <v>0.11</v>
      </c>
      <c r="S504">
        <v>7</v>
      </c>
      <c r="T504">
        <v>1342.36</v>
      </c>
      <c r="U504">
        <v>57</v>
      </c>
      <c r="V504">
        <v>0</v>
      </c>
      <c r="W504">
        <v>795.63</v>
      </c>
      <c r="X504">
        <v>1842.64</v>
      </c>
      <c r="Y504" t="s">
        <v>36</v>
      </c>
      <c r="Z504" s="3">
        <v>916.09</v>
      </c>
      <c r="AA504" t="s">
        <v>37</v>
      </c>
      <c r="AB504" t="s">
        <v>33</v>
      </c>
      <c r="AC504">
        <v>51.2</v>
      </c>
      <c r="AD504" t="s">
        <v>43</v>
      </c>
      <c r="AE504">
        <v>1145.19</v>
      </c>
      <c r="AF504">
        <v>0</v>
      </c>
    </row>
    <row r="505" spans="3:32" x14ac:dyDescent="0.35">
      <c r="C505" s="1">
        <v>43766</v>
      </c>
      <c r="D505" s="2">
        <v>43739</v>
      </c>
      <c r="E505">
        <v>1634</v>
      </c>
      <c r="F505" s="3">
        <v>3970.71</v>
      </c>
      <c r="G505" s="3">
        <v>4435.95</v>
      </c>
      <c r="H505" s="3">
        <v>-465.24</v>
      </c>
      <c r="I505" s="3">
        <v>1.1200000000000001</v>
      </c>
      <c r="J505">
        <v>0.15</v>
      </c>
      <c r="K505">
        <v>2748.72</v>
      </c>
      <c r="L505" t="s">
        <v>39</v>
      </c>
      <c r="M505">
        <v>676</v>
      </c>
      <c r="N505">
        <v>0.44</v>
      </c>
      <c r="O505" s="3">
        <v>640.58000000000004</v>
      </c>
      <c r="P505" s="3">
        <v>0.16</v>
      </c>
      <c r="Q505" s="3">
        <v>273.26</v>
      </c>
      <c r="R505" s="3">
        <v>7.0000000000000007E-2</v>
      </c>
      <c r="S505">
        <v>6</v>
      </c>
      <c r="T505">
        <v>1635.22</v>
      </c>
      <c r="U505">
        <v>35</v>
      </c>
      <c r="V505">
        <v>0</v>
      </c>
      <c r="W505">
        <v>852.02</v>
      </c>
      <c r="X505">
        <v>2311.11</v>
      </c>
      <c r="Y505" t="s">
        <v>31</v>
      </c>
      <c r="Z505" s="3">
        <v>1355.55</v>
      </c>
      <c r="AA505" t="s">
        <v>51</v>
      </c>
      <c r="AB505" t="s">
        <v>42</v>
      </c>
      <c r="AC505">
        <v>29.9</v>
      </c>
      <c r="AD505" t="s">
        <v>34</v>
      </c>
      <c r="AE505">
        <v>0</v>
      </c>
      <c r="AF505">
        <v>0</v>
      </c>
    </row>
    <row r="506" spans="3:32" x14ac:dyDescent="0.35">
      <c r="C506" s="1">
        <v>43766</v>
      </c>
      <c r="D506" s="2">
        <v>43739</v>
      </c>
      <c r="E506">
        <v>1652</v>
      </c>
      <c r="F506" s="3">
        <v>3828.64</v>
      </c>
      <c r="G506" s="3">
        <v>2606.4699999999998</v>
      </c>
      <c r="H506" s="3">
        <v>1222.17</v>
      </c>
      <c r="I506" s="3">
        <v>0.68</v>
      </c>
      <c r="J506">
        <v>0.2</v>
      </c>
      <c r="K506">
        <v>2631.87</v>
      </c>
      <c r="L506" t="s">
        <v>35</v>
      </c>
      <c r="M506">
        <v>690</v>
      </c>
      <c r="N506">
        <v>0.49</v>
      </c>
      <c r="O506" s="3">
        <v>369.24</v>
      </c>
      <c r="P506" s="3">
        <v>0.1</v>
      </c>
      <c r="Q506" s="3">
        <v>172.91</v>
      </c>
      <c r="R506" s="3">
        <v>0.05</v>
      </c>
      <c r="S506">
        <v>4</v>
      </c>
      <c r="T506">
        <v>1175.3499999999999</v>
      </c>
      <c r="U506">
        <v>23</v>
      </c>
      <c r="V506">
        <v>0</v>
      </c>
      <c r="W506">
        <v>385.35</v>
      </c>
      <c r="X506">
        <v>1024.55</v>
      </c>
      <c r="Y506" t="s">
        <v>36</v>
      </c>
      <c r="Z506" s="3">
        <v>337.61</v>
      </c>
      <c r="AA506" t="s">
        <v>41</v>
      </c>
      <c r="AB506" t="s">
        <v>44</v>
      </c>
      <c r="AC506">
        <v>73.8</v>
      </c>
      <c r="AD506" t="s">
        <v>43</v>
      </c>
      <c r="AE506">
        <v>1222.17</v>
      </c>
      <c r="AF506">
        <v>0</v>
      </c>
    </row>
    <row r="507" spans="3:32" x14ac:dyDescent="0.35">
      <c r="C507" s="1">
        <v>43766</v>
      </c>
      <c r="D507" s="2">
        <v>43739</v>
      </c>
      <c r="E507">
        <v>1132</v>
      </c>
      <c r="F507" s="3">
        <v>6056.93</v>
      </c>
      <c r="G507" s="3">
        <v>3329.73</v>
      </c>
      <c r="H507" s="3">
        <v>2727.2</v>
      </c>
      <c r="I507" s="3">
        <v>0.55000000000000004</v>
      </c>
      <c r="J507">
        <v>0.28000000000000003</v>
      </c>
      <c r="K507">
        <v>2610.6799999999998</v>
      </c>
      <c r="L507" t="s">
        <v>35</v>
      </c>
      <c r="M507">
        <v>705</v>
      </c>
      <c r="N507">
        <v>0.26</v>
      </c>
      <c r="O507" s="3">
        <v>536.89</v>
      </c>
      <c r="P507" s="3">
        <v>0.09</v>
      </c>
      <c r="Q507" s="3">
        <v>156.68</v>
      </c>
      <c r="R507" s="3">
        <v>0.03</v>
      </c>
      <c r="S507">
        <v>7</v>
      </c>
      <c r="T507">
        <v>1040.05</v>
      </c>
      <c r="U507">
        <v>66</v>
      </c>
      <c r="V507">
        <v>0</v>
      </c>
      <c r="W507">
        <v>569.5</v>
      </c>
      <c r="X507">
        <v>1000</v>
      </c>
      <c r="Y507" t="s">
        <v>49</v>
      </c>
      <c r="Z507" s="3">
        <v>1386.32</v>
      </c>
      <c r="AA507" t="s">
        <v>47</v>
      </c>
      <c r="AB507" t="s">
        <v>33</v>
      </c>
      <c r="AC507">
        <v>62.3</v>
      </c>
      <c r="AD507" t="s">
        <v>43</v>
      </c>
      <c r="AE507">
        <v>2727.2</v>
      </c>
      <c r="AF507">
        <v>1</v>
      </c>
    </row>
    <row r="508" spans="3:32" x14ac:dyDescent="0.35">
      <c r="C508" s="1">
        <v>43766</v>
      </c>
      <c r="D508" s="2">
        <v>43739</v>
      </c>
      <c r="E508">
        <v>1264</v>
      </c>
      <c r="F508" s="3">
        <v>5270.31</v>
      </c>
      <c r="G508" s="3">
        <v>2463.85</v>
      </c>
      <c r="H508" s="3">
        <v>2806.46</v>
      </c>
      <c r="I508" s="3">
        <v>0.47</v>
      </c>
      <c r="J508">
        <v>0.25</v>
      </c>
      <c r="K508">
        <v>3141.09</v>
      </c>
      <c r="L508" t="s">
        <v>35</v>
      </c>
      <c r="M508">
        <v>699</v>
      </c>
      <c r="N508">
        <v>0.22</v>
      </c>
      <c r="O508" s="3">
        <v>746.89</v>
      </c>
      <c r="P508" s="3">
        <v>0.14000000000000001</v>
      </c>
      <c r="Q508" s="3">
        <v>246.83</v>
      </c>
      <c r="R508" s="3">
        <v>0.05</v>
      </c>
      <c r="S508">
        <v>2</v>
      </c>
      <c r="T508">
        <v>843.27</v>
      </c>
      <c r="U508">
        <v>34</v>
      </c>
      <c r="V508">
        <v>0</v>
      </c>
      <c r="W508">
        <v>213.12</v>
      </c>
      <c r="X508">
        <v>1846.67</v>
      </c>
      <c r="Y508" t="s">
        <v>36</v>
      </c>
      <c r="Z508" s="3">
        <v>583.66</v>
      </c>
      <c r="AA508" t="s">
        <v>32</v>
      </c>
      <c r="AB508" t="s">
        <v>44</v>
      </c>
      <c r="AC508">
        <v>75.3</v>
      </c>
      <c r="AD508" t="s">
        <v>38</v>
      </c>
      <c r="AE508">
        <v>2806.46</v>
      </c>
      <c r="AF508">
        <v>0</v>
      </c>
    </row>
    <row r="509" spans="3:32" x14ac:dyDescent="0.35">
      <c r="C509" s="1">
        <v>43766</v>
      </c>
      <c r="D509" s="2">
        <v>43739</v>
      </c>
      <c r="E509">
        <v>1847</v>
      </c>
      <c r="F509" s="3">
        <v>4190.5200000000004</v>
      </c>
      <c r="G509" s="3">
        <v>4255.47</v>
      </c>
      <c r="H509" s="3">
        <v>-64.95</v>
      </c>
      <c r="I509" s="3">
        <v>1.02</v>
      </c>
      <c r="J509">
        <v>0.12</v>
      </c>
      <c r="K509">
        <v>2765</v>
      </c>
      <c r="L509" t="s">
        <v>35</v>
      </c>
      <c r="M509">
        <v>695</v>
      </c>
      <c r="N509">
        <v>0.51</v>
      </c>
      <c r="O509" s="3">
        <v>279.63</v>
      </c>
      <c r="P509" s="3">
        <v>7.0000000000000007E-2</v>
      </c>
      <c r="Q509" s="3">
        <v>208.07</v>
      </c>
      <c r="R509" s="3">
        <v>0.05</v>
      </c>
      <c r="S509">
        <v>5</v>
      </c>
      <c r="T509">
        <v>1409.21</v>
      </c>
      <c r="U509">
        <v>96</v>
      </c>
      <c r="V509">
        <v>0</v>
      </c>
      <c r="W509">
        <v>154</v>
      </c>
      <c r="X509">
        <v>1186.27</v>
      </c>
      <c r="Y509" t="s">
        <v>36</v>
      </c>
      <c r="Z509" s="3">
        <v>1136.3399999999999</v>
      </c>
      <c r="AA509" t="s">
        <v>41</v>
      </c>
      <c r="AB509" t="s">
        <v>33</v>
      </c>
      <c r="AC509">
        <v>22.6</v>
      </c>
      <c r="AD509" t="s">
        <v>43</v>
      </c>
      <c r="AE509">
        <v>0</v>
      </c>
      <c r="AF509">
        <v>0</v>
      </c>
    </row>
    <row r="510" spans="3:32" x14ac:dyDescent="0.35">
      <c r="C510" s="1">
        <v>43766</v>
      </c>
      <c r="D510" s="2">
        <v>43739</v>
      </c>
      <c r="E510">
        <v>1633</v>
      </c>
      <c r="F510" s="3">
        <v>3545.88</v>
      </c>
      <c r="G510" s="3">
        <v>4354.28</v>
      </c>
      <c r="H510" s="3">
        <v>-808.4</v>
      </c>
      <c r="I510" s="3">
        <v>1.23</v>
      </c>
      <c r="J510">
        <v>0.39</v>
      </c>
      <c r="K510">
        <v>2551.98</v>
      </c>
      <c r="L510" t="s">
        <v>35</v>
      </c>
      <c r="M510">
        <v>628</v>
      </c>
      <c r="N510">
        <v>0.36</v>
      </c>
      <c r="O510" s="3">
        <v>327.94</v>
      </c>
      <c r="P510" s="3">
        <v>0.09</v>
      </c>
      <c r="Q510" s="3">
        <v>560.62</v>
      </c>
      <c r="R510" s="3">
        <v>0.16</v>
      </c>
      <c r="S510">
        <v>8</v>
      </c>
      <c r="T510">
        <v>353.45</v>
      </c>
      <c r="U510">
        <v>98</v>
      </c>
      <c r="V510">
        <v>0</v>
      </c>
      <c r="W510">
        <v>577.41</v>
      </c>
      <c r="X510">
        <v>2632.91</v>
      </c>
      <c r="Y510" t="s">
        <v>36</v>
      </c>
      <c r="Z510" s="3">
        <v>1864.38</v>
      </c>
      <c r="AA510" t="s">
        <v>37</v>
      </c>
      <c r="AB510" t="s">
        <v>33</v>
      </c>
      <c r="AC510">
        <v>22.1</v>
      </c>
      <c r="AD510" t="s">
        <v>43</v>
      </c>
      <c r="AE510">
        <v>0</v>
      </c>
      <c r="AF510">
        <v>0</v>
      </c>
    </row>
    <row r="511" spans="3:32" x14ac:dyDescent="0.35">
      <c r="C511" s="1">
        <v>43766</v>
      </c>
      <c r="D511" s="2">
        <v>43739</v>
      </c>
      <c r="E511">
        <v>1989</v>
      </c>
      <c r="F511" s="3">
        <v>4401.6000000000004</v>
      </c>
      <c r="G511" s="3">
        <v>2701.36</v>
      </c>
      <c r="H511" s="3">
        <v>1700.24</v>
      </c>
      <c r="I511" s="3">
        <v>0.61</v>
      </c>
      <c r="J511">
        <v>0.19</v>
      </c>
      <c r="K511">
        <v>2812.68</v>
      </c>
      <c r="L511" t="s">
        <v>35</v>
      </c>
      <c r="M511">
        <v>657</v>
      </c>
      <c r="N511">
        <v>0.39</v>
      </c>
      <c r="O511" s="3">
        <v>491.03</v>
      </c>
      <c r="P511" s="3">
        <v>0.11</v>
      </c>
      <c r="Q511" s="3">
        <v>504.49</v>
      </c>
      <c r="R511" s="3">
        <v>0.11</v>
      </c>
      <c r="S511">
        <v>3</v>
      </c>
      <c r="T511">
        <v>1075.57</v>
      </c>
      <c r="U511">
        <v>43</v>
      </c>
      <c r="V511">
        <v>0</v>
      </c>
      <c r="W511">
        <v>518.78</v>
      </c>
      <c r="X511">
        <v>1979.82</v>
      </c>
      <c r="Y511" t="s">
        <v>49</v>
      </c>
      <c r="Z511" s="3">
        <v>1740.01</v>
      </c>
      <c r="AA511" t="s">
        <v>47</v>
      </c>
      <c r="AB511" t="s">
        <v>33</v>
      </c>
      <c r="AC511">
        <v>48</v>
      </c>
      <c r="AD511" t="s">
        <v>43</v>
      </c>
      <c r="AE511">
        <v>1700.24</v>
      </c>
      <c r="AF511">
        <v>0</v>
      </c>
    </row>
    <row r="512" spans="3:32" x14ac:dyDescent="0.35">
      <c r="C512" s="1">
        <v>43766</v>
      </c>
      <c r="D512" s="2">
        <v>43739</v>
      </c>
      <c r="E512">
        <v>1647</v>
      </c>
      <c r="F512" s="3">
        <v>3287.92</v>
      </c>
      <c r="G512" s="3">
        <v>2927.23</v>
      </c>
      <c r="H512" s="3">
        <v>360.69</v>
      </c>
      <c r="I512" s="3">
        <v>0.89</v>
      </c>
      <c r="J512">
        <v>0.2</v>
      </c>
      <c r="K512">
        <v>1804.6</v>
      </c>
      <c r="L512" t="s">
        <v>39</v>
      </c>
      <c r="M512">
        <v>659</v>
      </c>
      <c r="N512">
        <v>0.49</v>
      </c>
      <c r="O512" s="3">
        <v>360.71</v>
      </c>
      <c r="P512" s="3">
        <v>0.11</v>
      </c>
      <c r="Q512" s="3">
        <v>523.87</v>
      </c>
      <c r="R512" s="3">
        <v>0.16</v>
      </c>
      <c r="S512">
        <v>3</v>
      </c>
      <c r="T512">
        <v>803.95</v>
      </c>
      <c r="U512">
        <v>46</v>
      </c>
      <c r="V512">
        <v>0</v>
      </c>
      <c r="W512">
        <v>613.41</v>
      </c>
      <c r="X512">
        <v>1411.17</v>
      </c>
      <c r="Y512" t="s">
        <v>36</v>
      </c>
      <c r="Z512" s="3">
        <v>1237.32</v>
      </c>
      <c r="AA512" t="s">
        <v>32</v>
      </c>
      <c r="AB512" t="s">
        <v>44</v>
      </c>
      <c r="AC512">
        <v>75.7</v>
      </c>
      <c r="AD512" t="s">
        <v>34</v>
      </c>
      <c r="AE512">
        <v>360.69</v>
      </c>
      <c r="AF512">
        <v>0</v>
      </c>
    </row>
    <row r="513" spans="3:32" x14ac:dyDescent="0.35">
      <c r="C513" s="1">
        <v>43766</v>
      </c>
      <c r="D513" s="2">
        <v>43739</v>
      </c>
      <c r="E513">
        <v>1447</v>
      </c>
      <c r="F513" s="3">
        <v>4220.47</v>
      </c>
      <c r="G513" s="3">
        <v>2406.9</v>
      </c>
      <c r="H513" s="3">
        <v>1813.57</v>
      </c>
      <c r="I513" s="3">
        <v>0.56999999999999995</v>
      </c>
      <c r="J513">
        <v>0.26</v>
      </c>
      <c r="K513">
        <v>2941.72</v>
      </c>
      <c r="L513" t="s">
        <v>30</v>
      </c>
      <c r="M513">
        <v>657</v>
      </c>
      <c r="N513">
        <v>0.33</v>
      </c>
      <c r="O513" s="3">
        <v>448.69</v>
      </c>
      <c r="P513" s="3">
        <v>0.11</v>
      </c>
      <c r="Q513" s="3">
        <v>371.29</v>
      </c>
      <c r="R513" s="3">
        <v>0.09</v>
      </c>
      <c r="S513">
        <v>6</v>
      </c>
      <c r="T513">
        <v>188.69</v>
      </c>
      <c r="U513">
        <v>28</v>
      </c>
      <c r="V513">
        <v>0</v>
      </c>
      <c r="W513">
        <v>719.01</v>
      </c>
      <c r="X513">
        <v>1395.3</v>
      </c>
      <c r="Y513" t="s">
        <v>36</v>
      </c>
      <c r="Z513" s="3">
        <v>1593.72</v>
      </c>
      <c r="AA513" t="s">
        <v>46</v>
      </c>
      <c r="AB513" t="s">
        <v>42</v>
      </c>
      <c r="AC513">
        <v>64.7</v>
      </c>
      <c r="AD513" t="s">
        <v>34</v>
      </c>
      <c r="AE513">
        <v>1813.57</v>
      </c>
      <c r="AF513">
        <v>0</v>
      </c>
    </row>
    <row r="514" spans="3:32" x14ac:dyDescent="0.35">
      <c r="C514" s="1">
        <v>43766</v>
      </c>
      <c r="D514" s="2">
        <v>43739</v>
      </c>
      <c r="E514">
        <v>1466</v>
      </c>
      <c r="F514" s="3">
        <v>4775.91</v>
      </c>
      <c r="G514" s="3">
        <v>4227.82</v>
      </c>
      <c r="H514" s="3">
        <v>548.09</v>
      </c>
      <c r="I514" s="3">
        <v>0.89</v>
      </c>
      <c r="J514">
        <v>0.16</v>
      </c>
      <c r="K514">
        <v>3301</v>
      </c>
      <c r="L514" t="s">
        <v>35</v>
      </c>
      <c r="M514">
        <v>601</v>
      </c>
      <c r="N514">
        <v>0.15</v>
      </c>
      <c r="O514" s="3">
        <v>456.07</v>
      </c>
      <c r="P514" s="3">
        <v>0.1</v>
      </c>
      <c r="Q514" s="3">
        <v>299.99</v>
      </c>
      <c r="R514" s="3">
        <v>0.06</v>
      </c>
      <c r="S514">
        <v>5</v>
      </c>
      <c r="T514">
        <v>435.04</v>
      </c>
      <c r="U514">
        <v>56</v>
      </c>
      <c r="V514">
        <v>0</v>
      </c>
      <c r="W514">
        <v>120.68</v>
      </c>
      <c r="X514">
        <v>2814.52</v>
      </c>
      <c r="Y514" t="s">
        <v>31</v>
      </c>
      <c r="Z514" s="3">
        <v>1328.93</v>
      </c>
      <c r="AA514" t="s">
        <v>47</v>
      </c>
      <c r="AB514" t="s">
        <v>33</v>
      </c>
      <c r="AC514">
        <v>31.4</v>
      </c>
      <c r="AD514" t="s">
        <v>34</v>
      </c>
      <c r="AE514">
        <v>548.09</v>
      </c>
      <c r="AF514">
        <v>0</v>
      </c>
    </row>
    <row r="515" spans="3:32" x14ac:dyDescent="0.35">
      <c r="C515" s="1">
        <v>43766</v>
      </c>
      <c r="D515" s="2">
        <v>43739</v>
      </c>
      <c r="E515">
        <v>1294</v>
      </c>
      <c r="F515" s="3">
        <v>2911.8</v>
      </c>
      <c r="G515" s="3">
        <v>3514.78</v>
      </c>
      <c r="H515" s="3">
        <v>-602.98</v>
      </c>
      <c r="I515" s="3">
        <v>1.21</v>
      </c>
      <c r="J515">
        <v>0.17</v>
      </c>
      <c r="K515">
        <v>2727.75</v>
      </c>
      <c r="L515" t="s">
        <v>30</v>
      </c>
      <c r="M515">
        <v>667</v>
      </c>
      <c r="N515">
        <v>0.37</v>
      </c>
      <c r="O515" s="3">
        <v>245.39</v>
      </c>
      <c r="P515" s="3">
        <v>0.08</v>
      </c>
      <c r="Q515" s="3">
        <v>327.63</v>
      </c>
      <c r="R515" s="3">
        <v>0.11</v>
      </c>
      <c r="S515">
        <v>2</v>
      </c>
      <c r="T515">
        <v>1639.53</v>
      </c>
      <c r="U515">
        <v>71</v>
      </c>
      <c r="V515">
        <v>0</v>
      </c>
      <c r="W515">
        <v>699.62</v>
      </c>
      <c r="X515">
        <v>1817.3</v>
      </c>
      <c r="Y515" t="s">
        <v>36</v>
      </c>
      <c r="Z515" s="3">
        <v>1324.8</v>
      </c>
      <c r="AA515" t="s">
        <v>51</v>
      </c>
      <c r="AB515" t="s">
        <v>44</v>
      </c>
      <c r="AC515">
        <v>88.5</v>
      </c>
      <c r="AD515" t="s">
        <v>34</v>
      </c>
      <c r="AE515">
        <v>0</v>
      </c>
      <c r="AF515">
        <v>0</v>
      </c>
    </row>
    <row r="516" spans="3:32" x14ac:dyDescent="0.35">
      <c r="C516" s="1">
        <v>43766</v>
      </c>
      <c r="D516" s="2">
        <v>43739</v>
      </c>
      <c r="E516">
        <v>1275</v>
      </c>
      <c r="F516" s="3">
        <v>5303.49</v>
      </c>
      <c r="G516" s="3">
        <v>3706.63</v>
      </c>
      <c r="H516" s="3">
        <v>1596.86</v>
      </c>
      <c r="I516" s="3">
        <v>0.7</v>
      </c>
      <c r="J516">
        <v>0.13</v>
      </c>
      <c r="K516">
        <v>2385.15</v>
      </c>
      <c r="L516" t="s">
        <v>35</v>
      </c>
      <c r="M516">
        <v>678</v>
      </c>
      <c r="N516">
        <v>0.22</v>
      </c>
      <c r="O516" s="3">
        <v>626.35</v>
      </c>
      <c r="P516" s="3">
        <v>0.12</v>
      </c>
      <c r="Q516" s="3">
        <v>470.88</v>
      </c>
      <c r="R516" s="3">
        <v>0.09</v>
      </c>
      <c r="S516">
        <v>7</v>
      </c>
      <c r="T516">
        <v>770.83</v>
      </c>
      <c r="U516">
        <v>66</v>
      </c>
      <c r="V516">
        <v>0</v>
      </c>
      <c r="W516">
        <v>269.75</v>
      </c>
      <c r="X516">
        <v>1942.42</v>
      </c>
      <c r="Y516" t="s">
        <v>36</v>
      </c>
      <c r="Z516" s="3">
        <v>1469.9</v>
      </c>
      <c r="AA516" t="s">
        <v>32</v>
      </c>
      <c r="AB516" t="s">
        <v>44</v>
      </c>
      <c r="AC516">
        <v>11.6</v>
      </c>
      <c r="AD516" t="s">
        <v>34</v>
      </c>
      <c r="AE516">
        <v>1596.86</v>
      </c>
      <c r="AF516">
        <v>0</v>
      </c>
    </row>
    <row r="517" spans="3:32" x14ac:dyDescent="0.35">
      <c r="C517" s="1">
        <v>43766</v>
      </c>
      <c r="D517" s="2">
        <v>43739</v>
      </c>
      <c r="E517">
        <v>1531</v>
      </c>
      <c r="F517" s="3">
        <v>4842.78</v>
      </c>
      <c r="G517" s="3">
        <v>3005.7</v>
      </c>
      <c r="H517" s="3">
        <v>1837.08</v>
      </c>
      <c r="I517" s="3">
        <v>0.62</v>
      </c>
      <c r="J517">
        <v>0.24</v>
      </c>
      <c r="K517">
        <v>2363.89</v>
      </c>
      <c r="L517" t="s">
        <v>39</v>
      </c>
      <c r="M517">
        <v>562</v>
      </c>
      <c r="N517">
        <v>0.36</v>
      </c>
      <c r="O517" s="3">
        <v>883.06</v>
      </c>
      <c r="P517" s="3">
        <v>0.18</v>
      </c>
      <c r="Q517" s="3">
        <v>331.25</v>
      </c>
      <c r="R517" s="3">
        <v>7.0000000000000007E-2</v>
      </c>
      <c r="S517">
        <v>1</v>
      </c>
      <c r="T517">
        <v>724.48</v>
      </c>
      <c r="U517">
        <v>65</v>
      </c>
      <c r="V517">
        <v>0</v>
      </c>
      <c r="W517">
        <v>143.76</v>
      </c>
      <c r="X517">
        <v>2598.42</v>
      </c>
      <c r="Y517" t="s">
        <v>31</v>
      </c>
      <c r="Z517" s="3">
        <v>644.22</v>
      </c>
      <c r="AA517" t="s">
        <v>32</v>
      </c>
      <c r="AB517" t="s">
        <v>42</v>
      </c>
      <c r="AC517">
        <v>94.3</v>
      </c>
      <c r="AD517" t="s">
        <v>43</v>
      </c>
      <c r="AE517">
        <v>1837.08</v>
      </c>
      <c r="AF517">
        <v>0</v>
      </c>
    </row>
    <row r="518" spans="3:32" x14ac:dyDescent="0.35">
      <c r="C518" s="1">
        <v>43766</v>
      </c>
      <c r="D518" s="2">
        <v>43739</v>
      </c>
      <c r="E518">
        <v>1473</v>
      </c>
      <c r="F518" s="3">
        <v>5777.42</v>
      </c>
      <c r="G518" s="3">
        <v>4027.9</v>
      </c>
      <c r="H518" s="3">
        <v>1749.52</v>
      </c>
      <c r="I518" s="3">
        <v>0.7</v>
      </c>
      <c r="J518">
        <v>0.18</v>
      </c>
      <c r="K518">
        <v>2740.06</v>
      </c>
      <c r="L518" t="s">
        <v>30</v>
      </c>
      <c r="M518">
        <v>748</v>
      </c>
      <c r="N518">
        <v>0.47</v>
      </c>
      <c r="O518" s="3">
        <v>656.06</v>
      </c>
      <c r="P518" s="3">
        <v>0.11</v>
      </c>
      <c r="Q518" s="3">
        <v>506.07</v>
      </c>
      <c r="R518" s="3">
        <v>0.09</v>
      </c>
      <c r="S518">
        <v>5</v>
      </c>
      <c r="T518">
        <v>784.77</v>
      </c>
      <c r="U518">
        <v>34</v>
      </c>
      <c r="V518">
        <v>0</v>
      </c>
      <c r="W518">
        <v>518.21</v>
      </c>
      <c r="X518">
        <v>2035.34</v>
      </c>
      <c r="Y518" t="s">
        <v>36</v>
      </c>
      <c r="Z518" s="3">
        <v>316.45999999999998</v>
      </c>
      <c r="AA518" t="s">
        <v>51</v>
      </c>
      <c r="AB518" t="s">
        <v>33</v>
      </c>
      <c r="AC518">
        <v>97.6</v>
      </c>
      <c r="AD518" t="s">
        <v>34</v>
      </c>
      <c r="AE518">
        <v>1749.52</v>
      </c>
      <c r="AF518">
        <v>0</v>
      </c>
    </row>
    <row r="519" spans="3:32" x14ac:dyDescent="0.35">
      <c r="C519" s="1">
        <v>43766</v>
      </c>
      <c r="D519" s="2">
        <v>43739</v>
      </c>
      <c r="E519">
        <v>1387</v>
      </c>
      <c r="F519" s="3">
        <v>3480.16</v>
      </c>
      <c r="G519" s="3">
        <v>3775.44</v>
      </c>
      <c r="H519" s="3">
        <v>-295.27999999999997</v>
      </c>
      <c r="I519" s="3">
        <v>1.08</v>
      </c>
      <c r="J519">
        <v>0.1</v>
      </c>
      <c r="K519">
        <v>2507.33</v>
      </c>
      <c r="L519" t="s">
        <v>35</v>
      </c>
      <c r="M519">
        <v>639</v>
      </c>
      <c r="N519">
        <v>0.1</v>
      </c>
      <c r="O519" s="3">
        <v>772.91</v>
      </c>
      <c r="P519" s="3">
        <v>0.22</v>
      </c>
      <c r="Q519" s="3">
        <v>427.53</v>
      </c>
      <c r="R519" s="3">
        <v>0.12</v>
      </c>
      <c r="S519">
        <v>1</v>
      </c>
      <c r="T519">
        <v>1023.36</v>
      </c>
      <c r="U519">
        <v>76</v>
      </c>
      <c r="V519">
        <v>0</v>
      </c>
      <c r="W519">
        <v>358.81</v>
      </c>
      <c r="X519">
        <v>2021.35</v>
      </c>
      <c r="Y519" t="s">
        <v>36</v>
      </c>
      <c r="Z519" s="3">
        <v>1081.3399999999999</v>
      </c>
      <c r="AA519" t="s">
        <v>45</v>
      </c>
      <c r="AB519" t="s">
        <v>33</v>
      </c>
      <c r="AC519">
        <v>86.5</v>
      </c>
      <c r="AD519" t="s">
        <v>34</v>
      </c>
      <c r="AE519">
        <v>0</v>
      </c>
      <c r="AF519">
        <v>0</v>
      </c>
    </row>
    <row r="520" spans="3:32" x14ac:dyDescent="0.35">
      <c r="C520" s="1">
        <v>43766</v>
      </c>
      <c r="D520" s="2">
        <v>43739</v>
      </c>
      <c r="E520">
        <v>1423</v>
      </c>
      <c r="F520" s="3">
        <v>2997.24</v>
      </c>
      <c r="G520" s="3">
        <v>3451.1</v>
      </c>
      <c r="H520" s="3">
        <v>-453.86</v>
      </c>
      <c r="I520" s="3">
        <v>1.1499999999999999</v>
      </c>
      <c r="J520">
        <v>0.12</v>
      </c>
      <c r="K520">
        <v>3040.04</v>
      </c>
      <c r="L520" t="s">
        <v>35</v>
      </c>
      <c r="M520">
        <v>675</v>
      </c>
      <c r="N520">
        <v>0.28000000000000003</v>
      </c>
      <c r="O520" s="3">
        <v>701.31</v>
      </c>
      <c r="P520" s="3">
        <v>0.23</v>
      </c>
      <c r="Q520" s="3">
        <v>465.3</v>
      </c>
      <c r="R520" s="3">
        <v>0.16</v>
      </c>
      <c r="S520">
        <v>2</v>
      </c>
      <c r="T520">
        <v>547.83000000000004</v>
      </c>
      <c r="U520">
        <v>79</v>
      </c>
      <c r="V520">
        <v>0</v>
      </c>
      <c r="W520">
        <v>731.41</v>
      </c>
      <c r="X520">
        <v>1604.62</v>
      </c>
      <c r="Y520" t="s">
        <v>36</v>
      </c>
      <c r="Z520" s="3">
        <v>1881.66</v>
      </c>
      <c r="AA520" t="s">
        <v>40</v>
      </c>
      <c r="AB520" t="s">
        <v>42</v>
      </c>
      <c r="AC520">
        <v>79.5</v>
      </c>
      <c r="AD520" t="s">
        <v>43</v>
      </c>
      <c r="AE520">
        <v>0</v>
      </c>
      <c r="AF520">
        <v>0</v>
      </c>
    </row>
    <row r="521" spans="3:32" x14ac:dyDescent="0.35">
      <c r="C521" s="1">
        <v>43766</v>
      </c>
      <c r="D521" s="2">
        <v>43739</v>
      </c>
      <c r="E521">
        <v>1752</v>
      </c>
      <c r="F521" s="3">
        <v>3006.83</v>
      </c>
      <c r="G521" s="3">
        <v>2995.2</v>
      </c>
      <c r="H521" s="3">
        <v>11.63</v>
      </c>
      <c r="I521" s="3">
        <v>1</v>
      </c>
      <c r="J521">
        <v>7.0000000000000007E-2</v>
      </c>
      <c r="K521">
        <v>3482.78</v>
      </c>
      <c r="L521" t="s">
        <v>35</v>
      </c>
      <c r="M521">
        <v>673</v>
      </c>
      <c r="N521">
        <v>0.39</v>
      </c>
      <c r="O521" s="3">
        <v>769.17</v>
      </c>
      <c r="P521" s="3">
        <v>0.26</v>
      </c>
      <c r="Q521" s="3">
        <v>766.89</v>
      </c>
      <c r="R521" s="3">
        <v>0.26</v>
      </c>
      <c r="S521">
        <v>8</v>
      </c>
      <c r="T521">
        <v>0</v>
      </c>
      <c r="U521">
        <v>67</v>
      </c>
      <c r="V521">
        <v>0</v>
      </c>
      <c r="W521">
        <v>368.91</v>
      </c>
      <c r="X521">
        <v>1000</v>
      </c>
      <c r="Y521" t="s">
        <v>36</v>
      </c>
      <c r="Z521" s="3">
        <v>1703.69</v>
      </c>
      <c r="AA521" t="s">
        <v>50</v>
      </c>
      <c r="AB521" t="s">
        <v>33</v>
      </c>
      <c r="AC521">
        <v>6.9</v>
      </c>
      <c r="AD521" t="s">
        <v>34</v>
      </c>
      <c r="AE521">
        <v>11.63</v>
      </c>
      <c r="AF521">
        <v>0</v>
      </c>
    </row>
    <row r="522" spans="3:32" x14ac:dyDescent="0.35">
      <c r="C522" s="1">
        <v>43766</v>
      </c>
      <c r="D522" s="2">
        <v>43739</v>
      </c>
      <c r="E522">
        <v>1684</v>
      </c>
      <c r="F522" s="3">
        <v>3143.62</v>
      </c>
      <c r="G522" s="3">
        <v>2770.44</v>
      </c>
      <c r="H522" s="3">
        <v>373.18</v>
      </c>
      <c r="I522" s="3">
        <v>0.88</v>
      </c>
      <c r="J522">
        <v>7.0000000000000007E-2</v>
      </c>
      <c r="K522">
        <v>2729.98</v>
      </c>
      <c r="L522" t="s">
        <v>35</v>
      </c>
      <c r="M522">
        <v>706</v>
      </c>
      <c r="N522">
        <v>0.57999999999999996</v>
      </c>
      <c r="O522" s="3">
        <v>769.16</v>
      </c>
      <c r="P522" s="3">
        <v>0.24</v>
      </c>
      <c r="Q522" s="3">
        <v>180.86</v>
      </c>
      <c r="R522" s="3">
        <v>0.06</v>
      </c>
      <c r="S522">
        <v>4</v>
      </c>
      <c r="T522">
        <v>239.9</v>
      </c>
      <c r="U522">
        <v>60</v>
      </c>
      <c r="V522">
        <v>0</v>
      </c>
      <c r="W522">
        <v>548.66999999999996</v>
      </c>
      <c r="X522">
        <v>1752.85</v>
      </c>
      <c r="Y522" t="s">
        <v>36</v>
      </c>
      <c r="Z522" s="3">
        <v>1382.2</v>
      </c>
      <c r="AA522" t="s">
        <v>48</v>
      </c>
      <c r="AB522" t="s">
        <v>44</v>
      </c>
      <c r="AC522">
        <v>98.5</v>
      </c>
      <c r="AD522" t="s">
        <v>38</v>
      </c>
      <c r="AE522">
        <v>373.18</v>
      </c>
      <c r="AF522">
        <v>0</v>
      </c>
    </row>
    <row r="523" spans="3:32" x14ac:dyDescent="0.35">
      <c r="C523" s="1">
        <v>43766</v>
      </c>
      <c r="D523" s="2">
        <v>43739</v>
      </c>
      <c r="E523">
        <v>1821</v>
      </c>
      <c r="F523" s="3">
        <v>5360.33</v>
      </c>
      <c r="G523" s="3">
        <v>3361.21</v>
      </c>
      <c r="H523" s="3">
        <v>1999.12</v>
      </c>
      <c r="I523" s="3">
        <v>0.63</v>
      </c>
      <c r="J523">
        <v>0.21</v>
      </c>
      <c r="K523">
        <v>2575.0700000000002</v>
      </c>
      <c r="L523" t="s">
        <v>35</v>
      </c>
      <c r="M523">
        <v>789</v>
      </c>
      <c r="N523">
        <v>0.27</v>
      </c>
      <c r="O523" s="3">
        <v>567.66</v>
      </c>
      <c r="P523" s="3">
        <v>0.11</v>
      </c>
      <c r="Q523" s="3">
        <v>246.38</v>
      </c>
      <c r="R523" s="3">
        <v>0.05</v>
      </c>
      <c r="S523">
        <v>3</v>
      </c>
      <c r="T523">
        <v>840.41</v>
      </c>
      <c r="U523">
        <v>88</v>
      </c>
      <c r="V523">
        <v>0</v>
      </c>
      <c r="W523">
        <v>333.7</v>
      </c>
      <c r="X523">
        <v>2141.4899999999998</v>
      </c>
      <c r="Y523" t="s">
        <v>36</v>
      </c>
      <c r="Z523" s="3">
        <v>919.08</v>
      </c>
      <c r="AA523" t="s">
        <v>41</v>
      </c>
      <c r="AB523" t="s">
        <v>33</v>
      </c>
      <c r="AC523">
        <v>37.1</v>
      </c>
      <c r="AD523" t="s">
        <v>34</v>
      </c>
      <c r="AE523">
        <v>1999.12</v>
      </c>
      <c r="AF523">
        <v>0</v>
      </c>
    </row>
    <row r="524" spans="3:32" x14ac:dyDescent="0.35">
      <c r="C524" s="1">
        <v>43766</v>
      </c>
      <c r="D524" s="2">
        <v>43739</v>
      </c>
      <c r="E524">
        <v>1380</v>
      </c>
      <c r="F524" s="3">
        <v>6383.05</v>
      </c>
      <c r="G524" s="3">
        <v>2096.21</v>
      </c>
      <c r="H524" s="3">
        <v>4286.84</v>
      </c>
      <c r="I524" s="3">
        <v>0.33</v>
      </c>
      <c r="J524">
        <v>0.24</v>
      </c>
      <c r="K524">
        <v>2745.05</v>
      </c>
      <c r="L524" t="s">
        <v>39</v>
      </c>
      <c r="M524">
        <v>652</v>
      </c>
      <c r="N524">
        <v>0.27</v>
      </c>
      <c r="O524" s="3">
        <v>556.78</v>
      </c>
      <c r="P524" s="3">
        <v>0.09</v>
      </c>
      <c r="Q524" s="3">
        <v>777.8</v>
      </c>
      <c r="R524" s="3">
        <v>0.12</v>
      </c>
      <c r="S524">
        <v>7</v>
      </c>
      <c r="T524">
        <v>785.22</v>
      </c>
      <c r="U524">
        <v>45</v>
      </c>
      <c r="V524">
        <v>0</v>
      </c>
      <c r="W524">
        <v>623.04999999999995</v>
      </c>
      <c r="X524">
        <v>2419.1799999999998</v>
      </c>
      <c r="Y524" t="s">
        <v>36</v>
      </c>
      <c r="Z524" s="3">
        <v>1456.71</v>
      </c>
      <c r="AA524" t="s">
        <v>45</v>
      </c>
      <c r="AB524" t="s">
        <v>42</v>
      </c>
      <c r="AC524">
        <v>42.8</v>
      </c>
      <c r="AD524" t="s">
        <v>34</v>
      </c>
      <c r="AE524">
        <v>4286.84</v>
      </c>
      <c r="AF524">
        <v>1</v>
      </c>
    </row>
    <row r="525" spans="3:32" x14ac:dyDescent="0.35">
      <c r="C525" s="1">
        <v>43766</v>
      </c>
      <c r="D525" s="2">
        <v>43739</v>
      </c>
      <c r="E525">
        <v>1178</v>
      </c>
      <c r="F525" s="3">
        <v>4228.3599999999997</v>
      </c>
      <c r="G525" s="3">
        <v>2462.15</v>
      </c>
      <c r="H525" s="3">
        <v>1766.21</v>
      </c>
      <c r="I525" s="3">
        <v>0.57999999999999996</v>
      </c>
      <c r="J525">
        <v>0.1</v>
      </c>
      <c r="K525">
        <v>2895.03</v>
      </c>
      <c r="L525" t="s">
        <v>35</v>
      </c>
      <c r="M525">
        <v>689</v>
      </c>
      <c r="N525">
        <v>0.25</v>
      </c>
      <c r="O525" s="3">
        <v>273.56</v>
      </c>
      <c r="P525" s="3">
        <v>0.06</v>
      </c>
      <c r="Q525" s="3">
        <v>269.32</v>
      </c>
      <c r="R525" s="3">
        <v>0.06</v>
      </c>
      <c r="S525">
        <v>7</v>
      </c>
      <c r="T525">
        <v>908.76</v>
      </c>
      <c r="U525">
        <v>38</v>
      </c>
      <c r="V525">
        <v>0</v>
      </c>
      <c r="W525">
        <v>374.34</v>
      </c>
      <c r="X525">
        <v>1958.24</v>
      </c>
      <c r="Y525" t="s">
        <v>36</v>
      </c>
      <c r="Z525" s="3">
        <v>1593.07</v>
      </c>
      <c r="AA525" t="s">
        <v>40</v>
      </c>
      <c r="AB525" t="s">
        <v>33</v>
      </c>
      <c r="AC525">
        <v>80.400000000000006</v>
      </c>
      <c r="AD525" t="s">
        <v>43</v>
      </c>
      <c r="AE525">
        <v>1766.21</v>
      </c>
      <c r="AF525">
        <v>0</v>
      </c>
    </row>
    <row r="526" spans="3:32" x14ac:dyDescent="0.35">
      <c r="C526" s="1">
        <v>43766</v>
      </c>
      <c r="D526" s="2">
        <v>43739</v>
      </c>
      <c r="E526">
        <v>1601</v>
      </c>
      <c r="F526" s="3">
        <v>3895.96</v>
      </c>
      <c r="G526" s="3">
        <v>2484.08</v>
      </c>
      <c r="H526" s="3">
        <v>1411.88</v>
      </c>
      <c r="I526" s="3">
        <v>0.64</v>
      </c>
      <c r="J526">
        <v>0.33</v>
      </c>
      <c r="K526">
        <v>3528.81</v>
      </c>
      <c r="L526" t="s">
        <v>35</v>
      </c>
      <c r="M526">
        <v>656</v>
      </c>
      <c r="N526">
        <v>0.19</v>
      </c>
      <c r="O526" s="3">
        <v>813.92</v>
      </c>
      <c r="P526" s="3">
        <v>0.21</v>
      </c>
      <c r="Q526" s="3">
        <v>1097.19</v>
      </c>
      <c r="R526" s="3">
        <v>0.28000000000000003</v>
      </c>
      <c r="S526">
        <v>1</v>
      </c>
      <c r="T526">
        <v>515.48</v>
      </c>
      <c r="U526">
        <v>53</v>
      </c>
      <c r="V526">
        <v>0</v>
      </c>
      <c r="W526">
        <v>88.56</v>
      </c>
      <c r="X526">
        <v>1512.23</v>
      </c>
      <c r="Y526" t="s">
        <v>36</v>
      </c>
      <c r="Z526" s="3">
        <v>1246.8800000000001</v>
      </c>
      <c r="AA526" t="s">
        <v>40</v>
      </c>
      <c r="AB526" t="s">
        <v>33</v>
      </c>
      <c r="AC526">
        <v>97</v>
      </c>
      <c r="AD526" t="s">
        <v>43</v>
      </c>
      <c r="AE526">
        <v>1411.88</v>
      </c>
      <c r="AF526">
        <v>0</v>
      </c>
    </row>
    <row r="527" spans="3:32" x14ac:dyDescent="0.35">
      <c r="C527" s="1">
        <v>43766</v>
      </c>
      <c r="D527" s="2">
        <v>43739</v>
      </c>
      <c r="E527">
        <v>1653</v>
      </c>
      <c r="F527" s="3">
        <v>2040.71</v>
      </c>
      <c r="G527" s="3">
        <v>3426.8</v>
      </c>
      <c r="H527" s="3">
        <v>-1386.09</v>
      </c>
      <c r="I527" s="3">
        <v>1.68</v>
      </c>
      <c r="J527">
        <v>0.37</v>
      </c>
      <c r="K527">
        <v>2884.88</v>
      </c>
      <c r="L527" t="s">
        <v>30</v>
      </c>
      <c r="M527">
        <v>699</v>
      </c>
      <c r="N527">
        <v>0.37</v>
      </c>
      <c r="O527" s="3">
        <v>822.25</v>
      </c>
      <c r="P527" s="3">
        <v>0.4</v>
      </c>
      <c r="Q527" s="3">
        <v>466.89</v>
      </c>
      <c r="R527" s="3">
        <v>0.23</v>
      </c>
      <c r="S527">
        <v>3</v>
      </c>
      <c r="T527">
        <v>1794.91</v>
      </c>
      <c r="U527">
        <v>78</v>
      </c>
      <c r="V527">
        <v>0</v>
      </c>
      <c r="W527">
        <v>672.48</v>
      </c>
      <c r="X527">
        <v>1746.63</v>
      </c>
      <c r="Y527" t="s">
        <v>31</v>
      </c>
      <c r="Z527" s="3">
        <v>1015.93</v>
      </c>
      <c r="AA527" t="s">
        <v>40</v>
      </c>
      <c r="AB527" t="s">
        <v>33</v>
      </c>
      <c r="AC527">
        <v>71.8</v>
      </c>
      <c r="AD527" t="s">
        <v>34</v>
      </c>
      <c r="AE527">
        <v>0</v>
      </c>
      <c r="AF527">
        <v>0</v>
      </c>
    </row>
    <row r="528" spans="3:32" x14ac:dyDescent="0.35">
      <c r="C528" s="1">
        <v>43766</v>
      </c>
      <c r="D528" s="2">
        <v>43739</v>
      </c>
      <c r="E528">
        <v>1444</v>
      </c>
      <c r="F528" s="3">
        <v>4179.78</v>
      </c>
      <c r="G528" s="3">
        <v>2074.66</v>
      </c>
      <c r="H528" s="3">
        <v>2105.12</v>
      </c>
      <c r="I528" s="3">
        <v>0.5</v>
      </c>
      <c r="J528">
        <v>0.34</v>
      </c>
      <c r="K528">
        <v>3144.57</v>
      </c>
      <c r="L528" t="s">
        <v>30</v>
      </c>
      <c r="M528">
        <v>650</v>
      </c>
      <c r="N528">
        <v>0.33</v>
      </c>
      <c r="O528" s="3">
        <v>772.96</v>
      </c>
      <c r="P528" s="3">
        <v>0.18</v>
      </c>
      <c r="Q528" s="3">
        <v>503.12</v>
      </c>
      <c r="R528" s="3">
        <v>0.12</v>
      </c>
      <c r="S528">
        <v>3</v>
      </c>
      <c r="T528">
        <v>1086.71</v>
      </c>
      <c r="U528">
        <v>57</v>
      </c>
      <c r="V528">
        <v>0</v>
      </c>
      <c r="W528">
        <v>581.49</v>
      </c>
      <c r="X528">
        <v>1420.39</v>
      </c>
      <c r="Y528" t="s">
        <v>31</v>
      </c>
      <c r="Z528" s="3">
        <v>1060.51</v>
      </c>
      <c r="AA528" t="s">
        <v>47</v>
      </c>
      <c r="AB528" t="s">
        <v>33</v>
      </c>
      <c r="AC528">
        <v>98.4</v>
      </c>
      <c r="AD528" t="s">
        <v>34</v>
      </c>
      <c r="AE528">
        <v>2105.12</v>
      </c>
      <c r="AF528">
        <v>0</v>
      </c>
    </row>
    <row r="529" spans="3:32" x14ac:dyDescent="0.35">
      <c r="C529" s="1">
        <v>43766</v>
      </c>
      <c r="D529" s="2">
        <v>43739</v>
      </c>
      <c r="E529">
        <v>1207</v>
      </c>
      <c r="F529" s="3">
        <v>5299.3</v>
      </c>
      <c r="G529" s="3">
        <v>3674.03</v>
      </c>
      <c r="H529" s="3">
        <v>1625.27</v>
      </c>
      <c r="I529" s="3">
        <v>0.69</v>
      </c>
      <c r="J529">
        <v>0.34</v>
      </c>
      <c r="K529">
        <v>2011.2</v>
      </c>
      <c r="L529" t="s">
        <v>35</v>
      </c>
      <c r="M529">
        <v>757</v>
      </c>
      <c r="N529">
        <v>0.24</v>
      </c>
      <c r="O529" s="3">
        <v>65.959999999999994</v>
      </c>
      <c r="P529" s="3">
        <v>0.01</v>
      </c>
      <c r="Q529" s="3">
        <v>89.8</v>
      </c>
      <c r="R529" s="3">
        <v>0.02</v>
      </c>
      <c r="S529">
        <v>5</v>
      </c>
      <c r="T529">
        <v>1123.02</v>
      </c>
      <c r="U529">
        <v>49</v>
      </c>
      <c r="V529">
        <v>0</v>
      </c>
      <c r="W529">
        <v>411.15</v>
      </c>
      <c r="X529">
        <v>2304.77</v>
      </c>
      <c r="Y529" t="s">
        <v>31</v>
      </c>
      <c r="Z529" s="3">
        <v>1022.64</v>
      </c>
      <c r="AA529" t="s">
        <v>48</v>
      </c>
      <c r="AB529" t="s">
        <v>33</v>
      </c>
      <c r="AC529">
        <v>58.8</v>
      </c>
      <c r="AD529" t="s">
        <v>34</v>
      </c>
      <c r="AE529">
        <v>1625.27</v>
      </c>
      <c r="AF529">
        <v>0</v>
      </c>
    </row>
    <row r="530" spans="3:32" x14ac:dyDescent="0.35">
      <c r="C530" s="1">
        <v>43766</v>
      </c>
      <c r="D530" s="2">
        <v>43739</v>
      </c>
      <c r="E530">
        <v>1420</v>
      </c>
      <c r="F530" s="3">
        <v>3563.44</v>
      </c>
      <c r="G530" s="3">
        <v>2817.55</v>
      </c>
      <c r="H530" s="3">
        <v>745.89</v>
      </c>
      <c r="I530" s="3">
        <v>0.79</v>
      </c>
      <c r="J530">
        <v>0.11</v>
      </c>
      <c r="K530">
        <v>2081.65</v>
      </c>
      <c r="L530" t="s">
        <v>35</v>
      </c>
      <c r="M530">
        <v>679</v>
      </c>
      <c r="N530">
        <v>0.25</v>
      </c>
      <c r="O530" s="3">
        <v>441.65</v>
      </c>
      <c r="P530" s="3">
        <v>0.12</v>
      </c>
      <c r="Q530" s="3">
        <v>948.25</v>
      </c>
      <c r="R530" s="3">
        <v>0.27</v>
      </c>
      <c r="S530">
        <v>4</v>
      </c>
      <c r="T530">
        <v>1283.94</v>
      </c>
      <c r="U530">
        <v>51</v>
      </c>
      <c r="V530">
        <v>0</v>
      </c>
      <c r="W530">
        <v>644.79</v>
      </c>
      <c r="X530">
        <v>2628.73</v>
      </c>
      <c r="Y530" t="s">
        <v>36</v>
      </c>
      <c r="Z530" s="3">
        <v>2358.42</v>
      </c>
      <c r="AA530" t="s">
        <v>46</v>
      </c>
      <c r="AB530" t="s">
        <v>33</v>
      </c>
      <c r="AC530">
        <v>19.3</v>
      </c>
      <c r="AD530" t="s">
        <v>43</v>
      </c>
      <c r="AE530">
        <v>745.89</v>
      </c>
      <c r="AF530">
        <v>0</v>
      </c>
    </row>
    <row r="531" spans="3:32" x14ac:dyDescent="0.35">
      <c r="C531" s="1">
        <v>43766</v>
      </c>
      <c r="D531" s="2">
        <v>43739</v>
      </c>
      <c r="E531">
        <v>1442</v>
      </c>
      <c r="F531" s="3">
        <v>5648.53</v>
      </c>
      <c r="G531" s="3">
        <v>4100.8599999999997</v>
      </c>
      <c r="H531" s="3">
        <v>1547.67</v>
      </c>
      <c r="I531" s="3">
        <v>0.73</v>
      </c>
      <c r="J531">
        <v>0.24</v>
      </c>
      <c r="K531">
        <v>2741.21</v>
      </c>
      <c r="L531" t="s">
        <v>30</v>
      </c>
      <c r="M531">
        <v>721</v>
      </c>
      <c r="N531">
        <v>0.27</v>
      </c>
      <c r="O531" s="3">
        <v>362.03</v>
      </c>
      <c r="P531" s="3">
        <v>0.06</v>
      </c>
      <c r="Q531" s="3">
        <v>325.60000000000002</v>
      </c>
      <c r="R531" s="3">
        <v>0.06</v>
      </c>
      <c r="S531">
        <v>3</v>
      </c>
      <c r="T531">
        <v>1037.32</v>
      </c>
      <c r="U531">
        <v>49</v>
      </c>
      <c r="V531">
        <v>0</v>
      </c>
      <c r="W531">
        <v>551.62</v>
      </c>
      <c r="X531">
        <v>2644.91</v>
      </c>
      <c r="Y531" t="s">
        <v>31</v>
      </c>
      <c r="Z531" s="3">
        <v>1671.27</v>
      </c>
      <c r="AA531" t="s">
        <v>47</v>
      </c>
      <c r="AB531" t="s">
        <v>42</v>
      </c>
      <c r="AC531">
        <v>69.900000000000006</v>
      </c>
      <c r="AD531" t="s">
        <v>34</v>
      </c>
      <c r="AE531">
        <v>1547.67</v>
      </c>
      <c r="AF531">
        <v>0</v>
      </c>
    </row>
    <row r="532" spans="3:32" x14ac:dyDescent="0.35">
      <c r="C532" s="1">
        <v>43766</v>
      </c>
      <c r="D532" s="2">
        <v>43739</v>
      </c>
      <c r="E532">
        <v>1703</v>
      </c>
      <c r="F532" s="3">
        <v>4066.63</v>
      </c>
      <c r="G532" s="3">
        <v>4792.55</v>
      </c>
      <c r="H532" s="3">
        <v>-725.92</v>
      </c>
      <c r="I532" s="3">
        <v>1.18</v>
      </c>
      <c r="J532">
        <v>0.15</v>
      </c>
      <c r="K532">
        <v>2376.5700000000002</v>
      </c>
      <c r="L532" t="s">
        <v>39</v>
      </c>
      <c r="M532">
        <v>666</v>
      </c>
      <c r="N532">
        <v>0.11</v>
      </c>
      <c r="O532" s="3">
        <v>332.83</v>
      </c>
      <c r="P532" s="3">
        <v>0.08</v>
      </c>
      <c r="Q532" s="3">
        <v>652.29</v>
      </c>
      <c r="R532" s="3">
        <v>0.16</v>
      </c>
      <c r="S532">
        <v>8</v>
      </c>
      <c r="T532">
        <v>1242.3900000000001</v>
      </c>
      <c r="U532">
        <v>43</v>
      </c>
      <c r="V532">
        <v>0</v>
      </c>
      <c r="W532">
        <v>401.36</v>
      </c>
      <c r="X532">
        <v>2540.2600000000002</v>
      </c>
      <c r="Y532" t="s">
        <v>36</v>
      </c>
      <c r="Z532" s="3">
        <v>1573.09</v>
      </c>
      <c r="AA532" t="s">
        <v>48</v>
      </c>
      <c r="AB532" t="s">
        <v>33</v>
      </c>
      <c r="AC532">
        <v>41.7</v>
      </c>
      <c r="AD532" t="s">
        <v>34</v>
      </c>
      <c r="AE532">
        <v>0</v>
      </c>
      <c r="AF532">
        <v>0</v>
      </c>
    </row>
    <row r="533" spans="3:32" x14ac:dyDescent="0.35">
      <c r="C533" s="1">
        <v>43766</v>
      </c>
      <c r="D533" s="2">
        <v>43739</v>
      </c>
      <c r="E533">
        <v>1805</v>
      </c>
      <c r="F533" s="3">
        <v>4635.7299999999996</v>
      </c>
      <c r="G533" s="3">
        <v>2587.17</v>
      </c>
      <c r="H533" s="3">
        <v>2048.56</v>
      </c>
      <c r="I533" s="3">
        <v>0.56000000000000005</v>
      </c>
      <c r="J533">
        <v>0.35</v>
      </c>
      <c r="K533">
        <v>2868.4</v>
      </c>
      <c r="L533" t="s">
        <v>35</v>
      </c>
      <c r="M533">
        <v>697</v>
      </c>
      <c r="N533">
        <v>0.17</v>
      </c>
      <c r="O533" s="3">
        <v>293.81</v>
      </c>
      <c r="P533" s="3">
        <v>0.06</v>
      </c>
      <c r="Q533" s="3">
        <v>328.38</v>
      </c>
      <c r="R533" s="3">
        <v>7.0000000000000007E-2</v>
      </c>
      <c r="S533">
        <v>5</v>
      </c>
      <c r="T533">
        <v>618.91999999999996</v>
      </c>
      <c r="U533">
        <v>85</v>
      </c>
      <c r="V533">
        <v>0</v>
      </c>
      <c r="W533">
        <v>395.23</v>
      </c>
      <c r="X533">
        <v>2479.0500000000002</v>
      </c>
      <c r="Y533" t="s">
        <v>36</v>
      </c>
      <c r="Z533" s="3">
        <v>1245.56</v>
      </c>
      <c r="AA533" t="s">
        <v>51</v>
      </c>
      <c r="AB533" t="s">
        <v>33</v>
      </c>
      <c r="AC533">
        <v>78.900000000000006</v>
      </c>
      <c r="AD533" t="s">
        <v>34</v>
      </c>
      <c r="AE533">
        <v>2048.56</v>
      </c>
      <c r="AF533">
        <v>0</v>
      </c>
    </row>
    <row r="534" spans="3:32" x14ac:dyDescent="0.35">
      <c r="C534" s="1">
        <v>43766</v>
      </c>
      <c r="D534" s="2">
        <v>43739</v>
      </c>
      <c r="E534">
        <v>1104</v>
      </c>
      <c r="F534" s="3">
        <v>2087.6</v>
      </c>
      <c r="G534" s="3">
        <v>2099.66</v>
      </c>
      <c r="H534" s="3">
        <v>-12.06</v>
      </c>
      <c r="I534" s="3">
        <v>1.01</v>
      </c>
      <c r="J534">
        <v>0.1</v>
      </c>
      <c r="K534">
        <v>3183.14</v>
      </c>
      <c r="L534" t="s">
        <v>35</v>
      </c>
      <c r="M534">
        <v>761</v>
      </c>
      <c r="N534">
        <v>0.16</v>
      </c>
      <c r="O534" s="3">
        <v>793.61</v>
      </c>
      <c r="P534" s="3">
        <v>0.38</v>
      </c>
      <c r="Q534" s="3">
        <v>543.97</v>
      </c>
      <c r="R534" s="3">
        <v>0.26</v>
      </c>
      <c r="S534">
        <v>2</v>
      </c>
      <c r="T534">
        <v>786.51</v>
      </c>
      <c r="U534">
        <v>84</v>
      </c>
      <c r="V534">
        <v>0</v>
      </c>
      <c r="W534">
        <v>628.15</v>
      </c>
      <c r="X534">
        <v>2384.62</v>
      </c>
      <c r="Y534" t="s">
        <v>31</v>
      </c>
      <c r="Z534" s="3">
        <v>1223.8699999999999</v>
      </c>
      <c r="AA534" t="s">
        <v>48</v>
      </c>
      <c r="AB534" t="s">
        <v>33</v>
      </c>
      <c r="AC534">
        <v>62.8</v>
      </c>
      <c r="AD534" t="s">
        <v>38</v>
      </c>
      <c r="AE534">
        <v>0</v>
      </c>
      <c r="AF534">
        <v>0</v>
      </c>
    </row>
    <row r="535" spans="3:32" x14ac:dyDescent="0.35">
      <c r="C535" s="1">
        <v>43766</v>
      </c>
      <c r="D535" s="2">
        <v>43739</v>
      </c>
      <c r="E535">
        <v>1384</v>
      </c>
      <c r="F535" s="3">
        <v>3767.92</v>
      </c>
      <c r="G535" s="3">
        <v>2947.55</v>
      </c>
      <c r="H535" s="3">
        <v>820.37</v>
      </c>
      <c r="I535" s="3">
        <v>0.78</v>
      </c>
      <c r="J535">
        <v>0.14000000000000001</v>
      </c>
      <c r="K535">
        <v>2901.28</v>
      </c>
      <c r="L535" t="s">
        <v>35</v>
      </c>
      <c r="M535">
        <v>734</v>
      </c>
      <c r="N535">
        <v>0.55000000000000004</v>
      </c>
      <c r="O535" s="3">
        <v>623.48</v>
      </c>
      <c r="P535" s="3">
        <v>0.17</v>
      </c>
      <c r="Q535" s="3">
        <v>353.36</v>
      </c>
      <c r="R535" s="3">
        <v>0.09</v>
      </c>
      <c r="S535">
        <v>9</v>
      </c>
      <c r="T535">
        <v>0</v>
      </c>
      <c r="U535">
        <v>27</v>
      </c>
      <c r="V535">
        <v>0</v>
      </c>
      <c r="W535">
        <v>642.29</v>
      </c>
      <c r="X535">
        <v>2473.2800000000002</v>
      </c>
      <c r="Y535" t="s">
        <v>36</v>
      </c>
      <c r="Z535" s="3">
        <v>1313.75</v>
      </c>
      <c r="AA535" t="s">
        <v>40</v>
      </c>
      <c r="AB535" t="s">
        <v>44</v>
      </c>
      <c r="AC535">
        <v>48.6</v>
      </c>
      <c r="AD535" t="s">
        <v>43</v>
      </c>
      <c r="AE535">
        <v>820.37</v>
      </c>
      <c r="AF535">
        <v>0</v>
      </c>
    </row>
    <row r="536" spans="3:32" x14ac:dyDescent="0.35">
      <c r="C536" s="1">
        <v>43766</v>
      </c>
      <c r="D536" s="2">
        <v>43739</v>
      </c>
      <c r="E536">
        <v>1474</v>
      </c>
      <c r="F536" s="3">
        <v>3434.13</v>
      </c>
      <c r="G536" s="3">
        <v>3409.88</v>
      </c>
      <c r="H536" s="3">
        <v>24.25</v>
      </c>
      <c r="I536" s="3">
        <v>0.99</v>
      </c>
      <c r="J536">
        <v>0.09</v>
      </c>
      <c r="K536">
        <v>2704.81</v>
      </c>
      <c r="L536" t="s">
        <v>35</v>
      </c>
      <c r="M536">
        <v>722</v>
      </c>
      <c r="N536">
        <v>0.37</v>
      </c>
      <c r="O536" s="3">
        <v>475.77</v>
      </c>
      <c r="P536" s="3">
        <v>0.14000000000000001</v>
      </c>
      <c r="Q536" s="3">
        <v>570.86</v>
      </c>
      <c r="R536" s="3">
        <v>0.17</v>
      </c>
      <c r="S536">
        <v>4</v>
      </c>
      <c r="T536">
        <v>1285.55</v>
      </c>
      <c r="U536">
        <v>60</v>
      </c>
      <c r="V536">
        <v>0</v>
      </c>
      <c r="W536">
        <v>824.07</v>
      </c>
      <c r="X536">
        <v>3305.12</v>
      </c>
      <c r="Y536" t="s">
        <v>36</v>
      </c>
      <c r="Z536" s="3">
        <v>1385.04</v>
      </c>
      <c r="AA536" t="s">
        <v>40</v>
      </c>
      <c r="AB536" t="s">
        <v>33</v>
      </c>
      <c r="AC536">
        <v>44.7</v>
      </c>
      <c r="AD536" t="s">
        <v>43</v>
      </c>
      <c r="AE536">
        <v>24.25</v>
      </c>
      <c r="AF536">
        <v>0</v>
      </c>
    </row>
    <row r="537" spans="3:32" x14ac:dyDescent="0.35">
      <c r="C537" s="1">
        <v>43766</v>
      </c>
      <c r="D537" s="2">
        <v>43739</v>
      </c>
      <c r="E537">
        <v>1331</v>
      </c>
      <c r="F537" s="3">
        <v>4376.38</v>
      </c>
      <c r="G537" s="3">
        <v>3408.8</v>
      </c>
      <c r="H537" s="3">
        <v>967.58</v>
      </c>
      <c r="I537" s="3">
        <v>0.78</v>
      </c>
      <c r="J537">
        <v>0.14000000000000001</v>
      </c>
      <c r="K537">
        <v>2300.52</v>
      </c>
      <c r="L537" t="s">
        <v>39</v>
      </c>
      <c r="M537">
        <v>664</v>
      </c>
      <c r="N537">
        <v>0.51</v>
      </c>
      <c r="O537" s="3">
        <v>424.38</v>
      </c>
      <c r="P537" s="3">
        <v>0.1</v>
      </c>
      <c r="Q537" s="3">
        <v>505.17</v>
      </c>
      <c r="R537" s="3">
        <v>0.12</v>
      </c>
      <c r="S537">
        <v>1</v>
      </c>
      <c r="T537">
        <v>252.84</v>
      </c>
      <c r="U537">
        <v>26</v>
      </c>
      <c r="V537">
        <v>0</v>
      </c>
      <c r="W537">
        <v>550.11</v>
      </c>
      <c r="X537">
        <v>2680.72</v>
      </c>
      <c r="Y537" t="s">
        <v>36</v>
      </c>
      <c r="Z537" s="3">
        <v>1630.88</v>
      </c>
      <c r="AA537" t="s">
        <v>46</v>
      </c>
      <c r="AB537" t="s">
        <v>33</v>
      </c>
      <c r="AC537">
        <v>9.6999999999999993</v>
      </c>
      <c r="AD537" t="s">
        <v>43</v>
      </c>
      <c r="AE537">
        <v>967.58</v>
      </c>
      <c r="AF537">
        <v>0</v>
      </c>
    </row>
    <row r="538" spans="3:32" x14ac:dyDescent="0.35">
      <c r="C538" s="1">
        <v>43766</v>
      </c>
      <c r="D538" s="2">
        <v>43739</v>
      </c>
      <c r="E538">
        <v>1483</v>
      </c>
      <c r="F538" s="3">
        <v>2604.0300000000002</v>
      </c>
      <c r="G538" s="3">
        <v>2592.6</v>
      </c>
      <c r="H538" s="3">
        <v>11.43</v>
      </c>
      <c r="I538" s="3">
        <v>1</v>
      </c>
      <c r="J538">
        <v>0.38</v>
      </c>
      <c r="K538">
        <v>2828.63</v>
      </c>
      <c r="L538" t="s">
        <v>35</v>
      </c>
      <c r="M538">
        <v>713</v>
      </c>
      <c r="N538">
        <v>0.19</v>
      </c>
      <c r="O538" s="3">
        <v>476.6</v>
      </c>
      <c r="P538" s="3">
        <v>0.18</v>
      </c>
      <c r="Q538" s="3">
        <v>274.01</v>
      </c>
      <c r="R538" s="3">
        <v>0.11</v>
      </c>
      <c r="S538">
        <v>4</v>
      </c>
      <c r="T538">
        <v>919.62</v>
      </c>
      <c r="U538">
        <v>62</v>
      </c>
      <c r="V538">
        <v>0</v>
      </c>
      <c r="W538">
        <v>218.14</v>
      </c>
      <c r="X538">
        <v>1898.95</v>
      </c>
      <c r="Y538" t="s">
        <v>31</v>
      </c>
      <c r="Z538" s="3">
        <v>918.69</v>
      </c>
      <c r="AA538" t="s">
        <v>40</v>
      </c>
      <c r="AB538" t="s">
        <v>42</v>
      </c>
      <c r="AC538">
        <v>99.2</v>
      </c>
      <c r="AD538" t="s">
        <v>34</v>
      </c>
      <c r="AE538">
        <v>11.43</v>
      </c>
      <c r="AF538">
        <v>0</v>
      </c>
    </row>
    <row r="539" spans="3:32" x14ac:dyDescent="0.35">
      <c r="C539" s="1">
        <v>43766</v>
      </c>
      <c r="D539" s="2">
        <v>43739</v>
      </c>
      <c r="E539">
        <v>1362</v>
      </c>
      <c r="F539" s="3">
        <v>4116.08</v>
      </c>
      <c r="G539" s="3">
        <v>3280.24</v>
      </c>
      <c r="H539" s="3">
        <v>835.84</v>
      </c>
      <c r="I539" s="3">
        <v>0.8</v>
      </c>
      <c r="J539">
        <v>0.08</v>
      </c>
      <c r="K539">
        <v>2847.94</v>
      </c>
      <c r="L539" t="s">
        <v>39</v>
      </c>
      <c r="M539">
        <v>657</v>
      </c>
      <c r="N539">
        <v>0.14000000000000001</v>
      </c>
      <c r="O539" s="3">
        <v>325.39999999999998</v>
      </c>
      <c r="P539" s="3">
        <v>0.08</v>
      </c>
      <c r="Q539" s="3">
        <v>612.46</v>
      </c>
      <c r="R539" s="3">
        <v>0.15</v>
      </c>
      <c r="S539">
        <v>3</v>
      </c>
      <c r="T539">
        <v>1063.3800000000001</v>
      </c>
      <c r="U539">
        <v>71</v>
      </c>
      <c r="V539">
        <v>0</v>
      </c>
      <c r="W539">
        <v>822.21</v>
      </c>
      <c r="X539">
        <v>2047.76</v>
      </c>
      <c r="Y539" t="s">
        <v>31</v>
      </c>
      <c r="Z539" s="3">
        <v>1043.6400000000001</v>
      </c>
      <c r="AA539" t="s">
        <v>46</v>
      </c>
      <c r="AB539" t="s">
        <v>33</v>
      </c>
      <c r="AC539">
        <v>53.4</v>
      </c>
      <c r="AD539" t="s">
        <v>38</v>
      </c>
      <c r="AE539">
        <v>835.84</v>
      </c>
      <c r="AF539">
        <v>0</v>
      </c>
    </row>
    <row r="540" spans="3:32" x14ac:dyDescent="0.35">
      <c r="C540" s="1">
        <v>43766</v>
      </c>
      <c r="D540" s="2">
        <v>43739</v>
      </c>
      <c r="E540">
        <v>1939</v>
      </c>
      <c r="F540" s="3">
        <v>3051.32</v>
      </c>
      <c r="G540" s="3">
        <v>1429.9</v>
      </c>
      <c r="H540" s="3">
        <v>1621.42</v>
      </c>
      <c r="I540" s="3">
        <v>0.47</v>
      </c>
      <c r="J540">
        <v>0.16</v>
      </c>
      <c r="K540">
        <v>3323.75</v>
      </c>
      <c r="L540" t="s">
        <v>35</v>
      </c>
      <c r="M540">
        <v>652</v>
      </c>
      <c r="N540">
        <v>0.21</v>
      </c>
      <c r="O540" s="3">
        <v>844.54</v>
      </c>
      <c r="P540" s="3">
        <v>0.28000000000000003</v>
      </c>
      <c r="Q540" s="3">
        <v>674.72</v>
      </c>
      <c r="R540" s="3">
        <v>0.22</v>
      </c>
      <c r="S540">
        <v>3</v>
      </c>
      <c r="T540">
        <v>1551.25</v>
      </c>
      <c r="U540">
        <v>38</v>
      </c>
      <c r="V540">
        <v>0</v>
      </c>
      <c r="W540">
        <v>601.41</v>
      </c>
      <c r="X540">
        <v>2366.7399999999998</v>
      </c>
      <c r="Y540" t="s">
        <v>36</v>
      </c>
      <c r="Z540" s="3">
        <v>1042.5999999999999</v>
      </c>
      <c r="AA540" t="s">
        <v>50</v>
      </c>
      <c r="AB540" t="s">
        <v>33</v>
      </c>
      <c r="AC540">
        <v>89.9</v>
      </c>
      <c r="AD540" t="s">
        <v>38</v>
      </c>
      <c r="AE540">
        <v>1621.42</v>
      </c>
      <c r="AF540">
        <v>0</v>
      </c>
    </row>
    <row r="541" spans="3:32" x14ac:dyDescent="0.35">
      <c r="C541" s="1">
        <v>43766</v>
      </c>
      <c r="D541" s="2">
        <v>43739</v>
      </c>
      <c r="E541">
        <v>1204</v>
      </c>
      <c r="F541" s="3">
        <v>3751.46</v>
      </c>
      <c r="G541" s="3">
        <v>3980.38</v>
      </c>
      <c r="H541" s="3">
        <v>-228.92</v>
      </c>
      <c r="I541" s="3">
        <v>1.06</v>
      </c>
      <c r="J541">
        <v>0.28000000000000003</v>
      </c>
      <c r="K541">
        <v>3905.73</v>
      </c>
      <c r="L541" t="s">
        <v>35</v>
      </c>
      <c r="M541">
        <v>686</v>
      </c>
      <c r="N541">
        <v>0.33</v>
      </c>
      <c r="O541" s="3">
        <v>958.87</v>
      </c>
      <c r="P541" s="3">
        <v>0.26</v>
      </c>
      <c r="Q541" s="3">
        <v>318.98</v>
      </c>
      <c r="R541" s="3">
        <v>0.09</v>
      </c>
      <c r="S541">
        <v>7</v>
      </c>
      <c r="T541">
        <v>2199.2600000000002</v>
      </c>
      <c r="U541">
        <v>36</v>
      </c>
      <c r="V541">
        <v>0</v>
      </c>
      <c r="W541">
        <v>571.15</v>
      </c>
      <c r="X541">
        <v>2152.58</v>
      </c>
      <c r="Y541" t="s">
        <v>36</v>
      </c>
      <c r="Z541" s="3">
        <v>731.48</v>
      </c>
      <c r="AA541" t="s">
        <v>37</v>
      </c>
      <c r="AB541" t="s">
        <v>44</v>
      </c>
      <c r="AC541">
        <v>90</v>
      </c>
      <c r="AD541" t="s">
        <v>34</v>
      </c>
      <c r="AE541">
        <v>0</v>
      </c>
      <c r="AF541">
        <v>0</v>
      </c>
    </row>
    <row r="542" spans="3:32" x14ac:dyDescent="0.35">
      <c r="C542" s="1">
        <v>43766</v>
      </c>
      <c r="D542" s="2">
        <v>43739</v>
      </c>
      <c r="E542">
        <v>1948</v>
      </c>
      <c r="F542" s="3">
        <v>4490.71</v>
      </c>
      <c r="G542" s="3">
        <v>1950.14</v>
      </c>
      <c r="H542" s="3">
        <v>2540.5700000000002</v>
      </c>
      <c r="I542" s="3">
        <v>0.43</v>
      </c>
      <c r="J542">
        <v>0.35</v>
      </c>
      <c r="K542">
        <v>2392.69</v>
      </c>
      <c r="L542" t="s">
        <v>39</v>
      </c>
      <c r="M542">
        <v>723</v>
      </c>
      <c r="N542">
        <v>0.53</v>
      </c>
      <c r="O542" s="3">
        <v>331.27</v>
      </c>
      <c r="P542" s="3">
        <v>7.0000000000000007E-2</v>
      </c>
      <c r="Q542" s="3">
        <v>86.95</v>
      </c>
      <c r="R542" s="3">
        <v>0.02</v>
      </c>
      <c r="S542">
        <v>7</v>
      </c>
      <c r="T542">
        <v>846.84</v>
      </c>
      <c r="U542">
        <v>63</v>
      </c>
      <c r="V542">
        <v>0</v>
      </c>
      <c r="W542">
        <v>712.28</v>
      </c>
      <c r="X542">
        <v>2943.2</v>
      </c>
      <c r="Y542" t="s">
        <v>49</v>
      </c>
      <c r="Z542" s="3">
        <v>1151.45</v>
      </c>
      <c r="AA542" t="s">
        <v>37</v>
      </c>
      <c r="AB542" t="s">
        <v>44</v>
      </c>
      <c r="AC542">
        <v>39.1</v>
      </c>
      <c r="AD542" t="s">
        <v>34</v>
      </c>
      <c r="AE542">
        <v>2540.5700000000002</v>
      </c>
      <c r="AF542">
        <v>1</v>
      </c>
    </row>
    <row r="543" spans="3:32" x14ac:dyDescent="0.35">
      <c r="C543" s="1">
        <v>43766</v>
      </c>
      <c r="D543" s="2">
        <v>43739</v>
      </c>
      <c r="E543">
        <v>1224</v>
      </c>
      <c r="F543" s="3">
        <v>3875.08</v>
      </c>
      <c r="G543" s="3">
        <v>4045.05</v>
      </c>
      <c r="H543" s="3">
        <v>-169.97</v>
      </c>
      <c r="I543" s="3">
        <v>1.04</v>
      </c>
      <c r="J543">
        <v>0.17</v>
      </c>
      <c r="K543">
        <v>2859.62</v>
      </c>
      <c r="L543" t="s">
        <v>35</v>
      </c>
      <c r="M543">
        <v>743</v>
      </c>
      <c r="N543">
        <v>0.51</v>
      </c>
      <c r="O543" s="3">
        <v>806.09</v>
      </c>
      <c r="P543" s="3">
        <v>0.21</v>
      </c>
      <c r="Q543" s="3">
        <v>329.4</v>
      </c>
      <c r="R543" s="3">
        <v>0.09</v>
      </c>
      <c r="S543">
        <v>5</v>
      </c>
      <c r="T543">
        <v>1496.24</v>
      </c>
      <c r="U543">
        <v>27</v>
      </c>
      <c r="V543">
        <v>0</v>
      </c>
      <c r="W543">
        <v>401.19</v>
      </c>
      <c r="X543">
        <v>2628.33</v>
      </c>
      <c r="Y543" t="s">
        <v>36</v>
      </c>
      <c r="Z543" s="3">
        <v>1810.13</v>
      </c>
      <c r="AA543" t="s">
        <v>32</v>
      </c>
      <c r="AB543" t="s">
        <v>42</v>
      </c>
      <c r="AC543">
        <v>11.2</v>
      </c>
      <c r="AD543" t="s">
        <v>38</v>
      </c>
      <c r="AE543">
        <v>0</v>
      </c>
      <c r="AF543">
        <v>0</v>
      </c>
    </row>
    <row r="544" spans="3:32" x14ac:dyDescent="0.35">
      <c r="C544" s="1">
        <v>43766</v>
      </c>
      <c r="D544" s="2">
        <v>43739</v>
      </c>
      <c r="E544">
        <v>1245</v>
      </c>
      <c r="F544" s="3">
        <v>3679.31</v>
      </c>
      <c r="G544" s="3">
        <v>3920.06</v>
      </c>
      <c r="H544" s="3">
        <v>-240.75</v>
      </c>
      <c r="I544" s="3">
        <v>1.07</v>
      </c>
      <c r="J544">
        <v>0.39</v>
      </c>
      <c r="K544">
        <v>1791.06</v>
      </c>
      <c r="L544" t="s">
        <v>30</v>
      </c>
      <c r="M544">
        <v>764</v>
      </c>
      <c r="N544">
        <v>0.28999999999999998</v>
      </c>
      <c r="O544" s="3">
        <v>640.01</v>
      </c>
      <c r="P544" s="3">
        <v>0.17</v>
      </c>
      <c r="Q544" s="3">
        <v>31.11</v>
      </c>
      <c r="R544" s="3">
        <v>0.01</v>
      </c>
      <c r="S544">
        <v>6</v>
      </c>
      <c r="T544">
        <v>1649.6</v>
      </c>
      <c r="U544">
        <v>60</v>
      </c>
      <c r="V544">
        <v>0</v>
      </c>
      <c r="W544">
        <v>480.3</v>
      </c>
      <c r="X544">
        <v>2672.64</v>
      </c>
      <c r="Y544" t="s">
        <v>36</v>
      </c>
      <c r="Z544" s="3">
        <v>1785.77</v>
      </c>
      <c r="AA544" t="s">
        <v>51</v>
      </c>
      <c r="AB544" t="s">
        <v>44</v>
      </c>
      <c r="AC544">
        <v>28.8</v>
      </c>
      <c r="AD544" t="s">
        <v>43</v>
      </c>
      <c r="AE544">
        <v>0</v>
      </c>
      <c r="AF544">
        <v>0</v>
      </c>
    </row>
    <row r="545" spans="3:32" x14ac:dyDescent="0.35">
      <c r="C545" s="1">
        <v>43766</v>
      </c>
      <c r="D545" s="2">
        <v>43739</v>
      </c>
      <c r="E545">
        <v>1812</v>
      </c>
      <c r="F545" s="3">
        <v>3822.42</v>
      </c>
      <c r="G545" s="3">
        <v>3772.83</v>
      </c>
      <c r="H545" s="3">
        <v>49.59</v>
      </c>
      <c r="I545" s="3">
        <v>0.99</v>
      </c>
      <c r="J545">
        <v>0.28000000000000003</v>
      </c>
      <c r="K545">
        <v>1993.38</v>
      </c>
      <c r="L545" t="s">
        <v>35</v>
      </c>
      <c r="M545">
        <v>755</v>
      </c>
      <c r="N545">
        <v>0.28000000000000003</v>
      </c>
      <c r="O545" s="3">
        <v>726.3</v>
      </c>
      <c r="P545" s="3">
        <v>0.19</v>
      </c>
      <c r="Q545" s="3">
        <v>26.02</v>
      </c>
      <c r="R545" s="3">
        <v>0.01</v>
      </c>
      <c r="S545">
        <v>9</v>
      </c>
      <c r="T545">
        <v>1257.03</v>
      </c>
      <c r="U545">
        <v>70</v>
      </c>
      <c r="V545">
        <v>0</v>
      </c>
      <c r="W545">
        <v>338.15</v>
      </c>
      <c r="X545">
        <v>1387.28</v>
      </c>
      <c r="Y545" t="s">
        <v>36</v>
      </c>
      <c r="Z545" s="3">
        <v>1344.55</v>
      </c>
      <c r="AA545" t="s">
        <v>47</v>
      </c>
      <c r="AB545" t="s">
        <v>33</v>
      </c>
      <c r="AC545">
        <v>15.7</v>
      </c>
      <c r="AD545" t="s">
        <v>43</v>
      </c>
      <c r="AE545">
        <v>49.59</v>
      </c>
      <c r="AF545">
        <v>0</v>
      </c>
    </row>
    <row r="546" spans="3:32" x14ac:dyDescent="0.35">
      <c r="C546" s="1">
        <v>43766</v>
      </c>
      <c r="D546" s="2">
        <v>43739</v>
      </c>
      <c r="E546">
        <v>1165</v>
      </c>
      <c r="F546" s="3">
        <v>2297.31</v>
      </c>
      <c r="G546" s="3">
        <v>3144.83</v>
      </c>
      <c r="H546" s="3">
        <v>-847.52</v>
      </c>
      <c r="I546" s="3">
        <v>1.37</v>
      </c>
      <c r="J546">
        <v>0.15</v>
      </c>
      <c r="K546">
        <v>2473.3200000000002</v>
      </c>
      <c r="L546" t="s">
        <v>35</v>
      </c>
      <c r="M546">
        <v>729</v>
      </c>
      <c r="N546">
        <v>0.11</v>
      </c>
      <c r="O546" s="3">
        <v>628.01</v>
      </c>
      <c r="P546" s="3">
        <v>0.27</v>
      </c>
      <c r="Q546" s="3">
        <v>596.07000000000005</v>
      </c>
      <c r="R546" s="3">
        <v>0.26</v>
      </c>
      <c r="S546">
        <v>8</v>
      </c>
      <c r="T546">
        <v>426.45</v>
      </c>
      <c r="U546">
        <v>30</v>
      </c>
      <c r="V546">
        <v>0</v>
      </c>
      <c r="W546">
        <v>310.64999999999998</v>
      </c>
      <c r="X546">
        <v>2618.7399999999998</v>
      </c>
      <c r="Y546" t="s">
        <v>36</v>
      </c>
      <c r="Z546" s="3">
        <v>1277.4100000000001</v>
      </c>
      <c r="AA546" t="s">
        <v>47</v>
      </c>
      <c r="AB546" t="s">
        <v>42</v>
      </c>
      <c r="AC546">
        <v>17.100000000000001</v>
      </c>
      <c r="AD546" t="s">
        <v>34</v>
      </c>
      <c r="AE546">
        <v>0</v>
      </c>
      <c r="AF546">
        <v>0</v>
      </c>
    </row>
    <row r="547" spans="3:32" x14ac:dyDescent="0.35">
      <c r="C547" s="1">
        <v>43766</v>
      </c>
      <c r="D547" s="2">
        <v>43739</v>
      </c>
      <c r="E547">
        <v>1458</v>
      </c>
      <c r="F547" s="3">
        <v>4122.43</v>
      </c>
      <c r="G547" s="3">
        <v>4323.0200000000004</v>
      </c>
      <c r="H547" s="3">
        <v>-200.59</v>
      </c>
      <c r="I547" s="3">
        <v>1.05</v>
      </c>
      <c r="J547">
        <v>0.13</v>
      </c>
      <c r="K547">
        <v>3054.99</v>
      </c>
      <c r="L547" t="s">
        <v>35</v>
      </c>
      <c r="M547">
        <v>607</v>
      </c>
      <c r="N547">
        <v>0.24</v>
      </c>
      <c r="O547" s="3">
        <v>149.65</v>
      </c>
      <c r="P547" s="3">
        <v>0.04</v>
      </c>
      <c r="Q547" s="3">
        <v>300.76</v>
      </c>
      <c r="R547" s="3">
        <v>7.0000000000000007E-2</v>
      </c>
      <c r="S547">
        <v>5</v>
      </c>
      <c r="T547">
        <v>1595.21</v>
      </c>
      <c r="U547">
        <v>85</v>
      </c>
      <c r="V547">
        <v>0</v>
      </c>
      <c r="W547">
        <v>613.16999999999996</v>
      </c>
      <c r="X547">
        <v>2148.8200000000002</v>
      </c>
      <c r="Y547" t="s">
        <v>31</v>
      </c>
      <c r="Z547" s="3">
        <v>1558.68</v>
      </c>
      <c r="AA547" t="s">
        <v>48</v>
      </c>
      <c r="AB547" t="s">
        <v>33</v>
      </c>
      <c r="AC547">
        <v>79.5</v>
      </c>
      <c r="AD547" t="s">
        <v>34</v>
      </c>
      <c r="AE547">
        <v>0</v>
      </c>
      <c r="AF547">
        <v>0</v>
      </c>
    </row>
    <row r="548" spans="3:32" x14ac:dyDescent="0.35">
      <c r="C548" s="1">
        <v>43766</v>
      </c>
      <c r="D548" s="2">
        <v>43739</v>
      </c>
      <c r="E548">
        <v>1882</v>
      </c>
      <c r="F548" s="3">
        <v>2369.3200000000002</v>
      </c>
      <c r="G548" s="3">
        <v>3415.98</v>
      </c>
      <c r="H548" s="3">
        <v>-1046.6600000000001</v>
      </c>
      <c r="I548" s="3">
        <v>1.44</v>
      </c>
      <c r="J548">
        <v>0.16</v>
      </c>
      <c r="K548">
        <v>2228.25</v>
      </c>
      <c r="L548" t="s">
        <v>35</v>
      </c>
      <c r="M548">
        <v>679</v>
      </c>
      <c r="N548">
        <v>0.32</v>
      </c>
      <c r="O548" s="3">
        <v>608.52</v>
      </c>
      <c r="P548" s="3">
        <v>0.26</v>
      </c>
      <c r="Q548" s="3">
        <v>88.08</v>
      </c>
      <c r="R548" s="3">
        <v>0.04</v>
      </c>
      <c r="S548">
        <v>6</v>
      </c>
      <c r="T548">
        <v>349.43</v>
      </c>
      <c r="U548">
        <v>96</v>
      </c>
      <c r="V548">
        <v>0</v>
      </c>
      <c r="W548">
        <v>698.75</v>
      </c>
      <c r="X548">
        <v>2691.42</v>
      </c>
      <c r="Y548" t="s">
        <v>31</v>
      </c>
      <c r="Z548" s="3">
        <v>762.69</v>
      </c>
      <c r="AA548" t="s">
        <v>41</v>
      </c>
      <c r="AB548" t="s">
        <v>33</v>
      </c>
      <c r="AC548">
        <v>21</v>
      </c>
      <c r="AD548" t="s">
        <v>34</v>
      </c>
      <c r="AE548">
        <v>0</v>
      </c>
      <c r="AF548">
        <v>0</v>
      </c>
    </row>
    <row r="549" spans="3:32" x14ac:dyDescent="0.35">
      <c r="C549" s="1">
        <v>43766</v>
      </c>
      <c r="D549" s="2">
        <v>43739</v>
      </c>
      <c r="E549">
        <v>1860</v>
      </c>
      <c r="F549" s="3">
        <v>3105.32</v>
      </c>
      <c r="G549" s="3">
        <v>2551.36</v>
      </c>
      <c r="H549" s="3">
        <v>553.96</v>
      </c>
      <c r="I549" s="3">
        <v>0.82</v>
      </c>
      <c r="J549">
        <v>0.28999999999999998</v>
      </c>
      <c r="K549">
        <v>3082.91</v>
      </c>
      <c r="L549" t="s">
        <v>35</v>
      </c>
      <c r="M549">
        <v>655</v>
      </c>
      <c r="N549">
        <v>0.34</v>
      </c>
      <c r="O549" s="3">
        <v>355.22</v>
      </c>
      <c r="P549" s="3">
        <v>0.11</v>
      </c>
      <c r="Q549" s="3">
        <v>547.16999999999996</v>
      </c>
      <c r="R549" s="3">
        <v>0.18</v>
      </c>
      <c r="S549">
        <v>8</v>
      </c>
      <c r="T549">
        <v>1116.9000000000001</v>
      </c>
      <c r="U549">
        <v>89</v>
      </c>
      <c r="V549">
        <v>0</v>
      </c>
      <c r="W549">
        <v>686.77</v>
      </c>
      <c r="X549">
        <v>2002.55</v>
      </c>
      <c r="Y549" t="s">
        <v>31</v>
      </c>
      <c r="Z549" s="3">
        <v>1431.15</v>
      </c>
      <c r="AA549" t="s">
        <v>41</v>
      </c>
      <c r="AB549" t="s">
        <v>33</v>
      </c>
      <c r="AC549">
        <v>97.7</v>
      </c>
      <c r="AD549" t="s">
        <v>38</v>
      </c>
      <c r="AE549">
        <v>553.96</v>
      </c>
      <c r="AF549">
        <v>0</v>
      </c>
    </row>
    <row r="550" spans="3:32" x14ac:dyDescent="0.35">
      <c r="C550" s="1">
        <v>43766</v>
      </c>
      <c r="D550" s="2">
        <v>43739</v>
      </c>
      <c r="E550">
        <v>1622</v>
      </c>
      <c r="F550" s="3">
        <v>3316.88</v>
      </c>
      <c r="G550" s="3">
        <v>4179.63</v>
      </c>
      <c r="H550" s="3">
        <v>-862.75</v>
      </c>
      <c r="I550" s="3">
        <v>1.26</v>
      </c>
      <c r="J550">
        <v>0.16</v>
      </c>
      <c r="K550">
        <v>3308.06</v>
      </c>
      <c r="L550" t="s">
        <v>35</v>
      </c>
      <c r="M550">
        <v>657</v>
      </c>
      <c r="N550">
        <v>0.52</v>
      </c>
      <c r="O550" s="3">
        <v>450.56</v>
      </c>
      <c r="P550" s="3">
        <v>0.14000000000000001</v>
      </c>
      <c r="Q550" s="3">
        <v>237.51</v>
      </c>
      <c r="R550" s="3">
        <v>7.0000000000000007E-2</v>
      </c>
      <c r="S550">
        <v>9</v>
      </c>
      <c r="T550">
        <v>1140.8900000000001</v>
      </c>
      <c r="U550">
        <v>30</v>
      </c>
      <c r="V550">
        <v>0</v>
      </c>
      <c r="W550">
        <v>248.06</v>
      </c>
      <c r="X550">
        <v>1144.77</v>
      </c>
      <c r="Y550" t="s">
        <v>36</v>
      </c>
      <c r="Z550" s="3">
        <v>916.55</v>
      </c>
      <c r="AA550" t="s">
        <v>47</v>
      </c>
      <c r="AB550" t="s">
        <v>44</v>
      </c>
      <c r="AC550">
        <v>28.4</v>
      </c>
      <c r="AD550" t="s">
        <v>43</v>
      </c>
      <c r="AE550">
        <v>0</v>
      </c>
      <c r="AF550">
        <v>0</v>
      </c>
    </row>
    <row r="551" spans="3:32" x14ac:dyDescent="0.35">
      <c r="C551" s="1">
        <v>43766</v>
      </c>
      <c r="D551" s="2">
        <v>43739</v>
      </c>
      <c r="E551">
        <v>1825</v>
      </c>
      <c r="F551" s="3">
        <v>4569.7299999999996</v>
      </c>
      <c r="G551" s="3">
        <v>2998.19</v>
      </c>
      <c r="H551" s="3">
        <v>1571.54</v>
      </c>
      <c r="I551" s="3">
        <v>0.66</v>
      </c>
      <c r="J551">
        <v>0.17</v>
      </c>
      <c r="K551">
        <v>2844.53</v>
      </c>
      <c r="L551" t="s">
        <v>30</v>
      </c>
      <c r="M551">
        <v>703</v>
      </c>
      <c r="N551">
        <v>0.57999999999999996</v>
      </c>
      <c r="O551" s="3">
        <v>542.89</v>
      </c>
      <c r="P551" s="3">
        <v>0.12</v>
      </c>
      <c r="Q551" s="3">
        <v>708.07</v>
      </c>
      <c r="R551" s="3">
        <v>0.15</v>
      </c>
      <c r="S551">
        <v>2</v>
      </c>
      <c r="T551">
        <v>519</v>
      </c>
      <c r="U551">
        <v>34</v>
      </c>
      <c r="V551">
        <v>0</v>
      </c>
      <c r="W551">
        <v>488.43</v>
      </c>
      <c r="X551">
        <v>2242.08</v>
      </c>
      <c r="Y551" t="s">
        <v>36</v>
      </c>
      <c r="Z551" s="3">
        <v>1127.25</v>
      </c>
      <c r="AA551" t="s">
        <v>40</v>
      </c>
      <c r="AB551" t="s">
        <v>44</v>
      </c>
      <c r="AC551">
        <v>82.6</v>
      </c>
      <c r="AD551" t="s">
        <v>43</v>
      </c>
      <c r="AE551">
        <v>1571.54</v>
      </c>
      <c r="AF551">
        <v>0</v>
      </c>
    </row>
    <row r="552" spans="3:32" x14ac:dyDescent="0.35">
      <c r="C552" s="1">
        <v>43796</v>
      </c>
      <c r="D552" s="2">
        <v>43770</v>
      </c>
      <c r="E552">
        <v>1357</v>
      </c>
      <c r="F552" s="3">
        <v>2136.79</v>
      </c>
      <c r="G552" s="3">
        <v>3444.29</v>
      </c>
      <c r="H552" s="3">
        <v>-1307.5</v>
      </c>
      <c r="I552" s="3">
        <v>1.61</v>
      </c>
      <c r="J552">
        <v>0.34</v>
      </c>
      <c r="K552">
        <v>2685.16</v>
      </c>
      <c r="L552" t="s">
        <v>35</v>
      </c>
      <c r="M552">
        <v>669</v>
      </c>
      <c r="N552">
        <v>0.39</v>
      </c>
      <c r="O552" s="3">
        <v>285.31</v>
      </c>
      <c r="P552" s="3">
        <v>0.13</v>
      </c>
      <c r="Q552" s="3">
        <v>528.04999999999995</v>
      </c>
      <c r="R552" s="3">
        <v>0.25</v>
      </c>
      <c r="S552">
        <v>5</v>
      </c>
      <c r="T552">
        <v>1967.83</v>
      </c>
      <c r="U552">
        <v>53</v>
      </c>
      <c r="V552">
        <v>0</v>
      </c>
      <c r="W552">
        <v>283.44</v>
      </c>
      <c r="X552">
        <v>2492.21</v>
      </c>
      <c r="Y552" t="s">
        <v>31</v>
      </c>
      <c r="Z552" s="3">
        <v>773.98</v>
      </c>
      <c r="AA552" t="s">
        <v>51</v>
      </c>
      <c r="AB552" t="s">
        <v>44</v>
      </c>
      <c r="AC552">
        <v>36.1</v>
      </c>
      <c r="AD552" t="s">
        <v>38</v>
      </c>
      <c r="AE552">
        <v>0</v>
      </c>
      <c r="AF552">
        <v>0</v>
      </c>
    </row>
    <row r="553" spans="3:32" x14ac:dyDescent="0.35">
      <c r="C553" s="1">
        <v>43796</v>
      </c>
      <c r="D553" s="2">
        <v>43770</v>
      </c>
      <c r="E553">
        <v>1205</v>
      </c>
      <c r="F553" s="3">
        <v>3629.51</v>
      </c>
      <c r="G553" s="3">
        <v>3352.63</v>
      </c>
      <c r="H553" s="3">
        <v>276.88</v>
      </c>
      <c r="I553" s="3">
        <v>0.92</v>
      </c>
      <c r="J553">
        <v>0.06</v>
      </c>
      <c r="K553">
        <v>2658.66</v>
      </c>
      <c r="L553" t="s">
        <v>35</v>
      </c>
      <c r="M553">
        <v>727</v>
      </c>
      <c r="N553">
        <v>0.39</v>
      </c>
      <c r="O553" s="3">
        <v>4.7300000000000004</v>
      </c>
      <c r="P553" s="3">
        <v>0</v>
      </c>
      <c r="Q553" s="3">
        <v>495.41</v>
      </c>
      <c r="R553" s="3">
        <v>0.14000000000000001</v>
      </c>
      <c r="S553">
        <v>7</v>
      </c>
      <c r="T553">
        <v>1294.54</v>
      </c>
      <c r="U553">
        <v>23</v>
      </c>
      <c r="V553">
        <v>0</v>
      </c>
      <c r="W553">
        <v>532.19000000000005</v>
      </c>
      <c r="X553">
        <v>2227.09</v>
      </c>
      <c r="Y553" t="s">
        <v>36</v>
      </c>
      <c r="Z553" s="3">
        <v>1465.63</v>
      </c>
      <c r="AA553" t="s">
        <v>46</v>
      </c>
      <c r="AB553" t="s">
        <v>42</v>
      </c>
      <c r="AC553">
        <v>73.8</v>
      </c>
      <c r="AD553" t="s">
        <v>34</v>
      </c>
      <c r="AE553">
        <v>276.88</v>
      </c>
      <c r="AF553">
        <v>0</v>
      </c>
    </row>
    <row r="554" spans="3:32" x14ac:dyDescent="0.35">
      <c r="C554" s="1">
        <v>43796</v>
      </c>
      <c r="D554" s="2">
        <v>43770</v>
      </c>
      <c r="E554">
        <v>1061</v>
      </c>
      <c r="F554" s="3">
        <v>4724.3100000000004</v>
      </c>
      <c r="G554" s="3">
        <v>3619.56</v>
      </c>
      <c r="H554" s="3">
        <v>1104.75</v>
      </c>
      <c r="I554" s="3">
        <v>0.77</v>
      </c>
      <c r="J554">
        <v>0.06</v>
      </c>
      <c r="K554">
        <v>2612.59</v>
      </c>
      <c r="L554" t="s">
        <v>35</v>
      </c>
      <c r="M554">
        <v>622</v>
      </c>
      <c r="N554">
        <v>0.53</v>
      </c>
      <c r="O554" s="3">
        <v>477.56</v>
      </c>
      <c r="P554" s="3">
        <v>0.1</v>
      </c>
      <c r="Q554" s="3">
        <v>610.37</v>
      </c>
      <c r="R554" s="3">
        <v>0.13</v>
      </c>
      <c r="S554">
        <v>7</v>
      </c>
      <c r="T554">
        <v>557.75</v>
      </c>
      <c r="U554">
        <v>66</v>
      </c>
      <c r="V554">
        <v>0</v>
      </c>
      <c r="W554">
        <v>457.14</v>
      </c>
      <c r="X554">
        <v>2159.52</v>
      </c>
      <c r="Y554" t="s">
        <v>36</v>
      </c>
      <c r="Z554" s="3">
        <v>1127.5899999999999</v>
      </c>
      <c r="AA554" t="s">
        <v>51</v>
      </c>
      <c r="AB554" t="s">
        <v>33</v>
      </c>
      <c r="AC554">
        <v>31</v>
      </c>
      <c r="AD554" t="s">
        <v>34</v>
      </c>
      <c r="AE554">
        <v>1104.75</v>
      </c>
      <c r="AF554">
        <v>0</v>
      </c>
    </row>
    <row r="555" spans="3:32" x14ac:dyDescent="0.35">
      <c r="C555" s="1">
        <v>43796</v>
      </c>
      <c r="D555" s="2">
        <v>43770</v>
      </c>
      <c r="E555">
        <v>1800</v>
      </c>
      <c r="F555" s="3">
        <v>4896.1000000000004</v>
      </c>
      <c r="G555" s="3">
        <v>3404.36</v>
      </c>
      <c r="H555" s="3">
        <v>1491.74</v>
      </c>
      <c r="I555" s="3">
        <v>0.7</v>
      </c>
      <c r="J555">
        <v>0.24</v>
      </c>
      <c r="K555">
        <v>2018.65</v>
      </c>
      <c r="L555" t="s">
        <v>30</v>
      </c>
      <c r="M555">
        <v>757</v>
      </c>
      <c r="N555">
        <v>0.36</v>
      </c>
      <c r="O555" s="3">
        <v>542.80999999999995</v>
      </c>
      <c r="P555" s="3">
        <v>0.11</v>
      </c>
      <c r="Q555" s="3">
        <v>487.6</v>
      </c>
      <c r="R555" s="3">
        <v>0.1</v>
      </c>
      <c r="S555">
        <v>2</v>
      </c>
      <c r="T555">
        <v>838.45</v>
      </c>
      <c r="U555">
        <v>70</v>
      </c>
      <c r="V555">
        <v>0</v>
      </c>
      <c r="W555">
        <v>687.49</v>
      </c>
      <c r="X555">
        <v>1928.02</v>
      </c>
      <c r="Y555" t="s">
        <v>36</v>
      </c>
      <c r="Z555" s="3">
        <v>851.91</v>
      </c>
      <c r="AA555" t="s">
        <v>45</v>
      </c>
      <c r="AB555" t="s">
        <v>33</v>
      </c>
      <c r="AC555">
        <v>65.400000000000006</v>
      </c>
      <c r="AD555" t="s">
        <v>38</v>
      </c>
      <c r="AE555">
        <v>1491.74</v>
      </c>
      <c r="AF555">
        <v>0</v>
      </c>
    </row>
    <row r="556" spans="3:32" x14ac:dyDescent="0.35">
      <c r="C556" s="1">
        <v>43796</v>
      </c>
      <c r="D556" s="2">
        <v>43770</v>
      </c>
      <c r="E556">
        <v>1834</v>
      </c>
      <c r="F556" s="3">
        <v>4317.8999999999996</v>
      </c>
      <c r="G556" s="3">
        <v>4029.09</v>
      </c>
      <c r="H556" s="3">
        <v>288.81</v>
      </c>
      <c r="I556" s="3">
        <v>0.93</v>
      </c>
      <c r="J556">
        <v>0.25</v>
      </c>
      <c r="K556">
        <v>2380.06</v>
      </c>
      <c r="L556" t="s">
        <v>35</v>
      </c>
      <c r="M556">
        <v>608</v>
      </c>
      <c r="N556">
        <v>0.34</v>
      </c>
      <c r="O556" s="3">
        <v>357.29</v>
      </c>
      <c r="P556" s="3">
        <v>0.08</v>
      </c>
      <c r="Q556" s="3">
        <v>437.23</v>
      </c>
      <c r="R556" s="3">
        <v>0.1</v>
      </c>
      <c r="S556">
        <v>8</v>
      </c>
      <c r="T556">
        <v>1119.27</v>
      </c>
      <c r="U556">
        <v>55</v>
      </c>
      <c r="V556">
        <v>0</v>
      </c>
      <c r="W556">
        <v>638.48</v>
      </c>
      <c r="X556">
        <v>1678.86</v>
      </c>
      <c r="Y556" t="s">
        <v>36</v>
      </c>
      <c r="Z556" s="3">
        <v>1808.17</v>
      </c>
      <c r="AA556" t="s">
        <v>48</v>
      </c>
      <c r="AB556" t="s">
        <v>33</v>
      </c>
      <c r="AC556">
        <v>88.8</v>
      </c>
      <c r="AD556" t="s">
        <v>34</v>
      </c>
      <c r="AE556">
        <v>288.81</v>
      </c>
      <c r="AF556">
        <v>0</v>
      </c>
    </row>
    <row r="557" spans="3:32" x14ac:dyDescent="0.35">
      <c r="C557" s="1">
        <v>43796</v>
      </c>
      <c r="D557" s="2">
        <v>43770</v>
      </c>
      <c r="E557">
        <v>1536</v>
      </c>
      <c r="F557" s="3">
        <v>2565.16</v>
      </c>
      <c r="G557" s="3">
        <v>3794.76</v>
      </c>
      <c r="H557" s="3">
        <v>-1229.5999999999999</v>
      </c>
      <c r="I557" s="3">
        <v>1.48</v>
      </c>
      <c r="J557">
        <v>0.35</v>
      </c>
      <c r="K557">
        <v>2632</v>
      </c>
      <c r="L557" t="s">
        <v>39</v>
      </c>
      <c r="M557">
        <v>700</v>
      </c>
      <c r="N557">
        <v>0.22</v>
      </c>
      <c r="O557" s="3">
        <v>749.45</v>
      </c>
      <c r="P557" s="3">
        <v>0.28999999999999998</v>
      </c>
      <c r="Q557" s="3">
        <v>272.20999999999998</v>
      </c>
      <c r="R557" s="3">
        <v>0.11</v>
      </c>
      <c r="S557">
        <v>7</v>
      </c>
      <c r="T557">
        <v>1972.24</v>
      </c>
      <c r="U557">
        <v>51</v>
      </c>
      <c r="V557">
        <v>0</v>
      </c>
      <c r="W557">
        <v>480.12</v>
      </c>
      <c r="X557">
        <v>1432.31</v>
      </c>
      <c r="Y557" t="s">
        <v>36</v>
      </c>
      <c r="Z557" s="3">
        <v>577.5</v>
      </c>
      <c r="AA557" t="s">
        <v>40</v>
      </c>
      <c r="AB557" t="s">
        <v>44</v>
      </c>
      <c r="AC557">
        <v>3.1</v>
      </c>
      <c r="AD557" t="s">
        <v>38</v>
      </c>
      <c r="AE557">
        <v>0</v>
      </c>
      <c r="AF557">
        <v>0</v>
      </c>
    </row>
    <row r="558" spans="3:32" x14ac:dyDescent="0.35">
      <c r="C558" s="1">
        <v>43796</v>
      </c>
      <c r="D558" s="2">
        <v>43770</v>
      </c>
      <c r="E558">
        <v>1891</v>
      </c>
      <c r="F558" s="3">
        <v>5156.83</v>
      </c>
      <c r="G558" s="3">
        <v>3422.85</v>
      </c>
      <c r="H558" s="3">
        <v>1733.98</v>
      </c>
      <c r="I558" s="3">
        <v>0.66</v>
      </c>
      <c r="J558">
        <v>0.18</v>
      </c>
      <c r="K558">
        <v>3144.24</v>
      </c>
      <c r="L558" t="s">
        <v>35</v>
      </c>
      <c r="M558">
        <v>665</v>
      </c>
      <c r="N558">
        <v>0.28999999999999998</v>
      </c>
      <c r="O558" s="3">
        <v>597.49</v>
      </c>
      <c r="P558" s="3">
        <v>0.12</v>
      </c>
      <c r="Q558" s="3">
        <v>324.29000000000002</v>
      </c>
      <c r="R558" s="3">
        <v>0.06</v>
      </c>
      <c r="S558">
        <v>5</v>
      </c>
      <c r="T558">
        <v>1840.38</v>
      </c>
      <c r="U558">
        <v>60</v>
      </c>
      <c r="V558">
        <v>0</v>
      </c>
      <c r="W558">
        <v>0</v>
      </c>
      <c r="X558">
        <v>3339.38</v>
      </c>
      <c r="Y558" t="s">
        <v>31</v>
      </c>
      <c r="Z558" s="3">
        <v>1375.73</v>
      </c>
      <c r="AA558" t="s">
        <v>46</v>
      </c>
      <c r="AB558" t="s">
        <v>44</v>
      </c>
      <c r="AC558">
        <v>57.6</v>
      </c>
      <c r="AD558" t="s">
        <v>43</v>
      </c>
      <c r="AE558">
        <v>1733.98</v>
      </c>
      <c r="AF558">
        <v>0</v>
      </c>
    </row>
    <row r="559" spans="3:32" x14ac:dyDescent="0.35">
      <c r="C559" s="1">
        <v>43796</v>
      </c>
      <c r="D559" s="2">
        <v>43770</v>
      </c>
      <c r="E559">
        <v>1424</v>
      </c>
      <c r="F559" s="3">
        <v>4160.5</v>
      </c>
      <c r="G559" s="3">
        <v>3810.28</v>
      </c>
      <c r="H559" s="3">
        <v>350.22</v>
      </c>
      <c r="I559" s="3">
        <v>0.92</v>
      </c>
      <c r="J559">
        <v>0.11</v>
      </c>
      <c r="K559">
        <v>1859.05</v>
      </c>
      <c r="L559" t="s">
        <v>35</v>
      </c>
      <c r="M559">
        <v>621</v>
      </c>
      <c r="N559">
        <v>0.26</v>
      </c>
      <c r="O559" s="3">
        <v>374.98</v>
      </c>
      <c r="P559" s="3">
        <v>0.09</v>
      </c>
      <c r="Q559" s="3">
        <v>739.14</v>
      </c>
      <c r="R559" s="3">
        <v>0.18</v>
      </c>
      <c r="S559">
        <v>3</v>
      </c>
      <c r="T559">
        <v>1270.99</v>
      </c>
      <c r="U559">
        <v>84</v>
      </c>
      <c r="V559">
        <v>0</v>
      </c>
      <c r="W559">
        <v>887.98</v>
      </c>
      <c r="X559">
        <v>2535.19</v>
      </c>
      <c r="Y559" t="s">
        <v>36</v>
      </c>
      <c r="Z559" s="3">
        <v>1219.7</v>
      </c>
      <c r="AA559" t="s">
        <v>51</v>
      </c>
      <c r="AB559" t="s">
        <v>33</v>
      </c>
      <c r="AC559">
        <v>94.6</v>
      </c>
      <c r="AD559" t="s">
        <v>34</v>
      </c>
      <c r="AE559">
        <v>350.22</v>
      </c>
      <c r="AF559">
        <v>0</v>
      </c>
    </row>
    <row r="560" spans="3:32" x14ac:dyDescent="0.35">
      <c r="C560" s="1">
        <v>43796</v>
      </c>
      <c r="D560" s="2">
        <v>43770</v>
      </c>
      <c r="E560">
        <v>1805</v>
      </c>
      <c r="F560" s="3">
        <v>5416.9</v>
      </c>
      <c r="G560" s="3">
        <v>2656.43</v>
      </c>
      <c r="H560" s="3">
        <v>2760.47</v>
      </c>
      <c r="I560" s="3">
        <v>0.49</v>
      </c>
      <c r="J560">
        <v>0.37</v>
      </c>
      <c r="K560">
        <v>2662.77</v>
      </c>
      <c r="L560" t="s">
        <v>35</v>
      </c>
      <c r="M560">
        <v>549</v>
      </c>
      <c r="N560">
        <v>0.3</v>
      </c>
      <c r="O560" s="3">
        <v>416.53</v>
      </c>
      <c r="P560" s="3">
        <v>0.08</v>
      </c>
      <c r="Q560" s="3">
        <v>299.35000000000002</v>
      </c>
      <c r="R560" s="3">
        <v>0.06</v>
      </c>
      <c r="S560">
        <v>4</v>
      </c>
      <c r="T560">
        <v>555.55999999999995</v>
      </c>
      <c r="U560">
        <v>55</v>
      </c>
      <c r="V560">
        <v>0</v>
      </c>
      <c r="W560">
        <v>308.85000000000002</v>
      </c>
      <c r="X560">
        <v>1868.54</v>
      </c>
      <c r="Y560" t="s">
        <v>36</v>
      </c>
      <c r="Z560" s="3">
        <v>770.52</v>
      </c>
      <c r="AA560" t="s">
        <v>32</v>
      </c>
      <c r="AB560" t="s">
        <v>42</v>
      </c>
      <c r="AC560">
        <v>34.299999999999997</v>
      </c>
      <c r="AD560" t="s">
        <v>43</v>
      </c>
      <c r="AE560">
        <v>2760.47</v>
      </c>
      <c r="AF560">
        <v>1</v>
      </c>
    </row>
    <row r="561" spans="3:32" x14ac:dyDescent="0.35">
      <c r="C561" s="1">
        <v>43796</v>
      </c>
      <c r="D561" s="2">
        <v>43770</v>
      </c>
      <c r="E561">
        <v>1020</v>
      </c>
      <c r="F561" s="3">
        <v>4336.5200000000004</v>
      </c>
      <c r="G561" s="3">
        <v>3222.21</v>
      </c>
      <c r="H561" s="3">
        <v>1114.31</v>
      </c>
      <c r="I561" s="3">
        <v>0.74</v>
      </c>
      <c r="J561">
        <v>0.22</v>
      </c>
      <c r="K561">
        <v>2512.14</v>
      </c>
      <c r="L561" t="s">
        <v>35</v>
      </c>
      <c r="M561">
        <v>673</v>
      </c>
      <c r="N561">
        <v>0.13</v>
      </c>
      <c r="O561" s="3">
        <v>523.77</v>
      </c>
      <c r="P561" s="3">
        <v>0.12</v>
      </c>
      <c r="Q561" s="3">
        <v>518.72</v>
      </c>
      <c r="R561" s="3">
        <v>0.12</v>
      </c>
      <c r="S561">
        <v>3</v>
      </c>
      <c r="T561">
        <v>944.52</v>
      </c>
      <c r="U561">
        <v>86</v>
      </c>
      <c r="V561">
        <v>0</v>
      </c>
      <c r="W561">
        <v>478.39</v>
      </c>
      <c r="X561">
        <v>2352.14</v>
      </c>
      <c r="Y561" t="s">
        <v>36</v>
      </c>
      <c r="Z561" s="3">
        <v>738.74</v>
      </c>
      <c r="AA561" t="s">
        <v>48</v>
      </c>
      <c r="AB561" t="s">
        <v>42</v>
      </c>
      <c r="AC561">
        <v>98.9</v>
      </c>
      <c r="AD561" t="s">
        <v>43</v>
      </c>
      <c r="AE561">
        <v>1114.31</v>
      </c>
      <c r="AF561">
        <v>0</v>
      </c>
    </row>
    <row r="562" spans="3:32" x14ac:dyDescent="0.35">
      <c r="C562" s="1">
        <v>43796</v>
      </c>
      <c r="D562" s="2">
        <v>43770</v>
      </c>
      <c r="E562">
        <v>1485</v>
      </c>
      <c r="F562" s="3">
        <v>2761.4</v>
      </c>
      <c r="G562" s="3">
        <v>3472.7</v>
      </c>
      <c r="H562" s="3">
        <v>-711.3</v>
      </c>
      <c r="I562" s="3">
        <v>1.26</v>
      </c>
      <c r="J562">
        <v>0.11</v>
      </c>
      <c r="K562">
        <v>2604.13</v>
      </c>
      <c r="L562" t="s">
        <v>35</v>
      </c>
      <c r="M562">
        <v>656</v>
      </c>
      <c r="N562">
        <v>0.28000000000000003</v>
      </c>
      <c r="O562" s="3">
        <v>701.48</v>
      </c>
      <c r="P562" s="3">
        <v>0.25</v>
      </c>
      <c r="Q562" s="3">
        <v>0</v>
      </c>
      <c r="R562" s="3">
        <v>0</v>
      </c>
      <c r="S562">
        <v>4</v>
      </c>
      <c r="T562">
        <v>751.98</v>
      </c>
      <c r="U562">
        <v>54</v>
      </c>
      <c r="V562">
        <v>0</v>
      </c>
      <c r="W562">
        <v>495.84</v>
      </c>
      <c r="X562">
        <v>1538.37</v>
      </c>
      <c r="Y562" t="s">
        <v>31</v>
      </c>
      <c r="Z562" s="3">
        <v>1184.58</v>
      </c>
      <c r="AA562" t="s">
        <v>46</v>
      </c>
      <c r="AB562" t="s">
        <v>33</v>
      </c>
      <c r="AC562">
        <v>26.4</v>
      </c>
      <c r="AD562" t="s">
        <v>34</v>
      </c>
      <c r="AE562">
        <v>0</v>
      </c>
      <c r="AF562">
        <v>0</v>
      </c>
    </row>
    <row r="563" spans="3:32" x14ac:dyDescent="0.35">
      <c r="C563" s="1">
        <v>43796</v>
      </c>
      <c r="D563" s="2">
        <v>43770</v>
      </c>
      <c r="E563">
        <v>1075</v>
      </c>
      <c r="F563" s="3">
        <v>3721.67</v>
      </c>
      <c r="G563" s="3">
        <v>1965.74</v>
      </c>
      <c r="H563" s="3">
        <v>1755.93</v>
      </c>
      <c r="I563" s="3">
        <v>0.53</v>
      </c>
      <c r="J563">
        <v>0.33</v>
      </c>
      <c r="K563">
        <v>3273.66</v>
      </c>
      <c r="L563" t="s">
        <v>35</v>
      </c>
      <c r="M563">
        <v>699</v>
      </c>
      <c r="N563">
        <v>0.28999999999999998</v>
      </c>
      <c r="O563" s="3">
        <v>499.24</v>
      </c>
      <c r="P563" s="3">
        <v>0.13</v>
      </c>
      <c r="Q563" s="3">
        <v>460.01</v>
      </c>
      <c r="R563" s="3">
        <v>0.12</v>
      </c>
      <c r="S563">
        <v>2</v>
      </c>
      <c r="T563">
        <v>1018.89</v>
      </c>
      <c r="U563">
        <v>72</v>
      </c>
      <c r="V563">
        <v>0</v>
      </c>
      <c r="W563">
        <v>0</v>
      </c>
      <c r="X563">
        <v>2589.5100000000002</v>
      </c>
      <c r="Y563" t="s">
        <v>36</v>
      </c>
      <c r="Z563" s="3">
        <v>1339.14</v>
      </c>
      <c r="AA563" t="s">
        <v>37</v>
      </c>
      <c r="AB563" t="s">
        <v>33</v>
      </c>
      <c r="AC563">
        <v>71.2</v>
      </c>
      <c r="AD563" t="s">
        <v>34</v>
      </c>
      <c r="AE563">
        <v>1755.93</v>
      </c>
      <c r="AF563">
        <v>0</v>
      </c>
    </row>
    <row r="564" spans="3:32" x14ac:dyDescent="0.35">
      <c r="C564" s="1">
        <v>43796</v>
      </c>
      <c r="D564" s="2">
        <v>43770</v>
      </c>
      <c r="E564">
        <v>1650</v>
      </c>
      <c r="F564" s="3">
        <v>3256.31</v>
      </c>
      <c r="G564" s="3">
        <v>4113.42</v>
      </c>
      <c r="H564" s="3">
        <v>-857.11</v>
      </c>
      <c r="I564" s="3">
        <v>1.26</v>
      </c>
      <c r="J564">
        <v>0.31</v>
      </c>
      <c r="K564">
        <v>2881.28</v>
      </c>
      <c r="L564" t="s">
        <v>30</v>
      </c>
      <c r="M564">
        <v>665</v>
      </c>
      <c r="N564">
        <v>0.57999999999999996</v>
      </c>
      <c r="O564" s="3">
        <v>137.77000000000001</v>
      </c>
      <c r="P564" s="3">
        <v>0.04</v>
      </c>
      <c r="Q564" s="3">
        <v>334.65</v>
      </c>
      <c r="R564" s="3">
        <v>0.1</v>
      </c>
      <c r="S564">
        <v>9</v>
      </c>
      <c r="T564">
        <v>1370.47</v>
      </c>
      <c r="U564">
        <v>37</v>
      </c>
      <c r="V564">
        <v>0</v>
      </c>
      <c r="W564">
        <v>341.89</v>
      </c>
      <c r="X564">
        <v>2869.74</v>
      </c>
      <c r="Y564" t="s">
        <v>49</v>
      </c>
      <c r="Z564" s="3">
        <v>1251.95</v>
      </c>
      <c r="AA564" t="s">
        <v>41</v>
      </c>
      <c r="AB564" t="s">
        <v>44</v>
      </c>
      <c r="AC564">
        <v>2.9</v>
      </c>
      <c r="AD564" t="s">
        <v>38</v>
      </c>
      <c r="AE564">
        <v>0</v>
      </c>
      <c r="AF564">
        <v>0</v>
      </c>
    </row>
    <row r="565" spans="3:32" x14ac:dyDescent="0.35">
      <c r="C565" s="1">
        <v>43796</v>
      </c>
      <c r="D565" s="2">
        <v>43770</v>
      </c>
      <c r="E565">
        <v>1892</v>
      </c>
      <c r="F565" s="3">
        <v>4372.83</v>
      </c>
      <c r="G565" s="3">
        <v>4567.62</v>
      </c>
      <c r="H565" s="3">
        <v>-194.79</v>
      </c>
      <c r="I565" s="3">
        <v>1.04</v>
      </c>
      <c r="J565">
        <v>0.24</v>
      </c>
      <c r="K565">
        <v>2492.9699999999998</v>
      </c>
      <c r="L565" t="s">
        <v>35</v>
      </c>
      <c r="M565">
        <v>722</v>
      </c>
      <c r="N565">
        <v>0.32</v>
      </c>
      <c r="O565" s="3">
        <v>467.93</v>
      </c>
      <c r="P565" s="3">
        <v>0.11</v>
      </c>
      <c r="Q565" s="3">
        <v>190.73</v>
      </c>
      <c r="R565" s="3">
        <v>0.04</v>
      </c>
      <c r="S565">
        <v>1</v>
      </c>
      <c r="T565">
        <v>1349.67</v>
      </c>
      <c r="U565">
        <v>64</v>
      </c>
      <c r="V565">
        <v>0</v>
      </c>
      <c r="W565">
        <v>861.98</v>
      </c>
      <c r="X565">
        <v>2183.7399999999998</v>
      </c>
      <c r="Y565" t="s">
        <v>31</v>
      </c>
      <c r="Z565" s="3">
        <v>1585.41</v>
      </c>
      <c r="AA565" t="s">
        <v>50</v>
      </c>
      <c r="AB565" t="s">
        <v>33</v>
      </c>
      <c r="AC565">
        <v>99.3</v>
      </c>
      <c r="AD565" t="s">
        <v>34</v>
      </c>
      <c r="AE565">
        <v>0</v>
      </c>
      <c r="AF565">
        <v>0</v>
      </c>
    </row>
    <row r="566" spans="3:32" x14ac:dyDescent="0.35">
      <c r="C566" s="1">
        <v>43796</v>
      </c>
      <c r="D566" s="2">
        <v>43770</v>
      </c>
      <c r="E566">
        <v>1511</v>
      </c>
      <c r="F566" s="3">
        <v>3766.15</v>
      </c>
      <c r="G566" s="3">
        <v>4153.67</v>
      </c>
      <c r="H566" s="3">
        <v>-387.52</v>
      </c>
      <c r="I566" s="3">
        <v>1.1000000000000001</v>
      </c>
      <c r="J566">
        <v>0.33</v>
      </c>
      <c r="K566">
        <v>2724.38</v>
      </c>
      <c r="L566" t="s">
        <v>35</v>
      </c>
      <c r="M566">
        <v>608</v>
      </c>
      <c r="N566">
        <v>0.38</v>
      </c>
      <c r="O566" s="3">
        <v>250.14</v>
      </c>
      <c r="P566" s="3">
        <v>7.0000000000000007E-2</v>
      </c>
      <c r="Q566" s="3">
        <v>522.36</v>
      </c>
      <c r="R566" s="3">
        <v>0.14000000000000001</v>
      </c>
      <c r="S566">
        <v>6</v>
      </c>
      <c r="T566">
        <v>476.18</v>
      </c>
      <c r="U566">
        <v>61</v>
      </c>
      <c r="V566">
        <v>0</v>
      </c>
      <c r="W566">
        <v>518.74</v>
      </c>
      <c r="X566">
        <v>1398.69</v>
      </c>
      <c r="Y566" t="s">
        <v>49</v>
      </c>
      <c r="Z566" s="3">
        <v>584.28</v>
      </c>
      <c r="AA566" t="s">
        <v>40</v>
      </c>
      <c r="AB566" t="s">
        <v>42</v>
      </c>
      <c r="AC566">
        <v>89.5</v>
      </c>
      <c r="AD566" t="s">
        <v>34</v>
      </c>
      <c r="AE566">
        <v>0</v>
      </c>
      <c r="AF566">
        <v>0</v>
      </c>
    </row>
    <row r="567" spans="3:32" x14ac:dyDescent="0.35">
      <c r="C567" s="1">
        <v>43796</v>
      </c>
      <c r="D567" s="2">
        <v>43770</v>
      </c>
      <c r="E567">
        <v>1226</v>
      </c>
      <c r="F567" s="3">
        <v>4788.3500000000004</v>
      </c>
      <c r="G567" s="3">
        <v>3338.91</v>
      </c>
      <c r="H567" s="3">
        <v>1449.44</v>
      </c>
      <c r="I567" s="3">
        <v>0.7</v>
      </c>
      <c r="J567">
        <v>0.19</v>
      </c>
      <c r="K567">
        <v>2105.19</v>
      </c>
      <c r="L567" t="s">
        <v>35</v>
      </c>
      <c r="M567">
        <v>750</v>
      </c>
      <c r="N567">
        <v>0.37</v>
      </c>
      <c r="O567" s="3">
        <v>517.34</v>
      </c>
      <c r="P567" s="3">
        <v>0.11</v>
      </c>
      <c r="Q567" s="3">
        <v>525.99</v>
      </c>
      <c r="R567" s="3">
        <v>0.11</v>
      </c>
      <c r="S567">
        <v>1</v>
      </c>
      <c r="T567">
        <v>1218.2</v>
      </c>
      <c r="U567">
        <v>70</v>
      </c>
      <c r="V567">
        <v>0</v>
      </c>
      <c r="W567">
        <v>749.14</v>
      </c>
      <c r="X567">
        <v>2412.41</v>
      </c>
      <c r="Y567" t="s">
        <v>36</v>
      </c>
      <c r="Z567" s="3">
        <v>1499.56</v>
      </c>
      <c r="AA567" t="s">
        <v>45</v>
      </c>
      <c r="AB567" t="s">
        <v>33</v>
      </c>
      <c r="AC567">
        <v>33.4</v>
      </c>
      <c r="AD567" t="s">
        <v>34</v>
      </c>
      <c r="AE567">
        <v>1449.44</v>
      </c>
      <c r="AF567">
        <v>0</v>
      </c>
    </row>
    <row r="568" spans="3:32" x14ac:dyDescent="0.35">
      <c r="C568" s="1">
        <v>43796</v>
      </c>
      <c r="D568" s="2">
        <v>43770</v>
      </c>
      <c r="E568">
        <v>1555</v>
      </c>
      <c r="F568" s="3">
        <v>5007.12</v>
      </c>
      <c r="G568" s="3">
        <v>3310.31</v>
      </c>
      <c r="H568" s="3">
        <v>1696.81</v>
      </c>
      <c r="I568" s="3">
        <v>0.66</v>
      </c>
      <c r="J568">
        <v>0.15</v>
      </c>
      <c r="K568">
        <v>2497.1999999999998</v>
      </c>
      <c r="L568" t="s">
        <v>35</v>
      </c>
      <c r="M568">
        <v>712</v>
      </c>
      <c r="N568">
        <v>0.42</v>
      </c>
      <c r="O568" s="3">
        <v>630.30999999999995</v>
      </c>
      <c r="P568" s="3">
        <v>0.13</v>
      </c>
      <c r="Q568" s="3">
        <v>234.67</v>
      </c>
      <c r="R568" s="3">
        <v>0.05</v>
      </c>
      <c r="S568">
        <v>2</v>
      </c>
      <c r="T568">
        <v>1520.99</v>
      </c>
      <c r="U568">
        <v>47</v>
      </c>
      <c r="V568">
        <v>0</v>
      </c>
      <c r="W568">
        <v>167.15</v>
      </c>
      <c r="X568">
        <v>1396.66</v>
      </c>
      <c r="Y568" t="s">
        <v>36</v>
      </c>
      <c r="Z568" s="3">
        <v>1044.25</v>
      </c>
      <c r="AA568" t="s">
        <v>45</v>
      </c>
      <c r="AB568" t="s">
        <v>33</v>
      </c>
      <c r="AC568">
        <v>69.099999999999994</v>
      </c>
      <c r="AD568" t="s">
        <v>34</v>
      </c>
      <c r="AE568">
        <v>1696.81</v>
      </c>
      <c r="AF568">
        <v>0</v>
      </c>
    </row>
    <row r="569" spans="3:32" x14ac:dyDescent="0.35">
      <c r="C569" s="1">
        <v>43796</v>
      </c>
      <c r="D569" s="2">
        <v>43770</v>
      </c>
      <c r="E569">
        <v>1484</v>
      </c>
      <c r="F569" s="3">
        <v>3803.28</v>
      </c>
      <c r="G569" s="3">
        <v>3323.07</v>
      </c>
      <c r="H569" s="3">
        <v>480.21</v>
      </c>
      <c r="I569" s="3">
        <v>0.87</v>
      </c>
      <c r="J569">
        <v>0.15</v>
      </c>
      <c r="K569">
        <v>2688.57</v>
      </c>
      <c r="L569" t="s">
        <v>35</v>
      </c>
      <c r="M569">
        <v>648</v>
      </c>
      <c r="N569">
        <v>0.28999999999999998</v>
      </c>
      <c r="O569" s="3">
        <v>44.63</v>
      </c>
      <c r="P569" s="3">
        <v>0.01</v>
      </c>
      <c r="Q569" s="3">
        <v>158.54</v>
      </c>
      <c r="R569" s="3">
        <v>0.04</v>
      </c>
      <c r="S569">
        <v>2</v>
      </c>
      <c r="T569">
        <v>1334.9</v>
      </c>
      <c r="U569">
        <v>91</v>
      </c>
      <c r="V569">
        <v>0</v>
      </c>
      <c r="W569">
        <v>789.93</v>
      </c>
      <c r="X569">
        <v>2190.84</v>
      </c>
      <c r="Y569" t="s">
        <v>36</v>
      </c>
      <c r="Z569" s="3">
        <v>888.78</v>
      </c>
      <c r="AA569" t="s">
        <v>47</v>
      </c>
      <c r="AB569" t="s">
        <v>42</v>
      </c>
      <c r="AC569">
        <v>37.1</v>
      </c>
      <c r="AD569" t="s">
        <v>34</v>
      </c>
      <c r="AE569">
        <v>480.21</v>
      </c>
      <c r="AF569">
        <v>0</v>
      </c>
    </row>
    <row r="570" spans="3:32" x14ac:dyDescent="0.35">
      <c r="C570" s="1">
        <v>43796</v>
      </c>
      <c r="D570" s="2">
        <v>43770</v>
      </c>
      <c r="E570">
        <v>1510</v>
      </c>
      <c r="F570" s="3">
        <v>3379.99</v>
      </c>
      <c r="G570" s="3">
        <v>3446.95</v>
      </c>
      <c r="H570" s="3">
        <v>-66.959999999999994</v>
      </c>
      <c r="I570" s="3">
        <v>1.02</v>
      </c>
      <c r="J570">
        <v>0.28000000000000003</v>
      </c>
      <c r="K570">
        <v>2849.9</v>
      </c>
      <c r="L570" t="s">
        <v>35</v>
      </c>
      <c r="M570">
        <v>696</v>
      </c>
      <c r="N570">
        <v>0.39</v>
      </c>
      <c r="O570" s="3">
        <v>458.86</v>
      </c>
      <c r="P570" s="3">
        <v>0.14000000000000001</v>
      </c>
      <c r="Q570" s="3">
        <v>356.73</v>
      </c>
      <c r="R570" s="3">
        <v>0.11</v>
      </c>
      <c r="S570">
        <v>5</v>
      </c>
      <c r="T570">
        <v>299.26</v>
      </c>
      <c r="U570">
        <v>31</v>
      </c>
      <c r="V570">
        <v>0</v>
      </c>
      <c r="W570">
        <v>843.21</v>
      </c>
      <c r="X570">
        <v>3100.23</v>
      </c>
      <c r="Y570" t="s">
        <v>49</v>
      </c>
      <c r="Z570" s="3">
        <v>1596.99</v>
      </c>
      <c r="AA570" t="s">
        <v>40</v>
      </c>
      <c r="AB570" t="s">
        <v>33</v>
      </c>
      <c r="AC570">
        <v>13.3</v>
      </c>
      <c r="AD570" t="s">
        <v>43</v>
      </c>
      <c r="AE570">
        <v>0</v>
      </c>
      <c r="AF570">
        <v>0</v>
      </c>
    </row>
    <row r="571" spans="3:32" x14ac:dyDescent="0.35">
      <c r="C571" s="1">
        <v>43796</v>
      </c>
      <c r="D571" s="2">
        <v>43770</v>
      </c>
      <c r="E571">
        <v>1551</v>
      </c>
      <c r="F571" s="3">
        <v>4457.09</v>
      </c>
      <c r="G571" s="3">
        <v>3930.75</v>
      </c>
      <c r="H571" s="3">
        <v>526.34</v>
      </c>
      <c r="I571" s="3">
        <v>0.88</v>
      </c>
      <c r="J571">
        <v>0.13</v>
      </c>
      <c r="K571">
        <v>3484.69</v>
      </c>
      <c r="L571" t="s">
        <v>30</v>
      </c>
      <c r="M571">
        <v>675</v>
      </c>
      <c r="N571">
        <v>0.48</v>
      </c>
      <c r="O571" s="3">
        <v>550.97</v>
      </c>
      <c r="P571" s="3">
        <v>0.12</v>
      </c>
      <c r="Q571" s="3">
        <v>589.59</v>
      </c>
      <c r="R571" s="3">
        <v>0.13</v>
      </c>
      <c r="S571">
        <v>2</v>
      </c>
      <c r="T571">
        <v>544.08000000000004</v>
      </c>
      <c r="U571">
        <v>83</v>
      </c>
      <c r="V571">
        <v>0</v>
      </c>
      <c r="W571">
        <v>984.78</v>
      </c>
      <c r="X571">
        <v>2305.8000000000002</v>
      </c>
      <c r="Y571" t="s">
        <v>36</v>
      </c>
      <c r="Z571" s="3">
        <v>897.5</v>
      </c>
      <c r="AA571" t="s">
        <v>47</v>
      </c>
      <c r="AB571" t="s">
        <v>42</v>
      </c>
      <c r="AC571">
        <v>32.5</v>
      </c>
      <c r="AD571" t="s">
        <v>38</v>
      </c>
      <c r="AE571">
        <v>526.34</v>
      </c>
      <c r="AF571">
        <v>0</v>
      </c>
    </row>
    <row r="572" spans="3:32" x14ac:dyDescent="0.35">
      <c r="C572" s="1">
        <v>43796</v>
      </c>
      <c r="D572" s="2">
        <v>43770</v>
      </c>
      <c r="E572">
        <v>1310</v>
      </c>
      <c r="F572" s="3">
        <v>4688.2700000000004</v>
      </c>
      <c r="G572" s="3">
        <v>2886.49</v>
      </c>
      <c r="H572" s="3">
        <v>1801.78</v>
      </c>
      <c r="I572" s="3">
        <v>0.62</v>
      </c>
      <c r="J572">
        <v>7.0000000000000007E-2</v>
      </c>
      <c r="K572">
        <v>3149.38</v>
      </c>
      <c r="L572" t="s">
        <v>35</v>
      </c>
      <c r="M572">
        <v>653</v>
      </c>
      <c r="N572">
        <v>0.14000000000000001</v>
      </c>
      <c r="O572" s="3">
        <v>516.04999999999995</v>
      </c>
      <c r="P572" s="3">
        <v>0.11</v>
      </c>
      <c r="Q572" s="3">
        <v>112.8</v>
      </c>
      <c r="R572" s="3">
        <v>0.02</v>
      </c>
      <c r="S572">
        <v>7</v>
      </c>
      <c r="T572">
        <v>1594.84</v>
      </c>
      <c r="U572">
        <v>69</v>
      </c>
      <c r="V572">
        <v>0</v>
      </c>
      <c r="W572">
        <v>510.08</v>
      </c>
      <c r="X572">
        <v>2354.1799999999998</v>
      </c>
      <c r="Y572" t="s">
        <v>36</v>
      </c>
      <c r="Z572" s="3">
        <v>1316.32</v>
      </c>
      <c r="AA572" t="s">
        <v>37</v>
      </c>
      <c r="AB572" t="s">
        <v>44</v>
      </c>
      <c r="AC572">
        <v>99.3</v>
      </c>
      <c r="AD572" t="s">
        <v>34</v>
      </c>
      <c r="AE572">
        <v>1801.78</v>
      </c>
      <c r="AF572">
        <v>0</v>
      </c>
    </row>
    <row r="573" spans="3:32" x14ac:dyDescent="0.35">
      <c r="C573" s="1">
        <v>43796</v>
      </c>
      <c r="D573" s="2">
        <v>43770</v>
      </c>
      <c r="E573">
        <v>1842</v>
      </c>
      <c r="F573" s="3">
        <v>3148.12</v>
      </c>
      <c r="G573" s="3">
        <v>2926.14</v>
      </c>
      <c r="H573" s="3">
        <v>221.98</v>
      </c>
      <c r="I573" s="3">
        <v>0.93</v>
      </c>
      <c r="J573">
        <v>0.19</v>
      </c>
      <c r="K573">
        <v>2938.43</v>
      </c>
      <c r="L573" t="s">
        <v>39</v>
      </c>
      <c r="M573">
        <v>756</v>
      </c>
      <c r="N573">
        <v>0.43</v>
      </c>
      <c r="O573" s="3">
        <v>489.6</v>
      </c>
      <c r="P573" s="3">
        <v>0.16</v>
      </c>
      <c r="Q573" s="3">
        <v>541.70000000000005</v>
      </c>
      <c r="R573" s="3">
        <v>0.17</v>
      </c>
      <c r="S573">
        <v>9</v>
      </c>
      <c r="T573">
        <v>955.62</v>
      </c>
      <c r="U573">
        <v>46</v>
      </c>
      <c r="V573">
        <v>0</v>
      </c>
      <c r="W573">
        <v>678.74</v>
      </c>
      <c r="X573">
        <v>1156.46</v>
      </c>
      <c r="Y573" t="s">
        <v>31</v>
      </c>
      <c r="Z573" s="3">
        <v>1760.59</v>
      </c>
      <c r="AA573" t="s">
        <v>45</v>
      </c>
      <c r="AB573" t="s">
        <v>42</v>
      </c>
      <c r="AC573">
        <v>18.5</v>
      </c>
      <c r="AD573" t="s">
        <v>34</v>
      </c>
      <c r="AE573">
        <v>221.98</v>
      </c>
      <c r="AF573">
        <v>0</v>
      </c>
    </row>
    <row r="574" spans="3:32" x14ac:dyDescent="0.35">
      <c r="C574" s="1">
        <v>43796</v>
      </c>
      <c r="D574" s="2">
        <v>43770</v>
      </c>
      <c r="E574">
        <v>1992</v>
      </c>
      <c r="F574" s="3">
        <v>5293.28</v>
      </c>
      <c r="G574" s="3">
        <v>2396.09</v>
      </c>
      <c r="H574" s="3">
        <v>2897.19</v>
      </c>
      <c r="I574" s="3">
        <v>0.45</v>
      </c>
      <c r="J574">
        <v>0.1</v>
      </c>
      <c r="K574">
        <v>3033.07</v>
      </c>
      <c r="L574" t="s">
        <v>35</v>
      </c>
      <c r="M574">
        <v>684</v>
      </c>
      <c r="N574">
        <v>0.52</v>
      </c>
      <c r="O574" s="3">
        <v>507.86</v>
      </c>
      <c r="P574" s="3">
        <v>0.1</v>
      </c>
      <c r="Q574" s="3">
        <v>463.56</v>
      </c>
      <c r="R574" s="3">
        <v>0.09</v>
      </c>
      <c r="S574">
        <v>4</v>
      </c>
      <c r="T574">
        <v>1156.3699999999999</v>
      </c>
      <c r="U574">
        <v>80</v>
      </c>
      <c r="V574">
        <v>0</v>
      </c>
      <c r="W574">
        <v>672.62</v>
      </c>
      <c r="X574">
        <v>1851.73</v>
      </c>
      <c r="Y574" t="s">
        <v>36</v>
      </c>
      <c r="Z574" s="3">
        <v>1428.2</v>
      </c>
      <c r="AA574" t="s">
        <v>40</v>
      </c>
      <c r="AB574" t="s">
        <v>33</v>
      </c>
      <c r="AC574">
        <v>74.5</v>
      </c>
      <c r="AD574" t="s">
        <v>34</v>
      </c>
      <c r="AE574">
        <v>2897.19</v>
      </c>
      <c r="AF574">
        <v>0</v>
      </c>
    </row>
    <row r="575" spans="3:32" x14ac:dyDescent="0.35">
      <c r="C575" s="1">
        <v>43796</v>
      </c>
      <c r="D575" s="2">
        <v>43770</v>
      </c>
      <c r="E575">
        <v>1187</v>
      </c>
      <c r="F575" s="3">
        <v>4279.18</v>
      </c>
      <c r="G575" s="3">
        <v>2748.64</v>
      </c>
      <c r="H575" s="3">
        <v>1530.54</v>
      </c>
      <c r="I575" s="3">
        <v>0.64</v>
      </c>
      <c r="J575">
        <v>0.1</v>
      </c>
      <c r="K575">
        <v>2606.42</v>
      </c>
      <c r="L575" t="s">
        <v>35</v>
      </c>
      <c r="M575">
        <v>712</v>
      </c>
      <c r="N575">
        <v>0.59</v>
      </c>
      <c r="O575" s="3">
        <v>548.24</v>
      </c>
      <c r="P575" s="3">
        <v>0.13</v>
      </c>
      <c r="Q575" s="3">
        <v>65.86</v>
      </c>
      <c r="R575" s="3">
        <v>0.02</v>
      </c>
      <c r="S575">
        <v>9</v>
      </c>
      <c r="T575">
        <v>854.65</v>
      </c>
      <c r="U575">
        <v>82</v>
      </c>
      <c r="V575">
        <v>0</v>
      </c>
      <c r="W575">
        <v>262.68</v>
      </c>
      <c r="X575">
        <v>2466.17</v>
      </c>
      <c r="Y575" t="s">
        <v>31</v>
      </c>
      <c r="Z575" s="3">
        <v>1326.78</v>
      </c>
      <c r="AA575" t="s">
        <v>51</v>
      </c>
      <c r="AB575" t="s">
        <v>33</v>
      </c>
      <c r="AC575">
        <v>31.9</v>
      </c>
      <c r="AD575" t="s">
        <v>43</v>
      </c>
      <c r="AE575">
        <v>1530.54</v>
      </c>
      <c r="AF575">
        <v>0</v>
      </c>
    </row>
    <row r="576" spans="3:32" x14ac:dyDescent="0.35">
      <c r="C576" s="1">
        <v>43796</v>
      </c>
      <c r="D576" s="2">
        <v>43770</v>
      </c>
      <c r="E576">
        <v>1784</v>
      </c>
      <c r="F576" s="3">
        <v>2669.1</v>
      </c>
      <c r="G576" s="3">
        <v>2938.03</v>
      </c>
      <c r="H576" s="3">
        <v>-268.93</v>
      </c>
      <c r="I576" s="3">
        <v>1.1000000000000001</v>
      </c>
      <c r="J576">
        <v>7.0000000000000007E-2</v>
      </c>
      <c r="K576">
        <v>3185.65</v>
      </c>
      <c r="L576" t="s">
        <v>39</v>
      </c>
      <c r="M576">
        <v>752</v>
      </c>
      <c r="N576">
        <v>0.35</v>
      </c>
      <c r="O576" s="3">
        <v>543.29</v>
      </c>
      <c r="P576" s="3">
        <v>0.2</v>
      </c>
      <c r="Q576" s="3">
        <v>266.77</v>
      </c>
      <c r="R576" s="3">
        <v>0.1</v>
      </c>
      <c r="S576">
        <v>1</v>
      </c>
      <c r="T576">
        <v>566.61</v>
      </c>
      <c r="U576">
        <v>86</v>
      </c>
      <c r="V576">
        <v>0</v>
      </c>
      <c r="W576">
        <v>398.49</v>
      </c>
      <c r="X576">
        <v>3643.11</v>
      </c>
      <c r="Y576" t="s">
        <v>49</v>
      </c>
      <c r="Z576" s="3">
        <v>1377.98</v>
      </c>
      <c r="AA576" t="s">
        <v>45</v>
      </c>
      <c r="AB576" t="s">
        <v>33</v>
      </c>
      <c r="AC576">
        <v>87.9</v>
      </c>
      <c r="AD576" t="s">
        <v>43</v>
      </c>
      <c r="AE576">
        <v>0</v>
      </c>
      <c r="AF576">
        <v>0</v>
      </c>
    </row>
    <row r="577" spans="3:32" x14ac:dyDescent="0.35">
      <c r="C577" s="1">
        <v>43796</v>
      </c>
      <c r="D577" s="2">
        <v>43770</v>
      </c>
      <c r="E577">
        <v>1962</v>
      </c>
      <c r="F577" s="3">
        <v>4620.6000000000004</v>
      </c>
      <c r="G577" s="3">
        <v>4344.55</v>
      </c>
      <c r="H577" s="3">
        <v>276.05</v>
      </c>
      <c r="I577" s="3">
        <v>0.94</v>
      </c>
      <c r="J577">
        <v>0.27</v>
      </c>
      <c r="K577">
        <v>2889.83</v>
      </c>
      <c r="L577" t="s">
        <v>35</v>
      </c>
      <c r="M577">
        <v>682</v>
      </c>
      <c r="N577">
        <v>0.48</v>
      </c>
      <c r="O577" s="3">
        <v>621.87</v>
      </c>
      <c r="P577" s="3">
        <v>0.13</v>
      </c>
      <c r="Q577" s="3">
        <v>383.99</v>
      </c>
      <c r="R577" s="3">
        <v>0.08</v>
      </c>
      <c r="S577">
        <v>3</v>
      </c>
      <c r="T577">
        <v>1502.47</v>
      </c>
      <c r="U577">
        <v>47</v>
      </c>
      <c r="V577">
        <v>0</v>
      </c>
      <c r="W577">
        <v>442.1</v>
      </c>
      <c r="X577">
        <v>2202.7199999999998</v>
      </c>
      <c r="Y577" t="s">
        <v>36</v>
      </c>
      <c r="Z577" s="3">
        <v>1060.05</v>
      </c>
      <c r="AA577" t="s">
        <v>41</v>
      </c>
      <c r="AB577" t="s">
        <v>33</v>
      </c>
      <c r="AC577">
        <v>74.5</v>
      </c>
      <c r="AD577" t="s">
        <v>34</v>
      </c>
      <c r="AE577">
        <v>276.05</v>
      </c>
      <c r="AF577">
        <v>0</v>
      </c>
    </row>
    <row r="578" spans="3:32" x14ac:dyDescent="0.35">
      <c r="C578" s="1">
        <v>43796</v>
      </c>
      <c r="D578" s="2">
        <v>43770</v>
      </c>
      <c r="E578">
        <v>1383</v>
      </c>
      <c r="F578" s="3">
        <v>3308.17</v>
      </c>
      <c r="G578" s="3">
        <v>3601.86</v>
      </c>
      <c r="H578" s="3">
        <v>-293.69</v>
      </c>
      <c r="I578" s="3">
        <v>1.0900000000000001</v>
      </c>
      <c r="J578">
        <v>0.31</v>
      </c>
      <c r="K578">
        <v>3065.33</v>
      </c>
      <c r="L578" t="s">
        <v>39</v>
      </c>
      <c r="M578">
        <v>637</v>
      </c>
      <c r="N578">
        <v>0.16</v>
      </c>
      <c r="O578" s="3">
        <v>410.41</v>
      </c>
      <c r="P578" s="3">
        <v>0.12</v>
      </c>
      <c r="Q578" s="3">
        <v>183.93</v>
      </c>
      <c r="R578" s="3">
        <v>0.06</v>
      </c>
      <c r="S578">
        <v>1</v>
      </c>
      <c r="T578">
        <v>524.91</v>
      </c>
      <c r="U578">
        <v>55</v>
      </c>
      <c r="V578">
        <v>0</v>
      </c>
      <c r="W578">
        <v>675.62</v>
      </c>
      <c r="X578">
        <v>2092.0100000000002</v>
      </c>
      <c r="Y578" t="s">
        <v>36</v>
      </c>
      <c r="Z578" s="3">
        <v>1919.94</v>
      </c>
      <c r="AA578" t="s">
        <v>32</v>
      </c>
      <c r="AB578" t="s">
        <v>44</v>
      </c>
      <c r="AC578">
        <v>47.8</v>
      </c>
      <c r="AD578" t="s">
        <v>43</v>
      </c>
      <c r="AE578">
        <v>0</v>
      </c>
      <c r="AF578">
        <v>0</v>
      </c>
    </row>
    <row r="579" spans="3:32" x14ac:dyDescent="0.35">
      <c r="C579" s="1">
        <v>43796</v>
      </c>
      <c r="D579" s="2">
        <v>43770</v>
      </c>
      <c r="E579">
        <v>1577</v>
      </c>
      <c r="F579" s="3">
        <v>6206.68</v>
      </c>
      <c r="G579" s="3">
        <v>3557.51</v>
      </c>
      <c r="H579" s="3">
        <v>2649.17</v>
      </c>
      <c r="I579" s="3">
        <v>0.56999999999999995</v>
      </c>
      <c r="J579">
        <v>0.28999999999999998</v>
      </c>
      <c r="K579">
        <v>2942.37</v>
      </c>
      <c r="L579" t="s">
        <v>39</v>
      </c>
      <c r="M579">
        <v>686</v>
      </c>
      <c r="N579">
        <v>0.12</v>
      </c>
      <c r="O579" s="3">
        <v>0</v>
      </c>
      <c r="P579" s="3">
        <v>0</v>
      </c>
      <c r="Q579" s="3">
        <v>357.43</v>
      </c>
      <c r="R579" s="3">
        <v>0.06</v>
      </c>
      <c r="S579">
        <v>1</v>
      </c>
      <c r="T579">
        <v>1548.86</v>
      </c>
      <c r="U579">
        <v>48</v>
      </c>
      <c r="V579">
        <v>0</v>
      </c>
      <c r="W579">
        <v>578.16999999999996</v>
      </c>
      <c r="X579">
        <v>1968</v>
      </c>
      <c r="Y579" t="s">
        <v>36</v>
      </c>
      <c r="Z579" s="3">
        <v>1749.92</v>
      </c>
      <c r="AA579" t="s">
        <v>37</v>
      </c>
      <c r="AB579" t="s">
        <v>42</v>
      </c>
      <c r="AC579">
        <v>35.299999999999997</v>
      </c>
      <c r="AD579" t="s">
        <v>34</v>
      </c>
      <c r="AE579">
        <v>2649.17</v>
      </c>
      <c r="AF579">
        <v>0</v>
      </c>
    </row>
    <row r="580" spans="3:32" x14ac:dyDescent="0.35">
      <c r="C580" s="1">
        <v>43796</v>
      </c>
      <c r="D580" s="2">
        <v>43770</v>
      </c>
      <c r="E580">
        <v>1784</v>
      </c>
      <c r="F580" s="3">
        <v>5377.21</v>
      </c>
      <c r="G580" s="3">
        <v>2401.5100000000002</v>
      </c>
      <c r="H580" s="3">
        <v>2975.7</v>
      </c>
      <c r="I580" s="3">
        <v>0.45</v>
      </c>
      <c r="J580">
        <v>0.37</v>
      </c>
      <c r="K580">
        <v>2279.6799999999998</v>
      </c>
      <c r="L580" t="s">
        <v>35</v>
      </c>
      <c r="M580">
        <v>728</v>
      </c>
      <c r="N580">
        <v>0.15</v>
      </c>
      <c r="O580" s="3">
        <v>383.67</v>
      </c>
      <c r="P580" s="3">
        <v>7.0000000000000007E-2</v>
      </c>
      <c r="Q580" s="3">
        <v>549.86</v>
      </c>
      <c r="R580" s="3">
        <v>0.1</v>
      </c>
      <c r="S580">
        <v>6</v>
      </c>
      <c r="T580">
        <v>720.75</v>
      </c>
      <c r="U580">
        <v>72</v>
      </c>
      <c r="V580">
        <v>0</v>
      </c>
      <c r="W580">
        <v>654.34</v>
      </c>
      <c r="X580">
        <v>2888.06</v>
      </c>
      <c r="Y580" t="s">
        <v>36</v>
      </c>
      <c r="Z580" s="3">
        <v>1485.74</v>
      </c>
      <c r="AA580" t="s">
        <v>50</v>
      </c>
      <c r="AB580" t="s">
        <v>33</v>
      </c>
      <c r="AC580">
        <v>98.4</v>
      </c>
      <c r="AD580" t="s">
        <v>38</v>
      </c>
      <c r="AE580">
        <v>2975.7</v>
      </c>
      <c r="AF580">
        <v>1</v>
      </c>
    </row>
    <row r="581" spans="3:32" x14ac:dyDescent="0.35">
      <c r="C581" s="1">
        <v>43796</v>
      </c>
      <c r="D581" s="2">
        <v>43770</v>
      </c>
      <c r="E581">
        <v>1556</v>
      </c>
      <c r="F581" s="3">
        <v>5018.91</v>
      </c>
      <c r="G581" s="3">
        <v>3206.89</v>
      </c>
      <c r="H581" s="3">
        <v>1812.02</v>
      </c>
      <c r="I581" s="3">
        <v>0.64</v>
      </c>
      <c r="J581">
        <v>0.05</v>
      </c>
      <c r="K581">
        <v>3687.43</v>
      </c>
      <c r="L581" t="s">
        <v>35</v>
      </c>
      <c r="M581">
        <v>629</v>
      </c>
      <c r="N581">
        <v>0.53</v>
      </c>
      <c r="O581" s="3">
        <v>499.13</v>
      </c>
      <c r="P581" s="3">
        <v>0.1</v>
      </c>
      <c r="Q581" s="3">
        <v>298.47000000000003</v>
      </c>
      <c r="R581" s="3">
        <v>0.06</v>
      </c>
      <c r="S581">
        <v>3</v>
      </c>
      <c r="T581">
        <v>1105.21</v>
      </c>
      <c r="U581">
        <v>61</v>
      </c>
      <c r="V581">
        <v>0</v>
      </c>
      <c r="W581">
        <v>562.41</v>
      </c>
      <c r="X581">
        <v>3039.23</v>
      </c>
      <c r="Y581" t="s">
        <v>36</v>
      </c>
      <c r="Z581" s="3">
        <v>1529.72</v>
      </c>
      <c r="AA581" t="s">
        <v>37</v>
      </c>
      <c r="AB581" t="s">
        <v>33</v>
      </c>
      <c r="AC581">
        <v>57.6</v>
      </c>
      <c r="AD581" t="s">
        <v>38</v>
      </c>
      <c r="AE581">
        <v>1812.02</v>
      </c>
      <c r="AF581">
        <v>0</v>
      </c>
    </row>
    <row r="582" spans="3:32" x14ac:dyDescent="0.35">
      <c r="C582" s="1">
        <v>43796</v>
      </c>
      <c r="D582" s="2">
        <v>43770</v>
      </c>
      <c r="E582">
        <v>1818</v>
      </c>
      <c r="F582" s="3">
        <v>2558.08</v>
      </c>
      <c r="G582" s="3">
        <v>2852.04</v>
      </c>
      <c r="H582" s="3">
        <v>-293.95999999999998</v>
      </c>
      <c r="I582" s="3">
        <v>1.1100000000000001</v>
      </c>
      <c r="J582">
        <v>0.2</v>
      </c>
      <c r="K582">
        <v>2908.77</v>
      </c>
      <c r="L582" t="s">
        <v>35</v>
      </c>
      <c r="M582">
        <v>798</v>
      </c>
      <c r="N582">
        <v>0.47</v>
      </c>
      <c r="O582" s="3">
        <v>472.82</v>
      </c>
      <c r="P582" s="3">
        <v>0.18</v>
      </c>
      <c r="Q582" s="3">
        <v>295.35000000000002</v>
      </c>
      <c r="R582" s="3">
        <v>0.12</v>
      </c>
      <c r="S582">
        <v>8</v>
      </c>
      <c r="T582">
        <v>1451.3</v>
      </c>
      <c r="U582">
        <v>35</v>
      </c>
      <c r="V582">
        <v>0</v>
      </c>
      <c r="W582">
        <v>315.86</v>
      </c>
      <c r="X582">
        <v>2812.71</v>
      </c>
      <c r="Y582" t="s">
        <v>36</v>
      </c>
      <c r="Z582" s="3">
        <v>1459.11</v>
      </c>
      <c r="AA582" t="s">
        <v>40</v>
      </c>
      <c r="AB582" t="s">
        <v>33</v>
      </c>
      <c r="AC582">
        <v>76.900000000000006</v>
      </c>
      <c r="AD582" t="s">
        <v>34</v>
      </c>
      <c r="AE582">
        <v>0</v>
      </c>
      <c r="AF582">
        <v>0</v>
      </c>
    </row>
    <row r="583" spans="3:32" x14ac:dyDescent="0.35">
      <c r="C583" s="1">
        <v>43796</v>
      </c>
      <c r="D583" s="2">
        <v>43770</v>
      </c>
      <c r="E583">
        <v>1016</v>
      </c>
      <c r="F583" s="3">
        <v>4328.95</v>
      </c>
      <c r="G583" s="3">
        <v>3001.03</v>
      </c>
      <c r="H583" s="3">
        <v>1327.92</v>
      </c>
      <c r="I583" s="3">
        <v>0.69</v>
      </c>
      <c r="J583">
        <v>0.13</v>
      </c>
      <c r="K583">
        <v>3695.99</v>
      </c>
      <c r="L583" t="s">
        <v>35</v>
      </c>
      <c r="M583">
        <v>643</v>
      </c>
      <c r="N583">
        <v>0.46</v>
      </c>
      <c r="O583" s="3">
        <v>510.03</v>
      </c>
      <c r="P583" s="3">
        <v>0.12</v>
      </c>
      <c r="Q583" s="3">
        <v>484.59</v>
      </c>
      <c r="R583" s="3">
        <v>0.11</v>
      </c>
      <c r="S583">
        <v>7</v>
      </c>
      <c r="T583">
        <v>2485.71</v>
      </c>
      <c r="U583">
        <v>82</v>
      </c>
      <c r="V583">
        <v>0</v>
      </c>
      <c r="W583">
        <v>711.89</v>
      </c>
      <c r="X583">
        <v>2186.6999999999998</v>
      </c>
      <c r="Y583" t="s">
        <v>36</v>
      </c>
      <c r="Z583" s="3">
        <v>591.82000000000005</v>
      </c>
      <c r="AA583" t="s">
        <v>45</v>
      </c>
      <c r="AB583" t="s">
        <v>44</v>
      </c>
      <c r="AC583">
        <v>83.6</v>
      </c>
      <c r="AD583" t="s">
        <v>34</v>
      </c>
      <c r="AE583">
        <v>1327.92</v>
      </c>
      <c r="AF583">
        <v>0</v>
      </c>
    </row>
    <row r="584" spans="3:32" x14ac:dyDescent="0.35">
      <c r="C584" s="1">
        <v>43796</v>
      </c>
      <c r="D584" s="2">
        <v>43770</v>
      </c>
      <c r="E584">
        <v>1843</v>
      </c>
      <c r="F584" s="3">
        <v>4006.74</v>
      </c>
      <c r="G584" s="3">
        <v>2535.16</v>
      </c>
      <c r="H584" s="3">
        <v>1471.58</v>
      </c>
      <c r="I584" s="3">
        <v>0.63</v>
      </c>
      <c r="J584">
        <v>0.27</v>
      </c>
      <c r="K584">
        <v>3170.18</v>
      </c>
      <c r="L584" t="s">
        <v>35</v>
      </c>
      <c r="M584">
        <v>678</v>
      </c>
      <c r="N584">
        <v>0.37</v>
      </c>
      <c r="O584" s="3">
        <v>353.23</v>
      </c>
      <c r="P584" s="3">
        <v>0.09</v>
      </c>
      <c r="Q584" s="3">
        <v>25.12</v>
      </c>
      <c r="R584" s="3">
        <v>0.01</v>
      </c>
      <c r="S584">
        <v>9</v>
      </c>
      <c r="T584">
        <v>793.84</v>
      </c>
      <c r="U584">
        <v>73</v>
      </c>
      <c r="V584">
        <v>0</v>
      </c>
      <c r="W584">
        <v>47.1</v>
      </c>
      <c r="X584">
        <v>2894.44</v>
      </c>
      <c r="Y584" t="s">
        <v>36</v>
      </c>
      <c r="Z584" s="3">
        <v>1618.72</v>
      </c>
      <c r="AA584" t="s">
        <v>41</v>
      </c>
      <c r="AB584" t="s">
        <v>44</v>
      </c>
      <c r="AC584">
        <v>67.099999999999994</v>
      </c>
      <c r="AD584" t="s">
        <v>34</v>
      </c>
      <c r="AE584">
        <v>1471.58</v>
      </c>
      <c r="AF584">
        <v>0</v>
      </c>
    </row>
    <row r="585" spans="3:32" x14ac:dyDescent="0.35">
      <c r="C585" s="1">
        <v>43796</v>
      </c>
      <c r="D585" s="2">
        <v>43770</v>
      </c>
      <c r="E585">
        <v>1904</v>
      </c>
      <c r="F585" s="3">
        <v>2962.46</v>
      </c>
      <c r="G585" s="3">
        <v>2467.0700000000002</v>
      </c>
      <c r="H585" s="3">
        <v>495.39</v>
      </c>
      <c r="I585" s="3">
        <v>0.83</v>
      </c>
      <c r="J585">
        <v>0.36</v>
      </c>
      <c r="K585">
        <v>2794.86</v>
      </c>
      <c r="L585" t="s">
        <v>35</v>
      </c>
      <c r="M585">
        <v>708</v>
      </c>
      <c r="N585">
        <v>0.23</v>
      </c>
      <c r="O585" s="3">
        <v>606.19000000000005</v>
      </c>
      <c r="P585" s="3">
        <v>0.2</v>
      </c>
      <c r="Q585" s="3">
        <v>521.20000000000005</v>
      </c>
      <c r="R585" s="3">
        <v>0.18</v>
      </c>
      <c r="S585">
        <v>3</v>
      </c>
      <c r="T585">
        <v>747.81</v>
      </c>
      <c r="U585">
        <v>72</v>
      </c>
      <c r="V585">
        <v>0</v>
      </c>
      <c r="W585">
        <v>433.31</v>
      </c>
      <c r="X585">
        <v>1715.5</v>
      </c>
      <c r="Y585" t="s">
        <v>49</v>
      </c>
      <c r="Z585" s="3">
        <v>1643.78</v>
      </c>
      <c r="AA585" t="s">
        <v>45</v>
      </c>
      <c r="AB585" t="s">
        <v>44</v>
      </c>
      <c r="AC585">
        <v>61.4</v>
      </c>
      <c r="AD585" t="s">
        <v>43</v>
      </c>
      <c r="AE585">
        <v>495.39</v>
      </c>
      <c r="AF585">
        <v>0</v>
      </c>
    </row>
    <row r="586" spans="3:32" x14ac:dyDescent="0.35">
      <c r="C586" s="1">
        <v>43796</v>
      </c>
      <c r="D586" s="2">
        <v>43770</v>
      </c>
      <c r="E586">
        <v>1772</v>
      </c>
      <c r="F586" s="3">
        <v>3821.34</v>
      </c>
      <c r="G586" s="3">
        <v>2224.71</v>
      </c>
      <c r="H586" s="3">
        <v>1596.63</v>
      </c>
      <c r="I586" s="3">
        <v>0.57999999999999996</v>
      </c>
      <c r="J586">
        <v>0.12</v>
      </c>
      <c r="K586">
        <v>3241.04</v>
      </c>
      <c r="L586" t="s">
        <v>30</v>
      </c>
      <c r="M586">
        <v>639</v>
      </c>
      <c r="N586">
        <v>0.53</v>
      </c>
      <c r="O586" s="3">
        <v>311.08</v>
      </c>
      <c r="P586" s="3">
        <v>0.08</v>
      </c>
      <c r="Q586" s="3">
        <v>754.93</v>
      </c>
      <c r="R586" s="3">
        <v>0.2</v>
      </c>
      <c r="S586">
        <v>7</v>
      </c>
      <c r="T586">
        <v>1091.58</v>
      </c>
      <c r="U586">
        <v>94</v>
      </c>
      <c r="V586">
        <v>0</v>
      </c>
      <c r="W586">
        <v>519.83000000000004</v>
      </c>
      <c r="X586">
        <v>1278.47</v>
      </c>
      <c r="Y586" t="s">
        <v>36</v>
      </c>
      <c r="Z586" s="3">
        <v>1012.63</v>
      </c>
      <c r="AA586" t="s">
        <v>40</v>
      </c>
      <c r="AB586" t="s">
        <v>44</v>
      </c>
      <c r="AC586">
        <v>54.6</v>
      </c>
      <c r="AD586" t="s">
        <v>43</v>
      </c>
      <c r="AE586">
        <v>1596.63</v>
      </c>
      <c r="AF586">
        <v>0</v>
      </c>
    </row>
    <row r="587" spans="3:32" x14ac:dyDescent="0.35">
      <c r="C587" s="1">
        <v>43796</v>
      </c>
      <c r="D587" s="2">
        <v>43770</v>
      </c>
      <c r="E587">
        <v>1621</v>
      </c>
      <c r="F587" s="3">
        <v>3231.49</v>
      </c>
      <c r="G587" s="3">
        <v>1759.04</v>
      </c>
      <c r="H587" s="3">
        <v>1472.45</v>
      </c>
      <c r="I587" s="3">
        <v>0.54</v>
      </c>
      <c r="J587">
        <v>0.36</v>
      </c>
      <c r="K587">
        <v>2426.75</v>
      </c>
      <c r="L587" t="s">
        <v>35</v>
      </c>
      <c r="M587">
        <v>694</v>
      </c>
      <c r="N587">
        <v>0.46</v>
      </c>
      <c r="O587" s="3">
        <v>451.57</v>
      </c>
      <c r="P587" s="3">
        <v>0.14000000000000001</v>
      </c>
      <c r="Q587" s="3">
        <v>278.39</v>
      </c>
      <c r="R587" s="3">
        <v>0.09</v>
      </c>
      <c r="S587">
        <v>2</v>
      </c>
      <c r="T587">
        <v>1215.1099999999999</v>
      </c>
      <c r="U587">
        <v>59</v>
      </c>
      <c r="V587">
        <v>0</v>
      </c>
      <c r="W587">
        <v>518.78</v>
      </c>
      <c r="X587">
        <v>3029.03</v>
      </c>
      <c r="Y587" t="s">
        <v>36</v>
      </c>
      <c r="Z587" s="3">
        <v>1144.06</v>
      </c>
      <c r="AA587" t="s">
        <v>40</v>
      </c>
      <c r="AB587" t="s">
        <v>33</v>
      </c>
      <c r="AC587">
        <v>72.599999999999994</v>
      </c>
      <c r="AD587" t="s">
        <v>38</v>
      </c>
      <c r="AE587">
        <v>1472.45</v>
      </c>
      <c r="AF587">
        <v>0</v>
      </c>
    </row>
    <row r="588" spans="3:32" x14ac:dyDescent="0.35">
      <c r="C588" s="1">
        <v>43796</v>
      </c>
      <c r="D588" s="2">
        <v>43770</v>
      </c>
      <c r="E588">
        <v>1661</v>
      </c>
      <c r="F588" s="3">
        <v>3056.74</v>
      </c>
      <c r="G588" s="3">
        <v>2519.5500000000002</v>
      </c>
      <c r="H588" s="3">
        <v>537.19000000000005</v>
      </c>
      <c r="I588" s="3">
        <v>0.82</v>
      </c>
      <c r="J588">
        <v>0.17</v>
      </c>
      <c r="K588">
        <v>2937.24</v>
      </c>
      <c r="L588" t="s">
        <v>35</v>
      </c>
      <c r="M588">
        <v>733</v>
      </c>
      <c r="N588">
        <v>0.56000000000000005</v>
      </c>
      <c r="O588" s="3">
        <v>386.17</v>
      </c>
      <c r="P588" s="3">
        <v>0.13</v>
      </c>
      <c r="Q588" s="3">
        <v>684.17</v>
      </c>
      <c r="R588" s="3">
        <v>0.22</v>
      </c>
      <c r="S588">
        <v>8</v>
      </c>
      <c r="T588">
        <v>1255.9000000000001</v>
      </c>
      <c r="U588">
        <v>96</v>
      </c>
      <c r="V588">
        <v>0</v>
      </c>
      <c r="W588">
        <v>778</v>
      </c>
      <c r="X588">
        <v>2123.9299999999998</v>
      </c>
      <c r="Y588" t="s">
        <v>31</v>
      </c>
      <c r="Z588" s="3">
        <v>1325.17</v>
      </c>
      <c r="AA588" t="s">
        <v>45</v>
      </c>
      <c r="AB588" t="s">
        <v>42</v>
      </c>
      <c r="AC588">
        <v>22.3</v>
      </c>
      <c r="AD588" t="s">
        <v>38</v>
      </c>
      <c r="AE588">
        <v>537.19000000000005</v>
      </c>
      <c r="AF588">
        <v>0</v>
      </c>
    </row>
    <row r="589" spans="3:32" x14ac:dyDescent="0.35">
      <c r="C589" s="1">
        <v>43796</v>
      </c>
      <c r="D589" s="2">
        <v>43770</v>
      </c>
      <c r="E589">
        <v>1719</v>
      </c>
      <c r="F589" s="3">
        <v>3380.05</v>
      </c>
      <c r="G589" s="3">
        <v>2043.2</v>
      </c>
      <c r="H589" s="3">
        <v>1336.85</v>
      </c>
      <c r="I589" s="3">
        <v>0.6</v>
      </c>
      <c r="J589">
        <v>0.21</v>
      </c>
      <c r="K589">
        <v>2381.25</v>
      </c>
      <c r="L589" t="s">
        <v>35</v>
      </c>
      <c r="M589">
        <v>655</v>
      </c>
      <c r="N589">
        <v>0.39</v>
      </c>
      <c r="O589" s="3">
        <v>474.04</v>
      </c>
      <c r="P589" s="3">
        <v>0.14000000000000001</v>
      </c>
      <c r="Q589" s="3">
        <v>225.3</v>
      </c>
      <c r="R589" s="3">
        <v>7.0000000000000007E-2</v>
      </c>
      <c r="S589">
        <v>9</v>
      </c>
      <c r="T589">
        <v>899.27</v>
      </c>
      <c r="U589">
        <v>39</v>
      </c>
      <c r="V589">
        <v>0</v>
      </c>
      <c r="W589">
        <v>396.28</v>
      </c>
      <c r="X589">
        <v>2706.53</v>
      </c>
      <c r="Y589" t="s">
        <v>36</v>
      </c>
      <c r="Z589" s="3">
        <v>1059.82</v>
      </c>
      <c r="AA589" t="s">
        <v>50</v>
      </c>
      <c r="AB589" t="s">
        <v>42</v>
      </c>
      <c r="AC589">
        <v>11.2</v>
      </c>
      <c r="AD589" t="s">
        <v>43</v>
      </c>
      <c r="AE589">
        <v>1336.85</v>
      </c>
      <c r="AF589">
        <v>0</v>
      </c>
    </row>
    <row r="590" spans="3:32" x14ac:dyDescent="0.35">
      <c r="C590" s="1">
        <v>43796</v>
      </c>
      <c r="D590" s="2">
        <v>43770</v>
      </c>
      <c r="E590">
        <v>1349</v>
      </c>
      <c r="F590" s="3">
        <v>4959.68</v>
      </c>
      <c r="G590" s="3">
        <v>3802.55</v>
      </c>
      <c r="H590" s="3">
        <v>1157.1300000000001</v>
      </c>
      <c r="I590" s="3">
        <v>0.77</v>
      </c>
      <c r="J590">
        <v>7.0000000000000007E-2</v>
      </c>
      <c r="K590">
        <v>2342.41</v>
      </c>
      <c r="L590" t="s">
        <v>35</v>
      </c>
      <c r="M590">
        <v>696</v>
      </c>
      <c r="N590">
        <v>0.33</v>
      </c>
      <c r="O590" s="3">
        <v>1020.47</v>
      </c>
      <c r="P590" s="3">
        <v>0.21</v>
      </c>
      <c r="Q590" s="3">
        <v>492.43</v>
      </c>
      <c r="R590" s="3">
        <v>0.1</v>
      </c>
      <c r="S590">
        <v>1</v>
      </c>
      <c r="T590">
        <v>1189.52</v>
      </c>
      <c r="U590">
        <v>65</v>
      </c>
      <c r="V590">
        <v>0</v>
      </c>
      <c r="W590">
        <v>449.1</v>
      </c>
      <c r="X590">
        <v>1872</v>
      </c>
      <c r="Y590" t="s">
        <v>31</v>
      </c>
      <c r="Z590" s="3">
        <v>1513.29</v>
      </c>
      <c r="AA590" t="s">
        <v>48</v>
      </c>
      <c r="AB590" t="s">
        <v>33</v>
      </c>
      <c r="AC590">
        <v>96.1</v>
      </c>
      <c r="AD590" t="s">
        <v>43</v>
      </c>
      <c r="AE590">
        <v>1157.1300000000001</v>
      </c>
      <c r="AF590">
        <v>0</v>
      </c>
    </row>
    <row r="591" spans="3:32" x14ac:dyDescent="0.35">
      <c r="C591" s="1">
        <v>43796</v>
      </c>
      <c r="D591" s="2">
        <v>43770</v>
      </c>
      <c r="E591">
        <v>1991</v>
      </c>
      <c r="F591" s="3">
        <v>3777.55</v>
      </c>
      <c r="G591" s="3">
        <v>2864.03</v>
      </c>
      <c r="H591" s="3">
        <v>913.52</v>
      </c>
      <c r="I591" s="3">
        <v>0.76</v>
      </c>
      <c r="J591">
        <v>0.06</v>
      </c>
      <c r="K591">
        <v>3206</v>
      </c>
      <c r="L591" t="s">
        <v>30</v>
      </c>
      <c r="M591">
        <v>672</v>
      </c>
      <c r="N591">
        <v>0.55000000000000004</v>
      </c>
      <c r="O591" s="3">
        <v>417.88</v>
      </c>
      <c r="P591" s="3">
        <v>0.11</v>
      </c>
      <c r="Q591" s="3">
        <v>771.31</v>
      </c>
      <c r="R591" s="3">
        <v>0.2</v>
      </c>
      <c r="S591">
        <v>9</v>
      </c>
      <c r="T591">
        <v>813.97</v>
      </c>
      <c r="U591">
        <v>88</v>
      </c>
      <c r="V591">
        <v>0</v>
      </c>
      <c r="W591">
        <v>375.95</v>
      </c>
      <c r="X591">
        <v>3620.2</v>
      </c>
      <c r="Y591" t="s">
        <v>36</v>
      </c>
      <c r="Z591" s="3">
        <v>1441.06</v>
      </c>
      <c r="AA591" t="s">
        <v>47</v>
      </c>
      <c r="AB591" t="s">
        <v>42</v>
      </c>
      <c r="AC591">
        <v>12</v>
      </c>
      <c r="AD591" t="s">
        <v>34</v>
      </c>
      <c r="AE591">
        <v>913.52</v>
      </c>
      <c r="AF591">
        <v>0</v>
      </c>
    </row>
    <row r="592" spans="3:32" x14ac:dyDescent="0.35">
      <c r="C592" s="1">
        <v>43796</v>
      </c>
      <c r="D592" s="2">
        <v>43770</v>
      </c>
      <c r="E592">
        <v>1422</v>
      </c>
      <c r="F592" s="3">
        <v>5059.6499999999996</v>
      </c>
      <c r="G592" s="3">
        <v>4360.8599999999997</v>
      </c>
      <c r="H592" s="3">
        <v>698.79</v>
      </c>
      <c r="I592" s="3">
        <v>0.86</v>
      </c>
      <c r="J592">
        <v>0.13</v>
      </c>
      <c r="K592">
        <v>2259.0700000000002</v>
      </c>
      <c r="L592" t="s">
        <v>35</v>
      </c>
      <c r="M592">
        <v>572</v>
      </c>
      <c r="N592">
        <v>0.39</v>
      </c>
      <c r="O592" s="3">
        <v>432.38</v>
      </c>
      <c r="P592" s="3">
        <v>0.09</v>
      </c>
      <c r="Q592" s="3">
        <v>148.47999999999999</v>
      </c>
      <c r="R592" s="3">
        <v>0.03</v>
      </c>
      <c r="S592">
        <v>7</v>
      </c>
      <c r="T592">
        <v>1352.42</v>
      </c>
      <c r="U592">
        <v>61</v>
      </c>
      <c r="V592">
        <v>0</v>
      </c>
      <c r="W592">
        <v>514.5</v>
      </c>
      <c r="X592">
        <v>2146.4</v>
      </c>
      <c r="Y592" t="s">
        <v>36</v>
      </c>
      <c r="Z592" s="3">
        <v>1357.95</v>
      </c>
      <c r="AA592" t="s">
        <v>51</v>
      </c>
      <c r="AB592" t="s">
        <v>33</v>
      </c>
      <c r="AC592">
        <v>11.8</v>
      </c>
      <c r="AD592" t="s">
        <v>43</v>
      </c>
      <c r="AE592">
        <v>698.79</v>
      </c>
      <c r="AF592">
        <v>0</v>
      </c>
    </row>
    <row r="593" spans="3:32" x14ac:dyDescent="0.35">
      <c r="C593" s="1">
        <v>43796</v>
      </c>
      <c r="D593" s="2">
        <v>43770</v>
      </c>
      <c r="E593">
        <v>1418</v>
      </c>
      <c r="F593" s="3">
        <v>3489.19</v>
      </c>
      <c r="G593" s="3">
        <v>2068.6</v>
      </c>
      <c r="H593" s="3">
        <v>1420.59</v>
      </c>
      <c r="I593" s="3">
        <v>0.59</v>
      </c>
      <c r="J593">
        <v>0.33</v>
      </c>
      <c r="K593">
        <v>2375.64</v>
      </c>
      <c r="L593" t="s">
        <v>35</v>
      </c>
      <c r="M593">
        <v>728</v>
      </c>
      <c r="N593">
        <v>0.55000000000000004</v>
      </c>
      <c r="O593" s="3">
        <v>546.22</v>
      </c>
      <c r="P593" s="3">
        <v>0.16</v>
      </c>
      <c r="Q593" s="3">
        <v>369.52</v>
      </c>
      <c r="R593" s="3">
        <v>0.11</v>
      </c>
      <c r="S593">
        <v>6</v>
      </c>
      <c r="T593">
        <v>1613.28</v>
      </c>
      <c r="U593">
        <v>29</v>
      </c>
      <c r="V593">
        <v>0</v>
      </c>
      <c r="W593">
        <v>706.54</v>
      </c>
      <c r="X593">
        <v>2679</v>
      </c>
      <c r="Y593" t="s">
        <v>36</v>
      </c>
      <c r="Z593" s="3">
        <v>1072.74</v>
      </c>
      <c r="AA593" t="s">
        <v>48</v>
      </c>
      <c r="AB593" t="s">
        <v>33</v>
      </c>
      <c r="AC593">
        <v>91.6</v>
      </c>
      <c r="AD593" t="s">
        <v>34</v>
      </c>
      <c r="AE593">
        <v>1420.59</v>
      </c>
      <c r="AF593">
        <v>0</v>
      </c>
    </row>
    <row r="594" spans="3:32" x14ac:dyDescent="0.35">
      <c r="C594" s="1">
        <v>43796</v>
      </c>
      <c r="D594" s="2">
        <v>43770</v>
      </c>
      <c r="E594">
        <v>1270</v>
      </c>
      <c r="F594" s="3">
        <v>4848.8</v>
      </c>
      <c r="G594" s="3">
        <v>3679.83</v>
      </c>
      <c r="H594" s="3">
        <v>1168.97</v>
      </c>
      <c r="I594" s="3">
        <v>0.76</v>
      </c>
      <c r="J594">
        <v>0.32</v>
      </c>
      <c r="K594">
        <v>2734.17</v>
      </c>
      <c r="L594" t="s">
        <v>35</v>
      </c>
      <c r="M594">
        <v>700</v>
      </c>
      <c r="N594">
        <v>0.33</v>
      </c>
      <c r="O594" s="3">
        <v>371.01</v>
      </c>
      <c r="P594" s="3">
        <v>0.08</v>
      </c>
      <c r="Q594" s="3">
        <v>743.26</v>
      </c>
      <c r="R594" s="3">
        <v>0.15</v>
      </c>
      <c r="S594">
        <v>1</v>
      </c>
      <c r="T594">
        <v>212.7</v>
      </c>
      <c r="U594">
        <v>31</v>
      </c>
      <c r="V594">
        <v>0</v>
      </c>
      <c r="W594">
        <v>331.58</v>
      </c>
      <c r="X594">
        <v>1000</v>
      </c>
      <c r="Y594" t="s">
        <v>36</v>
      </c>
      <c r="Z594" s="3">
        <v>1602.78</v>
      </c>
      <c r="AA594" t="s">
        <v>37</v>
      </c>
      <c r="AB594" t="s">
        <v>42</v>
      </c>
      <c r="AC594">
        <v>87.3</v>
      </c>
      <c r="AD594" t="s">
        <v>34</v>
      </c>
      <c r="AE594">
        <v>1168.97</v>
      </c>
      <c r="AF594">
        <v>0</v>
      </c>
    </row>
    <row r="595" spans="3:32" x14ac:dyDescent="0.35">
      <c r="C595" s="1">
        <v>43796</v>
      </c>
      <c r="D595" s="2">
        <v>43770</v>
      </c>
      <c r="E595">
        <v>1522</v>
      </c>
      <c r="F595" s="3">
        <v>5263.61</v>
      </c>
      <c r="G595" s="3">
        <v>1126.55</v>
      </c>
      <c r="H595" s="3">
        <v>4137.0600000000004</v>
      </c>
      <c r="I595" s="3">
        <v>0.21</v>
      </c>
      <c r="J595">
        <v>0.18</v>
      </c>
      <c r="K595">
        <v>2626.09</v>
      </c>
      <c r="L595" t="s">
        <v>35</v>
      </c>
      <c r="M595">
        <v>660</v>
      </c>
      <c r="N595">
        <v>0.28000000000000003</v>
      </c>
      <c r="O595" s="3">
        <v>417.03</v>
      </c>
      <c r="P595" s="3">
        <v>0.08</v>
      </c>
      <c r="Q595" s="3">
        <v>615.24</v>
      </c>
      <c r="R595" s="3">
        <v>0.12</v>
      </c>
      <c r="S595">
        <v>8</v>
      </c>
      <c r="T595">
        <v>903.41</v>
      </c>
      <c r="U595">
        <v>57</v>
      </c>
      <c r="V595">
        <v>0</v>
      </c>
      <c r="W595">
        <v>485.23</v>
      </c>
      <c r="X595">
        <v>1683.85</v>
      </c>
      <c r="Y595" t="s">
        <v>31</v>
      </c>
      <c r="Z595" s="3">
        <v>1230.79</v>
      </c>
      <c r="AA595" t="s">
        <v>41</v>
      </c>
      <c r="AB595" t="s">
        <v>44</v>
      </c>
      <c r="AC595">
        <v>19.8</v>
      </c>
      <c r="AD595" t="s">
        <v>34</v>
      </c>
      <c r="AE595">
        <v>4137.0600000000004</v>
      </c>
      <c r="AF595">
        <v>1</v>
      </c>
    </row>
    <row r="596" spans="3:32" x14ac:dyDescent="0.35">
      <c r="C596" s="1">
        <v>43796</v>
      </c>
      <c r="D596" s="2">
        <v>43770</v>
      </c>
      <c r="E596">
        <v>1827</v>
      </c>
      <c r="F596" s="3">
        <v>3606.54</v>
      </c>
      <c r="G596" s="3">
        <v>4063.18</v>
      </c>
      <c r="H596" s="3">
        <v>-456.64</v>
      </c>
      <c r="I596" s="3">
        <v>1.1299999999999999</v>
      </c>
      <c r="J596">
        <v>0.24</v>
      </c>
      <c r="K596">
        <v>2511.9899999999998</v>
      </c>
      <c r="L596" t="s">
        <v>35</v>
      </c>
      <c r="M596">
        <v>615</v>
      </c>
      <c r="N596">
        <v>0.25</v>
      </c>
      <c r="O596" s="3">
        <v>446.64</v>
      </c>
      <c r="P596" s="3">
        <v>0.12</v>
      </c>
      <c r="Q596" s="3">
        <v>348.41</v>
      </c>
      <c r="R596" s="3">
        <v>0.1</v>
      </c>
      <c r="S596">
        <v>1</v>
      </c>
      <c r="T596">
        <v>714.95</v>
      </c>
      <c r="U596">
        <v>95</v>
      </c>
      <c r="V596">
        <v>0</v>
      </c>
      <c r="W596">
        <v>558.79</v>
      </c>
      <c r="X596">
        <v>2390.4699999999998</v>
      </c>
      <c r="Y596" t="s">
        <v>31</v>
      </c>
      <c r="Z596" s="3">
        <v>774.45</v>
      </c>
      <c r="AA596" t="s">
        <v>50</v>
      </c>
      <c r="AB596" t="s">
        <v>44</v>
      </c>
      <c r="AC596">
        <v>33.1</v>
      </c>
      <c r="AD596" t="s">
        <v>34</v>
      </c>
      <c r="AE596">
        <v>0</v>
      </c>
      <c r="AF596">
        <v>0</v>
      </c>
    </row>
    <row r="597" spans="3:32" x14ac:dyDescent="0.35">
      <c r="C597" s="1">
        <v>43796</v>
      </c>
      <c r="D597" s="2">
        <v>43770</v>
      </c>
      <c r="E597">
        <v>1053</v>
      </c>
      <c r="F597" s="3">
        <v>2551.5700000000002</v>
      </c>
      <c r="G597" s="3">
        <v>2293.94</v>
      </c>
      <c r="H597" s="3">
        <v>257.63</v>
      </c>
      <c r="I597" s="3">
        <v>0.9</v>
      </c>
      <c r="J597">
        <v>0.22</v>
      </c>
      <c r="K597">
        <v>3572.97</v>
      </c>
      <c r="L597" t="s">
        <v>35</v>
      </c>
      <c r="M597">
        <v>685</v>
      </c>
      <c r="N597">
        <v>0.31</v>
      </c>
      <c r="O597" s="3">
        <v>503.07</v>
      </c>
      <c r="P597" s="3">
        <v>0.2</v>
      </c>
      <c r="Q597" s="3">
        <v>423.98</v>
      </c>
      <c r="R597" s="3">
        <v>0.17</v>
      </c>
      <c r="S597">
        <v>2</v>
      </c>
      <c r="T597">
        <v>1166.07</v>
      </c>
      <c r="U597">
        <v>86</v>
      </c>
      <c r="V597">
        <v>0</v>
      </c>
      <c r="W597">
        <v>379.32</v>
      </c>
      <c r="X597">
        <v>2753.34</v>
      </c>
      <c r="Y597" t="s">
        <v>31</v>
      </c>
      <c r="Z597" s="3">
        <v>300</v>
      </c>
      <c r="AA597" t="s">
        <v>40</v>
      </c>
      <c r="AB597" t="s">
        <v>33</v>
      </c>
      <c r="AC597">
        <v>95.9</v>
      </c>
      <c r="AD597" t="s">
        <v>43</v>
      </c>
      <c r="AE597">
        <v>257.63</v>
      </c>
      <c r="AF597">
        <v>0</v>
      </c>
    </row>
    <row r="598" spans="3:32" x14ac:dyDescent="0.35">
      <c r="C598" s="1">
        <v>43796</v>
      </c>
      <c r="D598" s="2">
        <v>43770</v>
      </c>
      <c r="E598">
        <v>1605</v>
      </c>
      <c r="F598" s="3">
        <v>1940.92</v>
      </c>
      <c r="G598" s="3">
        <v>3667.78</v>
      </c>
      <c r="H598" s="3">
        <v>-1726.86</v>
      </c>
      <c r="I598" s="3">
        <v>1.89</v>
      </c>
      <c r="J598">
        <v>0.19</v>
      </c>
      <c r="K598">
        <v>2711.17</v>
      </c>
      <c r="L598" t="s">
        <v>35</v>
      </c>
      <c r="M598">
        <v>639</v>
      </c>
      <c r="N598">
        <v>0.25</v>
      </c>
      <c r="O598" s="3">
        <v>663.6</v>
      </c>
      <c r="P598" s="3">
        <v>0.34</v>
      </c>
      <c r="Q598" s="3">
        <v>79</v>
      </c>
      <c r="R598" s="3">
        <v>0.04</v>
      </c>
      <c r="S598">
        <v>9</v>
      </c>
      <c r="T598">
        <v>1452.51</v>
      </c>
      <c r="U598">
        <v>21</v>
      </c>
      <c r="V598">
        <v>0</v>
      </c>
      <c r="W598">
        <v>340.8</v>
      </c>
      <c r="X598">
        <v>1193.92</v>
      </c>
      <c r="Y598" t="s">
        <v>49</v>
      </c>
      <c r="Z598" s="3">
        <v>755.67</v>
      </c>
      <c r="AA598" t="s">
        <v>37</v>
      </c>
      <c r="AB598" t="s">
        <v>42</v>
      </c>
      <c r="AC598">
        <v>37.700000000000003</v>
      </c>
      <c r="AD598" t="s">
        <v>34</v>
      </c>
      <c r="AE598">
        <v>0</v>
      </c>
      <c r="AF598">
        <v>0</v>
      </c>
    </row>
    <row r="599" spans="3:32" x14ac:dyDescent="0.35">
      <c r="C599" s="1">
        <v>43796</v>
      </c>
      <c r="D599" s="2">
        <v>43770</v>
      </c>
      <c r="E599">
        <v>1570</v>
      </c>
      <c r="F599" s="3">
        <v>3873.08</v>
      </c>
      <c r="G599" s="3">
        <v>3407.05</v>
      </c>
      <c r="H599" s="3">
        <v>466.03</v>
      </c>
      <c r="I599" s="3">
        <v>0.88</v>
      </c>
      <c r="J599">
        <v>0.24</v>
      </c>
      <c r="K599">
        <v>2344.84</v>
      </c>
      <c r="L599" t="s">
        <v>30</v>
      </c>
      <c r="M599">
        <v>715</v>
      </c>
      <c r="N599">
        <v>0.42</v>
      </c>
      <c r="O599" s="3">
        <v>456.39</v>
      </c>
      <c r="P599" s="3">
        <v>0.12</v>
      </c>
      <c r="Q599" s="3">
        <v>542.11</v>
      </c>
      <c r="R599" s="3">
        <v>0.14000000000000001</v>
      </c>
      <c r="S599">
        <v>9</v>
      </c>
      <c r="T599">
        <v>332.7</v>
      </c>
      <c r="U599">
        <v>37</v>
      </c>
      <c r="V599">
        <v>0</v>
      </c>
      <c r="W599">
        <v>776.79</v>
      </c>
      <c r="X599">
        <v>1890.7</v>
      </c>
      <c r="Y599" t="s">
        <v>36</v>
      </c>
      <c r="Z599" s="3">
        <v>1970</v>
      </c>
      <c r="AA599" t="s">
        <v>47</v>
      </c>
      <c r="AB599" t="s">
        <v>33</v>
      </c>
      <c r="AC599">
        <v>37</v>
      </c>
      <c r="AD599" t="s">
        <v>34</v>
      </c>
      <c r="AE599">
        <v>466.03</v>
      </c>
      <c r="AF599">
        <v>0</v>
      </c>
    </row>
    <row r="600" spans="3:32" x14ac:dyDescent="0.35">
      <c r="C600" s="1">
        <v>43796</v>
      </c>
      <c r="D600" s="2">
        <v>43770</v>
      </c>
      <c r="E600">
        <v>1821</v>
      </c>
      <c r="F600" s="3">
        <v>4505.99</v>
      </c>
      <c r="G600" s="3">
        <v>3356.57</v>
      </c>
      <c r="H600" s="3">
        <v>1149.42</v>
      </c>
      <c r="I600" s="3">
        <v>0.74</v>
      </c>
      <c r="J600">
        <v>0.18</v>
      </c>
      <c r="K600">
        <v>3326.8</v>
      </c>
      <c r="L600" t="s">
        <v>35</v>
      </c>
      <c r="M600">
        <v>712</v>
      </c>
      <c r="N600">
        <v>0.38</v>
      </c>
      <c r="O600" s="3">
        <v>569.62</v>
      </c>
      <c r="P600" s="3">
        <v>0.13</v>
      </c>
      <c r="Q600" s="3">
        <v>863.13</v>
      </c>
      <c r="R600" s="3">
        <v>0.19</v>
      </c>
      <c r="S600">
        <v>9</v>
      </c>
      <c r="T600">
        <v>922.02</v>
      </c>
      <c r="U600">
        <v>40</v>
      </c>
      <c r="V600">
        <v>0</v>
      </c>
      <c r="W600">
        <v>847.83</v>
      </c>
      <c r="X600">
        <v>2191.06</v>
      </c>
      <c r="Y600" t="s">
        <v>36</v>
      </c>
      <c r="Z600" s="3">
        <v>1173.82</v>
      </c>
      <c r="AA600" t="s">
        <v>45</v>
      </c>
      <c r="AB600" t="s">
        <v>33</v>
      </c>
      <c r="AC600">
        <v>22.8</v>
      </c>
      <c r="AD600" t="s">
        <v>43</v>
      </c>
      <c r="AE600">
        <v>1149.42</v>
      </c>
      <c r="AF600">
        <v>0</v>
      </c>
    </row>
    <row r="601" spans="3:32" x14ac:dyDescent="0.35">
      <c r="C601" s="1">
        <v>43796</v>
      </c>
      <c r="D601" s="2">
        <v>43770</v>
      </c>
      <c r="E601">
        <v>1502</v>
      </c>
      <c r="F601" s="3">
        <v>4074.98</v>
      </c>
      <c r="G601" s="3">
        <v>3802.35</v>
      </c>
      <c r="H601" s="3">
        <v>272.63</v>
      </c>
      <c r="I601" s="3">
        <v>0.93</v>
      </c>
      <c r="J601">
        <v>0.37</v>
      </c>
      <c r="K601">
        <v>2054.54</v>
      </c>
      <c r="L601" t="s">
        <v>30</v>
      </c>
      <c r="M601">
        <v>654</v>
      </c>
      <c r="N601">
        <v>0.25</v>
      </c>
      <c r="O601" s="3">
        <v>305.42</v>
      </c>
      <c r="P601" s="3">
        <v>7.0000000000000007E-2</v>
      </c>
      <c r="Q601" s="3">
        <v>692.32</v>
      </c>
      <c r="R601" s="3">
        <v>0.17</v>
      </c>
      <c r="S601">
        <v>1</v>
      </c>
      <c r="T601">
        <v>1243.48</v>
      </c>
      <c r="U601">
        <v>48</v>
      </c>
      <c r="V601">
        <v>0</v>
      </c>
      <c r="W601">
        <v>717.86</v>
      </c>
      <c r="X601">
        <v>3050.1</v>
      </c>
      <c r="Y601" t="s">
        <v>31</v>
      </c>
      <c r="Z601" s="3">
        <v>1650.43</v>
      </c>
      <c r="AA601" t="s">
        <v>47</v>
      </c>
      <c r="AB601" t="s">
        <v>33</v>
      </c>
      <c r="AC601">
        <v>95.4</v>
      </c>
      <c r="AD601" t="s">
        <v>43</v>
      </c>
      <c r="AE601">
        <v>272.63</v>
      </c>
      <c r="AF601">
        <v>0</v>
      </c>
    </row>
    <row r="602" spans="3:32" x14ac:dyDescent="0.35">
      <c r="C602" s="1">
        <v>43826</v>
      </c>
      <c r="D602" s="2">
        <v>43800</v>
      </c>
      <c r="E602">
        <v>1403</v>
      </c>
      <c r="F602" s="3">
        <v>5462.92</v>
      </c>
      <c r="G602" s="3">
        <v>3049.29</v>
      </c>
      <c r="H602" s="3">
        <v>2413.63</v>
      </c>
      <c r="I602" s="3">
        <v>0.56000000000000005</v>
      </c>
      <c r="J602">
        <v>0.28999999999999998</v>
      </c>
      <c r="K602">
        <v>2973.21</v>
      </c>
      <c r="L602" t="s">
        <v>39</v>
      </c>
      <c r="M602">
        <v>670</v>
      </c>
      <c r="N602">
        <v>0.23</v>
      </c>
      <c r="O602" s="3">
        <v>679.87</v>
      </c>
      <c r="P602" s="3">
        <v>0.12</v>
      </c>
      <c r="Q602" s="3">
        <v>275.58</v>
      </c>
      <c r="R602" s="3">
        <v>0.05</v>
      </c>
      <c r="S602">
        <v>2</v>
      </c>
      <c r="T602">
        <v>1431.37</v>
      </c>
      <c r="U602">
        <v>41</v>
      </c>
      <c r="V602">
        <v>0</v>
      </c>
      <c r="W602">
        <v>582.65</v>
      </c>
      <c r="X602">
        <v>1483.81</v>
      </c>
      <c r="Y602" t="s">
        <v>36</v>
      </c>
      <c r="Z602" s="3">
        <v>1502.86</v>
      </c>
      <c r="AA602" t="s">
        <v>48</v>
      </c>
      <c r="AB602" t="s">
        <v>33</v>
      </c>
      <c r="AC602">
        <v>39</v>
      </c>
      <c r="AD602" t="s">
        <v>34</v>
      </c>
      <c r="AE602">
        <v>2413.63</v>
      </c>
      <c r="AF602">
        <v>0</v>
      </c>
    </row>
    <row r="603" spans="3:32" x14ac:dyDescent="0.35">
      <c r="C603" s="1">
        <v>43826</v>
      </c>
      <c r="D603" s="2">
        <v>43800</v>
      </c>
      <c r="E603">
        <v>1511</v>
      </c>
      <c r="F603" s="3">
        <v>2586.17</v>
      </c>
      <c r="G603" s="3">
        <v>2534.0300000000002</v>
      </c>
      <c r="H603" s="3">
        <v>52.14</v>
      </c>
      <c r="I603" s="3">
        <v>0.98</v>
      </c>
      <c r="J603">
        <v>0.09</v>
      </c>
      <c r="K603">
        <v>2409.44</v>
      </c>
      <c r="L603" t="s">
        <v>30</v>
      </c>
      <c r="M603">
        <v>613</v>
      </c>
      <c r="N603">
        <v>0.56000000000000005</v>
      </c>
      <c r="O603" s="3">
        <v>604.13</v>
      </c>
      <c r="P603" s="3">
        <v>0.23</v>
      </c>
      <c r="Q603" s="3">
        <v>979.88</v>
      </c>
      <c r="R603" s="3">
        <v>0.38</v>
      </c>
      <c r="S603">
        <v>7</v>
      </c>
      <c r="T603">
        <v>185.58</v>
      </c>
      <c r="U603">
        <v>34</v>
      </c>
      <c r="V603">
        <v>0</v>
      </c>
      <c r="W603">
        <v>679</v>
      </c>
      <c r="X603">
        <v>2078.09</v>
      </c>
      <c r="Y603" t="s">
        <v>36</v>
      </c>
      <c r="Z603" s="3">
        <v>1681.8</v>
      </c>
      <c r="AA603" t="s">
        <v>47</v>
      </c>
      <c r="AB603" t="s">
        <v>33</v>
      </c>
      <c r="AC603">
        <v>50.3</v>
      </c>
      <c r="AD603" t="s">
        <v>43</v>
      </c>
      <c r="AE603">
        <v>52.14</v>
      </c>
      <c r="AF603">
        <v>0</v>
      </c>
    </row>
    <row r="604" spans="3:32" x14ac:dyDescent="0.35">
      <c r="C604" s="1">
        <v>43826</v>
      </c>
      <c r="D604" s="2">
        <v>43800</v>
      </c>
      <c r="E604">
        <v>1857</v>
      </c>
      <c r="F604" s="3">
        <v>4744.74</v>
      </c>
      <c r="G604" s="3">
        <v>2737.26</v>
      </c>
      <c r="H604" s="3">
        <v>2007.48</v>
      </c>
      <c r="I604" s="3">
        <v>0.57999999999999996</v>
      </c>
      <c r="J604">
        <v>0.08</v>
      </c>
      <c r="K604">
        <v>2829.23</v>
      </c>
      <c r="L604" t="s">
        <v>35</v>
      </c>
      <c r="M604">
        <v>734</v>
      </c>
      <c r="N604">
        <v>0.44</v>
      </c>
      <c r="O604" s="3">
        <v>473.71</v>
      </c>
      <c r="P604" s="3">
        <v>0.1</v>
      </c>
      <c r="Q604" s="3">
        <v>815.78</v>
      </c>
      <c r="R604" s="3">
        <v>0.17</v>
      </c>
      <c r="S604">
        <v>8</v>
      </c>
      <c r="T604">
        <v>295.45</v>
      </c>
      <c r="U604">
        <v>64</v>
      </c>
      <c r="V604">
        <v>0</v>
      </c>
      <c r="W604">
        <v>490.81</v>
      </c>
      <c r="X604">
        <v>1374.36</v>
      </c>
      <c r="Y604" t="s">
        <v>49</v>
      </c>
      <c r="Z604" s="3">
        <v>1535.78</v>
      </c>
      <c r="AA604" t="s">
        <v>41</v>
      </c>
      <c r="AB604" t="s">
        <v>33</v>
      </c>
      <c r="AC604">
        <v>46.9</v>
      </c>
      <c r="AD604" t="s">
        <v>38</v>
      </c>
      <c r="AE604">
        <v>2007.48</v>
      </c>
      <c r="AF604">
        <v>0</v>
      </c>
    </row>
    <row r="605" spans="3:32" x14ac:dyDescent="0.35">
      <c r="C605" s="1">
        <v>43826</v>
      </c>
      <c r="D605" s="2">
        <v>43800</v>
      </c>
      <c r="E605">
        <v>1108</v>
      </c>
      <c r="F605" s="3">
        <v>2149.4899999999998</v>
      </c>
      <c r="G605" s="3">
        <v>3535.83</v>
      </c>
      <c r="H605" s="3">
        <v>-1386.34</v>
      </c>
      <c r="I605" s="3">
        <v>1.64</v>
      </c>
      <c r="J605">
        <v>0.06</v>
      </c>
      <c r="K605">
        <v>3321.08</v>
      </c>
      <c r="L605" t="s">
        <v>35</v>
      </c>
      <c r="M605">
        <v>662</v>
      </c>
      <c r="N605">
        <v>0.57999999999999996</v>
      </c>
      <c r="O605" s="3">
        <v>537.20000000000005</v>
      </c>
      <c r="P605" s="3">
        <v>0.25</v>
      </c>
      <c r="Q605" s="3">
        <v>577.28</v>
      </c>
      <c r="R605" s="3">
        <v>0.27</v>
      </c>
      <c r="S605">
        <v>5</v>
      </c>
      <c r="T605">
        <v>442.88</v>
      </c>
      <c r="U605">
        <v>93</v>
      </c>
      <c r="V605">
        <v>0</v>
      </c>
      <c r="W605">
        <v>337.93</v>
      </c>
      <c r="X605">
        <v>1883.77</v>
      </c>
      <c r="Y605" t="s">
        <v>36</v>
      </c>
      <c r="Z605" s="3">
        <v>904.08</v>
      </c>
      <c r="AA605" t="s">
        <v>45</v>
      </c>
      <c r="AB605" t="s">
        <v>44</v>
      </c>
      <c r="AC605">
        <v>84.9</v>
      </c>
      <c r="AD605" t="s">
        <v>38</v>
      </c>
      <c r="AE605">
        <v>0</v>
      </c>
      <c r="AF605">
        <v>0</v>
      </c>
    </row>
    <row r="606" spans="3:32" x14ac:dyDescent="0.35">
      <c r="C606" s="1">
        <v>43826</v>
      </c>
      <c r="D606" s="2">
        <v>43800</v>
      </c>
      <c r="E606">
        <v>1994</v>
      </c>
      <c r="F606" s="3">
        <v>3518.17</v>
      </c>
      <c r="G606" s="3">
        <v>2805.6</v>
      </c>
      <c r="H606" s="3">
        <v>712.57</v>
      </c>
      <c r="I606" s="3">
        <v>0.8</v>
      </c>
      <c r="J606">
        <v>0.33</v>
      </c>
      <c r="K606">
        <v>2453.71</v>
      </c>
      <c r="L606" t="s">
        <v>30</v>
      </c>
      <c r="M606">
        <v>697</v>
      </c>
      <c r="N606">
        <v>0.13</v>
      </c>
      <c r="O606" s="3">
        <v>347.13</v>
      </c>
      <c r="P606" s="3">
        <v>0.1</v>
      </c>
      <c r="Q606" s="3">
        <v>156.47999999999999</v>
      </c>
      <c r="R606" s="3">
        <v>0.04</v>
      </c>
      <c r="S606">
        <v>2</v>
      </c>
      <c r="T606">
        <v>583.75</v>
      </c>
      <c r="U606">
        <v>64</v>
      </c>
      <c r="V606">
        <v>0</v>
      </c>
      <c r="W606">
        <v>587.21</v>
      </c>
      <c r="X606">
        <v>2684.17</v>
      </c>
      <c r="Y606" t="s">
        <v>49</v>
      </c>
      <c r="Z606" s="3">
        <v>711.26</v>
      </c>
      <c r="AA606" t="s">
        <v>47</v>
      </c>
      <c r="AB606" t="s">
        <v>44</v>
      </c>
      <c r="AC606">
        <v>46.3</v>
      </c>
      <c r="AD606" t="s">
        <v>34</v>
      </c>
      <c r="AE606">
        <v>712.57</v>
      </c>
      <c r="AF606">
        <v>0</v>
      </c>
    </row>
    <row r="607" spans="3:32" x14ac:dyDescent="0.35">
      <c r="C607" s="1">
        <v>43826</v>
      </c>
      <c r="D607" s="2">
        <v>43800</v>
      </c>
      <c r="E607">
        <v>1656</v>
      </c>
      <c r="F607" s="3">
        <v>4371.67</v>
      </c>
      <c r="G607" s="3">
        <v>3226.87</v>
      </c>
      <c r="H607" s="3">
        <v>1144.8</v>
      </c>
      <c r="I607" s="3">
        <v>0.74</v>
      </c>
      <c r="J607">
        <v>0.18</v>
      </c>
      <c r="K607">
        <v>3120.73</v>
      </c>
      <c r="L607" t="s">
        <v>35</v>
      </c>
      <c r="M607">
        <v>682</v>
      </c>
      <c r="N607">
        <v>0.44</v>
      </c>
      <c r="O607" s="3">
        <v>627.15</v>
      </c>
      <c r="P607" s="3">
        <v>0.14000000000000001</v>
      </c>
      <c r="Q607" s="3">
        <v>463.85</v>
      </c>
      <c r="R607" s="3">
        <v>0.11</v>
      </c>
      <c r="S607">
        <v>5</v>
      </c>
      <c r="T607">
        <v>708.55</v>
      </c>
      <c r="U607">
        <v>88</v>
      </c>
      <c r="V607">
        <v>0</v>
      </c>
      <c r="W607">
        <v>748.92</v>
      </c>
      <c r="X607">
        <v>1718.06</v>
      </c>
      <c r="Y607" t="s">
        <v>49</v>
      </c>
      <c r="Z607" s="3">
        <v>1261.6400000000001</v>
      </c>
      <c r="AA607" t="s">
        <v>50</v>
      </c>
      <c r="AB607" t="s">
        <v>33</v>
      </c>
      <c r="AC607">
        <v>43.2</v>
      </c>
      <c r="AD607" t="s">
        <v>34</v>
      </c>
      <c r="AE607">
        <v>1144.8</v>
      </c>
      <c r="AF607">
        <v>0</v>
      </c>
    </row>
    <row r="608" spans="3:32" x14ac:dyDescent="0.35">
      <c r="C608" s="1">
        <v>43826</v>
      </c>
      <c r="D608" s="2">
        <v>43800</v>
      </c>
      <c r="E608">
        <v>1718</v>
      </c>
      <c r="F608" s="3">
        <v>4533.0200000000004</v>
      </c>
      <c r="G608" s="3">
        <v>1986.53</v>
      </c>
      <c r="H608" s="3">
        <v>2546.4899999999998</v>
      </c>
      <c r="I608" s="3">
        <v>0.44</v>
      </c>
      <c r="J608">
        <v>0.06</v>
      </c>
      <c r="K608">
        <v>3838.57</v>
      </c>
      <c r="L608" t="s">
        <v>35</v>
      </c>
      <c r="M608">
        <v>687</v>
      </c>
      <c r="N608">
        <v>0.47</v>
      </c>
      <c r="O608" s="3">
        <v>296.74</v>
      </c>
      <c r="P608" s="3">
        <v>7.0000000000000007E-2</v>
      </c>
      <c r="Q608" s="3">
        <v>733.01</v>
      </c>
      <c r="R608" s="3">
        <v>0.16</v>
      </c>
      <c r="S608">
        <v>4</v>
      </c>
      <c r="T608">
        <v>735.12</v>
      </c>
      <c r="U608">
        <v>96</v>
      </c>
      <c r="V608">
        <v>0</v>
      </c>
      <c r="W608">
        <v>617.45000000000005</v>
      </c>
      <c r="X608">
        <v>1914.6</v>
      </c>
      <c r="Y608" t="s">
        <v>36</v>
      </c>
      <c r="Z608" s="3">
        <v>1591.84</v>
      </c>
      <c r="AA608" t="s">
        <v>45</v>
      </c>
      <c r="AB608" t="s">
        <v>33</v>
      </c>
      <c r="AC608">
        <v>12.2</v>
      </c>
      <c r="AD608" t="s">
        <v>38</v>
      </c>
      <c r="AE608">
        <v>2546.4899999999998</v>
      </c>
      <c r="AF608">
        <v>0</v>
      </c>
    </row>
    <row r="609" spans="3:32" x14ac:dyDescent="0.35">
      <c r="C609" s="1">
        <v>43826</v>
      </c>
      <c r="D609" s="2">
        <v>43800</v>
      </c>
      <c r="E609">
        <v>1173</v>
      </c>
      <c r="F609" s="3">
        <v>6406.73</v>
      </c>
      <c r="G609" s="3">
        <v>2085.38</v>
      </c>
      <c r="H609" s="3">
        <v>4321.3500000000004</v>
      </c>
      <c r="I609" s="3">
        <v>0.33</v>
      </c>
      <c r="J609">
        <v>0.3</v>
      </c>
      <c r="K609">
        <v>2600.2199999999998</v>
      </c>
      <c r="L609" t="s">
        <v>30</v>
      </c>
      <c r="M609">
        <v>705</v>
      </c>
      <c r="N609">
        <v>0.17</v>
      </c>
      <c r="O609" s="3">
        <v>418.28</v>
      </c>
      <c r="P609" s="3">
        <v>7.0000000000000007E-2</v>
      </c>
      <c r="Q609" s="3">
        <v>375.62</v>
      </c>
      <c r="R609" s="3">
        <v>0.06</v>
      </c>
      <c r="S609">
        <v>2</v>
      </c>
      <c r="T609">
        <v>560.9</v>
      </c>
      <c r="U609">
        <v>61</v>
      </c>
      <c r="V609">
        <v>0</v>
      </c>
      <c r="W609">
        <v>750.01</v>
      </c>
      <c r="X609">
        <v>2451.91</v>
      </c>
      <c r="Y609" t="s">
        <v>36</v>
      </c>
      <c r="Z609" s="3">
        <v>529.35</v>
      </c>
      <c r="AA609" t="s">
        <v>51</v>
      </c>
      <c r="AB609" t="s">
        <v>42</v>
      </c>
      <c r="AC609">
        <v>42.8</v>
      </c>
      <c r="AD609" t="s">
        <v>38</v>
      </c>
      <c r="AE609">
        <v>4321.3500000000004</v>
      </c>
      <c r="AF609">
        <v>1</v>
      </c>
    </row>
    <row r="610" spans="3:32" x14ac:dyDescent="0.35">
      <c r="C610" s="1">
        <v>43826</v>
      </c>
      <c r="D610" s="2">
        <v>43800</v>
      </c>
      <c r="E610">
        <v>1498</v>
      </c>
      <c r="F610" s="3">
        <v>4089.24</v>
      </c>
      <c r="G610" s="3">
        <v>4604.97</v>
      </c>
      <c r="H610" s="3">
        <v>-515.73</v>
      </c>
      <c r="I610" s="3">
        <v>1.1299999999999999</v>
      </c>
      <c r="J610">
        <v>0.25</v>
      </c>
      <c r="K610">
        <v>2460.5700000000002</v>
      </c>
      <c r="L610" t="s">
        <v>35</v>
      </c>
      <c r="M610">
        <v>654</v>
      </c>
      <c r="N610">
        <v>0.3</v>
      </c>
      <c r="O610" s="3">
        <v>660.55</v>
      </c>
      <c r="P610" s="3">
        <v>0.16</v>
      </c>
      <c r="Q610" s="3">
        <v>363.43</v>
      </c>
      <c r="R610" s="3">
        <v>0.09</v>
      </c>
      <c r="S610">
        <v>9</v>
      </c>
      <c r="T610">
        <v>670.34</v>
      </c>
      <c r="U610">
        <v>71</v>
      </c>
      <c r="V610">
        <v>0</v>
      </c>
      <c r="W610">
        <v>569.65</v>
      </c>
      <c r="X610">
        <v>1486.8</v>
      </c>
      <c r="Y610" t="s">
        <v>36</v>
      </c>
      <c r="Z610" s="3">
        <v>1258.71</v>
      </c>
      <c r="AA610" t="s">
        <v>48</v>
      </c>
      <c r="AB610" t="s">
        <v>42</v>
      </c>
      <c r="AC610">
        <v>42.3</v>
      </c>
      <c r="AD610" t="s">
        <v>43</v>
      </c>
      <c r="AE610">
        <v>0</v>
      </c>
      <c r="AF610">
        <v>0</v>
      </c>
    </row>
    <row r="611" spans="3:32" x14ac:dyDescent="0.35">
      <c r="C611" s="1">
        <v>43826</v>
      </c>
      <c r="D611" s="2">
        <v>43800</v>
      </c>
      <c r="E611">
        <v>1750</v>
      </c>
      <c r="F611" s="3">
        <v>4495.95</v>
      </c>
      <c r="G611" s="3">
        <v>2659.34</v>
      </c>
      <c r="H611" s="3">
        <v>1836.61</v>
      </c>
      <c r="I611" s="3">
        <v>0.59</v>
      </c>
      <c r="J611">
        <v>0.3</v>
      </c>
      <c r="K611">
        <v>3119.23</v>
      </c>
      <c r="L611" t="s">
        <v>30</v>
      </c>
      <c r="M611">
        <v>684</v>
      </c>
      <c r="N611">
        <v>0.22</v>
      </c>
      <c r="O611" s="3">
        <v>721.23</v>
      </c>
      <c r="P611" s="3">
        <v>0.16</v>
      </c>
      <c r="Q611" s="3">
        <v>231.02</v>
      </c>
      <c r="R611" s="3">
        <v>0.05</v>
      </c>
      <c r="S611">
        <v>4</v>
      </c>
      <c r="T611">
        <v>1015.66</v>
      </c>
      <c r="U611">
        <v>27</v>
      </c>
      <c r="V611">
        <v>0</v>
      </c>
      <c r="W611">
        <v>450.4</v>
      </c>
      <c r="X611">
        <v>2441.85</v>
      </c>
      <c r="Y611" t="s">
        <v>36</v>
      </c>
      <c r="Z611" s="3">
        <v>1152.04</v>
      </c>
      <c r="AA611" t="s">
        <v>46</v>
      </c>
      <c r="AB611" t="s">
        <v>42</v>
      </c>
      <c r="AC611">
        <v>39</v>
      </c>
      <c r="AD611" t="s">
        <v>34</v>
      </c>
      <c r="AE611">
        <v>1836.61</v>
      </c>
      <c r="AF611">
        <v>0</v>
      </c>
    </row>
    <row r="612" spans="3:32" x14ac:dyDescent="0.35">
      <c r="C612" s="1">
        <v>43826</v>
      </c>
      <c r="D612" s="2">
        <v>43800</v>
      </c>
      <c r="E612">
        <v>1285</v>
      </c>
      <c r="F612" s="3">
        <v>5728.92</v>
      </c>
      <c r="G612" s="3">
        <v>3119.95</v>
      </c>
      <c r="H612" s="3">
        <v>2608.9699999999998</v>
      </c>
      <c r="I612" s="3">
        <v>0.54</v>
      </c>
      <c r="J612">
        <v>0.36</v>
      </c>
      <c r="K612">
        <v>2274.25</v>
      </c>
      <c r="L612" t="s">
        <v>30</v>
      </c>
      <c r="M612">
        <v>594</v>
      </c>
      <c r="N612">
        <v>0.1</v>
      </c>
      <c r="O612" s="3">
        <v>158.26</v>
      </c>
      <c r="P612" s="3">
        <v>0.03</v>
      </c>
      <c r="Q612" s="3">
        <v>47.05</v>
      </c>
      <c r="R612" s="3">
        <v>0.01</v>
      </c>
      <c r="S612">
        <v>1</v>
      </c>
      <c r="T612">
        <v>1010.98</v>
      </c>
      <c r="U612">
        <v>31</v>
      </c>
      <c r="V612">
        <v>1</v>
      </c>
      <c r="W612">
        <v>470.69</v>
      </c>
      <c r="X612">
        <v>1000</v>
      </c>
      <c r="Y612" t="s">
        <v>36</v>
      </c>
      <c r="Z612" s="3">
        <v>1048.07</v>
      </c>
      <c r="AA612" t="s">
        <v>32</v>
      </c>
      <c r="AB612" t="s">
        <v>44</v>
      </c>
      <c r="AC612">
        <v>42.9</v>
      </c>
      <c r="AD612" t="s">
        <v>34</v>
      </c>
      <c r="AE612">
        <v>2608.9699999999998</v>
      </c>
      <c r="AF612">
        <v>1</v>
      </c>
    </row>
    <row r="613" spans="3:32" x14ac:dyDescent="0.35">
      <c r="C613" s="1">
        <v>43826</v>
      </c>
      <c r="D613" s="2">
        <v>43800</v>
      </c>
      <c r="E613">
        <v>1674</v>
      </c>
      <c r="F613" s="3">
        <v>3551.42</v>
      </c>
      <c r="G613" s="3">
        <v>3519.52</v>
      </c>
      <c r="H613" s="3">
        <v>31.9</v>
      </c>
      <c r="I613" s="3">
        <v>0.99</v>
      </c>
      <c r="J613">
        <v>0.3</v>
      </c>
      <c r="K613">
        <v>2156.62</v>
      </c>
      <c r="L613" t="s">
        <v>35</v>
      </c>
      <c r="M613">
        <v>748</v>
      </c>
      <c r="N613">
        <v>0.28999999999999998</v>
      </c>
      <c r="O613" s="3">
        <v>668.47</v>
      </c>
      <c r="P613" s="3">
        <v>0.19</v>
      </c>
      <c r="Q613" s="3">
        <v>375.38</v>
      </c>
      <c r="R613" s="3">
        <v>0.11</v>
      </c>
      <c r="S613">
        <v>3</v>
      </c>
      <c r="T613">
        <v>776.38</v>
      </c>
      <c r="U613">
        <v>48</v>
      </c>
      <c r="V613">
        <v>0</v>
      </c>
      <c r="W613">
        <v>1155.77</v>
      </c>
      <c r="X613">
        <v>1723.52</v>
      </c>
      <c r="Y613" t="s">
        <v>36</v>
      </c>
      <c r="Z613" s="3">
        <v>1676.37</v>
      </c>
      <c r="AA613" t="s">
        <v>46</v>
      </c>
      <c r="AB613" t="s">
        <v>42</v>
      </c>
      <c r="AC613">
        <v>66.3</v>
      </c>
      <c r="AD613" t="s">
        <v>34</v>
      </c>
      <c r="AE613">
        <v>31.9</v>
      </c>
      <c r="AF613">
        <v>0</v>
      </c>
    </row>
    <row r="614" spans="3:32" x14ac:dyDescent="0.35">
      <c r="C614" s="1">
        <v>43826</v>
      </c>
      <c r="D614" s="2">
        <v>43800</v>
      </c>
      <c r="E614">
        <v>1978</v>
      </c>
      <c r="F614" s="3">
        <v>3409.21</v>
      </c>
      <c r="G614" s="3">
        <v>2482.21</v>
      </c>
      <c r="H614" s="3">
        <v>927</v>
      </c>
      <c r="I614" s="3">
        <v>0.73</v>
      </c>
      <c r="J614">
        <v>0.13</v>
      </c>
      <c r="K614">
        <v>3487.54</v>
      </c>
      <c r="L614" t="s">
        <v>35</v>
      </c>
      <c r="M614">
        <v>654</v>
      </c>
      <c r="N614">
        <v>0.11</v>
      </c>
      <c r="O614" s="3">
        <v>491.2</v>
      </c>
      <c r="P614" s="3">
        <v>0.14000000000000001</v>
      </c>
      <c r="Q614" s="3">
        <v>705.43</v>
      </c>
      <c r="R614" s="3">
        <v>0.21</v>
      </c>
      <c r="S614">
        <v>2</v>
      </c>
      <c r="T614">
        <v>1561.27</v>
      </c>
      <c r="U614">
        <v>57</v>
      </c>
      <c r="V614">
        <v>0</v>
      </c>
      <c r="W614">
        <v>310.48</v>
      </c>
      <c r="X614">
        <v>1795.41</v>
      </c>
      <c r="Y614" t="s">
        <v>31</v>
      </c>
      <c r="Z614" s="3">
        <v>1166.45</v>
      </c>
      <c r="AA614" t="s">
        <v>46</v>
      </c>
      <c r="AB614" t="s">
        <v>33</v>
      </c>
      <c r="AC614">
        <v>24.3</v>
      </c>
      <c r="AD614" t="s">
        <v>43</v>
      </c>
      <c r="AE614">
        <v>927</v>
      </c>
      <c r="AF614">
        <v>0</v>
      </c>
    </row>
    <row r="615" spans="3:32" x14ac:dyDescent="0.35">
      <c r="C615" s="1">
        <v>43826</v>
      </c>
      <c r="D615" s="2">
        <v>43800</v>
      </c>
      <c r="E615">
        <v>1350</v>
      </c>
      <c r="F615" s="3">
        <v>5147.1400000000003</v>
      </c>
      <c r="G615" s="3">
        <v>4477.9799999999996</v>
      </c>
      <c r="H615" s="3">
        <v>669.16</v>
      </c>
      <c r="I615" s="3">
        <v>0.87</v>
      </c>
      <c r="J615">
        <v>0.38</v>
      </c>
      <c r="K615">
        <v>3459.09</v>
      </c>
      <c r="L615" t="s">
        <v>35</v>
      </c>
      <c r="M615">
        <v>584</v>
      </c>
      <c r="N615">
        <v>0.57999999999999996</v>
      </c>
      <c r="O615" s="3">
        <v>229.5</v>
      </c>
      <c r="P615" s="3">
        <v>0.04</v>
      </c>
      <c r="Q615" s="3">
        <v>685.28</v>
      </c>
      <c r="R615" s="3">
        <v>0.13</v>
      </c>
      <c r="S615">
        <v>7</v>
      </c>
      <c r="T615">
        <v>783.34</v>
      </c>
      <c r="U615">
        <v>90</v>
      </c>
      <c r="V615">
        <v>0</v>
      </c>
      <c r="W615">
        <v>561.94000000000005</v>
      </c>
      <c r="X615">
        <v>2149.5100000000002</v>
      </c>
      <c r="Y615" t="s">
        <v>36</v>
      </c>
      <c r="Z615" s="3">
        <v>1778.79</v>
      </c>
      <c r="AA615" t="s">
        <v>47</v>
      </c>
      <c r="AB615" t="s">
        <v>33</v>
      </c>
      <c r="AC615">
        <v>59.1</v>
      </c>
      <c r="AD615" t="s">
        <v>38</v>
      </c>
      <c r="AE615">
        <v>669.16</v>
      </c>
      <c r="AF615">
        <v>0</v>
      </c>
    </row>
    <row r="616" spans="3:32" x14ac:dyDescent="0.35">
      <c r="C616" s="1">
        <v>43826</v>
      </c>
      <c r="D616" s="2">
        <v>43800</v>
      </c>
      <c r="E616">
        <v>1464</v>
      </c>
      <c r="F616" s="3">
        <v>2264.88</v>
      </c>
      <c r="G616" s="3">
        <v>2096.54</v>
      </c>
      <c r="H616" s="3">
        <v>168.34</v>
      </c>
      <c r="I616" s="3">
        <v>0.93</v>
      </c>
      <c r="J616">
        <v>0.19</v>
      </c>
      <c r="K616">
        <v>2190.87</v>
      </c>
      <c r="L616" t="s">
        <v>30</v>
      </c>
      <c r="M616">
        <v>755</v>
      </c>
      <c r="N616">
        <v>0.4</v>
      </c>
      <c r="O616" s="3">
        <v>188.86</v>
      </c>
      <c r="P616" s="3">
        <v>0.08</v>
      </c>
      <c r="Q616" s="3">
        <v>887.66</v>
      </c>
      <c r="R616" s="3">
        <v>0.39</v>
      </c>
      <c r="S616">
        <v>6</v>
      </c>
      <c r="T616">
        <v>112.96</v>
      </c>
      <c r="U616">
        <v>60</v>
      </c>
      <c r="V616">
        <v>0</v>
      </c>
      <c r="W616">
        <v>576.72</v>
      </c>
      <c r="X616">
        <v>3053.82</v>
      </c>
      <c r="Y616" t="s">
        <v>31</v>
      </c>
      <c r="Z616" s="3">
        <v>1578.99</v>
      </c>
      <c r="AA616" t="s">
        <v>32</v>
      </c>
      <c r="AB616" t="s">
        <v>33</v>
      </c>
      <c r="AC616">
        <v>32.799999999999997</v>
      </c>
      <c r="AD616" t="s">
        <v>34</v>
      </c>
      <c r="AE616">
        <v>168.34</v>
      </c>
      <c r="AF616">
        <v>0</v>
      </c>
    </row>
    <row r="617" spans="3:32" x14ac:dyDescent="0.35">
      <c r="C617" s="1">
        <v>43826</v>
      </c>
      <c r="D617" s="2">
        <v>43800</v>
      </c>
      <c r="E617">
        <v>1552</v>
      </c>
      <c r="F617" s="3">
        <v>3523.77</v>
      </c>
      <c r="G617" s="3">
        <v>2486.14</v>
      </c>
      <c r="H617" s="3">
        <v>1037.6300000000001</v>
      </c>
      <c r="I617" s="3">
        <v>0.71</v>
      </c>
      <c r="J617">
        <v>0.16</v>
      </c>
      <c r="K617">
        <v>2000.32</v>
      </c>
      <c r="L617" t="s">
        <v>35</v>
      </c>
      <c r="M617">
        <v>683</v>
      </c>
      <c r="N617">
        <v>0.43</v>
      </c>
      <c r="O617" s="3">
        <v>303.91000000000003</v>
      </c>
      <c r="P617" s="3">
        <v>0.09</v>
      </c>
      <c r="Q617" s="3">
        <v>257.87</v>
      </c>
      <c r="R617" s="3">
        <v>7.0000000000000007E-2</v>
      </c>
      <c r="S617">
        <v>3</v>
      </c>
      <c r="T617">
        <v>1088.74</v>
      </c>
      <c r="U617">
        <v>20</v>
      </c>
      <c r="V617">
        <v>0</v>
      </c>
      <c r="W617">
        <v>452.98</v>
      </c>
      <c r="X617">
        <v>2433.54</v>
      </c>
      <c r="Y617" t="s">
        <v>36</v>
      </c>
      <c r="Z617" s="3">
        <v>1395.36</v>
      </c>
      <c r="AA617" t="s">
        <v>40</v>
      </c>
      <c r="AB617" t="s">
        <v>33</v>
      </c>
      <c r="AC617">
        <v>37.700000000000003</v>
      </c>
      <c r="AD617" t="s">
        <v>43</v>
      </c>
      <c r="AE617">
        <v>1037.6300000000001</v>
      </c>
      <c r="AF617">
        <v>0</v>
      </c>
    </row>
    <row r="618" spans="3:32" x14ac:dyDescent="0.35">
      <c r="C618" s="1">
        <v>43826</v>
      </c>
      <c r="D618" s="2">
        <v>43800</v>
      </c>
      <c r="E618">
        <v>1707</v>
      </c>
      <c r="F618" s="3">
        <v>4286.3500000000004</v>
      </c>
      <c r="G618" s="3">
        <v>3701.82</v>
      </c>
      <c r="H618" s="3">
        <v>584.53</v>
      </c>
      <c r="I618" s="3">
        <v>0.86</v>
      </c>
      <c r="J618">
        <v>0.31</v>
      </c>
      <c r="K618">
        <v>1704.7</v>
      </c>
      <c r="L618" t="s">
        <v>39</v>
      </c>
      <c r="M618">
        <v>696</v>
      </c>
      <c r="N618">
        <v>0.34</v>
      </c>
      <c r="O618" s="3">
        <v>1053.9100000000001</v>
      </c>
      <c r="P618" s="3">
        <v>0.25</v>
      </c>
      <c r="Q618" s="3">
        <v>266.38</v>
      </c>
      <c r="R618" s="3">
        <v>0.06</v>
      </c>
      <c r="S618">
        <v>6</v>
      </c>
      <c r="T618">
        <v>1601</v>
      </c>
      <c r="U618">
        <v>38</v>
      </c>
      <c r="V618">
        <v>0</v>
      </c>
      <c r="W618">
        <v>585.86</v>
      </c>
      <c r="X618">
        <v>1712.12</v>
      </c>
      <c r="Y618" t="s">
        <v>36</v>
      </c>
      <c r="Z618" s="3">
        <v>1223.17</v>
      </c>
      <c r="AA618" t="s">
        <v>48</v>
      </c>
      <c r="AB618" t="s">
        <v>44</v>
      </c>
      <c r="AC618">
        <v>22.5</v>
      </c>
      <c r="AD618" t="s">
        <v>43</v>
      </c>
      <c r="AE618">
        <v>584.53</v>
      </c>
      <c r="AF618">
        <v>0</v>
      </c>
    </row>
    <row r="619" spans="3:32" x14ac:dyDescent="0.35">
      <c r="C619" s="1">
        <v>43826</v>
      </c>
      <c r="D619" s="2">
        <v>43800</v>
      </c>
      <c r="E619">
        <v>1614</v>
      </c>
      <c r="F619" s="3">
        <v>2521.17</v>
      </c>
      <c r="G619" s="3">
        <v>2507.6799999999998</v>
      </c>
      <c r="H619" s="3">
        <v>13.49</v>
      </c>
      <c r="I619" s="3">
        <v>0.99</v>
      </c>
      <c r="J619">
        <v>0.09</v>
      </c>
      <c r="K619">
        <v>2730.81</v>
      </c>
      <c r="L619" t="s">
        <v>30</v>
      </c>
      <c r="M619">
        <v>567</v>
      </c>
      <c r="N619">
        <v>0.27</v>
      </c>
      <c r="O619" s="3">
        <v>631.99</v>
      </c>
      <c r="P619" s="3">
        <v>0.25</v>
      </c>
      <c r="Q619" s="3">
        <v>11.25</v>
      </c>
      <c r="R619" s="3">
        <v>0</v>
      </c>
      <c r="S619">
        <v>3</v>
      </c>
      <c r="T619">
        <v>1138.08</v>
      </c>
      <c r="U619">
        <v>52</v>
      </c>
      <c r="V619">
        <v>0</v>
      </c>
      <c r="W619">
        <v>745.68</v>
      </c>
      <c r="X619">
        <v>1630.68</v>
      </c>
      <c r="Y619" t="s">
        <v>36</v>
      </c>
      <c r="Z619" s="3">
        <v>1076.93</v>
      </c>
      <c r="AA619" t="s">
        <v>51</v>
      </c>
      <c r="AB619" t="s">
        <v>33</v>
      </c>
      <c r="AC619">
        <v>27.6</v>
      </c>
      <c r="AD619" t="s">
        <v>43</v>
      </c>
      <c r="AE619">
        <v>13.49</v>
      </c>
      <c r="AF619">
        <v>0</v>
      </c>
    </row>
    <row r="620" spans="3:32" x14ac:dyDescent="0.35">
      <c r="C620" s="1">
        <v>43826</v>
      </c>
      <c r="D620" s="2">
        <v>43800</v>
      </c>
      <c r="E620">
        <v>1930</v>
      </c>
      <c r="F620" s="3">
        <v>3083.05</v>
      </c>
      <c r="G620" s="3">
        <v>4311.2299999999996</v>
      </c>
      <c r="H620" s="3">
        <v>-1228.18</v>
      </c>
      <c r="I620" s="3">
        <v>1.4</v>
      </c>
      <c r="J620">
        <v>0.08</v>
      </c>
      <c r="K620">
        <v>3384.32</v>
      </c>
      <c r="L620" t="s">
        <v>30</v>
      </c>
      <c r="M620">
        <v>695</v>
      </c>
      <c r="N620">
        <v>0.32</v>
      </c>
      <c r="O620" s="3">
        <v>362.5</v>
      </c>
      <c r="P620" s="3">
        <v>0.12</v>
      </c>
      <c r="Q620" s="3">
        <v>7.18</v>
      </c>
      <c r="R620" s="3">
        <v>0</v>
      </c>
      <c r="S620">
        <v>1</v>
      </c>
      <c r="T620">
        <v>1333.28</v>
      </c>
      <c r="U620">
        <v>55</v>
      </c>
      <c r="V620">
        <v>0</v>
      </c>
      <c r="W620">
        <v>477.98</v>
      </c>
      <c r="X620">
        <v>3487.11</v>
      </c>
      <c r="Y620" t="s">
        <v>31</v>
      </c>
      <c r="Z620" s="3">
        <v>1491.89</v>
      </c>
      <c r="AA620" t="s">
        <v>47</v>
      </c>
      <c r="AB620" t="s">
        <v>33</v>
      </c>
      <c r="AC620">
        <v>38.799999999999997</v>
      </c>
      <c r="AD620" t="s">
        <v>34</v>
      </c>
      <c r="AE620">
        <v>0</v>
      </c>
      <c r="AF620">
        <v>0</v>
      </c>
    </row>
    <row r="621" spans="3:32" x14ac:dyDescent="0.35">
      <c r="C621" s="1">
        <v>43826</v>
      </c>
      <c r="D621" s="2">
        <v>43800</v>
      </c>
      <c r="E621">
        <v>1075</v>
      </c>
      <c r="F621" s="3">
        <v>3229.27</v>
      </c>
      <c r="G621" s="3">
        <v>3232.55</v>
      </c>
      <c r="H621" s="3">
        <v>-3.28</v>
      </c>
      <c r="I621" s="3">
        <v>1</v>
      </c>
      <c r="J621">
        <v>0.4</v>
      </c>
      <c r="K621">
        <v>1719.16</v>
      </c>
      <c r="L621" t="s">
        <v>35</v>
      </c>
      <c r="M621">
        <v>596</v>
      </c>
      <c r="N621">
        <v>0.39</v>
      </c>
      <c r="O621" s="3">
        <v>723</v>
      </c>
      <c r="P621" s="3">
        <v>0.22</v>
      </c>
      <c r="Q621" s="3">
        <v>443.63</v>
      </c>
      <c r="R621" s="3">
        <v>0.14000000000000001</v>
      </c>
      <c r="S621">
        <v>9</v>
      </c>
      <c r="T621">
        <v>1280.1300000000001</v>
      </c>
      <c r="U621">
        <v>80</v>
      </c>
      <c r="V621">
        <v>1</v>
      </c>
      <c r="W621">
        <v>544.71</v>
      </c>
      <c r="X621">
        <v>2819.56</v>
      </c>
      <c r="Y621" t="s">
        <v>36</v>
      </c>
      <c r="Z621" s="3">
        <v>1063.1600000000001</v>
      </c>
      <c r="AA621" t="s">
        <v>50</v>
      </c>
      <c r="AB621" t="s">
        <v>33</v>
      </c>
      <c r="AC621">
        <v>43.1</v>
      </c>
      <c r="AD621" t="s">
        <v>43</v>
      </c>
      <c r="AE621">
        <v>0</v>
      </c>
      <c r="AF621">
        <v>0</v>
      </c>
    </row>
    <row r="622" spans="3:32" x14ac:dyDescent="0.35">
      <c r="C622" s="1">
        <v>43826</v>
      </c>
      <c r="D622" s="2">
        <v>43800</v>
      </c>
      <c r="E622">
        <v>1515</v>
      </c>
      <c r="F622" s="3">
        <v>4263.13</v>
      </c>
      <c r="G622" s="3">
        <v>1756.35</v>
      </c>
      <c r="H622" s="3">
        <v>2506.7800000000002</v>
      </c>
      <c r="I622" s="3">
        <v>0.41</v>
      </c>
      <c r="J622">
        <v>0.38</v>
      </c>
      <c r="K622">
        <v>3083.67</v>
      </c>
      <c r="L622" t="s">
        <v>39</v>
      </c>
      <c r="M622">
        <v>649</v>
      </c>
      <c r="N622">
        <v>0.39</v>
      </c>
      <c r="O622" s="3">
        <v>366.24</v>
      </c>
      <c r="P622" s="3">
        <v>0.09</v>
      </c>
      <c r="Q622" s="3">
        <v>1028.1500000000001</v>
      </c>
      <c r="R622" s="3">
        <v>0.24</v>
      </c>
      <c r="S622">
        <v>4</v>
      </c>
      <c r="T622">
        <v>662.02</v>
      </c>
      <c r="U622">
        <v>53</v>
      </c>
      <c r="V622">
        <v>0</v>
      </c>
      <c r="W622">
        <v>540.5</v>
      </c>
      <c r="X622">
        <v>2241.85</v>
      </c>
      <c r="Y622" t="s">
        <v>36</v>
      </c>
      <c r="Z622" s="3">
        <v>1591.51</v>
      </c>
      <c r="AA622" t="s">
        <v>32</v>
      </c>
      <c r="AB622" t="s">
        <v>33</v>
      </c>
      <c r="AC622">
        <v>66</v>
      </c>
      <c r="AD622" t="s">
        <v>43</v>
      </c>
      <c r="AE622">
        <v>2506.7800000000002</v>
      </c>
      <c r="AF622">
        <v>0</v>
      </c>
    </row>
    <row r="623" spans="3:32" x14ac:dyDescent="0.35">
      <c r="C623" s="1">
        <v>43826</v>
      </c>
      <c r="D623" s="2">
        <v>43800</v>
      </c>
      <c r="E623">
        <v>1917</v>
      </c>
      <c r="F623" s="3">
        <v>2947.45</v>
      </c>
      <c r="G623" s="3">
        <v>3373.17</v>
      </c>
      <c r="H623" s="3">
        <v>-425.72</v>
      </c>
      <c r="I623" s="3">
        <v>1.1399999999999999</v>
      </c>
      <c r="J623">
        <v>0.32</v>
      </c>
      <c r="K623">
        <v>2670.61</v>
      </c>
      <c r="L623" t="s">
        <v>39</v>
      </c>
      <c r="M623">
        <v>762</v>
      </c>
      <c r="N623">
        <v>0.27</v>
      </c>
      <c r="O623" s="3">
        <v>803.49</v>
      </c>
      <c r="P623" s="3">
        <v>0.27</v>
      </c>
      <c r="Q623" s="3">
        <v>315.58999999999997</v>
      </c>
      <c r="R623" s="3">
        <v>0.11</v>
      </c>
      <c r="S623">
        <v>2</v>
      </c>
      <c r="T623">
        <v>898.29</v>
      </c>
      <c r="U623">
        <v>70</v>
      </c>
      <c r="V623">
        <v>0</v>
      </c>
      <c r="W623">
        <v>661.62</v>
      </c>
      <c r="X623">
        <v>2171.7199999999998</v>
      </c>
      <c r="Y623" t="s">
        <v>49</v>
      </c>
      <c r="Z623" s="3">
        <v>963.64</v>
      </c>
      <c r="AA623" t="s">
        <v>51</v>
      </c>
      <c r="AB623" t="s">
        <v>33</v>
      </c>
      <c r="AC623">
        <v>55.2</v>
      </c>
      <c r="AD623" t="s">
        <v>43</v>
      </c>
      <c r="AE623">
        <v>0</v>
      </c>
      <c r="AF623">
        <v>0</v>
      </c>
    </row>
    <row r="624" spans="3:32" x14ac:dyDescent="0.35">
      <c r="C624" s="1">
        <v>43826</v>
      </c>
      <c r="D624" s="2">
        <v>43800</v>
      </c>
      <c r="E624">
        <v>1453</v>
      </c>
      <c r="F624" s="3">
        <v>5447.32</v>
      </c>
      <c r="G624" s="3">
        <v>3872.62</v>
      </c>
      <c r="H624" s="3">
        <v>1574.7</v>
      </c>
      <c r="I624" s="3">
        <v>0.71</v>
      </c>
      <c r="J624">
        <v>0.31</v>
      </c>
      <c r="K624">
        <v>2622.29</v>
      </c>
      <c r="L624" t="s">
        <v>35</v>
      </c>
      <c r="M624">
        <v>745</v>
      </c>
      <c r="N624">
        <v>0.5</v>
      </c>
      <c r="O624" s="3">
        <v>392.34</v>
      </c>
      <c r="P624" s="3">
        <v>7.0000000000000007E-2</v>
      </c>
      <c r="Q624" s="3">
        <v>395.52</v>
      </c>
      <c r="R624" s="3">
        <v>7.0000000000000007E-2</v>
      </c>
      <c r="S624">
        <v>4</v>
      </c>
      <c r="T624">
        <v>1255.79</v>
      </c>
      <c r="U624">
        <v>93</v>
      </c>
      <c r="V624">
        <v>0</v>
      </c>
      <c r="W624">
        <v>200.49</v>
      </c>
      <c r="X624">
        <v>2157.19</v>
      </c>
      <c r="Y624" t="s">
        <v>49</v>
      </c>
      <c r="Z624" s="3">
        <v>662.55</v>
      </c>
      <c r="AA624" t="s">
        <v>41</v>
      </c>
      <c r="AB624" t="s">
        <v>33</v>
      </c>
      <c r="AC624">
        <v>87.3</v>
      </c>
      <c r="AD624" t="s">
        <v>43</v>
      </c>
      <c r="AE624">
        <v>1574.7</v>
      </c>
      <c r="AF624">
        <v>0</v>
      </c>
    </row>
    <row r="625" spans="3:32" x14ac:dyDescent="0.35">
      <c r="C625" s="1">
        <v>43826</v>
      </c>
      <c r="D625" s="2">
        <v>43800</v>
      </c>
      <c r="E625">
        <v>1464</v>
      </c>
      <c r="F625" s="3">
        <v>3954.72</v>
      </c>
      <c r="G625" s="3">
        <v>3614.49</v>
      </c>
      <c r="H625" s="3">
        <v>340.23</v>
      </c>
      <c r="I625" s="3">
        <v>0.91</v>
      </c>
      <c r="J625">
        <v>7.0000000000000007E-2</v>
      </c>
      <c r="K625">
        <v>2529.0700000000002</v>
      </c>
      <c r="L625" t="s">
        <v>35</v>
      </c>
      <c r="M625">
        <v>668</v>
      </c>
      <c r="N625">
        <v>0.15</v>
      </c>
      <c r="O625" s="3">
        <v>762</v>
      </c>
      <c r="P625" s="3">
        <v>0.19</v>
      </c>
      <c r="Q625" s="3">
        <v>563.48</v>
      </c>
      <c r="R625" s="3">
        <v>0.14000000000000001</v>
      </c>
      <c r="S625">
        <v>7</v>
      </c>
      <c r="T625">
        <v>797.91</v>
      </c>
      <c r="U625">
        <v>98</v>
      </c>
      <c r="V625">
        <v>1</v>
      </c>
      <c r="W625">
        <v>332.3</v>
      </c>
      <c r="X625">
        <v>2269.5500000000002</v>
      </c>
      <c r="Y625" t="s">
        <v>36</v>
      </c>
      <c r="Z625" s="3">
        <v>1449.47</v>
      </c>
      <c r="AA625" t="s">
        <v>45</v>
      </c>
      <c r="AB625" t="s">
        <v>44</v>
      </c>
      <c r="AC625">
        <v>38.5</v>
      </c>
      <c r="AD625" t="s">
        <v>34</v>
      </c>
      <c r="AE625">
        <v>340.23</v>
      </c>
      <c r="AF625">
        <v>0</v>
      </c>
    </row>
    <row r="626" spans="3:32" x14ac:dyDescent="0.35">
      <c r="C626" s="1">
        <v>43826</v>
      </c>
      <c r="D626" s="2">
        <v>43800</v>
      </c>
      <c r="E626">
        <v>1001</v>
      </c>
      <c r="F626" s="3">
        <v>5343.85</v>
      </c>
      <c r="G626" s="3">
        <v>4082.16</v>
      </c>
      <c r="H626" s="3">
        <v>1261.69</v>
      </c>
      <c r="I626" s="3">
        <v>0.76</v>
      </c>
      <c r="J626">
        <v>0.13</v>
      </c>
      <c r="K626">
        <v>2101.12</v>
      </c>
      <c r="L626" t="s">
        <v>35</v>
      </c>
      <c r="M626">
        <v>687</v>
      </c>
      <c r="N626">
        <v>0.27</v>
      </c>
      <c r="O626" s="3">
        <v>692.51</v>
      </c>
      <c r="P626" s="3">
        <v>0.13</v>
      </c>
      <c r="Q626" s="3">
        <v>35.82</v>
      </c>
      <c r="R626" s="3">
        <v>0.01</v>
      </c>
      <c r="S626">
        <v>3</v>
      </c>
      <c r="T626">
        <v>168.87</v>
      </c>
      <c r="U626">
        <v>69</v>
      </c>
      <c r="V626">
        <v>0</v>
      </c>
      <c r="W626">
        <v>193.65</v>
      </c>
      <c r="X626">
        <v>3263.26</v>
      </c>
      <c r="Y626" t="s">
        <v>36</v>
      </c>
      <c r="Z626" s="3">
        <v>1502.98</v>
      </c>
      <c r="AA626" t="s">
        <v>50</v>
      </c>
      <c r="AB626" t="s">
        <v>33</v>
      </c>
      <c r="AC626">
        <v>49.2</v>
      </c>
      <c r="AD626" t="s">
        <v>43</v>
      </c>
      <c r="AE626">
        <v>1261.69</v>
      </c>
      <c r="AF626">
        <v>0</v>
      </c>
    </row>
    <row r="627" spans="3:32" x14ac:dyDescent="0.35">
      <c r="C627" s="1">
        <v>43826</v>
      </c>
      <c r="D627" s="2">
        <v>43800</v>
      </c>
      <c r="E627">
        <v>1679</v>
      </c>
      <c r="F627" s="3">
        <v>3413.85</v>
      </c>
      <c r="G627" s="3">
        <v>3451.51</v>
      </c>
      <c r="H627" s="3">
        <v>-37.659999999999997</v>
      </c>
      <c r="I627" s="3">
        <v>1.01</v>
      </c>
      <c r="J627">
        <v>0.21</v>
      </c>
      <c r="K627">
        <v>2516.75</v>
      </c>
      <c r="L627" t="s">
        <v>35</v>
      </c>
      <c r="M627">
        <v>597</v>
      </c>
      <c r="N627">
        <v>0.49</v>
      </c>
      <c r="O627" s="3">
        <v>226.37</v>
      </c>
      <c r="P627" s="3">
        <v>7.0000000000000007E-2</v>
      </c>
      <c r="Q627" s="3">
        <v>380.06</v>
      </c>
      <c r="R627" s="3">
        <v>0.11</v>
      </c>
      <c r="S627">
        <v>5</v>
      </c>
      <c r="T627">
        <v>1683.19</v>
      </c>
      <c r="U627">
        <v>64</v>
      </c>
      <c r="V627">
        <v>0</v>
      </c>
      <c r="W627">
        <v>206.73</v>
      </c>
      <c r="X627">
        <v>1963.1</v>
      </c>
      <c r="Y627" t="s">
        <v>36</v>
      </c>
      <c r="Z627" s="3">
        <v>1411.29</v>
      </c>
      <c r="AA627" t="s">
        <v>47</v>
      </c>
      <c r="AB627" t="s">
        <v>33</v>
      </c>
      <c r="AC627">
        <v>22.5</v>
      </c>
      <c r="AD627" t="s">
        <v>34</v>
      </c>
      <c r="AE627">
        <v>0</v>
      </c>
      <c r="AF627">
        <v>0</v>
      </c>
    </row>
    <row r="628" spans="3:32" x14ac:dyDescent="0.35">
      <c r="C628" s="1">
        <v>43826</v>
      </c>
      <c r="D628" s="2">
        <v>43800</v>
      </c>
      <c r="E628">
        <v>1045</v>
      </c>
      <c r="F628" s="3">
        <v>3655.81</v>
      </c>
      <c r="G628" s="3">
        <v>3709.65</v>
      </c>
      <c r="H628" s="3">
        <v>-53.84</v>
      </c>
      <c r="I628" s="3">
        <v>1.01</v>
      </c>
      <c r="J628">
        <v>0.2</v>
      </c>
      <c r="K628">
        <v>2990.21</v>
      </c>
      <c r="L628" t="s">
        <v>35</v>
      </c>
      <c r="M628">
        <v>740</v>
      </c>
      <c r="N628">
        <v>0.18</v>
      </c>
      <c r="O628" s="3">
        <v>404.11</v>
      </c>
      <c r="P628" s="3">
        <v>0.11</v>
      </c>
      <c r="Q628" s="3">
        <v>655.25</v>
      </c>
      <c r="R628" s="3">
        <v>0.18</v>
      </c>
      <c r="S628">
        <v>2</v>
      </c>
      <c r="T628">
        <v>1089.33</v>
      </c>
      <c r="U628">
        <v>32</v>
      </c>
      <c r="V628">
        <v>0</v>
      </c>
      <c r="W628">
        <v>427.1</v>
      </c>
      <c r="X628">
        <v>2487.4699999999998</v>
      </c>
      <c r="Y628" t="s">
        <v>49</v>
      </c>
      <c r="Z628" s="3">
        <v>919.49</v>
      </c>
      <c r="AA628" t="s">
        <v>41</v>
      </c>
      <c r="AB628" t="s">
        <v>44</v>
      </c>
      <c r="AC628">
        <v>75.8</v>
      </c>
      <c r="AD628" t="s">
        <v>43</v>
      </c>
      <c r="AE628">
        <v>0</v>
      </c>
      <c r="AF628">
        <v>0</v>
      </c>
    </row>
    <row r="629" spans="3:32" x14ac:dyDescent="0.35">
      <c r="C629" s="1">
        <v>43826</v>
      </c>
      <c r="D629" s="2">
        <v>43800</v>
      </c>
      <c r="E629">
        <v>1894</v>
      </c>
      <c r="F629" s="3">
        <v>5774.37</v>
      </c>
      <c r="G629" s="3">
        <v>3152.04</v>
      </c>
      <c r="H629" s="3">
        <v>2622.33</v>
      </c>
      <c r="I629" s="3">
        <v>0.55000000000000004</v>
      </c>
      <c r="J629">
        <v>0.28000000000000003</v>
      </c>
      <c r="K629">
        <v>2539.08</v>
      </c>
      <c r="L629" t="s">
        <v>35</v>
      </c>
      <c r="M629">
        <v>720</v>
      </c>
      <c r="N629">
        <v>0.56999999999999995</v>
      </c>
      <c r="O629" s="3">
        <v>336.22</v>
      </c>
      <c r="P629" s="3">
        <v>0.06</v>
      </c>
      <c r="Q629" s="3">
        <v>30.64</v>
      </c>
      <c r="R629" s="3">
        <v>0.01</v>
      </c>
      <c r="S629">
        <v>8</v>
      </c>
      <c r="T629">
        <v>1733.47</v>
      </c>
      <c r="U629">
        <v>59</v>
      </c>
      <c r="V629">
        <v>0</v>
      </c>
      <c r="W629">
        <v>804.41</v>
      </c>
      <c r="X629">
        <v>2943.47</v>
      </c>
      <c r="Y629" t="s">
        <v>36</v>
      </c>
      <c r="Z629" s="3">
        <v>1035.1600000000001</v>
      </c>
      <c r="AA629" t="s">
        <v>41</v>
      </c>
      <c r="AB629" t="s">
        <v>33</v>
      </c>
      <c r="AC629">
        <v>33.799999999999997</v>
      </c>
      <c r="AD629" t="s">
        <v>38</v>
      </c>
      <c r="AE629">
        <v>2622.33</v>
      </c>
      <c r="AF629">
        <v>1</v>
      </c>
    </row>
    <row r="630" spans="3:32" x14ac:dyDescent="0.35">
      <c r="C630" s="1">
        <v>43826</v>
      </c>
      <c r="D630" s="2">
        <v>43800</v>
      </c>
      <c r="E630">
        <v>1005</v>
      </c>
      <c r="F630" s="3">
        <v>4862.26</v>
      </c>
      <c r="G630" s="3">
        <v>3358.43</v>
      </c>
      <c r="H630" s="3">
        <v>1503.83</v>
      </c>
      <c r="I630" s="3">
        <v>0.69</v>
      </c>
      <c r="J630">
        <v>0.12</v>
      </c>
      <c r="K630">
        <v>2524.54</v>
      </c>
      <c r="L630" t="s">
        <v>35</v>
      </c>
      <c r="M630">
        <v>655</v>
      </c>
      <c r="N630">
        <v>0.48</v>
      </c>
      <c r="O630" s="3">
        <v>329.87</v>
      </c>
      <c r="P630" s="3">
        <v>7.0000000000000007E-2</v>
      </c>
      <c r="Q630" s="3">
        <v>7.55</v>
      </c>
      <c r="R630" s="3">
        <v>0</v>
      </c>
      <c r="S630">
        <v>4</v>
      </c>
      <c r="T630">
        <v>597.37</v>
      </c>
      <c r="U630">
        <v>21</v>
      </c>
      <c r="V630">
        <v>0</v>
      </c>
      <c r="W630">
        <v>833.07</v>
      </c>
      <c r="X630">
        <v>2772.01</v>
      </c>
      <c r="Y630" t="s">
        <v>36</v>
      </c>
      <c r="Z630" s="3">
        <v>1769.22</v>
      </c>
      <c r="AA630" t="s">
        <v>48</v>
      </c>
      <c r="AB630" t="s">
        <v>42</v>
      </c>
      <c r="AC630">
        <v>31.9</v>
      </c>
      <c r="AD630" t="s">
        <v>34</v>
      </c>
      <c r="AE630">
        <v>1503.83</v>
      </c>
      <c r="AF630">
        <v>0</v>
      </c>
    </row>
    <row r="631" spans="3:32" x14ac:dyDescent="0.35">
      <c r="C631" s="1">
        <v>43826</v>
      </c>
      <c r="D631" s="2">
        <v>43800</v>
      </c>
      <c r="E631">
        <v>1190</v>
      </c>
      <c r="F631" s="3">
        <v>3459.71</v>
      </c>
      <c r="G631" s="3">
        <v>3007.72</v>
      </c>
      <c r="H631" s="3">
        <v>451.99</v>
      </c>
      <c r="I631" s="3">
        <v>0.87</v>
      </c>
      <c r="J631">
        <v>0.27</v>
      </c>
      <c r="K631">
        <v>2128.75</v>
      </c>
      <c r="L631" t="s">
        <v>35</v>
      </c>
      <c r="M631">
        <v>674</v>
      </c>
      <c r="N631">
        <v>0.5</v>
      </c>
      <c r="O631" s="3">
        <v>311.31</v>
      </c>
      <c r="P631" s="3">
        <v>0.09</v>
      </c>
      <c r="Q631" s="3">
        <v>0</v>
      </c>
      <c r="R631" s="3">
        <v>0</v>
      </c>
      <c r="S631">
        <v>7</v>
      </c>
      <c r="T631">
        <v>1775.81</v>
      </c>
      <c r="U631">
        <v>80</v>
      </c>
      <c r="V631">
        <v>0</v>
      </c>
      <c r="W631">
        <v>439.2</v>
      </c>
      <c r="X631">
        <v>2412.54</v>
      </c>
      <c r="Y631" t="s">
        <v>36</v>
      </c>
      <c r="Z631" s="3">
        <v>850.78</v>
      </c>
      <c r="AA631" t="s">
        <v>41</v>
      </c>
      <c r="AB631" t="s">
        <v>33</v>
      </c>
      <c r="AC631">
        <v>57.4</v>
      </c>
      <c r="AD631" t="s">
        <v>34</v>
      </c>
      <c r="AE631">
        <v>451.99</v>
      </c>
      <c r="AF631">
        <v>0</v>
      </c>
    </row>
    <row r="632" spans="3:32" x14ac:dyDescent="0.35">
      <c r="C632" s="1">
        <v>43826</v>
      </c>
      <c r="D632" s="2">
        <v>43800</v>
      </c>
      <c r="E632">
        <v>1659</v>
      </c>
      <c r="F632" s="3">
        <v>3762</v>
      </c>
      <c r="G632" s="3">
        <v>3573.26</v>
      </c>
      <c r="H632" s="3">
        <v>188.74</v>
      </c>
      <c r="I632" s="3">
        <v>0.95</v>
      </c>
      <c r="J632">
        <v>0.33</v>
      </c>
      <c r="K632">
        <v>3385.31</v>
      </c>
      <c r="L632" t="s">
        <v>30</v>
      </c>
      <c r="M632">
        <v>668</v>
      </c>
      <c r="N632">
        <v>0.56000000000000005</v>
      </c>
      <c r="O632" s="3">
        <v>932.6</v>
      </c>
      <c r="P632" s="3">
        <v>0.25</v>
      </c>
      <c r="Q632" s="3">
        <v>448.53</v>
      </c>
      <c r="R632" s="3">
        <v>0.12</v>
      </c>
      <c r="S632">
        <v>5</v>
      </c>
      <c r="T632">
        <v>1660.75</v>
      </c>
      <c r="U632">
        <v>77</v>
      </c>
      <c r="V632">
        <v>0</v>
      </c>
      <c r="W632">
        <v>318.20999999999998</v>
      </c>
      <c r="X632">
        <v>3012.81</v>
      </c>
      <c r="Y632" t="s">
        <v>36</v>
      </c>
      <c r="Z632" s="3">
        <v>782.06</v>
      </c>
      <c r="AA632" t="s">
        <v>32</v>
      </c>
      <c r="AB632" t="s">
        <v>33</v>
      </c>
      <c r="AC632">
        <v>35.9</v>
      </c>
      <c r="AD632" t="s">
        <v>43</v>
      </c>
      <c r="AE632">
        <v>188.74</v>
      </c>
      <c r="AF632">
        <v>0</v>
      </c>
    </row>
    <row r="633" spans="3:32" x14ac:dyDescent="0.35">
      <c r="C633" s="1">
        <v>43826</v>
      </c>
      <c r="D633" s="2">
        <v>43800</v>
      </c>
      <c r="E633">
        <v>1343</v>
      </c>
      <c r="F633" s="3">
        <v>4441.1099999999997</v>
      </c>
      <c r="G633" s="3">
        <v>2796.79</v>
      </c>
      <c r="H633" s="3">
        <v>1644.32</v>
      </c>
      <c r="I633" s="3">
        <v>0.63</v>
      </c>
      <c r="J633">
        <v>0.18</v>
      </c>
      <c r="K633">
        <v>1800.28</v>
      </c>
      <c r="L633" t="s">
        <v>39</v>
      </c>
      <c r="M633">
        <v>755</v>
      </c>
      <c r="N633">
        <v>0.36</v>
      </c>
      <c r="O633" s="3">
        <v>617.11</v>
      </c>
      <c r="P633" s="3">
        <v>0.14000000000000001</v>
      </c>
      <c r="Q633" s="3">
        <v>474.6</v>
      </c>
      <c r="R633" s="3">
        <v>0.11</v>
      </c>
      <c r="S633">
        <v>9</v>
      </c>
      <c r="T633">
        <v>0</v>
      </c>
      <c r="U633">
        <v>39</v>
      </c>
      <c r="V633">
        <v>0</v>
      </c>
      <c r="W633">
        <v>153.96</v>
      </c>
      <c r="X633">
        <v>2780.44</v>
      </c>
      <c r="Y633" t="s">
        <v>36</v>
      </c>
      <c r="Z633" s="3">
        <v>958.08</v>
      </c>
      <c r="AA633" t="s">
        <v>32</v>
      </c>
      <c r="AB633" t="s">
        <v>42</v>
      </c>
      <c r="AC633">
        <v>86.3</v>
      </c>
      <c r="AD633" t="s">
        <v>43</v>
      </c>
      <c r="AE633">
        <v>1644.32</v>
      </c>
      <c r="AF633">
        <v>0</v>
      </c>
    </row>
    <row r="634" spans="3:32" x14ac:dyDescent="0.35">
      <c r="C634" s="1">
        <v>43826</v>
      </c>
      <c r="D634" s="2">
        <v>43800</v>
      </c>
      <c r="E634">
        <v>1621</v>
      </c>
      <c r="F634" s="3">
        <v>3680.45</v>
      </c>
      <c r="G634" s="3">
        <v>4042.22</v>
      </c>
      <c r="H634" s="3">
        <v>-361.77</v>
      </c>
      <c r="I634" s="3">
        <v>1.1000000000000001</v>
      </c>
      <c r="J634">
        <v>0.27</v>
      </c>
      <c r="K634">
        <v>3495.84</v>
      </c>
      <c r="L634" t="s">
        <v>39</v>
      </c>
      <c r="M634">
        <v>660</v>
      </c>
      <c r="N634">
        <v>0.34</v>
      </c>
      <c r="O634" s="3">
        <v>249.96</v>
      </c>
      <c r="P634" s="3">
        <v>7.0000000000000007E-2</v>
      </c>
      <c r="Q634" s="3">
        <v>355.59</v>
      </c>
      <c r="R634" s="3">
        <v>0.1</v>
      </c>
      <c r="S634">
        <v>7</v>
      </c>
      <c r="T634">
        <v>466.37</v>
      </c>
      <c r="U634">
        <v>46</v>
      </c>
      <c r="V634">
        <v>0</v>
      </c>
      <c r="W634">
        <v>762.98</v>
      </c>
      <c r="X634">
        <v>1995.76</v>
      </c>
      <c r="Y634" t="s">
        <v>36</v>
      </c>
      <c r="Z634" s="3">
        <v>1419.3</v>
      </c>
      <c r="AA634" t="s">
        <v>37</v>
      </c>
      <c r="AB634" t="s">
        <v>44</v>
      </c>
      <c r="AC634">
        <v>91.1</v>
      </c>
      <c r="AD634" t="s">
        <v>34</v>
      </c>
      <c r="AE634">
        <v>0</v>
      </c>
      <c r="AF634">
        <v>0</v>
      </c>
    </row>
    <row r="635" spans="3:32" x14ac:dyDescent="0.35">
      <c r="C635" s="1">
        <v>43826</v>
      </c>
      <c r="D635" s="2">
        <v>43800</v>
      </c>
      <c r="E635">
        <v>1906</v>
      </c>
      <c r="F635" s="3">
        <v>2711.24</v>
      </c>
      <c r="G635" s="3">
        <v>3801.96</v>
      </c>
      <c r="H635" s="3">
        <v>-1090.72</v>
      </c>
      <c r="I635" s="3">
        <v>1.4</v>
      </c>
      <c r="J635">
        <v>0.11</v>
      </c>
      <c r="K635">
        <v>2930.94</v>
      </c>
      <c r="L635" t="s">
        <v>35</v>
      </c>
      <c r="M635">
        <v>537</v>
      </c>
      <c r="N635">
        <v>0.35</v>
      </c>
      <c r="O635" s="3">
        <v>367.32</v>
      </c>
      <c r="P635" s="3">
        <v>0.14000000000000001</v>
      </c>
      <c r="Q635" s="3">
        <v>613.5</v>
      </c>
      <c r="R635" s="3">
        <v>0.23</v>
      </c>
      <c r="S635">
        <v>2</v>
      </c>
      <c r="T635">
        <v>684.86</v>
      </c>
      <c r="U635">
        <v>47</v>
      </c>
      <c r="V635">
        <v>0</v>
      </c>
      <c r="W635">
        <v>699.68</v>
      </c>
      <c r="X635">
        <v>2596.14</v>
      </c>
      <c r="Y635" t="s">
        <v>36</v>
      </c>
      <c r="Z635" s="3">
        <v>557.29999999999995</v>
      </c>
      <c r="AA635" t="s">
        <v>46</v>
      </c>
      <c r="AB635" t="s">
        <v>44</v>
      </c>
      <c r="AC635">
        <v>4.0999999999999996</v>
      </c>
      <c r="AD635" t="s">
        <v>43</v>
      </c>
      <c r="AE635">
        <v>0</v>
      </c>
      <c r="AF635">
        <v>0</v>
      </c>
    </row>
    <row r="636" spans="3:32" x14ac:dyDescent="0.35">
      <c r="C636" s="1">
        <v>43826</v>
      </c>
      <c r="D636" s="2">
        <v>43800</v>
      </c>
      <c r="E636">
        <v>1181</v>
      </c>
      <c r="F636" s="3">
        <v>4501.68</v>
      </c>
      <c r="G636" s="3">
        <v>4413.32</v>
      </c>
      <c r="H636" s="3">
        <v>88.36</v>
      </c>
      <c r="I636" s="3">
        <v>0.98</v>
      </c>
      <c r="J636">
        <v>0.37</v>
      </c>
      <c r="K636">
        <v>3020.86</v>
      </c>
      <c r="L636" t="s">
        <v>35</v>
      </c>
      <c r="M636">
        <v>611</v>
      </c>
      <c r="N636">
        <v>0.49</v>
      </c>
      <c r="O636" s="3">
        <v>507.52</v>
      </c>
      <c r="P636" s="3">
        <v>0.11</v>
      </c>
      <c r="Q636" s="3">
        <v>133.41999999999999</v>
      </c>
      <c r="R636" s="3">
        <v>0.03</v>
      </c>
      <c r="S636">
        <v>3</v>
      </c>
      <c r="T636">
        <v>605.79</v>
      </c>
      <c r="U636">
        <v>56</v>
      </c>
      <c r="V636">
        <v>0</v>
      </c>
      <c r="W636">
        <v>243.94</v>
      </c>
      <c r="X636">
        <v>2881.34</v>
      </c>
      <c r="Y636" t="s">
        <v>36</v>
      </c>
      <c r="Z636" s="3">
        <v>1557.25</v>
      </c>
      <c r="AA636" t="s">
        <v>40</v>
      </c>
      <c r="AB636" t="s">
        <v>44</v>
      </c>
      <c r="AC636">
        <v>71</v>
      </c>
      <c r="AD636" t="s">
        <v>34</v>
      </c>
      <c r="AE636">
        <v>88.36</v>
      </c>
      <c r="AF636">
        <v>0</v>
      </c>
    </row>
    <row r="637" spans="3:32" x14ac:dyDescent="0.35">
      <c r="C637" s="1">
        <v>43826</v>
      </c>
      <c r="D637" s="2">
        <v>43800</v>
      </c>
      <c r="E637">
        <v>1535</v>
      </c>
      <c r="F637" s="3">
        <v>3785.95</v>
      </c>
      <c r="G637" s="3">
        <v>2378.21</v>
      </c>
      <c r="H637" s="3">
        <v>1407.74</v>
      </c>
      <c r="I637" s="3">
        <v>0.63</v>
      </c>
      <c r="J637">
        <v>0.32</v>
      </c>
      <c r="K637">
        <v>3084.82</v>
      </c>
      <c r="L637" t="s">
        <v>39</v>
      </c>
      <c r="M637">
        <v>765</v>
      </c>
      <c r="N637">
        <v>0.23</v>
      </c>
      <c r="O637" s="3">
        <v>386.79</v>
      </c>
      <c r="P637" s="3">
        <v>0.1</v>
      </c>
      <c r="Q637" s="3">
        <v>159.13999999999999</v>
      </c>
      <c r="R637" s="3">
        <v>0.04</v>
      </c>
      <c r="S637">
        <v>9</v>
      </c>
      <c r="T637">
        <v>737.64</v>
      </c>
      <c r="U637">
        <v>29</v>
      </c>
      <c r="V637">
        <v>0</v>
      </c>
      <c r="W637">
        <v>259.85000000000002</v>
      </c>
      <c r="X637">
        <v>1000</v>
      </c>
      <c r="Y637" t="s">
        <v>36</v>
      </c>
      <c r="Z637" s="3">
        <v>781.03</v>
      </c>
      <c r="AA637" t="s">
        <v>41</v>
      </c>
      <c r="AB637" t="s">
        <v>33</v>
      </c>
      <c r="AC637">
        <v>97.4</v>
      </c>
      <c r="AD637" t="s">
        <v>43</v>
      </c>
      <c r="AE637">
        <v>1407.74</v>
      </c>
      <c r="AF637">
        <v>0</v>
      </c>
    </row>
    <row r="638" spans="3:32" x14ac:dyDescent="0.35">
      <c r="C638" s="1">
        <v>43826</v>
      </c>
      <c r="D638" s="2">
        <v>43800</v>
      </c>
      <c r="E638">
        <v>1018</v>
      </c>
      <c r="F638" s="3">
        <v>3520.91</v>
      </c>
      <c r="G638" s="3">
        <v>3596.26</v>
      </c>
      <c r="H638" s="3">
        <v>-75.349999999999994</v>
      </c>
      <c r="I638" s="3">
        <v>1.02</v>
      </c>
      <c r="J638">
        <v>0.35</v>
      </c>
      <c r="K638">
        <v>3052.57</v>
      </c>
      <c r="L638" t="s">
        <v>35</v>
      </c>
      <c r="M638">
        <v>699</v>
      </c>
      <c r="N638">
        <v>0.15</v>
      </c>
      <c r="O638" s="3">
        <v>964.18</v>
      </c>
      <c r="P638" s="3">
        <v>0.27</v>
      </c>
      <c r="Q638" s="3">
        <v>193.58</v>
      </c>
      <c r="R638" s="3">
        <v>0.05</v>
      </c>
      <c r="S638">
        <v>2</v>
      </c>
      <c r="T638">
        <v>1026.24</v>
      </c>
      <c r="U638">
        <v>95</v>
      </c>
      <c r="V638">
        <v>0</v>
      </c>
      <c r="W638">
        <v>566.36</v>
      </c>
      <c r="X638">
        <v>1704.73</v>
      </c>
      <c r="Y638" t="s">
        <v>36</v>
      </c>
      <c r="Z638" s="3">
        <v>684.71</v>
      </c>
      <c r="AA638" t="s">
        <v>50</v>
      </c>
      <c r="AB638" t="s">
        <v>44</v>
      </c>
      <c r="AC638">
        <v>10.6</v>
      </c>
      <c r="AD638" t="s">
        <v>38</v>
      </c>
      <c r="AE638">
        <v>0</v>
      </c>
      <c r="AF638">
        <v>0</v>
      </c>
    </row>
    <row r="639" spans="3:32" x14ac:dyDescent="0.35">
      <c r="C639" s="1">
        <v>43826</v>
      </c>
      <c r="D639" s="2">
        <v>43800</v>
      </c>
      <c r="E639">
        <v>1242</v>
      </c>
      <c r="F639" s="3">
        <v>3475.1</v>
      </c>
      <c r="G639" s="3">
        <v>3307.57</v>
      </c>
      <c r="H639" s="3">
        <v>167.53</v>
      </c>
      <c r="I639" s="3">
        <v>0.95</v>
      </c>
      <c r="J639">
        <v>0.27</v>
      </c>
      <c r="K639">
        <v>2600.36</v>
      </c>
      <c r="L639" t="s">
        <v>30</v>
      </c>
      <c r="M639">
        <v>704</v>
      </c>
      <c r="N639">
        <v>0.51</v>
      </c>
      <c r="O639" s="3">
        <v>618.29999999999995</v>
      </c>
      <c r="P639" s="3">
        <v>0.18</v>
      </c>
      <c r="Q639" s="3">
        <v>665.62</v>
      </c>
      <c r="R639" s="3">
        <v>0.19</v>
      </c>
      <c r="S639">
        <v>5</v>
      </c>
      <c r="T639">
        <v>702.17</v>
      </c>
      <c r="U639">
        <v>97</v>
      </c>
      <c r="V639">
        <v>0</v>
      </c>
      <c r="W639">
        <v>144.86000000000001</v>
      </c>
      <c r="X639">
        <v>1000</v>
      </c>
      <c r="Y639" t="s">
        <v>36</v>
      </c>
      <c r="Z639" s="3">
        <v>1014.69</v>
      </c>
      <c r="AA639" t="s">
        <v>51</v>
      </c>
      <c r="AB639" t="s">
        <v>33</v>
      </c>
      <c r="AC639">
        <v>56.7</v>
      </c>
      <c r="AD639" t="s">
        <v>34</v>
      </c>
      <c r="AE639">
        <v>167.53</v>
      </c>
      <c r="AF639">
        <v>0</v>
      </c>
    </row>
    <row r="640" spans="3:32" x14ac:dyDescent="0.35">
      <c r="C640" s="1">
        <v>43826</v>
      </c>
      <c r="D640" s="2">
        <v>43800</v>
      </c>
      <c r="E640">
        <v>1144</v>
      </c>
      <c r="F640" s="3">
        <v>5209.0600000000004</v>
      </c>
      <c r="G640" s="3">
        <v>2367.65</v>
      </c>
      <c r="H640" s="3">
        <v>2841.41</v>
      </c>
      <c r="I640" s="3">
        <v>0.45</v>
      </c>
      <c r="J640">
        <v>0.16</v>
      </c>
      <c r="K640">
        <v>3119.57</v>
      </c>
      <c r="L640" t="s">
        <v>39</v>
      </c>
      <c r="M640">
        <v>672</v>
      </c>
      <c r="N640">
        <v>0.56999999999999995</v>
      </c>
      <c r="O640" s="3">
        <v>757.5</v>
      </c>
      <c r="P640" s="3">
        <v>0.15</v>
      </c>
      <c r="Q640" s="3">
        <v>403.08</v>
      </c>
      <c r="R640" s="3">
        <v>0.08</v>
      </c>
      <c r="S640">
        <v>1</v>
      </c>
      <c r="T640">
        <v>0</v>
      </c>
      <c r="U640">
        <v>48</v>
      </c>
      <c r="V640">
        <v>0</v>
      </c>
      <c r="W640">
        <v>459.2</v>
      </c>
      <c r="X640">
        <v>2119.27</v>
      </c>
      <c r="Y640" t="s">
        <v>36</v>
      </c>
      <c r="Z640" s="3">
        <v>1511.43</v>
      </c>
      <c r="AA640" t="s">
        <v>46</v>
      </c>
      <c r="AB640" t="s">
        <v>33</v>
      </c>
      <c r="AC640">
        <v>63</v>
      </c>
      <c r="AD640" t="s">
        <v>34</v>
      </c>
      <c r="AE640">
        <v>2841.41</v>
      </c>
      <c r="AF640">
        <v>0</v>
      </c>
    </row>
    <row r="641" spans="3:32" x14ac:dyDescent="0.35">
      <c r="C641" s="1">
        <v>43826</v>
      </c>
      <c r="D641" s="2">
        <v>43800</v>
      </c>
      <c r="E641">
        <v>1568</v>
      </c>
      <c r="F641" s="3">
        <v>3377.81</v>
      </c>
      <c r="G641" s="3">
        <v>2269.94</v>
      </c>
      <c r="H641" s="3">
        <v>1107.8699999999999</v>
      </c>
      <c r="I641" s="3">
        <v>0.67</v>
      </c>
      <c r="J641">
        <v>0.39</v>
      </c>
      <c r="K641">
        <v>2407.85</v>
      </c>
      <c r="L641" t="s">
        <v>35</v>
      </c>
      <c r="M641">
        <v>691</v>
      </c>
      <c r="N641">
        <v>0.13</v>
      </c>
      <c r="O641" s="3">
        <v>290.39999999999998</v>
      </c>
      <c r="P641" s="3">
        <v>0.09</v>
      </c>
      <c r="Q641" s="3">
        <v>446.36</v>
      </c>
      <c r="R641" s="3">
        <v>0.13</v>
      </c>
      <c r="S641">
        <v>7</v>
      </c>
      <c r="T641">
        <v>842.38</v>
      </c>
      <c r="U641">
        <v>49</v>
      </c>
      <c r="V641">
        <v>0</v>
      </c>
      <c r="W641">
        <v>164.67</v>
      </c>
      <c r="X641">
        <v>3227.58</v>
      </c>
      <c r="Y641" t="s">
        <v>36</v>
      </c>
      <c r="Z641" s="3">
        <v>1354.04</v>
      </c>
      <c r="AA641" t="s">
        <v>45</v>
      </c>
      <c r="AB641" t="s">
        <v>33</v>
      </c>
      <c r="AC641">
        <v>35.299999999999997</v>
      </c>
      <c r="AD641" t="s">
        <v>34</v>
      </c>
      <c r="AE641">
        <v>1107.8699999999999</v>
      </c>
      <c r="AF641">
        <v>0</v>
      </c>
    </row>
    <row r="642" spans="3:32" x14ac:dyDescent="0.35">
      <c r="C642" s="1">
        <v>43826</v>
      </c>
      <c r="D642" s="2">
        <v>43800</v>
      </c>
      <c r="E642">
        <v>1211</v>
      </c>
      <c r="F642" s="3">
        <v>2921.37</v>
      </c>
      <c r="G642" s="3">
        <v>4232.7700000000004</v>
      </c>
      <c r="H642" s="3">
        <v>-1311.4</v>
      </c>
      <c r="I642" s="3">
        <v>1.45</v>
      </c>
      <c r="J642">
        <v>0.18</v>
      </c>
      <c r="K642">
        <v>3422.24</v>
      </c>
      <c r="L642" t="s">
        <v>39</v>
      </c>
      <c r="M642">
        <v>760</v>
      </c>
      <c r="N642">
        <v>0.56000000000000005</v>
      </c>
      <c r="O642" s="3">
        <v>1054.19</v>
      </c>
      <c r="P642" s="3">
        <v>0.36</v>
      </c>
      <c r="Q642" s="3">
        <v>316.36</v>
      </c>
      <c r="R642" s="3">
        <v>0.11</v>
      </c>
      <c r="S642">
        <v>5</v>
      </c>
      <c r="T642">
        <v>1348.9</v>
      </c>
      <c r="U642">
        <v>38</v>
      </c>
      <c r="V642">
        <v>0</v>
      </c>
      <c r="W642">
        <v>488.34</v>
      </c>
      <c r="X642">
        <v>2750.29</v>
      </c>
      <c r="Y642" t="s">
        <v>31</v>
      </c>
      <c r="Z642" s="3">
        <v>1367.9</v>
      </c>
      <c r="AA642" t="s">
        <v>45</v>
      </c>
      <c r="AB642" t="s">
        <v>33</v>
      </c>
      <c r="AC642">
        <v>1.5</v>
      </c>
      <c r="AD642" t="s">
        <v>34</v>
      </c>
      <c r="AE642">
        <v>0</v>
      </c>
      <c r="AF642">
        <v>0</v>
      </c>
    </row>
    <row r="643" spans="3:32" x14ac:dyDescent="0.35">
      <c r="C643" s="1">
        <v>43826</v>
      </c>
      <c r="D643" s="2">
        <v>43800</v>
      </c>
      <c r="E643">
        <v>1509</v>
      </c>
      <c r="F643" s="3">
        <v>5090.21</v>
      </c>
      <c r="G643" s="3">
        <v>4712.13</v>
      </c>
      <c r="H643" s="3">
        <v>378.08</v>
      </c>
      <c r="I643" s="3">
        <v>0.93</v>
      </c>
      <c r="J643">
        <v>0.31</v>
      </c>
      <c r="K643">
        <v>3024.71</v>
      </c>
      <c r="L643" t="s">
        <v>39</v>
      </c>
      <c r="M643">
        <v>653</v>
      </c>
      <c r="N643">
        <v>0.44</v>
      </c>
      <c r="O643" s="3">
        <v>364.46</v>
      </c>
      <c r="P643" s="3">
        <v>7.0000000000000007E-2</v>
      </c>
      <c r="Q643" s="3">
        <v>469.84</v>
      </c>
      <c r="R643" s="3">
        <v>0.09</v>
      </c>
      <c r="S643">
        <v>1</v>
      </c>
      <c r="T643">
        <v>842.3</v>
      </c>
      <c r="U643">
        <v>77</v>
      </c>
      <c r="V643">
        <v>0</v>
      </c>
      <c r="W643">
        <v>484.99</v>
      </c>
      <c r="X643">
        <v>2145.13</v>
      </c>
      <c r="Y643" t="s">
        <v>36</v>
      </c>
      <c r="Z643" s="3">
        <v>1550.02</v>
      </c>
      <c r="AA643" t="s">
        <v>47</v>
      </c>
      <c r="AB643" t="s">
        <v>33</v>
      </c>
      <c r="AC643">
        <v>4.5</v>
      </c>
      <c r="AD643" t="s">
        <v>34</v>
      </c>
      <c r="AE643">
        <v>378.08</v>
      </c>
      <c r="AF643">
        <v>0</v>
      </c>
    </row>
    <row r="644" spans="3:32" x14ac:dyDescent="0.35">
      <c r="C644" s="1">
        <v>43826</v>
      </c>
      <c r="D644" s="2">
        <v>43800</v>
      </c>
      <c r="E644">
        <v>1190</v>
      </c>
      <c r="F644" s="3">
        <v>4254.03</v>
      </c>
      <c r="G644" s="3">
        <v>2610.84</v>
      </c>
      <c r="H644" s="3">
        <v>1643.19</v>
      </c>
      <c r="I644" s="3">
        <v>0.61</v>
      </c>
      <c r="J644">
        <v>0.33</v>
      </c>
      <c r="K644">
        <v>2544.98</v>
      </c>
      <c r="L644" t="s">
        <v>35</v>
      </c>
      <c r="M644">
        <v>559</v>
      </c>
      <c r="N644">
        <v>0.46</v>
      </c>
      <c r="O644" s="3">
        <v>588.76</v>
      </c>
      <c r="P644" s="3">
        <v>0.14000000000000001</v>
      </c>
      <c r="Q644" s="3">
        <v>411.87</v>
      </c>
      <c r="R644" s="3">
        <v>0.1</v>
      </c>
      <c r="S644">
        <v>5</v>
      </c>
      <c r="T644">
        <v>1725.53</v>
      </c>
      <c r="U644">
        <v>28</v>
      </c>
      <c r="V644">
        <v>0</v>
      </c>
      <c r="W644">
        <v>692.08</v>
      </c>
      <c r="X644">
        <v>2794.27</v>
      </c>
      <c r="Y644" t="s">
        <v>36</v>
      </c>
      <c r="Z644" s="3">
        <v>843.64</v>
      </c>
      <c r="AA644" t="s">
        <v>50</v>
      </c>
      <c r="AB644" t="s">
        <v>33</v>
      </c>
      <c r="AC644">
        <v>26</v>
      </c>
      <c r="AD644" t="s">
        <v>43</v>
      </c>
      <c r="AE644">
        <v>1643.19</v>
      </c>
      <c r="AF644">
        <v>0</v>
      </c>
    </row>
    <row r="645" spans="3:32" x14ac:dyDescent="0.35">
      <c r="C645" s="1">
        <v>43826</v>
      </c>
      <c r="D645" s="2">
        <v>43800</v>
      </c>
      <c r="E645">
        <v>1164</v>
      </c>
      <c r="F645" s="3">
        <v>4562.57</v>
      </c>
      <c r="G645" s="3">
        <v>1738.88</v>
      </c>
      <c r="H645" s="3">
        <v>2823.69</v>
      </c>
      <c r="I645" s="3">
        <v>0.38</v>
      </c>
      <c r="J645">
        <v>0.11</v>
      </c>
      <c r="K645">
        <v>2093.61</v>
      </c>
      <c r="L645" t="s">
        <v>35</v>
      </c>
      <c r="M645">
        <v>679</v>
      </c>
      <c r="N645">
        <v>0.31</v>
      </c>
      <c r="O645" s="3">
        <v>270.52999999999997</v>
      </c>
      <c r="P645" s="3">
        <v>0.06</v>
      </c>
      <c r="Q645" s="3">
        <v>592.38</v>
      </c>
      <c r="R645" s="3">
        <v>0.13</v>
      </c>
      <c r="S645">
        <v>3</v>
      </c>
      <c r="T645">
        <v>948.69</v>
      </c>
      <c r="U645">
        <v>20</v>
      </c>
      <c r="V645">
        <v>0</v>
      </c>
      <c r="W645">
        <v>441.47</v>
      </c>
      <c r="X645">
        <v>2432.27</v>
      </c>
      <c r="Y645" t="s">
        <v>31</v>
      </c>
      <c r="Z645" s="3">
        <v>1215.94</v>
      </c>
      <c r="AA645" t="s">
        <v>37</v>
      </c>
      <c r="AB645" t="s">
        <v>42</v>
      </c>
      <c r="AC645">
        <v>10.3</v>
      </c>
      <c r="AD645" t="s">
        <v>43</v>
      </c>
      <c r="AE645">
        <v>2823.69</v>
      </c>
      <c r="AF645">
        <v>1</v>
      </c>
    </row>
    <row r="646" spans="3:32" x14ac:dyDescent="0.35">
      <c r="C646" s="1">
        <v>43826</v>
      </c>
      <c r="D646" s="2">
        <v>43800</v>
      </c>
      <c r="E646">
        <v>1804</v>
      </c>
      <c r="F646" s="3">
        <v>3901.15</v>
      </c>
      <c r="G646" s="3">
        <v>2717</v>
      </c>
      <c r="H646" s="3">
        <v>1184.1500000000001</v>
      </c>
      <c r="I646" s="3">
        <v>0.7</v>
      </c>
      <c r="J646">
        <v>0.3</v>
      </c>
      <c r="K646">
        <v>1855.69</v>
      </c>
      <c r="L646" t="s">
        <v>35</v>
      </c>
      <c r="M646">
        <v>622</v>
      </c>
      <c r="N646">
        <v>0.38</v>
      </c>
      <c r="O646" s="3">
        <v>767.81</v>
      </c>
      <c r="P646" s="3">
        <v>0.2</v>
      </c>
      <c r="Q646" s="3">
        <v>486.09</v>
      </c>
      <c r="R646" s="3">
        <v>0.12</v>
      </c>
      <c r="S646">
        <v>2</v>
      </c>
      <c r="T646">
        <v>1199.7</v>
      </c>
      <c r="U646">
        <v>73</v>
      </c>
      <c r="V646">
        <v>0</v>
      </c>
      <c r="W646">
        <v>710.38</v>
      </c>
      <c r="X646">
        <v>1652.88</v>
      </c>
      <c r="Y646" t="s">
        <v>36</v>
      </c>
      <c r="Z646" s="3">
        <v>740.95</v>
      </c>
      <c r="AA646" t="s">
        <v>51</v>
      </c>
      <c r="AB646" t="s">
        <v>42</v>
      </c>
      <c r="AC646">
        <v>21.5</v>
      </c>
      <c r="AD646" t="s">
        <v>43</v>
      </c>
      <c r="AE646">
        <v>1184.1500000000001</v>
      </c>
      <c r="AF646">
        <v>0</v>
      </c>
    </row>
    <row r="647" spans="3:32" x14ac:dyDescent="0.35">
      <c r="C647" s="1">
        <v>43826</v>
      </c>
      <c r="D647" s="2">
        <v>43800</v>
      </c>
      <c r="E647">
        <v>1048</v>
      </c>
      <c r="F647" s="3">
        <v>4910.32</v>
      </c>
      <c r="G647" s="3">
        <v>2386.86</v>
      </c>
      <c r="H647" s="3">
        <v>2523.46</v>
      </c>
      <c r="I647" s="3">
        <v>0.49</v>
      </c>
      <c r="J647">
        <v>0.05</v>
      </c>
      <c r="K647">
        <v>2359.4499999999998</v>
      </c>
      <c r="L647" t="s">
        <v>35</v>
      </c>
      <c r="M647">
        <v>693</v>
      </c>
      <c r="N647">
        <v>0.2</v>
      </c>
      <c r="O647" s="3">
        <v>794.2</v>
      </c>
      <c r="P647" s="3">
        <v>0.16</v>
      </c>
      <c r="Q647" s="3">
        <v>558.22</v>
      </c>
      <c r="R647" s="3">
        <v>0.11</v>
      </c>
      <c r="S647">
        <v>5</v>
      </c>
      <c r="T647">
        <v>716.03</v>
      </c>
      <c r="U647">
        <v>86</v>
      </c>
      <c r="V647">
        <v>0</v>
      </c>
      <c r="W647">
        <v>422.18</v>
      </c>
      <c r="X647">
        <v>2973.95</v>
      </c>
      <c r="Y647" t="s">
        <v>36</v>
      </c>
      <c r="Z647" s="3">
        <v>1073.3399999999999</v>
      </c>
      <c r="AA647" t="s">
        <v>51</v>
      </c>
      <c r="AB647" t="s">
        <v>33</v>
      </c>
      <c r="AC647">
        <v>71.3</v>
      </c>
      <c r="AD647" t="s">
        <v>34</v>
      </c>
      <c r="AE647">
        <v>2523.46</v>
      </c>
      <c r="AF647">
        <v>1</v>
      </c>
    </row>
    <row r="648" spans="3:32" x14ac:dyDescent="0.35">
      <c r="C648" s="1">
        <v>43826</v>
      </c>
      <c r="D648" s="2">
        <v>43800</v>
      </c>
      <c r="E648">
        <v>1757</v>
      </c>
      <c r="F648" s="3">
        <v>3568.93</v>
      </c>
      <c r="G648" s="3">
        <v>2621.82</v>
      </c>
      <c r="H648" s="3">
        <v>947.11</v>
      </c>
      <c r="I648" s="3">
        <v>0.73</v>
      </c>
      <c r="J648">
        <v>0.19</v>
      </c>
      <c r="K648">
        <v>2343.12</v>
      </c>
      <c r="L648" t="s">
        <v>35</v>
      </c>
      <c r="M648">
        <v>681</v>
      </c>
      <c r="N648">
        <v>0.55000000000000004</v>
      </c>
      <c r="O648" s="3">
        <v>385.83</v>
      </c>
      <c r="P648" s="3">
        <v>0.11</v>
      </c>
      <c r="Q648" s="3">
        <v>455.31</v>
      </c>
      <c r="R648" s="3">
        <v>0.13</v>
      </c>
      <c r="S648">
        <v>4</v>
      </c>
      <c r="T648">
        <v>911.69</v>
      </c>
      <c r="U648">
        <v>49</v>
      </c>
      <c r="V648">
        <v>0</v>
      </c>
      <c r="W648">
        <v>360.97</v>
      </c>
      <c r="X648">
        <v>1357.68</v>
      </c>
      <c r="Y648" t="s">
        <v>31</v>
      </c>
      <c r="Z648" s="3">
        <v>1028.19</v>
      </c>
      <c r="AA648" t="s">
        <v>40</v>
      </c>
      <c r="AB648" t="s">
        <v>33</v>
      </c>
      <c r="AC648">
        <v>36.700000000000003</v>
      </c>
      <c r="AD648" t="s">
        <v>38</v>
      </c>
      <c r="AE648">
        <v>947.11</v>
      </c>
      <c r="AF648">
        <v>0</v>
      </c>
    </row>
    <row r="649" spans="3:32" x14ac:dyDescent="0.35">
      <c r="C649" s="1">
        <v>43826</v>
      </c>
      <c r="D649" s="2">
        <v>43800</v>
      </c>
      <c r="E649">
        <v>1642</v>
      </c>
      <c r="F649" s="3">
        <v>3306.56</v>
      </c>
      <c r="G649" s="3">
        <v>3844.91</v>
      </c>
      <c r="H649" s="3">
        <v>-538.35</v>
      </c>
      <c r="I649" s="3">
        <v>1.1599999999999999</v>
      </c>
      <c r="J649">
        <v>0.28000000000000003</v>
      </c>
      <c r="K649">
        <v>2816.23</v>
      </c>
      <c r="L649" t="s">
        <v>35</v>
      </c>
      <c r="M649">
        <v>668</v>
      </c>
      <c r="N649">
        <v>0.13</v>
      </c>
      <c r="O649" s="3">
        <v>270.83</v>
      </c>
      <c r="P649" s="3">
        <v>0.08</v>
      </c>
      <c r="Q649" s="3">
        <v>818.92</v>
      </c>
      <c r="R649" s="3">
        <v>0.25</v>
      </c>
      <c r="S649">
        <v>7</v>
      </c>
      <c r="T649">
        <v>1064.48</v>
      </c>
      <c r="U649">
        <v>56</v>
      </c>
      <c r="V649">
        <v>1</v>
      </c>
      <c r="W649">
        <v>222.52</v>
      </c>
      <c r="X649">
        <v>2888.05</v>
      </c>
      <c r="Y649" t="s">
        <v>36</v>
      </c>
      <c r="Z649" s="3">
        <v>1127.29</v>
      </c>
      <c r="AA649" t="s">
        <v>41</v>
      </c>
      <c r="AB649" t="s">
        <v>42</v>
      </c>
      <c r="AC649">
        <v>20.8</v>
      </c>
      <c r="AD649" t="s">
        <v>43</v>
      </c>
      <c r="AE649">
        <v>0</v>
      </c>
      <c r="AF649">
        <v>0</v>
      </c>
    </row>
    <row r="650" spans="3:32" x14ac:dyDescent="0.35">
      <c r="C650" s="1">
        <v>43826</v>
      </c>
      <c r="D650" s="2">
        <v>43800</v>
      </c>
      <c r="E650">
        <v>1103</v>
      </c>
      <c r="F650" s="3">
        <v>4147.4399999999996</v>
      </c>
      <c r="G650" s="3">
        <v>2334.44</v>
      </c>
      <c r="H650" s="3">
        <v>1813</v>
      </c>
      <c r="I650" s="3">
        <v>0.56000000000000005</v>
      </c>
      <c r="J650">
        <v>0.17</v>
      </c>
      <c r="K650">
        <v>2864.82</v>
      </c>
      <c r="L650" t="s">
        <v>39</v>
      </c>
      <c r="M650">
        <v>655</v>
      </c>
      <c r="N650">
        <v>0.36</v>
      </c>
      <c r="O650" s="3">
        <v>824.75</v>
      </c>
      <c r="P650" s="3">
        <v>0.2</v>
      </c>
      <c r="Q650" s="3">
        <v>160.43</v>
      </c>
      <c r="R650" s="3">
        <v>0.04</v>
      </c>
      <c r="S650">
        <v>3</v>
      </c>
      <c r="T650">
        <v>683.93</v>
      </c>
      <c r="U650">
        <v>63</v>
      </c>
      <c r="V650">
        <v>0</v>
      </c>
      <c r="W650">
        <v>417.61</v>
      </c>
      <c r="X650">
        <v>3503.29</v>
      </c>
      <c r="Y650" t="s">
        <v>36</v>
      </c>
      <c r="Z650" s="3">
        <v>1761.14</v>
      </c>
      <c r="AA650" t="s">
        <v>41</v>
      </c>
      <c r="AB650" t="s">
        <v>33</v>
      </c>
      <c r="AC650">
        <v>15.5</v>
      </c>
      <c r="AD650" t="s">
        <v>43</v>
      </c>
      <c r="AE650">
        <v>1813</v>
      </c>
      <c r="AF650">
        <v>0</v>
      </c>
    </row>
    <row r="651" spans="3:32" x14ac:dyDescent="0.35">
      <c r="C651" s="1">
        <v>43826</v>
      </c>
      <c r="D651" s="2">
        <v>43800</v>
      </c>
      <c r="E651">
        <v>1584</v>
      </c>
      <c r="F651" s="3">
        <v>4819.38</v>
      </c>
      <c r="G651" s="3">
        <v>2130.0700000000002</v>
      </c>
      <c r="H651" s="3">
        <v>2689.31</v>
      </c>
      <c r="I651" s="3">
        <v>0.44</v>
      </c>
      <c r="J651">
        <v>0.08</v>
      </c>
      <c r="K651">
        <v>3172.58</v>
      </c>
      <c r="L651" t="s">
        <v>35</v>
      </c>
      <c r="M651">
        <v>604</v>
      </c>
      <c r="N651">
        <v>0.45</v>
      </c>
      <c r="O651" s="3">
        <v>563.5</v>
      </c>
      <c r="P651" s="3">
        <v>0.12</v>
      </c>
      <c r="Q651" s="3">
        <v>465.6</v>
      </c>
      <c r="R651" s="3">
        <v>0.1</v>
      </c>
      <c r="S651">
        <v>3</v>
      </c>
      <c r="T651">
        <v>966.55</v>
      </c>
      <c r="U651">
        <v>72</v>
      </c>
      <c r="V651">
        <v>0</v>
      </c>
      <c r="W651">
        <v>793.26</v>
      </c>
      <c r="X651">
        <v>3060.69</v>
      </c>
      <c r="Y651" t="s">
        <v>36</v>
      </c>
      <c r="Z651" s="3">
        <v>1584.54</v>
      </c>
      <c r="AA651" t="s">
        <v>32</v>
      </c>
      <c r="AB651" t="s">
        <v>33</v>
      </c>
      <c r="AC651">
        <v>54.2</v>
      </c>
      <c r="AD651" t="s">
        <v>38</v>
      </c>
      <c r="AE651">
        <v>2689.31</v>
      </c>
      <c r="AF651">
        <v>0</v>
      </c>
    </row>
    <row r="652" spans="3:32" x14ac:dyDescent="0.35">
      <c r="C652" s="1">
        <v>43856</v>
      </c>
      <c r="D652" s="2">
        <v>43831</v>
      </c>
      <c r="E652">
        <v>1884</v>
      </c>
      <c r="F652" s="3">
        <v>2110.66</v>
      </c>
      <c r="G652" s="3">
        <v>2707.86</v>
      </c>
      <c r="H652" s="3">
        <v>-597.20000000000005</v>
      </c>
      <c r="I652" s="3">
        <v>1.28</v>
      </c>
      <c r="J652">
        <v>0.24</v>
      </c>
      <c r="K652">
        <v>1420.73</v>
      </c>
      <c r="L652" t="s">
        <v>39</v>
      </c>
      <c r="M652">
        <v>647</v>
      </c>
      <c r="N652">
        <v>0.32</v>
      </c>
      <c r="O652" s="3">
        <v>331.5</v>
      </c>
      <c r="P652" s="3">
        <v>0.16</v>
      </c>
      <c r="Q652" s="3">
        <v>563.48</v>
      </c>
      <c r="R652" s="3">
        <v>0.27</v>
      </c>
      <c r="S652">
        <v>6</v>
      </c>
      <c r="T652">
        <v>1153.6400000000001</v>
      </c>
      <c r="U652">
        <v>86</v>
      </c>
      <c r="V652">
        <v>0</v>
      </c>
      <c r="W652">
        <v>309.45999999999998</v>
      </c>
      <c r="X652">
        <v>3236.23</v>
      </c>
      <c r="Y652" t="s">
        <v>36</v>
      </c>
      <c r="Z652" s="3">
        <v>790.3</v>
      </c>
      <c r="AA652" t="s">
        <v>37</v>
      </c>
      <c r="AB652" t="s">
        <v>33</v>
      </c>
      <c r="AC652">
        <v>17.2</v>
      </c>
      <c r="AD652" t="s">
        <v>43</v>
      </c>
      <c r="AE652">
        <v>0</v>
      </c>
      <c r="AF652">
        <v>0</v>
      </c>
    </row>
    <row r="653" spans="3:32" x14ac:dyDescent="0.35">
      <c r="C653" s="1">
        <v>43856</v>
      </c>
      <c r="D653" s="2">
        <v>43831</v>
      </c>
      <c r="E653">
        <v>1084</v>
      </c>
      <c r="F653" s="3">
        <v>3677.05</v>
      </c>
      <c r="G653" s="3">
        <v>2276.04</v>
      </c>
      <c r="H653" s="3">
        <v>1401.01</v>
      </c>
      <c r="I653" s="3">
        <v>0.62</v>
      </c>
      <c r="J653">
        <v>0.17</v>
      </c>
      <c r="K653">
        <v>3074.08</v>
      </c>
      <c r="L653" t="s">
        <v>35</v>
      </c>
      <c r="M653">
        <v>753</v>
      </c>
      <c r="N653">
        <v>0.56999999999999995</v>
      </c>
      <c r="O653" s="3">
        <v>366.83</v>
      </c>
      <c r="P653" s="3">
        <v>0.1</v>
      </c>
      <c r="Q653" s="3">
        <v>601.09</v>
      </c>
      <c r="R653" s="3">
        <v>0.16</v>
      </c>
      <c r="S653">
        <v>9</v>
      </c>
      <c r="T653">
        <v>834.09</v>
      </c>
      <c r="U653">
        <v>36</v>
      </c>
      <c r="V653">
        <v>0</v>
      </c>
      <c r="W653">
        <v>146.24</v>
      </c>
      <c r="X653">
        <v>2715.84</v>
      </c>
      <c r="Y653" t="s">
        <v>36</v>
      </c>
      <c r="Z653" s="3">
        <v>1441.28</v>
      </c>
      <c r="AA653" t="s">
        <v>48</v>
      </c>
      <c r="AB653" t="s">
        <v>33</v>
      </c>
      <c r="AC653">
        <v>74.5</v>
      </c>
      <c r="AD653" t="s">
        <v>43</v>
      </c>
      <c r="AE653">
        <v>1401.01</v>
      </c>
      <c r="AF653">
        <v>0</v>
      </c>
    </row>
    <row r="654" spans="3:32" x14ac:dyDescent="0.35">
      <c r="C654" s="1">
        <v>43856</v>
      </c>
      <c r="D654" s="2">
        <v>43831</v>
      </c>
      <c r="E654">
        <v>1178</v>
      </c>
      <c r="F654" s="3">
        <v>4019.61</v>
      </c>
      <c r="G654" s="3">
        <v>3348.09</v>
      </c>
      <c r="H654" s="3">
        <v>671.52</v>
      </c>
      <c r="I654" s="3">
        <v>0.83</v>
      </c>
      <c r="J654">
        <v>0.09</v>
      </c>
      <c r="K654">
        <v>2223.5</v>
      </c>
      <c r="L654" t="s">
        <v>30</v>
      </c>
      <c r="M654">
        <v>662</v>
      </c>
      <c r="N654">
        <v>0.44</v>
      </c>
      <c r="O654" s="3">
        <v>361.59</v>
      </c>
      <c r="P654" s="3">
        <v>0.09</v>
      </c>
      <c r="Q654" s="3">
        <v>39.159999999999997</v>
      </c>
      <c r="R654" s="3">
        <v>0.01</v>
      </c>
      <c r="S654">
        <v>6</v>
      </c>
      <c r="T654">
        <v>1207.0999999999999</v>
      </c>
      <c r="U654">
        <v>27</v>
      </c>
      <c r="V654">
        <v>0</v>
      </c>
      <c r="W654">
        <v>373.47</v>
      </c>
      <c r="X654">
        <v>2248.86</v>
      </c>
      <c r="Y654" t="s">
        <v>36</v>
      </c>
      <c r="Z654" s="3">
        <v>591</v>
      </c>
      <c r="AA654" t="s">
        <v>40</v>
      </c>
      <c r="AB654" t="s">
        <v>42</v>
      </c>
      <c r="AC654">
        <v>93.2</v>
      </c>
      <c r="AD654" t="s">
        <v>34</v>
      </c>
      <c r="AE654">
        <v>671.52</v>
      </c>
      <c r="AF654">
        <v>0</v>
      </c>
    </row>
    <row r="655" spans="3:32" x14ac:dyDescent="0.35">
      <c r="C655" s="1">
        <v>43856</v>
      </c>
      <c r="D655" s="2">
        <v>43831</v>
      </c>
      <c r="E655">
        <v>1332</v>
      </c>
      <c r="F655" s="3">
        <v>4425.12</v>
      </c>
      <c r="G655" s="3">
        <v>2375.5100000000002</v>
      </c>
      <c r="H655" s="3">
        <v>2049.61</v>
      </c>
      <c r="I655" s="3">
        <v>0.54</v>
      </c>
      <c r="J655">
        <v>0.25</v>
      </c>
      <c r="K655">
        <v>3099.92</v>
      </c>
      <c r="L655" t="s">
        <v>35</v>
      </c>
      <c r="M655">
        <v>656</v>
      </c>
      <c r="N655">
        <v>0.15</v>
      </c>
      <c r="O655" s="3">
        <v>379.77</v>
      </c>
      <c r="P655" s="3">
        <v>0.09</v>
      </c>
      <c r="Q655" s="3">
        <v>221.77</v>
      </c>
      <c r="R655" s="3">
        <v>0.05</v>
      </c>
      <c r="S655">
        <v>3</v>
      </c>
      <c r="T655">
        <v>1568.27</v>
      </c>
      <c r="U655">
        <v>53</v>
      </c>
      <c r="V655">
        <v>0</v>
      </c>
      <c r="W655">
        <v>861.52</v>
      </c>
      <c r="X655">
        <v>2568.6</v>
      </c>
      <c r="Y655" t="s">
        <v>36</v>
      </c>
      <c r="Z655" s="3">
        <v>798.01</v>
      </c>
      <c r="AA655" t="s">
        <v>50</v>
      </c>
      <c r="AB655" t="s">
        <v>33</v>
      </c>
      <c r="AC655">
        <v>7.9</v>
      </c>
      <c r="AD655" t="s">
        <v>43</v>
      </c>
      <c r="AE655">
        <v>2049.61</v>
      </c>
      <c r="AF655">
        <v>0</v>
      </c>
    </row>
    <row r="656" spans="3:32" x14ac:dyDescent="0.35">
      <c r="C656" s="1">
        <v>43856</v>
      </c>
      <c r="D656" s="2">
        <v>43831</v>
      </c>
      <c r="E656">
        <v>1314</v>
      </c>
      <c r="F656" s="3">
        <v>4083.62</v>
      </c>
      <c r="G656" s="3">
        <v>3354.56</v>
      </c>
      <c r="H656" s="3">
        <v>729.06</v>
      </c>
      <c r="I656" s="3">
        <v>0.82</v>
      </c>
      <c r="J656">
        <v>0.09</v>
      </c>
      <c r="K656">
        <v>2979.78</v>
      </c>
      <c r="L656" t="s">
        <v>35</v>
      </c>
      <c r="M656">
        <v>636</v>
      </c>
      <c r="N656">
        <v>0.42</v>
      </c>
      <c r="O656" s="3">
        <v>300.91000000000003</v>
      </c>
      <c r="P656" s="3">
        <v>7.0000000000000007E-2</v>
      </c>
      <c r="Q656" s="3">
        <v>196.15</v>
      </c>
      <c r="R656" s="3">
        <v>0.05</v>
      </c>
      <c r="S656">
        <v>9</v>
      </c>
      <c r="T656">
        <v>1743.24</v>
      </c>
      <c r="U656">
        <v>37</v>
      </c>
      <c r="V656">
        <v>0</v>
      </c>
      <c r="W656">
        <v>413.06</v>
      </c>
      <c r="X656">
        <v>2072.7199999999998</v>
      </c>
      <c r="Y656" t="s">
        <v>36</v>
      </c>
      <c r="Z656" s="3">
        <v>1039.3499999999999</v>
      </c>
      <c r="AA656" t="s">
        <v>32</v>
      </c>
      <c r="AB656" t="s">
        <v>33</v>
      </c>
      <c r="AC656">
        <v>59</v>
      </c>
      <c r="AD656" t="s">
        <v>43</v>
      </c>
      <c r="AE656">
        <v>729.06</v>
      </c>
      <c r="AF656">
        <v>0</v>
      </c>
    </row>
    <row r="657" spans="3:32" x14ac:dyDescent="0.35">
      <c r="C657" s="1">
        <v>43856</v>
      </c>
      <c r="D657" s="2">
        <v>43831</v>
      </c>
      <c r="E657">
        <v>1587</v>
      </c>
      <c r="F657" s="3">
        <v>5040.93</v>
      </c>
      <c r="G657" s="3">
        <v>3350.26</v>
      </c>
      <c r="H657" s="3">
        <v>1690.67</v>
      </c>
      <c r="I657" s="3">
        <v>0.66</v>
      </c>
      <c r="J657">
        <v>0.21</v>
      </c>
      <c r="K657">
        <v>3111.74</v>
      </c>
      <c r="L657" t="s">
        <v>39</v>
      </c>
      <c r="M657">
        <v>708</v>
      </c>
      <c r="N657">
        <v>0.43</v>
      </c>
      <c r="O657" s="3">
        <v>760.56</v>
      </c>
      <c r="P657" s="3">
        <v>0.15</v>
      </c>
      <c r="Q657" s="3">
        <v>300.43</v>
      </c>
      <c r="R657" s="3">
        <v>0.06</v>
      </c>
      <c r="S657">
        <v>9</v>
      </c>
      <c r="T657">
        <v>789.99</v>
      </c>
      <c r="U657">
        <v>21</v>
      </c>
      <c r="V657">
        <v>0</v>
      </c>
      <c r="W657">
        <v>516.09</v>
      </c>
      <c r="X657">
        <v>2329.35</v>
      </c>
      <c r="Y657" t="s">
        <v>36</v>
      </c>
      <c r="Z657" s="3">
        <v>802.08</v>
      </c>
      <c r="AA657" t="s">
        <v>45</v>
      </c>
      <c r="AB657" t="s">
        <v>42</v>
      </c>
      <c r="AC657">
        <v>56.5</v>
      </c>
      <c r="AD657" t="s">
        <v>43</v>
      </c>
      <c r="AE657">
        <v>1690.67</v>
      </c>
      <c r="AF657">
        <v>0</v>
      </c>
    </row>
    <row r="658" spans="3:32" x14ac:dyDescent="0.35">
      <c r="C658" s="1">
        <v>43856</v>
      </c>
      <c r="D658" s="2">
        <v>43831</v>
      </c>
      <c r="E658">
        <v>1562</v>
      </c>
      <c r="F658" s="3">
        <v>3704.46</v>
      </c>
      <c r="G658" s="3">
        <v>2639.58</v>
      </c>
      <c r="H658" s="3">
        <v>1064.8800000000001</v>
      </c>
      <c r="I658" s="3">
        <v>0.71</v>
      </c>
      <c r="J658">
        <v>7.0000000000000007E-2</v>
      </c>
      <c r="K658">
        <v>3431.52</v>
      </c>
      <c r="L658" t="s">
        <v>39</v>
      </c>
      <c r="M658">
        <v>681</v>
      </c>
      <c r="N658">
        <v>0.21</v>
      </c>
      <c r="O658" s="3">
        <v>564.79999999999995</v>
      </c>
      <c r="P658" s="3">
        <v>0.15</v>
      </c>
      <c r="Q658" s="3">
        <v>675.96</v>
      </c>
      <c r="R658" s="3">
        <v>0.18</v>
      </c>
      <c r="S658">
        <v>7</v>
      </c>
      <c r="T658">
        <v>686.59</v>
      </c>
      <c r="U658">
        <v>29</v>
      </c>
      <c r="V658">
        <v>0</v>
      </c>
      <c r="W658">
        <v>487.78</v>
      </c>
      <c r="X658">
        <v>2115.7600000000002</v>
      </c>
      <c r="Y658" t="s">
        <v>36</v>
      </c>
      <c r="Z658" s="3">
        <v>924.55</v>
      </c>
      <c r="AA658" t="s">
        <v>37</v>
      </c>
      <c r="AB658" t="s">
        <v>33</v>
      </c>
      <c r="AC658">
        <v>69.5</v>
      </c>
      <c r="AD658" t="s">
        <v>34</v>
      </c>
      <c r="AE658">
        <v>1064.8800000000001</v>
      </c>
      <c r="AF658">
        <v>0</v>
      </c>
    </row>
    <row r="659" spans="3:32" x14ac:dyDescent="0.35">
      <c r="C659" s="1">
        <v>43856</v>
      </c>
      <c r="D659" s="2">
        <v>43831</v>
      </c>
      <c r="E659">
        <v>1918</v>
      </c>
      <c r="F659" s="3">
        <v>3907.04</v>
      </c>
      <c r="G659" s="3">
        <v>3703.17</v>
      </c>
      <c r="H659" s="3">
        <v>203.87</v>
      </c>
      <c r="I659" s="3">
        <v>0.95</v>
      </c>
      <c r="J659">
        <v>0.27</v>
      </c>
      <c r="K659">
        <v>3478.79</v>
      </c>
      <c r="L659" t="s">
        <v>35</v>
      </c>
      <c r="M659">
        <v>691</v>
      </c>
      <c r="N659">
        <v>0.17</v>
      </c>
      <c r="O659" s="3">
        <v>724.76</v>
      </c>
      <c r="P659" s="3">
        <v>0.19</v>
      </c>
      <c r="Q659" s="3">
        <v>594.5</v>
      </c>
      <c r="R659" s="3">
        <v>0.15</v>
      </c>
      <c r="S659">
        <v>3</v>
      </c>
      <c r="T659">
        <v>465.67</v>
      </c>
      <c r="U659">
        <v>98</v>
      </c>
      <c r="V659">
        <v>0</v>
      </c>
      <c r="W659">
        <v>222.83</v>
      </c>
      <c r="X659">
        <v>3042.43</v>
      </c>
      <c r="Y659" t="s">
        <v>31</v>
      </c>
      <c r="Z659" s="3">
        <v>1685.33</v>
      </c>
      <c r="AA659" t="s">
        <v>41</v>
      </c>
      <c r="AB659" t="s">
        <v>42</v>
      </c>
      <c r="AC659">
        <v>23.7</v>
      </c>
      <c r="AD659" t="s">
        <v>43</v>
      </c>
      <c r="AE659">
        <v>203.87</v>
      </c>
      <c r="AF659">
        <v>0</v>
      </c>
    </row>
    <row r="660" spans="3:32" x14ac:dyDescent="0.35">
      <c r="C660" s="1">
        <v>43856</v>
      </c>
      <c r="D660" s="2">
        <v>43831</v>
      </c>
      <c r="E660">
        <v>1739</v>
      </c>
      <c r="F660" s="3">
        <v>4492.59</v>
      </c>
      <c r="G660" s="3">
        <v>2873.25</v>
      </c>
      <c r="H660" s="3">
        <v>1619.34</v>
      </c>
      <c r="I660" s="3">
        <v>0.64</v>
      </c>
      <c r="J660">
        <v>0.32</v>
      </c>
      <c r="K660">
        <v>3344.62</v>
      </c>
      <c r="L660" t="s">
        <v>35</v>
      </c>
      <c r="M660">
        <v>624</v>
      </c>
      <c r="N660">
        <v>0.13</v>
      </c>
      <c r="O660" s="3">
        <v>246.14</v>
      </c>
      <c r="P660" s="3">
        <v>0.05</v>
      </c>
      <c r="Q660" s="3">
        <v>784.42</v>
      </c>
      <c r="R660" s="3">
        <v>0.17</v>
      </c>
      <c r="S660">
        <v>6</v>
      </c>
      <c r="T660">
        <v>46.45</v>
      </c>
      <c r="U660">
        <v>55</v>
      </c>
      <c r="V660">
        <v>0</v>
      </c>
      <c r="W660">
        <v>511.39</v>
      </c>
      <c r="X660">
        <v>3125.72</v>
      </c>
      <c r="Y660" t="s">
        <v>36</v>
      </c>
      <c r="Z660" s="3">
        <v>1266.22</v>
      </c>
      <c r="AA660" t="s">
        <v>50</v>
      </c>
      <c r="AB660" t="s">
        <v>42</v>
      </c>
      <c r="AC660">
        <v>29.2</v>
      </c>
      <c r="AD660" t="s">
        <v>43</v>
      </c>
      <c r="AE660">
        <v>1619.34</v>
      </c>
      <c r="AF660">
        <v>0</v>
      </c>
    </row>
    <row r="661" spans="3:32" x14ac:dyDescent="0.35">
      <c r="C661" s="1">
        <v>43856</v>
      </c>
      <c r="D661" s="2">
        <v>43831</v>
      </c>
      <c r="E661">
        <v>1698</v>
      </c>
      <c r="F661" s="3">
        <v>6342.61</v>
      </c>
      <c r="G661" s="3">
        <v>4550.07</v>
      </c>
      <c r="H661" s="3">
        <v>1792.54</v>
      </c>
      <c r="I661" s="3">
        <v>0.72</v>
      </c>
      <c r="J661">
        <v>0.28000000000000003</v>
      </c>
      <c r="K661">
        <v>2529.62</v>
      </c>
      <c r="L661" t="s">
        <v>35</v>
      </c>
      <c r="M661">
        <v>627</v>
      </c>
      <c r="N661">
        <v>0.27</v>
      </c>
      <c r="O661" s="3">
        <v>503.36</v>
      </c>
      <c r="P661" s="3">
        <v>0.08</v>
      </c>
      <c r="Q661" s="3">
        <v>339.45</v>
      </c>
      <c r="R661" s="3">
        <v>0.05</v>
      </c>
      <c r="S661">
        <v>2</v>
      </c>
      <c r="T661">
        <v>877.33</v>
      </c>
      <c r="U661">
        <v>87</v>
      </c>
      <c r="V661">
        <v>0</v>
      </c>
      <c r="W661">
        <v>555.62</v>
      </c>
      <c r="X661">
        <v>1446.41</v>
      </c>
      <c r="Y661" t="s">
        <v>31</v>
      </c>
      <c r="Z661" s="3">
        <v>1500.98</v>
      </c>
      <c r="AA661" t="s">
        <v>47</v>
      </c>
      <c r="AB661" t="s">
        <v>33</v>
      </c>
      <c r="AC661">
        <v>0.8</v>
      </c>
      <c r="AD661" t="s">
        <v>34</v>
      </c>
      <c r="AE661">
        <v>1792.54</v>
      </c>
      <c r="AF661">
        <v>0</v>
      </c>
    </row>
    <row r="662" spans="3:32" x14ac:dyDescent="0.35">
      <c r="C662" s="1">
        <v>43856</v>
      </c>
      <c r="D662" s="2">
        <v>43831</v>
      </c>
      <c r="E662">
        <v>1051</v>
      </c>
      <c r="F662" s="3">
        <v>5818.42</v>
      </c>
      <c r="G662" s="3">
        <v>3482.83</v>
      </c>
      <c r="H662" s="3">
        <v>2335.59</v>
      </c>
      <c r="I662" s="3">
        <v>0.6</v>
      </c>
      <c r="J662">
        <v>0.17</v>
      </c>
      <c r="K662">
        <v>4052.73</v>
      </c>
      <c r="L662" t="s">
        <v>35</v>
      </c>
      <c r="M662">
        <v>597</v>
      </c>
      <c r="N662">
        <v>0.25</v>
      </c>
      <c r="O662" s="3">
        <v>438.88</v>
      </c>
      <c r="P662" s="3">
        <v>0.08</v>
      </c>
      <c r="Q662" s="3">
        <v>976.79</v>
      </c>
      <c r="R662" s="3">
        <v>0.17</v>
      </c>
      <c r="S662">
        <v>1</v>
      </c>
      <c r="T662">
        <v>815.23</v>
      </c>
      <c r="U662">
        <v>79</v>
      </c>
      <c r="V662">
        <v>0</v>
      </c>
      <c r="W662">
        <v>311.56</v>
      </c>
      <c r="X662">
        <v>3460.6</v>
      </c>
      <c r="Y662" t="s">
        <v>36</v>
      </c>
      <c r="Z662" s="3">
        <v>1308.32</v>
      </c>
      <c r="AA662" t="s">
        <v>51</v>
      </c>
      <c r="AB662" t="s">
        <v>33</v>
      </c>
      <c r="AC662">
        <v>25.9</v>
      </c>
      <c r="AD662" t="s">
        <v>34</v>
      </c>
      <c r="AE662">
        <v>2335.59</v>
      </c>
      <c r="AF662">
        <v>0</v>
      </c>
    </row>
    <row r="663" spans="3:32" x14ac:dyDescent="0.35">
      <c r="C663" s="1">
        <v>43856</v>
      </c>
      <c r="D663" s="2">
        <v>43831</v>
      </c>
      <c r="E663">
        <v>1310</v>
      </c>
      <c r="F663" s="3">
        <v>3432.58</v>
      </c>
      <c r="G663" s="3">
        <v>3031.3</v>
      </c>
      <c r="H663" s="3">
        <v>401.28</v>
      </c>
      <c r="I663" s="3">
        <v>0.88</v>
      </c>
      <c r="J663">
        <v>0.24</v>
      </c>
      <c r="K663">
        <v>3192.88</v>
      </c>
      <c r="L663" t="s">
        <v>39</v>
      </c>
      <c r="M663">
        <v>700</v>
      </c>
      <c r="N663">
        <v>0.22</v>
      </c>
      <c r="O663" s="3">
        <v>430.84</v>
      </c>
      <c r="P663" s="3">
        <v>0.13</v>
      </c>
      <c r="Q663" s="3">
        <v>621.29</v>
      </c>
      <c r="R663" s="3">
        <v>0.18</v>
      </c>
      <c r="S663">
        <v>9</v>
      </c>
      <c r="T663">
        <v>1606.24</v>
      </c>
      <c r="U663">
        <v>23</v>
      </c>
      <c r="V663">
        <v>0</v>
      </c>
      <c r="W663">
        <v>876.67</v>
      </c>
      <c r="X663">
        <v>2509</v>
      </c>
      <c r="Y663" t="s">
        <v>36</v>
      </c>
      <c r="Z663" s="3">
        <v>880.24</v>
      </c>
      <c r="AA663" t="s">
        <v>48</v>
      </c>
      <c r="AB663" t="s">
        <v>33</v>
      </c>
      <c r="AC663">
        <v>79.3</v>
      </c>
      <c r="AD663" t="s">
        <v>34</v>
      </c>
      <c r="AE663">
        <v>401.28</v>
      </c>
      <c r="AF663">
        <v>0</v>
      </c>
    </row>
    <row r="664" spans="3:32" x14ac:dyDescent="0.35">
      <c r="C664" s="1">
        <v>43856</v>
      </c>
      <c r="D664" s="2">
        <v>43831</v>
      </c>
      <c r="E664">
        <v>1318</v>
      </c>
      <c r="F664" s="3">
        <v>3417.45</v>
      </c>
      <c r="G664" s="3">
        <v>2612.92</v>
      </c>
      <c r="H664" s="3">
        <v>804.53</v>
      </c>
      <c r="I664" s="3">
        <v>0.76</v>
      </c>
      <c r="J664">
        <v>0.4</v>
      </c>
      <c r="K664">
        <v>3335.81</v>
      </c>
      <c r="L664" t="s">
        <v>35</v>
      </c>
      <c r="M664">
        <v>643</v>
      </c>
      <c r="N664">
        <v>0.19</v>
      </c>
      <c r="O664" s="3">
        <v>612.08000000000004</v>
      </c>
      <c r="P664" s="3">
        <v>0.18</v>
      </c>
      <c r="Q664" s="3">
        <v>220.03</v>
      </c>
      <c r="R664" s="3">
        <v>0.06</v>
      </c>
      <c r="S664">
        <v>7</v>
      </c>
      <c r="T664">
        <v>674.17</v>
      </c>
      <c r="U664">
        <v>52</v>
      </c>
      <c r="V664">
        <v>0</v>
      </c>
      <c r="W664">
        <v>1073.03</v>
      </c>
      <c r="X664">
        <v>1534.53</v>
      </c>
      <c r="Y664" t="s">
        <v>36</v>
      </c>
      <c r="Z664" s="3">
        <v>1811.29</v>
      </c>
      <c r="AA664" t="s">
        <v>51</v>
      </c>
      <c r="AB664" t="s">
        <v>33</v>
      </c>
      <c r="AC664">
        <v>24.3</v>
      </c>
      <c r="AD664" t="s">
        <v>43</v>
      </c>
      <c r="AE664">
        <v>804.53</v>
      </c>
      <c r="AF664">
        <v>0</v>
      </c>
    </row>
    <row r="665" spans="3:32" x14ac:dyDescent="0.35">
      <c r="C665" s="1">
        <v>43856</v>
      </c>
      <c r="D665" s="2">
        <v>43831</v>
      </c>
      <c r="E665">
        <v>1168</v>
      </c>
      <c r="F665" s="3">
        <v>4074.14</v>
      </c>
      <c r="G665" s="3">
        <v>2901.58</v>
      </c>
      <c r="H665" s="3">
        <v>1172.56</v>
      </c>
      <c r="I665" s="3">
        <v>0.71</v>
      </c>
      <c r="J665">
        <v>0.34</v>
      </c>
      <c r="K665">
        <v>3393.59</v>
      </c>
      <c r="L665" t="s">
        <v>39</v>
      </c>
      <c r="M665">
        <v>588</v>
      </c>
      <c r="N665">
        <v>0.51</v>
      </c>
      <c r="O665" s="3">
        <v>369.34</v>
      </c>
      <c r="P665" s="3">
        <v>0.09</v>
      </c>
      <c r="Q665" s="3">
        <v>201.66</v>
      </c>
      <c r="R665" s="3">
        <v>0.05</v>
      </c>
      <c r="S665">
        <v>9</v>
      </c>
      <c r="T665">
        <v>477.53</v>
      </c>
      <c r="U665">
        <v>55</v>
      </c>
      <c r="V665">
        <v>0</v>
      </c>
      <c r="W665">
        <v>271.68</v>
      </c>
      <c r="X665">
        <v>3001.95</v>
      </c>
      <c r="Y665" t="s">
        <v>36</v>
      </c>
      <c r="Z665" s="3">
        <v>1006.58</v>
      </c>
      <c r="AA665" t="s">
        <v>32</v>
      </c>
      <c r="AB665" t="s">
        <v>42</v>
      </c>
      <c r="AC665">
        <v>76.900000000000006</v>
      </c>
      <c r="AD665" t="s">
        <v>34</v>
      </c>
      <c r="AE665">
        <v>1172.56</v>
      </c>
      <c r="AF665">
        <v>0</v>
      </c>
    </row>
    <row r="666" spans="3:32" x14ac:dyDescent="0.35">
      <c r="C666" s="1">
        <v>43856</v>
      </c>
      <c r="D666" s="2">
        <v>43831</v>
      </c>
      <c r="E666">
        <v>1882</v>
      </c>
      <c r="F666" s="3">
        <v>4210.93</v>
      </c>
      <c r="G666" s="3">
        <v>3379.3</v>
      </c>
      <c r="H666" s="3">
        <v>831.63</v>
      </c>
      <c r="I666" s="3">
        <v>0.8</v>
      </c>
      <c r="J666">
        <v>0.2</v>
      </c>
      <c r="K666">
        <v>2830.4</v>
      </c>
      <c r="L666" t="s">
        <v>30</v>
      </c>
      <c r="M666">
        <v>732</v>
      </c>
      <c r="N666">
        <v>0.5</v>
      </c>
      <c r="O666" s="3">
        <v>749.5</v>
      </c>
      <c r="P666" s="3">
        <v>0.18</v>
      </c>
      <c r="Q666" s="3">
        <v>291.58</v>
      </c>
      <c r="R666" s="3">
        <v>7.0000000000000007E-2</v>
      </c>
      <c r="S666">
        <v>7</v>
      </c>
      <c r="T666">
        <v>559.70000000000005</v>
      </c>
      <c r="U666">
        <v>71</v>
      </c>
      <c r="V666">
        <v>0</v>
      </c>
      <c r="W666">
        <v>574.76</v>
      </c>
      <c r="X666">
        <v>1266.43</v>
      </c>
      <c r="Y666" t="s">
        <v>36</v>
      </c>
      <c r="Z666" s="3">
        <v>1665.92</v>
      </c>
      <c r="AA666" t="s">
        <v>37</v>
      </c>
      <c r="AB666" t="s">
        <v>33</v>
      </c>
      <c r="AC666">
        <v>6.6</v>
      </c>
      <c r="AD666" t="s">
        <v>34</v>
      </c>
      <c r="AE666">
        <v>831.63</v>
      </c>
      <c r="AF666">
        <v>0</v>
      </c>
    </row>
    <row r="667" spans="3:32" x14ac:dyDescent="0.35">
      <c r="C667" s="1">
        <v>43856</v>
      </c>
      <c r="D667" s="2">
        <v>43831</v>
      </c>
      <c r="E667">
        <v>1392</v>
      </c>
      <c r="F667" s="3">
        <v>3805.5</v>
      </c>
      <c r="G667" s="3">
        <v>3553.07</v>
      </c>
      <c r="H667" s="3">
        <v>252.43</v>
      </c>
      <c r="I667" s="3">
        <v>0.93</v>
      </c>
      <c r="J667">
        <v>0.08</v>
      </c>
      <c r="K667">
        <v>2634.24</v>
      </c>
      <c r="L667" t="s">
        <v>35</v>
      </c>
      <c r="M667">
        <v>651</v>
      </c>
      <c r="N667">
        <v>0.23</v>
      </c>
      <c r="O667" s="3">
        <v>723.55</v>
      </c>
      <c r="P667" s="3">
        <v>0.19</v>
      </c>
      <c r="Q667" s="3">
        <v>298.68</v>
      </c>
      <c r="R667" s="3">
        <v>0.08</v>
      </c>
      <c r="S667">
        <v>6</v>
      </c>
      <c r="T667">
        <v>469.05</v>
      </c>
      <c r="U667">
        <v>32</v>
      </c>
      <c r="V667">
        <v>0</v>
      </c>
      <c r="W667">
        <v>442.15</v>
      </c>
      <c r="X667">
        <v>2480.52</v>
      </c>
      <c r="Y667" t="s">
        <v>31</v>
      </c>
      <c r="Z667" s="3">
        <v>1613.14</v>
      </c>
      <c r="AA667" t="s">
        <v>37</v>
      </c>
      <c r="AB667" t="s">
        <v>42</v>
      </c>
      <c r="AC667">
        <v>1.9</v>
      </c>
      <c r="AD667" t="s">
        <v>38</v>
      </c>
      <c r="AE667">
        <v>252.43</v>
      </c>
      <c r="AF667">
        <v>0</v>
      </c>
    </row>
    <row r="668" spans="3:32" x14ac:dyDescent="0.35">
      <c r="C668" s="1">
        <v>43856</v>
      </c>
      <c r="D668" s="2">
        <v>43831</v>
      </c>
      <c r="E668">
        <v>1326</v>
      </c>
      <c r="F668" s="3">
        <v>5252.02</v>
      </c>
      <c r="G668" s="3">
        <v>1576.39</v>
      </c>
      <c r="H668" s="3">
        <v>3675.63</v>
      </c>
      <c r="I668" s="3">
        <v>0.3</v>
      </c>
      <c r="J668">
        <v>0.22</v>
      </c>
      <c r="K668">
        <v>2389.19</v>
      </c>
      <c r="L668" t="s">
        <v>35</v>
      </c>
      <c r="M668">
        <v>691</v>
      </c>
      <c r="N668">
        <v>0.34</v>
      </c>
      <c r="O668" s="3">
        <v>704.57</v>
      </c>
      <c r="P668" s="3">
        <v>0.13</v>
      </c>
      <c r="Q668" s="3">
        <v>373.61</v>
      </c>
      <c r="R668" s="3">
        <v>7.0000000000000007E-2</v>
      </c>
      <c r="S668">
        <v>7</v>
      </c>
      <c r="T668">
        <v>509.68</v>
      </c>
      <c r="U668">
        <v>52</v>
      </c>
      <c r="V668">
        <v>0</v>
      </c>
      <c r="W668">
        <v>379.64</v>
      </c>
      <c r="X668">
        <v>2006.8</v>
      </c>
      <c r="Y668" t="s">
        <v>36</v>
      </c>
      <c r="Z668" s="3">
        <v>1809.63</v>
      </c>
      <c r="AA668" t="s">
        <v>51</v>
      </c>
      <c r="AB668" t="s">
        <v>44</v>
      </c>
      <c r="AC668">
        <v>42.9</v>
      </c>
      <c r="AD668" t="s">
        <v>38</v>
      </c>
      <c r="AE668">
        <v>3675.63</v>
      </c>
      <c r="AF668">
        <v>1</v>
      </c>
    </row>
    <row r="669" spans="3:32" x14ac:dyDescent="0.35">
      <c r="C669" s="1">
        <v>43856</v>
      </c>
      <c r="D669" s="2">
        <v>43831</v>
      </c>
      <c r="E669">
        <v>1945</v>
      </c>
      <c r="F669" s="3">
        <v>5866.09</v>
      </c>
      <c r="G669" s="3">
        <v>2721.01</v>
      </c>
      <c r="H669" s="3">
        <v>3145.08</v>
      </c>
      <c r="I669" s="3">
        <v>0.46</v>
      </c>
      <c r="J669">
        <v>0.06</v>
      </c>
      <c r="K669">
        <v>2751.2</v>
      </c>
      <c r="L669" t="s">
        <v>30</v>
      </c>
      <c r="M669">
        <v>703</v>
      </c>
      <c r="N669">
        <v>0.17</v>
      </c>
      <c r="O669" s="3">
        <v>712</v>
      </c>
      <c r="P669" s="3">
        <v>0.12</v>
      </c>
      <c r="Q669" s="3">
        <v>0</v>
      </c>
      <c r="R669" s="3">
        <v>0</v>
      </c>
      <c r="S669">
        <v>8</v>
      </c>
      <c r="T669">
        <v>1164.18</v>
      </c>
      <c r="U669">
        <v>41</v>
      </c>
      <c r="V669">
        <v>0</v>
      </c>
      <c r="W669">
        <v>607.83000000000004</v>
      </c>
      <c r="X669">
        <v>2221.14</v>
      </c>
      <c r="Y669" t="s">
        <v>36</v>
      </c>
      <c r="Z669" s="3">
        <v>1630.53</v>
      </c>
      <c r="AA669" t="s">
        <v>41</v>
      </c>
      <c r="AB669" t="s">
        <v>42</v>
      </c>
      <c r="AC669">
        <v>18.899999999999999</v>
      </c>
      <c r="AD669" t="s">
        <v>34</v>
      </c>
      <c r="AE669">
        <v>3145.08</v>
      </c>
      <c r="AF669">
        <v>1</v>
      </c>
    </row>
    <row r="670" spans="3:32" x14ac:dyDescent="0.35">
      <c r="C670" s="1">
        <v>43856</v>
      </c>
      <c r="D670" s="2">
        <v>43831</v>
      </c>
      <c r="E670">
        <v>1703</v>
      </c>
      <c r="F670" s="3">
        <v>3363.59</v>
      </c>
      <c r="G670" s="3">
        <v>2688.39</v>
      </c>
      <c r="H670" s="3">
        <v>675.2</v>
      </c>
      <c r="I670" s="3">
        <v>0.8</v>
      </c>
      <c r="J670">
        <v>0.24</v>
      </c>
      <c r="K670">
        <v>2058.94</v>
      </c>
      <c r="L670" t="s">
        <v>39</v>
      </c>
      <c r="M670">
        <v>765</v>
      </c>
      <c r="N670">
        <v>0.59</v>
      </c>
      <c r="O670" s="3">
        <v>285.74</v>
      </c>
      <c r="P670" s="3">
        <v>0.08</v>
      </c>
      <c r="Q670" s="3">
        <v>737.1</v>
      </c>
      <c r="R670" s="3">
        <v>0.22</v>
      </c>
      <c r="S670">
        <v>1</v>
      </c>
      <c r="T670">
        <v>1226.21</v>
      </c>
      <c r="U670">
        <v>63</v>
      </c>
      <c r="V670">
        <v>0</v>
      </c>
      <c r="W670">
        <v>417.44</v>
      </c>
      <c r="X670">
        <v>1883.79</v>
      </c>
      <c r="Y670" t="s">
        <v>36</v>
      </c>
      <c r="Z670" s="3">
        <v>804.19</v>
      </c>
      <c r="AA670" t="s">
        <v>46</v>
      </c>
      <c r="AB670" t="s">
        <v>42</v>
      </c>
      <c r="AC670">
        <v>25.2</v>
      </c>
      <c r="AD670" t="s">
        <v>38</v>
      </c>
      <c r="AE670">
        <v>675.2</v>
      </c>
      <c r="AF670">
        <v>0</v>
      </c>
    </row>
    <row r="671" spans="3:32" x14ac:dyDescent="0.35">
      <c r="C671" s="1">
        <v>43856</v>
      </c>
      <c r="D671" s="2">
        <v>43831</v>
      </c>
      <c r="E671">
        <v>1268</v>
      </c>
      <c r="F671" s="3">
        <v>4118.2700000000004</v>
      </c>
      <c r="G671" s="3">
        <v>2496.65</v>
      </c>
      <c r="H671" s="3">
        <v>1621.62</v>
      </c>
      <c r="I671" s="3">
        <v>0.61</v>
      </c>
      <c r="J671">
        <v>0.28000000000000003</v>
      </c>
      <c r="K671">
        <v>2563.67</v>
      </c>
      <c r="L671" t="s">
        <v>35</v>
      </c>
      <c r="M671">
        <v>604</v>
      </c>
      <c r="N671">
        <v>0.17</v>
      </c>
      <c r="O671" s="3">
        <v>535.37</v>
      </c>
      <c r="P671" s="3">
        <v>0.13</v>
      </c>
      <c r="Q671" s="3">
        <v>76.52</v>
      </c>
      <c r="R671" s="3">
        <v>0.02</v>
      </c>
      <c r="S671">
        <v>3</v>
      </c>
      <c r="T671">
        <v>1805.38</v>
      </c>
      <c r="U671">
        <v>62</v>
      </c>
      <c r="V671">
        <v>0</v>
      </c>
      <c r="W671">
        <v>348.11</v>
      </c>
      <c r="X671">
        <v>2046.1</v>
      </c>
      <c r="Y671" t="s">
        <v>31</v>
      </c>
      <c r="Z671" s="3">
        <v>1056.8599999999999</v>
      </c>
      <c r="AA671" t="s">
        <v>50</v>
      </c>
      <c r="AB671" t="s">
        <v>44</v>
      </c>
      <c r="AC671">
        <v>32.799999999999997</v>
      </c>
      <c r="AD671" t="s">
        <v>43</v>
      </c>
      <c r="AE671">
        <v>1621.62</v>
      </c>
      <c r="AF671">
        <v>0</v>
      </c>
    </row>
    <row r="672" spans="3:32" x14ac:dyDescent="0.35">
      <c r="C672" s="1">
        <v>43856</v>
      </c>
      <c r="D672" s="2">
        <v>43831</v>
      </c>
      <c r="E672">
        <v>1101</v>
      </c>
      <c r="F672" s="3">
        <v>4600.5</v>
      </c>
      <c r="G672" s="3">
        <v>2374.79</v>
      </c>
      <c r="H672" s="3">
        <v>2225.71</v>
      </c>
      <c r="I672" s="3">
        <v>0.52</v>
      </c>
      <c r="J672">
        <v>0.1</v>
      </c>
      <c r="K672">
        <v>1881.59</v>
      </c>
      <c r="L672" t="s">
        <v>30</v>
      </c>
      <c r="M672">
        <v>660</v>
      </c>
      <c r="N672">
        <v>0.39</v>
      </c>
      <c r="O672" s="3">
        <v>455.62</v>
      </c>
      <c r="P672" s="3">
        <v>0.1</v>
      </c>
      <c r="Q672" s="3">
        <v>566.71</v>
      </c>
      <c r="R672" s="3">
        <v>0.12</v>
      </c>
      <c r="S672">
        <v>1</v>
      </c>
      <c r="T672">
        <v>421.11</v>
      </c>
      <c r="U672">
        <v>96</v>
      </c>
      <c r="V672">
        <v>0</v>
      </c>
      <c r="W672">
        <v>184.3</v>
      </c>
      <c r="X672">
        <v>2604.3200000000002</v>
      </c>
      <c r="Y672" t="s">
        <v>36</v>
      </c>
      <c r="Z672" s="3">
        <v>875.26</v>
      </c>
      <c r="AA672" t="s">
        <v>48</v>
      </c>
      <c r="AB672" t="s">
        <v>33</v>
      </c>
      <c r="AC672">
        <v>47.8</v>
      </c>
      <c r="AD672" t="s">
        <v>38</v>
      </c>
      <c r="AE672">
        <v>2225.71</v>
      </c>
      <c r="AF672">
        <v>1</v>
      </c>
    </row>
    <row r="673" spans="3:32" x14ac:dyDescent="0.35">
      <c r="C673" s="1">
        <v>43856</v>
      </c>
      <c r="D673" s="2">
        <v>43831</v>
      </c>
      <c r="E673">
        <v>1091</v>
      </c>
      <c r="F673" s="3">
        <v>3745.31</v>
      </c>
      <c r="G673" s="3">
        <v>3629.61</v>
      </c>
      <c r="H673" s="3">
        <v>115.7</v>
      </c>
      <c r="I673" s="3">
        <v>0.97</v>
      </c>
      <c r="J673">
        <v>0.18</v>
      </c>
      <c r="K673">
        <v>3352.12</v>
      </c>
      <c r="L673" t="s">
        <v>35</v>
      </c>
      <c r="M673">
        <v>770</v>
      </c>
      <c r="N673">
        <v>0.41</v>
      </c>
      <c r="O673" s="3">
        <v>126.23</v>
      </c>
      <c r="P673" s="3">
        <v>0.03</v>
      </c>
      <c r="Q673" s="3">
        <v>567.92999999999995</v>
      </c>
      <c r="R673" s="3">
        <v>0.15</v>
      </c>
      <c r="S673">
        <v>4</v>
      </c>
      <c r="T673">
        <v>1158.5899999999999</v>
      </c>
      <c r="U673">
        <v>31</v>
      </c>
      <c r="V673">
        <v>0</v>
      </c>
      <c r="W673">
        <v>211.46</v>
      </c>
      <c r="X673">
        <v>2655.27</v>
      </c>
      <c r="Y673" t="s">
        <v>36</v>
      </c>
      <c r="Z673" s="3">
        <v>2135.98</v>
      </c>
      <c r="AA673" t="s">
        <v>47</v>
      </c>
      <c r="AB673" t="s">
        <v>33</v>
      </c>
      <c r="AC673">
        <v>86.9</v>
      </c>
      <c r="AD673" t="s">
        <v>34</v>
      </c>
      <c r="AE673">
        <v>115.7</v>
      </c>
      <c r="AF673">
        <v>0</v>
      </c>
    </row>
    <row r="674" spans="3:32" x14ac:dyDescent="0.35">
      <c r="C674" s="1">
        <v>43856</v>
      </c>
      <c r="D674" s="2">
        <v>43831</v>
      </c>
      <c r="E674">
        <v>1220</v>
      </c>
      <c r="F674" s="3">
        <v>2959.45</v>
      </c>
      <c r="G674" s="3">
        <v>2040.15</v>
      </c>
      <c r="H674" s="3">
        <v>919.3</v>
      </c>
      <c r="I674" s="3">
        <v>0.69</v>
      </c>
      <c r="J674">
        <v>0.22</v>
      </c>
      <c r="K674">
        <v>2831.12</v>
      </c>
      <c r="L674" t="s">
        <v>35</v>
      </c>
      <c r="M674">
        <v>713</v>
      </c>
      <c r="N674">
        <v>0.38</v>
      </c>
      <c r="O674" s="3">
        <v>306.48</v>
      </c>
      <c r="P674" s="3">
        <v>0.1</v>
      </c>
      <c r="Q674" s="3">
        <v>173.52</v>
      </c>
      <c r="R674" s="3">
        <v>0.06</v>
      </c>
      <c r="S674">
        <v>7</v>
      </c>
      <c r="T674">
        <v>944.79</v>
      </c>
      <c r="U674">
        <v>69</v>
      </c>
      <c r="V674">
        <v>0</v>
      </c>
      <c r="W674">
        <v>887.86</v>
      </c>
      <c r="X674">
        <v>2282.65</v>
      </c>
      <c r="Y674" t="s">
        <v>36</v>
      </c>
      <c r="Z674" s="3">
        <v>1318.39</v>
      </c>
      <c r="AA674" t="s">
        <v>45</v>
      </c>
      <c r="AB674" t="s">
        <v>42</v>
      </c>
      <c r="AC674">
        <v>23.7</v>
      </c>
      <c r="AD674" t="s">
        <v>43</v>
      </c>
      <c r="AE674">
        <v>919.3</v>
      </c>
      <c r="AF674">
        <v>0</v>
      </c>
    </row>
    <row r="675" spans="3:32" x14ac:dyDescent="0.35">
      <c r="C675" s="1">
        <v>43856</v>
      </c>
      <c r="D675" s="2">
        <v>43831</v>
      </c>
      <c r="E675">
        <v>1402</v>
      </c>
      <c r="F675" s="3">
        <v>2439.35</v>
      </c>
      <c r="G675" s="3">
        <v>4489.22</v>
      </c>
      <c r="H675" s="3">
        <v>-2049.87</v>
      </c>
      <c r="I675" s="3">
        <v>1.84</v>
      </c>
      <c r="J675">
        <v>0.31</v>
      </c>
      <c r="K675">
        <v>2727.01</v>
      </c>
      <c r="L675" t="s">
        <v>35</v>
      </c>
      <c r="M675">
        <v>542</v>
      </c>
      <c r="N675">
        <v>0.5</v>
      </c>
      <c r="O675" s="3">
        <v>582.26</v>
      </c>
      <c r="P675" s="3">
        <v>0.24</v>
      </c>
      <c r="Q675" s="3">
        <v>246.75</v>
      </c>
      <c r="R675" s="3">
        <v>0.1</v>
      </c>
      <c r="S675">
        <v>9</v>
      </c>
      <c r="T675">
        <v>1161.03</v>
      </c>
      <c r="U675">
        <v>37</v>
      </c>
      <c r="V675">
        <v>0</v>
      </c>
      <c r="W675">
        <v>436.87</v>
      </c>
      <c r="X675">
        <v>2311.88</v>
      </c>
      <c r="Y675" t="s">
        <v>36</v>
      </c>
      <c r="Z675" s="3">
        <v>1798.84</v>
      </c>
      <c r="AA675" t="s">
        <v>41</v>
      </c>
      <c r="AB675" t="s">
        <v>33</v>
      </c>
      <c r="AC675">
        <v>51.9</v>
      </c>
      <c r="AD675" t="s">
        <v>34</v>
      </c>
      <c r="AE675">
        <v>0</v>
      </c>
      <c r="AF675">
        <v>0</v>
      </c>
    </row>
    <row r="676" spans="3:32" x14ac:dyDescent="0.35">
      <c r="C676" s="1">
        <v>43856</v>
      </c>
      <c r="D676" s="2">
        <v>43831</v>
      </c>
      <c r="E676">
        <v>1861</v>
      </c>
      <c r="F676" s="3">
        <v>4665.72</v>
      </c>
      <c r="G676" s="3">
        <v>3673.97</v>
      </c>
      <c r="H676" s="3">
        <v>991.75</v>
      </c>
      <c r="I676" s="3">
        <v>0.79</v>
      </c>
      <c r="J676">
        <v>0.18</v>
      </c>
      <c r="K676">
        <v>2936.08</v>
      </c>
      <c r="L676" t="s">
        <v>39</v>
      </c>
      <c r="M676">
        <v>657</v>
      </c>
      <c r="N676">
        <v>0.41</v>
      </c>
      <c r="O676" s="3">
        <v>294.92</v>
      </c>
      <c r="P676" s="3">
        <v>0.06</v>
      </c>
      <c r="Q676" s="3">
        <v>356.98</v>
      </c>
      <c r="R676" s="3">
        <v>0.08</v>
      </c>
      <c r="S676">
        <v>5</v>
      </c>
      <c r="T676">
        <v>892.44</v>
      </c>
      <c r="U676">
        <v>25</v>
      </c>
      <c r="V676">
        <v>0</v>
      </c>
      <c r="W676">
        <v>249.23</v>
      </c>
      <c r="X676">
        <v>2779.61</v>
      </c>
      <c r="Y676" t="s">
        <v>36</v>
      </c>
      <c r="Z676" s="3">
        <v>946.42</v>
      </c>
      <c r="AA676" t="s">
        <v>47</v>
      </c>
      <c r="AB676" t="s">
        <v>42</v>
      </c>
      <c r="AC676">
        <v>32.5</v>
      </c>
      <c r="AD676" t="s">
        <v>34</v>
      </c>
      <c r="AE676">
        <v>991.75</v>
      </c>
      <c r="AF676">
        <v>0</v>
      </c>
    </row>
    <row r="677" spans="3:32" x14ac:dyDescent="0.35">
      <c r="C677" s="1">
        <v>43856</v>
      </c>
      <c r="D677" s="2">
        <v>43831</v>
      </c>
      <c r="E677">
        <v>1633</v>
      </c>
      <c r="F677" s="3">
        <v>3751.34</v>
      </c>
      <c r="G677" s="3">
        <v>3193.56</v>
      </c>
      <c r="H677" s="3">
        <v>557.78</v>
      </c>
      <c r="I677" s="3">
        <v>0.85</v>
      </c>
      <c r="J677">
        <v>0.26</v>
      </c>
      <c r="K677">
        <v>3496.77</v>
      </c>
      <c r="L677" t="s">
        <v>35</v>
      </c>
      <c r="M677">
        <v>658</v>
      </c>
      <c r="N677">
        <v>0.56999999999999995</v>
      </c>
      <c r="O677" s="3">
        <v>674.61</v>
      </c>
      <c r="P677" s="3">
        <v>0.18</v>
      </c>
      <c r="Q677" s="3">
        <v>396.18</v>
      </c>
      <c r="R677" s="3">
        <v>0.11</v>
      </c>
      <c r="S677">
        <v>6</v>
      </c>
      <c r="T677">
        <v>1288.18</v>
      </c>
      <c r="U677">
        <v>51</v>
      </c>
      <c r="V677">
        <v>0</v>
      </c>
      <c r="W677">
        <v>342.06</v>
      </c>
      <c r="X677">
        <v>2869.83</v>
      </c>
      <c r="Y677" t="s">
        <v>36</v>
      </c>
      <c r="Z677" s="3">
        <v>2048.44</v>
      </c>
      <c r="AA677" t="s">
        <v>41</v>
      </c>
      <c r="AB677" t="s">
        <v>42</v>
      </c>
      <c r="AC677">
        <v>19.8</v>
      </c>
      <c r="AD677" t="s">
        <v>38</v>
      </c>
      <c r="AE677">
        <v>557.78</v>
      </c>
      <c r="AF677">
        <v>0</v>
      </c>
    </row>
    <row r="678" spans="3:32" x14ac:dyDescent="0.35">
      <c r="C678" s="1">
        <v>43856</v>
      </c>
      <c r="D678" s="2">
        <v>43831</v>
      </c>
      <c r="E678">
        <v>1533</v>
      </c>
      <c r="F678" s="3">
        <v>4768.97</v>
      </c>
      <c r="G678" s="3">
        <v>3790.59</v>
      </c>
      <c r="H678" s="3">
        <v>978.38</v>
      </c>
      <c r="I678" s="3">
        <v>0.79</v>
      </c>
      <c r="J678">
        <v>0.36</v>
      </c>
      <c r="K678">
        <v>2980.38</v>
      </c>
      <c r="L678" t="s">
        <v>35</v>
      </c>
      <c r="M678">
        <v>664</v>
      </c>
      <c r="N678">
        <v>0.25</v>
      </c>
      <c r="O678" s="3">
        <v>107.69</v>
      </c>
      <c r="P678" s="3">
        <v>0.02</v>
      </c>
      <c r="Q678" s="3">
        <v>489.18</v>
      </c>
      <c r="R678" s="3">
        <v>0.1</v>
      </c>
      <c r="S678">
        <v>9</v>
      </c>
      <c r="T678">
        <v>1080.48</v>
      </c>
      <c r="U678">
        <v>79</v>
      </c>
      <c r="V678">
        <v>0</v>
      </c>
      <c r="W678">
        <v>333.22</v>
      </c>
      <c r="X678">
        <v>1456.47</v>
      </c>
      <c r="Y678" t="s">
        <v>36</v>
      </c>
      <c r="Z678" s="3">
        <v>1543.19</v>
      </c>
      <c r="AA678" t="s">
        <v>37</v>
      </c>
      <c r="AB678" t="s">
        <v>33</v>
      </c>
      <c r="AC678">
        <v>78.2</v>
      </c>
      <c r="AD678" t="s">
        <v>43</v>
      </c>
      <c r="AE678">
        <v>978.38</v>
      </c>
      <c r="AF678">
        <v>0</v>
      </c>
    </row>
    <row r="679" spans="3:32" x14ac:dyDescent="0.35">
      <c r="C679" s="1">
        <v>43856</v>
      </c>
      <c r="D679" s="2">
        <v>43831</v>
      </c>
      <c r="E679">
        <v>1077</v>
      </c>
      <c r="F679" s="3">
        <v>4808.33</v>
      </c>
      <c r="G679" s="3">
        <v>3498.61</v>
      </c>
      <c r="H679" s="3">
        <v>1309.72</v>
      </c>
      <c r="I679" s="3">
        <v>0.73</v>
      </c>
      <c r="J679">
        <v>0.21</v>
      </c>
      <c r="K679">
        <v>2693.97</v>
      </c>
      <c r="L679" t="s">
        <v>35</v>
      </c>
      <c r="M679">
        <v>684</v>
      </c>
      <c r="N679">
        <v>0.38</v>
      </c>
      <c r="O679" s="3">
        <v>556.76</v>
      </c>
      <c r="P679" s="3">
        <v>0.12</v>
      </c>
      <c r="Q679" s="3">
        <v>309.92</v>
      </c>
      <c r="R679" s="3">
        <v>0.06</v>
      </c>
      <c r="S679">
        <v>2</v>
      </c>
      <c r="T679">
        <v>1964.99</v>
      </c>
      <c r="U679">
        <v>61</v>
      </c>
      <c r="V679">
        <v>0</v>
      </c>
      <c r="W679">
        <v>135.1</v>
      </c>
      <c r="X679">
        <v>2591.46</v>
      </c>
      <c r="Y679" t="s">
        <v>36</v>
      </c>
      <c r="Z679" s="3">
        <v>1277.19</v>
      </c>
      <c r="AA679" t="s">
        <v>40</v>
      </c>
      <c r="AB679" t="s">
        <v>42</v>
      </c>
      <c r="AC679">
        <v>55.1</v>
      </c>
      <c r="AD679" t="s">
        <v>43</v>
      </c>
      <c r="AE679">
        <v>1309.72</v>
      </c>
      <c r="AF679">
        <v>0</v>
      </c>
    </row>
    <row r="680" spans="3:32" x14ac:dyDescent="0.35">
      <c r="C680" s="1">
        <v>43856</v>
      </c>
      <c r="D680" s="2">
        <v>43831</v>
      </c>
      <c r="E680">
        <v>1354</v>
      </c>
      <c r="F680" s="3">
        <v>3915.46</v>
      </c>
      <c r="G680" s="3">
        <v>989.71</v>
      </c>
      <c r="H680" s="3">
        <v>2925.75</v>
      </c>
      <c r="I680" s="3">
        <v>0.25</v>
      </c>
      <c r="J680">
        <v>0.28000000000000003</v>
      </c>
      <c r="K680">
        <v>2528.4899999999998</v>
      </c>
      <c r="L680" t="s">
        <v>35</v>
      </c>
      <c r="M680">
        <v>652</v>
      </c>
      <c r="N680">
        <v>0.17</v>
      </c>
      <c r="O680" s="3">
        <v>497.58</v>
      </c>
      <c r="P680" s="3">
        <v>0.13</v>
      </c>
      <c r="Q680" s="3">
        <v>507.24</v>
      </c>
      <c r="R680" s="3">
        <v>0.13</v>
      </c>
      <c r="S680">
        <v>4</v>
      </c>
      <c r="T680">
        <v>703.28</v>
      </c>
      <c r="U680">
        <v>48</v>
      </c>
      <c r="V680">
        <v>0</v>
      </c>
      <c r="W680">
        <v>587.58000000000004</v>
      </c>
      <c r="X680">
        <v>3454.97</v>
      </c>
      <c r="Y680" t="s">
        <v>36</v>
      </c>
      <c r="Z680" s="3">
        <v>1319.73</v>
      </c>
      <c r="AA680" t="s">
        <v>47</v>
      </c>
      <c r="AB680" t="s">
        <v>33</v>
      </c>
      <c r="AC680">
        <v>24.3</v>
      </c>
      <c r="AD680" t="s">
        <v>43</v>
      </c>
      <c r="AE680">
        <v>2925.75</v>
      </c>
      <c r="AF680">
        <v>1</v>
      </c>
    </row>
    <row r="681" spans="3:32" x14ac:dyDescent="0.35">
      <c r="C681" s="1">
        <v>43856</v>
      </c>
      <c r="D681" s="2">
        <v>43831</v>
      </c>
      <c r="E681">
        <v>1042</v>
      </c>
      <c r="F681" s="3">
        <v>6256.88</v>
      </c>
      <c r="G681" s="3">
        <v>4736.42</v>
      </c>
      <c r="H681" s="3">
        <v>1520.46</v>
      </c>
      <c r="I681" s="3">
        <v>0.76</v>
      </c>
      <c r="J681">
        <v>0.38</v>
      </c>
      <c r="K681">
        <v>2677.07</v>
      </c>
      <c r="L681" t="s">
        <v>35</v>
      </c>
      <c r="M681">
        <v>634</v>
      </c>
      <c r="N681">
        <v>0.49</v>
      </c>
      <c r="O681" s="3">
        <v>972.68</v>
      </c>
      <c r="P681" s="3">
        <v>0.16</v>
      </c>
      <c r="Q681" s="3">
        <v>177.41</v>
      </c>
      <c r="R681" s="3">
        <v>0.03</v>
      </c>
      <c r="S681">
        <v>7</v>
      </c>
      <c r="T681">
        <v>424.52</v>
      </c>
      <c r="U681">
        <v>34</v>
      </c>
      <c r="V681">
        <v>0</v>
      </c>
      <c r="W681">
        <v>710.08</v>
      </c>
      <c r="X681">
        <v>1759.63</v>
      </c>
      <c r="Y681" t="s">
        <v>36</v>
      </c>
      <c r="Z681" s="3">
        <v>982.62</v>
      </c>
      <c r="AA681" t="s">
        <v>48</v>
      </c>
      <c r="AB681" t="s">
        <v>33</v>
      </c>
      <c r="AC681">
        <v>46.1</v>
      </c>
      <c r="AD681" t="s">
        <v>34</v>
      </c>
      <c r="AE681">
        <v>1520.46</v>
      </c>
      <c r="AF681">
        <v>0</v>
      </c>
    </row>
    <row r="682" spans="3:32" x14ac:dyDescent="0.35">
      <c r="C682" s="1">
        <v>43856</v>
      </c>
      <c r="D682" s="2">
        <v>43831</v>
      </c>
      <c r="E682">
        <v>1502</v>
      </c>
      <c r="F682" s="3">
        <v>3570.21</v>
      </c>
      <c r="G682" s="3">
        <v>3878.51</v>
      </c>
      <c r="H682" s="3">
        <v>-308.3</v>
      </c>
      <c r="I682" s="3">
        <v>1.0900000000000001</v>
      </c>
      <c r="J682">
        <v>0.33</v>
      </c>
      <c r="K682">
        <v>2523.44</v>
      </c>
      <c r="L682" t="s">
        <v>35</v>
      </c>
      <c r="M682">
        <v>691</v>
      </c>
      <c r="N682">
        <v>0.52</v>
      </c>
      <c r="O682" s="3">
        <v>482.56</v>
      </c>
      <c r="P682" s="3">
        <v>0.14000000000000001</v>
      </c>
      <c r="Q682" s="3">
        <v>244.84</v>
      </c>
      <c r="R682" s="3">
        <v>7.0000000000000007E-2</v>
      </c>
      <c r="S682">
        <v>6</v>
      </c>
      <c r="T682">
        <v>373.3</v>
      </c>
      <c r="U682">
        <v>45</v>
      </c>
      <c r="V682">
        <v>0</v>
      </c>
      <c r="W682">
        <v>649.85</v>
      </c>
      <c r="X682">
        <v>1484.72</v>
      </c>
      <c r="Y682" t="s">
        <v>36</v>
      </c>
      <c r="Z682" s="3">
        <v>1320.75</v>
      </c>
      <c r="AA682" t="s">
        <v>47</v>
      </c>
      <c r="AB682" t="s">
        <v>33</v>
      </c>
      <c r="AC682">
        <v>93.3</v>
      </c>
      <c r="AD682" t="s">
        <v>34</v>
      </c>
      <c r="AE682">
        <v>0</v>
      </c>
      <c r="AF682">
        <v>0</v>
      </c>
    </row>
    <row r="683" spans="3:32" x14ac:dyDescent="0.35">
      <c r="C683" s="1">
        <v>43856</v>
      </c>
      <c r="D683" s="2">
        <v>43831</v>
      </c>
      <c r="E683">
        <v>1873</v>
      </c>
      <c r="F683" s="3">
        <v>5737.31</v>
      </c>
      <c r="G683" s="3">
        <v>2864.03</v>
      </c>
      <c r="H683" s="3">
        <v>2873.28</v>
      </c>
      <c r="I683" s="3">
        <v>0.5</v>
      </c>
      <c r="J683">
        <v>0.18</v>
      </c>
      <c r="K683">
        <v>2888.49</v>
      </c>
      <c r="L683" t="s">
        <v>35</v>
      </c>
      <c r="M683">
        <v>736</v>
      </c>
      <c r="N683">
        <v>0.47</v>
      </c>
      <c r="O683" s="3">
        <v>581.66999999999996</v>
      </c>
      <c r="P683" s="3">
        <v>0.1</v>
      </c>
      <c r="Q683" s="3">
        <v>128.57</v>
      </c>
      <c r="R683" s="3">
        <v>0.02</v>
      </c>
      <c r="S683">
        <v>6</v>
      </c>
      <c r="T683">
        <v>335.67</v>
      </c>
      <c r="U683">
        <v>72</v>
      </c>
      <c r="V683">
        <v>0</v>
      </c>
      <c r="W683">
        <v>697.76</v>
      </c>
      <c r="X683">
        <v>3254.64</v>
      </c>
      <c r="Y683" t="s">
        <v>36</v>
      </c>
      <c r="Z683" s="3">
        <v>1500.16</v>
      </c>
      <c r="AA683" t="s">
        <v>47</v>
      </c>
      <c r="AB683" t="s">
        <v>33</v>
      </c>
      <c r="AC683">
        <v>81.7</v>
      </c>
      <c r="AD683" t="s">
        <v>38</v>
      </c>
      <c r="AE683">
        <v>2873.28</v>
      </c>
      <c r="AF683">
        <v>0</v>
      </c>
    </row>
    <row r="684" spans="3:32" x14ac:dyDescent="0.35">
      <c r="C684" s="1">
        <v>43856</v>
      </c>
      <c r="D684" s="2">
        <v>43831</v>
      </c>
      <c r="E684">
        <v>1531</v>
      </c>
      <c r="F684" s="3">
        <v>4300.3599999999997</v>
      </c>
      <c r="G684" s="3">
        <v>2324.91</v>
      </c>
      <c r="H684" s="3">
        <v>1975.45</v>
      </c>
      <c r="I684" s="3">
        <v>0.54</v>
      </c>
      <c r="J684">
        <v>0.37</v>
      </c>
      <c r="K684">
        <v>2274.58</v>
      </c>
      <c r="L684" t="s">
        <v>30</v>
      </c>
      <c r="M684">
        <v>652</v>
      </c>
      <c r="N684">
        <v>0.16</v>
      </c>
      <c r="O684" s="3">
        <v>472.14</v>
      </c>
      <c r="P684" s="3">
        <v>0.11</v>
      </c>
      <c r="Q684" s="3">
        <v>71.94</v>
      </c>
      <c r="R684" s="3">
        <v>0.02</v>
      </c>
      <c r="S684">
        <v>1</v>
      </c>
      <c r="T684">
        <v>1484.18</v>
      </c>
      <c r="U684">
        <v>56</v>
      </c>
      <c r="V684">
        <v>0</v>
      </c>
      <c r="W684">
        <v>695.22</v>
      </c>
      <c r="X684">
        <v>1484.24</v>
      </c>
      <c r="Y684" t="s">
        <v>36</v>
      </c>
      <c r="Z684" s="3">
        <v>1259.46</v>
      </c>
      <c r="AA684" t="s">
        <v>41</v>
      </c>
      <c r="AB684" t="s">
        <v>42</v>
      </c>
      <c r="AC684">
        <v>69.400000000000006</v>
      </c>
      <c r="AD684" t="s">
        <v>34</v>
      </c>
      <c r="AE684">
        <v>1975.45</v>
      </c>
      <c r="AF684">
        <v>0</v>
      </c>
    </row>
    <row r="685" spans="3:32" x14ac:dyDescent="0.35">
      <c r="C685" s="1">
        <v>43856</v>
      </c>
      <c r="D685" s="2">
        <v>43831</v>
      </c>
      <c r="E685">
        <v>1532</v>
      </c>
      <c r="F685" s="3">
        <v>3451.22</v>
      </c>
      <c r="G685" s="3">
        <v>3040.58</v>
      </c>
      <c r="H685" s="3">
        <v>410.64</v>
      </c>
      <c r="I685" s="3">
        <v>0.88</v>
      </c>
      <c r="J685">
        <v>0.05</v>
      </c>
      <c r="K685">
        <v>2756.09</v>
      </c>
      <c r="L685" t="s">
        <v>39</v>
      </c>
      <c r="M685">
        <v>682</v>
      </c>
      <c r="N685">
        <v>0.28999999999999998</v>
      </c>
      <c r="O685" s="3">
        <v>687.35</v>
      </c>
      <c r="P685" s="3">
        <v>0.2</v>
      </c>
      <c r="Q685" s="3">
        <v>289.85000000000002</v>
      </c>
      <c r="R685" s="3">
        <v>0.08</v>
      </c>
      <c r="S685">
        <v>1</v>
      </c>
      <c r="T685">
        <v>368.52</v>
      </c>
      <c r="U685">
        <v>57</v>
      </c>
      <c r="V685">
        <v>0</v>
      </c>
      <c r="W685">
        <v>220.69</v>
      </c>
      <c r="X685">
        <v>1325.09</v>
      </c>
      <c r="Y685" t="s">
        <v>36</v>
      </c>
      <c r="Z685" s="3">
        <v>1375.44</v>
      </c>
      <c r="AA685" t="s">
        <v>32</v>
      </c>
      <c r="AB685" t="s">
        <v>33</v>
      </c>
      <c r="AC685">
        <v>1.3</v>
      </c>
      <c r="AD685" t="s">
        <v>34</v>
      </c>
      <c r="AE685">
        <v>410.64</v>
      </c>
      <c r="AF685">
        <v>0</v>
      </c>
    </row>
    <row r="686" spans="3:32" x14ac:dyDescent="0.35">
      <c r="C686" s="1">
        <v>43856</v>
      </c>
      <c r="D686" s="2">
        <v>43831</v>
      </c>
      <c r="E686">
        <v>1579</v>
      </c>
      <c r="F686" s="3">
        <v>5011.45</v>
      </c>
      <c r="G686" s="3">
        <v>4327.24</v>
      </c>
      <c r="H686" s="3">
        <v>684.21</v>
      </c>
      <c r="I686" s="3">
        <v>0.86</v>
      </c>
      <c r="J686">
        <v>0.35</v>
      </c>
      <c r="K686">
        <v>2938.63</v>
      </c>
      <c r="L686" t="s">
        <v>30</v>
      </c>
      <c r="M686">
        <v>692</v>
      </c>
      <c r="N686">
        <v>0.26</v>
      </c>
      <c r="O686" s="3">
        <v>560.21</v>
      </c>
      <c r="P686" s="3">
        <v>0.11</v>
      </c>
      <c r="Q686" s="3">
        <v>191.87</v>
      </c>
      <c r="R686" s="3">
        <v>0.04</v>
      </c>
      <c r="S686">
        <v>6</v>
      </c>
      <c r="T686">
        <v>1024.93</v>
      </c>
      <c r="U686">
        <v>38</v>
      </c>
      <c r="V686">
        <v>0</v>
      </c>
      <c r="W686">
        <v>323.52</v>
      </c>
      <c r="X686">
        <v>1986.03</v>
      </c>
      <c r="Y686" t="s">
        <v>36</v>
      </c>
      <c r="Z686" s="3">
        <v>948.65</v>
      </c>
      <c r="AA686" t="s">
        <v>46</v>
      </c>
      <c r="AB686" t="s">
        <v>33</v>
      </c>
      <c r="AC686">
        <v>92.2</v>
      </c>
      <c r="AD686" t="s">
        <v>38</v>
      </c>
      <c r="AE686">
        <v>684.21</v>
      </c>
      <c r="AF686">
        <v>0</v>
      </c>
    </row>
    <row r="687" spans="3:32" x14ac:dyDescent="0.35">
      <c r="C687" s="1">
        <v>43856</v>
      </c>
      <c r="D687" s="2">
        <v>43831</v>
      </c>
      <c r="E687">
        <v>1568</v>
      </c>
      <c r="F687" s="3">
        <v>3740.82</v>
      </c>
      <c r="G687" s="3">
        <v>3064.66</v>
      </c>
      <c r="H687" s="3">
        <v>676.16</v>
      </c>
      <c r="I687" s="3">
        <v>0.82</v>
      </c>
      <c r="J687">
        <v>0.36</v>
      </c>
      <c r="K687">
        <v>2125.4899999999998</v>
      </c>
      <c r="L687" t="s">
        <v>30</v>
      </c>
      <c r="M687">
        <v>696</v>
      </c>
      <c r="N687">
        <v>0.37</v>
      </c>
      <c r="O687" s="3">
        <v>488.94</v>
      </c>
      <c r="P687" s="3">
        <v>0.13</v>
      </c>
      <c r="Q687" s="3">
        <v>65.319999999999993</v>
      </c>
      <c r="R687" s="3">
        <v>0.02</v>
      </c>
      <c r="S687">
        <v>7</v>
      </c>
      <c r="T687">
        <v>816.9</v>
      </c>
      <c r="U687">
        <v>57</v>
      </c>
      <c r="V687">
        <v>0</v>
      </c>
      <c r="W687">
        <v>308.74</v>
      </c>
      <c r="X687">
        <v>2579.29</v>
      </c>
      <c r="Y687" t="s">
        <v>36</v>
      </c>
      <c r="Z687" s="3">
        <v>2377.12</v>
      </c>
      <c r="AA687" t="s">
        <v>51</v>
      </c>
      <c r="AB687" t="s">
        <v>33</v>
      </c>
      <c r="AC687">
        <v>15.3</v>
      </c>
      <c r="AD687" t="s">
        <v>38</v>
      </c>
      <c r="AE687">
        <v>676.16</v>
      </c>
      <c r="AF687">
        <v>0</v>
      </c>
    </row>
    <row r="688" spans="3:32" x14ac:dyDescent="0.35">
      <c r="C688" s="1">
        <v>43856</v>
      </c>
      <c r="D688" s="2">
        <v>43831</v>
      </c>
      <c r="E688">
        <v>1689</v>
      </c>
      <c r="F688" s="3">
        <v>4239.9399999999996</v>
      </c>
      <c r="G688" s="3">
        <v>1037.77</v>
      </c>
      <c r="H688" s="3">
        <v>3202.17</v>
      </c>
      <c r="I688" s="3">
        <v>0.24</v>
      </c>
      <c r="J688">
        <v>0.08</v>
      </c>
      <c r="K688">
        <v>2679.78</v>
      </c>
      <c r="L688" t="s">
        <v>35</v>
      </c>
      <c r="M688">
        <v>661</v>
      </c>
      <c r="N688">
        <v>0.17</v>
      </c>
      <c r="O688" s="3">
        <v>128.07</v>
      </c>
      <c r="P688" s="3">
        <v>0.03</v>
      </c>
      <c r="Q688" s="3">
        <v>469.52</v>
      </c>
      <c r="R688" s="3">
        <v>0.11</v>
      </c>
      <c r="S688">
        <v>9</v>
      </c>
      <c r="T688">
        <v>1465.3</v>
      </c>
      <c r="U688">
        <v>57</v>
      </c>
      <c r="V688">
        <v>0</v>
      </c>
      <c r="W688">
        <v>273.14</v>
      </c>
      <c r="X688">
        <v>2573.4</v>
      </c>
      <c r="Y688" t="s">
        <v>36</v>
      </c>
      <c r="Z688" s="3">
        <v>1812.84</v>
      </c>
      <c r="AA688" t="s">
        <v>40</v>
      </c>
      <c r="AB688" t="s">
        <v>33</v>
      </c>
      <c r="AC688">
        <v>24.3</v>
      </c>
      <c r="AD688" t="s">
        <v>34</v>
      </c>
      <c r="AE688">
        <v>3202.17</v>
      </c>
      <c r="AF688">
        <v>1</v>
      </c>
    </row>
    <row r="689" spans="3:32" x14ac:dyDescent="0.35">
      <c r="C689" s="1">
        <v>43856</v>
      </c>
      <c r="D689" s="2">
        <v>43831</v>
      </c>
      <c r="E689">
        <v>1958</v>
      </c>
      <c r="F689" s="3">
        <v>3874.11</v>
      </c>
      <c r="G689" s="3">
        <v>2638.1</v>
      </c>
      <c r="H689" s="3">
        <v>1236.01</v>
      </c>
      <c r="I689" s="3">
        <v>0.68</v>
      </c>
      <c r="J689">
        <v>0.36</v>
      </c>
      <c r="K689">
        <v>2786.25</v>
      </c>
      <c r="L689" t="s">
        <v>30</v>
      </c>
      <c r="M689">
        <v>576</v>
      </c>
      <c r="N689">
        <v>0.56999999999999995</v>
      </c>
      <c r="O689" s="3">
        <v>542.03</v>
      </c>
      <c r="P689" s="3">
        <v>0.14000000000000001</v>
      </c>
      <c r="Q689" s="3">
        <v>593.88</v>
      </c>
      <c r="R689" s="3">
        <v>0.15</v>
      </c>
      <c r="S689">
        <v>4</v>
      </c>
      <c r="T689">
        <v>392.49</v>
      </c>
      <c r="U689">
        <v>37</v>
      </c>
      <c r="V689">
        <v>0</v>
      </c>
      <c r="W689">
        <v>779.48</v>
      </c>
      <c r="X689">
        <v>2333.41</v>
      </c>
      <c r="Y689" t="s">
        <v>36</v>
      </c>
      <c r="Z689" s="3">
        <v>784.48</v>
      </c>
      <c r="AA689" t="s">
        <v>47</v>
      </c>
      <c r="AB689" t="s">
        <v>44</v>
      </c>
      <c r="AC689">
        <v>84.1</v>
      </c>
      <c r="AD689" t="s">
        <v>38</v>
      </c>
      <c r="AE689">
        <v>1236.01</v>
      </c>
      <c r="AF689">
        <v>0</v>
      </c>
    </row>
    <row r="690" spans="3:32" x14ac:dyDescent="0.35">
      <c r="C690" s="1">
        <v>43856</v>
      </c>
      <c r="D690" s="2">
        <v>43831</v>
      </c>
      <c r="E690">
        <v>1182</v>
      </c>
      <c r="F690" s="3">
        <v>3503.81</v>
      </c>
      <c r="G690" s="3">
        <v>2708.25</v>
      </c>
      <c r="H690" s="3">
        <v>795.56</v>
      </c>
      <c r="I690" s="3">
        <v>0.77</v>
      </c>
      <c r="J690">
        <v>0.24</v>
      </c>
      <c r="K690">
        <v>2741.25</v>
      </c>
      <c r="L690" t="s">
        <v>35</v>
      </c>
      <c r="M690">
        <v>782</v>
      </c>
      <c r="N690">
        <v>0.5</v>
      </c>
      <c r="O690" s="3">
        <v>508.9</v>
      </c>
      <c r="P690" s="3">
        <v>0.15</v>
      </c>
      <c r="Q690" s="3">
        <v>78.58</v>
      </c>
      <c r="R690" s="3">
        <v>0.02</v>
      </c>
      <c r="S690">
        <v>4</v>
      </c>
      <c r="T690">
        <v>590.89</v>
      </c>
      <c r="U690">
        <v>87</v>
      </c>
      <c r="V690">
        <v>0</v>
      </c>
      <c r="W690">
        <v>386.19</v>
      </c>
      <c r="X690">
        <v>2282.1799999999998</v>
      </c>
      <c r="Y690" t="s">
        <v>36</v>
      </c>
      <c r="Z690" s="3">
        <v>1514.94</v>
      </c>
      <c r="AA690" t="s">
        <v>47</v>
      </c>
      <c r="AB690" t="s">
        <v>33</v>
      </c>
      <c r="AC690">
        <v>74.900000000000006</v>
      </c>
      <c r="AD690" t="s">
        <v>34</v>
      </c>
      <c r="AE690">
        <v>795.56</v>
      </c>
      <c r="AF690">
        <v>0</v>
      </c>
    </row>
    <row r="691" spans="3:32" x14ac:dyDescent="0.35">
      <c r="C691" s="1">
        <v>43856</v>
      </c>
      <c r="D691" s="2">
        <v>43831</v>
      </c>
      <c r="E691">
        <v>1288</v>
      </c>
      <c r="F691" s="3">
        <v>4198.0600000000004</v>
      </c>
      <c r="G691" s="3">
        <v>3631.02</v>
      </c>
      <c r="H691" s="3">
        <v>567.04</v>
      </c>
      <c r="I691" s="3">
        <v>0.86</v>
      </c>
      <c r="J691">
        <v>0.09</v>
      </c>
      <c r="K691">
        <v>2389.09</v>
      </c>
      <c r="L691" t="s">
        <v>30</v>
      </c>
      <c r="M691">
        <v>662</v>
      </c>
      <c r="N691">
        <v>0.16</v>
      </c>
      <c r="O691" s="3">
        <v>165.72</v>
      </c>
      <c r="P691" s="3">
        <v>0.04</v>
      </c>
      <c r="Q691" s="3">
        <v>722.5</v>
      </c>
      <c r="R691" s="3">
        <v>0.17</v>
      </c>
      <c r="S691">
        <v>1</v>
      </c>
      <c r="T691">
        <v>585.57000000000005</v>
      </c>
      <c r="U691">
        <v>31</v>
      </c>
      <c r="V691">
        <v>0</v>
      </c>
      <c r="W691">
        <v>778.69</v>
      </c>
      <c r="X691">
        <v>2816.41</v>
      </c>
      <c r="Y691" t="s">
        <v>36</v>
      </c>
      <c r="Z691" s="3">
        <v>984.92</v>
      </c>
      <c r="AA691" t="s">
        <v>40</v>
      </c>
      <c r="AB691" t="s">
        <v>44</v>
      </c>
      <c r="AC691">
        <v>22.3</v>
      </c>
      <c r="AD691" t="s">
        <v>43</v>
      </c>
      <c r="AE691">
        <v>567.04</v>
      </c>
      <c r="AF691">
        <v>0</v>
      </c>
    </row>
    <row r="692" spans="3:32" x14ac:dyDescent="0.35">
      <c r="C692" s="1">
        <v>43856</v>
      </c>
      <c r="D692" s="2">
        <v>43831</v>
      </c>
      <c r="E692">
        <v>1378</v>
      </c>
      <c r="F692" s="3">
        <v>3484.28</v>
      </c>
      <c r="G692" s="3">
        <v>4214.47</v>
      </c>
      <c r="H692" s="3">
        <v>-730.19</v>
      </c>
      <c r="I692" s="3">
        <v>1.21</v>
      </c>
      <c r="J692">
        <v>0.37</v>
      </c>
      <c r="K692">
        <v>2420.75</v>
      </c>
      <c r="L692" t="s">
        <v>35</v>
      </c>
      <c r="M692">
        <v>650</v>
      </c>
      <c r="N692">
        <v>0.44</v>
      </c>
      <c r="O692" s="3">
        <v>285.67</v>
      </c>
      <c r="P692" s="3">
        <v>0.08</v>
      </c>
      <c r="Q692" s="3">
        <v>0</v>
      </c>
      <c r="R692" s="3">
        <v>0</v>
      </c>
      <c r="S692">
        <v>6</v>
      </c>
      <c r="T692">
        <v>1335.17</v>
      </c>
      <c r="U692">
        <v>85</v>
      </c>
      <c r="V692">
        <v>0</v>
      </c>
      <c r="W692">
        <v>377.32</v>
      </c>
      <c r="X692">
        <v>2106.27</v>
      </c>
      <c r="Y692" t="s">
        <v>36</v>
      </c>
      <c r="Z692" s="3">
        <v>1203.17</v>
      </c>
      <c r="AA692" t="s">
        <v>47</v>
      </c>
      <c r="AB692" t="s">
        <v>33</v>
      </c>
      <c r="AC692">
        <v>53.4</v>
      </c>
      <c r="AD692" t="s">
        <v>38</v>
      </c>
      <c r="AE692">
        <v>0</v>
      </c>
      <c r="AF692">
        <v>0</v>
      </c>
    </row>
    <row r="693" spans="3:32" x14ac:dyDescent="0.35">
      <c r="C693" s="1">
        <v>43856</v>
      </c>
      <c r="D693" s="2">
        <v>43831</v>
      </c>
      <c r="E693">
        <v>1713</v>
      </c>
      <c r="F693" s="3">
        <v>3127.19</v>
      </c>
      <c r="G693" s="3">
        <v>3533.41</v>
      </c>
      <c r="H693" s="3">
        <v>-406.22</v>
      </c>
      <c r="I693" s="3">
        <v>1.1299999999999999</v>
      </c>
      <c r="J693">
        <v>0.25</v>
      </c>
      <c r="K693">
        <v>2085.02</v>
      </c>
      <c r="L693" t="s">
        <v>35</v>
      </c>
      <c r="M693">
        <v>678</v>
      </c>
      <c r="N693">
        <v>0.27</v>
      </c>
      <c r="O693" s="3">
        <v>607.26</v>
      </c>
      <c r="P693" s="3">
        <v>0.19</v>
      </c>
      <c r="Q693" s="3">
        <v>331.38</v>
      </c>
      <c r="R693" s="3">
        <v>0.11</v>
      </c>
      <c r="S693">
        <v>8</v>
      </c>
      <c r="T693">
        <v>1449.52</v>
      </c>
      <c r="U693">
        <v>62</v>
      </c>
      <c r="V693">
        <v>0</v>
      </c>
      <c r="W693">
        <v>365.33</v>
      </c>
      <c r="X693">
        <v>2050.11</v>
      </c>
      <c r="Y693" t="s">
        <v>36</v>
      </c>
      <c r="Z693" s="3">
        <v>1397.11</v>
      </c>
      <c r="AA693" t="s">
        <v>46</v>
      </c>
      <c r="AB693" t="s">
        <v>33</v>
      </c>
      <c r="AC693">
        <v>70.8</v>
      </c>
      <c r="AD693" t="s">
        <v>34</v>
      </c>
      <c r="AE693">
        <v>0</v>
      </c>
      <c r="AF693">
        <v>0</v>
      </c>
    </row>
    <row r="694" spans="3:32" x14ac:dyDescent="0.35">
      <c r="C694" s="1">
        <v>43856</v>
      </c>
      <c r="D694" s="2">
        <v>43831</v>
      </c>
      <c r="E694">
        <v>1931</v>
      </c>
      <c r="F694" s="3">
        <v>4071.27</v>
      </c>
      <c r="G694" s="3">
        <v>1710.97</v>
      </c>
      <c r="H694" s="3">
        <v>2360.3000000000002</v>
      </c>
      <c r="I694" s="3">
        <v>0.42</v>
      </c>
      <c r="J694">
        <v>0.37</v>
      </c>
      <c r="K694">
        <v>1997.19</v>
      </c>
      <c r="L694" t="s">
        <v>35</v>
      </c>
      <c r="M694">
        <v>653</v>
      </c>
      <c r="N694">
        <v>0.28999999999999998</v>
      </c>
      <c r="O694" s="3">
        <v>455.06</v>
      </c>
      <c r="P694" s="3">
        <v>0.11</v>
      </c>
      <c r="Q694" s="3">
        <v>343.64</v>
      </c>
      <c r="R694" s="3">
        <v>0.08</v>
      </c>
      <c r="S694">
        <v>5</v>
      </c>
      <c r="T694">
        <v>950.38</v>
      </c>
      <c r="U694">
        <v>29</v>
      </c>
      <c r="V694">
        <v>0</v>
      </c>
      <c r="W694">
        <v>477.6</v>
      </c>
      <c r="X694">
        <v>2523.62</v>
      </c>
      <c r="Y694" t="s">
        <v>49</v>
      </c>
      <c r="Z694" s="3">
        <v>1777.84</v>
      </c>
      <c r="AA694" t="s">
        <v>41</v>
      </c>
      <c r="AB694" t="s">
        <v>33</v>
      </c>
      <c r="AC694">
        <v>4.0999999999999996</v>
      </c>
      <c r="AD694" t="s">
        <v>34</v>
      </c>
      <c r="AE694">
        <v>2360.3000000000002</v>
      </c>
      <c r="AF694">
        <v>1</v>
      </c>
    </row>
    <row r="695" spans="3:32" x14ac:dyDescent="0.35">
      <c r="C695" s="1">
        <v>43856</v>
      </c>
      <c r="D695" s="2">
        <v>43831</v>
      </c>
      <c r="E695">
        <v>1036</v>
      </c>
      <c r="F695" s="3">
        <v>5227.74</v>
      </c>
      <c r="G695" s="3">
        <v>1996.97</v>
      </c>
      <c r="H695" s="3">
        <v>3230.77</v>
      </c>
      <c r="I695" s="3">
        <v>0.38</v>
      </c>
      <c r="J695">
        <v>7.0000000000000007E-2</v>
      </c>
      <c r="K695">
        <v>3143.79</v>
      </c>
      <c r="L695" t="s">
        <v>35</v>
      </c>
      <c r="M695">
        <v>694</v>
      </c>
      <c r="N695">
        <v>0.12</v>
      </c>
      <c r="O695" s="3">
        <v>660.31</v>
      </c>
      <c r="P695" s="3">
        <v>0.13</v>
      </c>
      <c r="Q695" s="3">
        <v>461.61</v>
      </c>
      <c r="R695" s="3">
        <v>0.09</v>
      </c>
      <c r="S695">
        <v>2</v>
      </c>
      <c r="T695">
        <v>742.12</v>
      </c>
      <c r="U695">
        <v>78</v>
      </c>
      <c r="V695">
        <v>0</v>
      </c>
      <c r="W695">
        <v>186.08</v>
      </c>
      <c r="X695">
        <v>1094.29</v>
      </c>
      <c r="Y695" t="s">
        <v>36</v>
      </c>
      <c r="Z695" s="3">
        <v>1482.74</v>
      </c>
      <c r="AA695" t="s">
        <v>45</v>
      </c>
      <c r="AB695" t="s">
        <v>42</v>
      </c>
      <c r="AC695">
        <v>65.8</v>
      </c>
      <c r="AD695" t="s">
        <v>43</v>
      </c>
      <c r="AE695">
        <v>3230.77</v>
      </c>
      <c r="AF695">
        <v>1</v>
      </c>
    </row>
    <row r="696" spans="3:32" x14ac:dyDescent="0.35">
      <c r="C696" s="1">
        <v>43856</v>
      </c>
      <c r="D696" s="2">
        <v>43831</v>
      </c>
      <c r="E696">
        <v>1326</v>
      </c>
      <c r="F696" s="3">
        <v>4061.33</v>
      </c>
      <c r="G696" s="3">
        <v>3102.7</v>
      </c>
      <c r="H696" s="3">
        <v>958.63</v>
      </c>
      <c r="I696" s="3">
        <v>0.76</v>
      </c>
      <c r="J696">
        <v>0.08</v>
      </c>
      <c r="K696">
        <v>2469.4899999999998</v>
      </c>
      <c r="L696" t="s">
        <v>39</v>
      </c>
      <c r="M696">
        <v>680</v>
      </c>
      <c r="N696">
        <v>0.56999999999999995</v>
      </c>
      <c r="O696" s="3">
        <v>746.5</v>
      </c>
      <c r="P696" s="3">
        <v>0.18</v>
      </c>
      <c r="Q696" s="3">
        <v>0</v>
      </c>
      <c r="R696" s="3">
        <v>0</v>
      </c>
      <c r="S696">
        <v>9</v>
      </c>
      <c r="T696">
        <v>1638.43</v>
      </c>
      <c r="U696">
        <v>55</v>
      </c>
      <c r="V696">
        <v>0</v>
      </c>
      <c r="W696">
        <v>773.07</v>
      </c>
      <c r="X696">
        <v>1735.03</v>
      </c>
      <c r="Y696" t="s">
        <v>36</v>
      </c>
      <c r="Z696" s="3">
        <v>1224.6400000000001</v>
      </c>
      <c r="AA696" t="s">
        <v>51</v>
      </c>
      <c r="AB696" t="s">
        <v>42</v>
      </c>
      <c r="AC696">
        <v>19.600000000000001</v>
      </c>
      <c r="AD696" t="s">
        <v>43</v>
      </c>
      <c r="AE696">
        <v>958.63</v>
      </c>
      <c r="AF696">
        <v>0</v>
      </c>
    </row>
    <row r="697" spans="3:32" x14ac:dyDescent="0.35">
      <c r="C697" s="1">
        <v>43856</v>
      </c>
      <c r="D697" s="2">
        <v>43831</v>
      </c>
      <c r="E697">
        <v>1284</v>
      </c>
      <c r="F697" s="3">
        <v>3324.79</v>
      </c>
      <c r="G697" s="3">
        <v>3993.77</v>
      </c>
      <c r="H697" s="3">
        <v>-668.98</v>
      </c>
      <c r="I697" s="3">
        <v>1.2</v>
      </c>
      <c r="J697">
        <v>0.33</v>
      </c>
      <c r="K697">
        <v>3072.31</v>
      </c>
      <c r="L697" t="s">
        <v>39</v>
      </c>
      <c r="M697">
        <v>670</v>
      </c>
      <c r="N697">
        <v>0.51</v>
      </c>
      <c r="O697" s="3">
        <v>873.74</v>
      </c>
      <c r="P697" s="3">
        <v>0.26</v>
      </c>
      <c r="Q697" s="3">
        <v>194.67</v>
      </c>
      <c r="R697" s="3">
        <v>0.06</v>
      </c>
      <c r="S697">
        <v>6</v>
      </c>
      <c r="T697">
        <v>1396.84</v>
      </c>
      <c r="U697">
        <v>23</v>
      </c>
      <c r="V697">
        <v>0</v>
      </c>
      <c r="W697">
        <v>646.94000000000005</v>
      </c>
      <c r="X697">
        <v>1553.7</v>
      </c>
      <c r="Y697" t="s">
        <v>36</v>
      </c>
      <c r="Z697" s="3">
        <v>1362</v>
      </c>
      <c r="AA697" t="s">
        <v>45</v>
      </c>
      <c r="AB697" t="s">
        <v>33</v>
      </c>
      <c r="AC697">
        <v>96.1</v>
      </c>
      <c r="AD697" t="s">
        <v>38</v>
      </c>
      <c r="AE697">
        <v>0</v>
      </c>
      <c r="AF697">
        <v>0</v>
      </c>
    </row>
    <row r="698" spans="3:32" x14ac:dyDescent="0.35">
      <c r="C698" s="1">
        <v>43856</v>
      </c>
      <c r="D698" s="2">
        <v>43831</v>
      </c>
      <c r="E698">
        <v>1909</v>
      </c>
      <c r="F698" s="3">
        <v>3718.65</v>
      </c>
      <c r="G698" s="3">
        <v>2586.1999999999998</v>
      </c>
      <c r="H698" s="3">
        <v>1132.45</v>
      </c>
      <c r="I698" s="3">
        <v>0.7</v>
      </c>
      <c r="J698">
        <v>0.27</v>
      </c>
      <c r="K698">
        <v>3746.79</v>
      </c>
      <c r="L698" t="s">
        <v>35</v>
      </c>
      <c r="M698">
        <v>635</v>
      </c>
      <c r="N698">
        <v>0.27</v>
      </c>
      <c r="O698" s="3">
        <v>483.14</v>
      </c>
      <c r="P698" s="3">
        <v>0.13</v>
      </c>
      <c r="Q698" s="3">
        <v>555.04999999999995</v>
      </c>
      <c r="R698" s="3">
        <v>0.15</v>
      </c>
      <c r="S698">
        <v>3</v>
      </c>
      <c r="T698">
        <v>1282.18</v>
      </c>
      <c r="U698">
        <v>34</v>
      </c>
      <c r="V698">
        <v>0</v>
      </c>
      <c r="W698">
        <v>600.24</v>
      </c>
      <c r="X698">
        <v>3029.1</v>
      </c>
      <c r="Y698" t="s">
        <v>31</v>
      </c>
      <c r="Z698" s="3">
        <v>977.26</v>
      </c>
      <c r="AA698" t="s">
        <v>50</v>
      </c>
      <c r="AB698" t="s">
        <v>42</v>
      </c>
      <c r="AC698">
        <v>26.4</v>
      </c>
      <c r="AD698" t="s">
        <v>43</v>
      </c>
      <c r="AE698">
        <v>1132.45</v>
      </c>
      <c r="AF698">
        <v>0</v>
      </c>
    </row>
    <row r="699" spans="3:32" x14ac:dyDescent="0.35">
      <c r="C699" s="1">
        <v>43856</v>
      </c>
      <c r="D699" s="2">
        <v>43831</v>
      </c>
      <c r="E699">
        <v>1603</v>
      </c>
      <c r="F699" s="3">
        <v>4408.7700000000004</v>
      </c>
      <c r="G699" s="3">
        <v>1486.82</v>
      </c>
      <c r="H699" s="3">
        <v>2921.95</v>
      </c>
      <c r="I699" s="3">
        <v>0.34</v>
      </c>
      <c r="J699">
        <v>0.11</v>
      </c>
      <c r="K699">
        <v>2672.12</v>
      </c>
      <c r="L699" t="s">
        <v>35</v>
      </c>
      <c r="M699">
        <v>728</v>
      </c>
      <c r="N699">
        <v>0.45</v>
      </c>
      <c r="O699" s="3">
        <v>646.13</v>
      </c>
      <c r="P699" s="3">
        <v>0.15</v>
      </c>
      <c r="Q699" s="3">
        <v>289.43</v>
      </c>
      <c r="R699" s="3">
        <v>7.0000000000000007E-2</v>
      </c>
      <c r="S699">
        <v>8</v>
      </c>
      <c r="T699">
        <v>1194.49</v>
      </c>
      <c r="U699">
        <v>96</v>
      </c>
      <c r="V699">
        <v>0</v>
      </c>
      <c r="W699">
        <v>546.05999999999995</v>
      </c>
      <c r="X699">
        <v>2838.96</v>
      </c>
      <c r="Y699" t="s">
        <v>49</v>
      </c>
      <c r="Z699" s="3">
        <v>1394.25</v>
      </c>
      <c r="AA699" t="s">
        <v>37</v>
      </c>
      <c r="AB699" t="s">
        <v>33</v>
      </c>
      <c r="AC699">
        <v>59.3</v>
      </c>
      <c r="AD699" t="s">
        <v>34</v>
      </c>
      <c r="AE699">
        <v>2921.95</v>
      </c>
      <c r="AF699">
        <v>1</v>
      </c>
    </row>
    <row r="700" spans="3:32" x14ac:dyDescent="0.35">
      <c r="C700" s="1">
        <v>43856</v>
      </c>
      <c r="D700" s="2">
        <v>43831</v>
      </c>
      <c r="E700">
        <v>1872</v>
      </c>
      <c r="F700" s="3">
        <v>4136.71</v>
      </c>
      <c r="G700" s="3">
        <v>3142.13</v>
      </c>
      <c r="H700" s="3">
        <v>994.58</v>
      </c>
      <c r="I700" s="3">
        <v>0.76</v>
      </c>
      <c r="J700">
        <v>0.33</v>
      </c>
      <c r="K700">
        <v>2719.09</v>
      </c>
      <c r="L700" t="s">
        <v>39</v>
      </c>
      <c r="M700">
        <v>696</v>
      </c>
      <c r="N700">
        <v>0.4</v>
      </c>
      <c r="O700" s="3">
        <v>307.57</v>
      </c>
      <c r="P700" s="3">
        <v>7.0000000000000007E-2</v>
      </c>
      <c r="Q700" s="3">
        <v>15.69</v>
      </c>
      <c r="R700" s="3">
        <v>0</v>
      </c>
      <c r="S700">
        <v>2</v>
      </c>
      <c r="T700">
        <v>1111.57</v>
      </c>
      <c r="U700">
        <v>20</v>
      </c>
      <c r="V700">
        <v>1</v>
      </c>
      <c r="W700">
        <v>296.45999999999998</v>
      </c>
      <c r="X700">
        <v>2135.5500000000002</v>
      </c>
      <c r="Y700" t="s">
        <v>31</v>
      </c>
      <c r="Z700" s="3">
        <v>1540.86</v>
      </c>
      <c r="AA700" t="s">
        <v>47</v>
      </c>
      <c r="AB700" t="s">
        <v>33</v>
      </c>
      <c r="AC700">
        <v>69</v>
      </c>
      <c r="AD700" t="s">
        <v>43</v>
      </c>
      <c r="AE700">
        <v>994.58</v>
      </c>
      <c r="AF700">
        <v>0</v>
      </c>
    </row>
    <row r="701" spans="3:32" x14ac:dyDescent="0.35">
      <c r="C701" s="1">
        <v>43856</v>
      </c>
      <c r="D701" s="2">
        <v>43831</v>
      </c>
      <c r="E701">
        <v>1668</v>
      </c>
      <c r="F701" s="3">
        <v>3497.41</v>
      </c>
      <c r="G701" s="3">
        <v>4721.74</v>
      </c>
      <c r="H701" s="3">
        <v>-1224.33</v>
      </c>
      <c r="I701" s="3">
        <v>1.35</v>
      </c>
      <c r="J701">
        <v>0.1</v>
      </c>
      <c r="K701">
        <v>2507.54</v>
      </c>
      <c r="L701" t="s">
        <v>30</v>
      </c>
      <c r="M701">
        <v>650</v>
      </c>
      <c r="N701">
        <v>0.21</v>
      </c>
      <c r="O701" s="3">
        <v>980.37</v>
      </c>
      <c r="P701" s="3">
        <v>0.28000000000000003</v>
      </c>
      <c r="Q701" s="3">
        <v>531.63</v>
      </c>
      <c r="R701" s="3">
        <v>0.15</v>
      </c>
      <c r="S701">
        <v>2</v>
      </c>
      <c r="T701">
        <v>1686.95</v>
      </c>
      <c r="U701">
        <v>69</v>
      </c>
      <c r="V701">
        <v>0</v>
      </c>
      <c r="W701">
        <v>745.91</v>
      </c>
      <c r="X701">
        <v>3182.4</v>
      </c>
      <c r="Y701" t="s">
        <v>36</v>
      </c>
      <c r="Z701" s="3">
        <v>790.89</v>
      </c>
      <c r="AA701" t="s">
        <v>37</v>
      </c>
      <c r="AB701" t="s">
        <v>33</v>
      </c>
      <c r="AC701">
        <v>47.3</v>
      </c>
      <c r="AD701" t="s">
        <v>34</v>
      </c>
      <c r="AE701">
        <v>0</v>
      </c>
      <c r="AF701">
        <v>0</v>
      </c>
    </row>
    <row r="702" spans="3:32" x14ac:dyDescent="0.35">
      <c r="C702" s="1">
        <v>43886</v>
      </c>
      <c r="D702" s="2">
        <v>43862</v>
      </c>
      <c r="E702">
        <v>1675</v>
      </c>
      <c r="F702" s="3">
        <v>3507.29</v>
      </c>
      <c r="G702" s="3">
        <v>2661.4</v>
      </c>
      <c r="H702" s="3">
        <v>845.89</v>
      </c>
      <c r="I702" s="3">
        <v>0.76</v>
      </c>
      <c r="J702">
        <v>0.26</v>
      </c>
      <c r="K702">
        <v>3493.12</v>
      </c>
      <c r="L702" t="s">
        <v>35</v>
      </c>
      <c r="M702">
        <v>739</v>
      </c>
      <c r="N702">
        <v>0.4</v>
      </c>
      <c r="O702" s="3">
        <v>650.88</v>
      </c>
      <c r="P702" s="3">
        <v>0.19</v>
      </c>
      <c r="Q702" s="3">
        <v>220.05</v>
      </c>
      <c r="R702" s="3">
        <v>0.06</v>
      </c>
      <c r="S702">
        <v>7</v>
      </c>
      <c r="T702">
        <v>1405.48</v>
      </c>
      <c r="U702">
        <v>74</v>
      </c>
      <c r="V702">
        <v>0</v>
      </c>
      <c r="W702">
        <v>248.39</v>
      </c>
      <c r="X702">
        <v>2825.21</v>
      </c>
      <c r="Y702" t="s">
        <v>36</v>
      </c>
      <c r="Z702" s="3">
        <v>1009.85</v>
      </c>
      <c r="AA702" t="s">
        <v>32</v>
      </c>
      <c r="AB702" t="s">
        <v>42</v>
      </c>
      <c r="AC702">
        <v>11.2</v>
      </c>
      <c r="AD702" t="s">
        <v>43</v>
      </c>
      <c r="AE702">
        <v>845.89</v>
      </c>
      <c r="AF702">
        <v>0</v>
      </c>
    </row>
    <row r="703" spans="3:32" x14ac:dyDescent="0.35">
      <c r="C703" s="1">
        <v>43886</v>
      </c>
      <c r="D703" s="2">
        <v>43862</v>
      </c>
      <c r="E703">
        <v>1799</v>
      </c>
      <c r="F703" s="3">
        <v>3285.42</v>
      </c>
      <c r="G703" s="3">
        <v>2691.73</v>
      </c>
      <c r="H703" s="3">
        <v>593.69000000000005</v>
      </c>
      <c r="I703" s="3">
        <v>0.82</v>
      </c>
      <c r="J703">
        <v>0.21</v>
      </c>
      <c r="K703">
        <v>2966.68</v>
      </c>
      <c r="L703" t="s">
        <v>39</v>
      </c>
      <c r="M703">
        <v>714</v>
      </c>
      <c r="N703">
        <v>0.47</v>
      </c>
      <c r="O703" s="3">
        <v>706.65</v>
      </c>
      <c r="P703" s="3">
        <v>0.22</v>
      </c>
      <c r="Q703" s="3">
        <v>406.24</v>
      </c>
      <c r="R703" s="3">
        <v>0.12</v>
      </c>
      <c r="S703">
        <v>7</v>
      </c>
      <c r="T703">
        <v>195.09</v>
      </c>
      <c r="U703">
        <v>76</v>
      </c>
      <c r="V703">
        <v>0</v>
      </c>
      <c r="W703">
        <v>586.33000000000004</v>
      </c>
      <c r="X703">
        <v>1361.88</v>
      </c>
      <c r="Y703" t="s">
        <v>36</v>
      </c>
      <c r="Z703" s="3">
        <v>1121.3699999999999</v>
      </c>
      <c r="AA703" t="s">
        <v>51</v>
      </c>
      <c r="AB703" t="s">
        <v>33</v>
      </c>
      <c r="AC703">
        <v>33.799999999999997</v>
      </c>
      <c r="AD703" t="s">
        <v>38</v>
      </c>
      <c r="AE703">
        <v>593.69000000000005</v>
      </c>
      <c r="AF703">
        <v>0</v>
      </c>
    </row>
    <row r="704" spans="3:32" x14ac:dyDescent="0.35">
      <c r="C704" s="1">
        <v>43886</v>
      </c>
      <c r="D704" s="2">
        <v>43862</v>
      </c>
      <c r="E704">
        <v>1563</v>
      </c>
      <c r="F704" s="3">
        <v>3366.47</v>
      </c>
      <c r="G704" s="3">
        <v>4182.38</v>
      </c>
      <c r="H704" s="3">
        <v>-815.91</v>
      </c>
      <c r="I704" s="3">
        <v>1.24</v>
      </c>
      <c r="J704">
        <v>0.31</v>
      </c>
      <c r="K704">
        <v>1874.76</v>
      </c>
      <c r="L704" t="s">
        <v>35</v>
      </c>
      <c r="M704">
        <v>738</v>
      </c>
      <c r="N704">
        <v>0.48</v>
      </c>
      <c r="O704" s="3">
        <v>591.37</v>
      </c>
      <c r="P704" s="3">
        <v>0.18</v>
      </c>
      <c r="Q704" s="3">
        <v>201.73</v>
      </c>
      <c r="R704" s="3">
        <v>0.06</v>
      </c>
      <c r="S704">
        <v>5</v>
      </c>
      <c r="T704">
        <v>841.57</v>
      </c>
      <c r="U704">
        <v>34</v>
      </c>
      <c r="V704">
        <v>0</v>
      </c>
      <c r="W704">
        <v>720.15</v>
      </c>
      <c r="X704">
        <v>2563.36</v>
      </c>
      <c r="Y704" t="s">
        <v>36</v>
      </c>
      <c r="Z704" s="3">
        <v>2133.36</v>
      </c>
      <c r="AA704" t="s">
        <v>46</v>
      </c>
      <c r="AB704" t="s">
        <v>42</v>
      </c>
      <c r="AC704">
        <v>21.4</v>
      </c>
      <c r="AD704" t="s">
        <v>43</v>
      </c>
      <c r="AE704">
        <v>0</v>
      </c>
      <c r="AF704">
        <v>0</v>
      </c>
    </row>
    <row r="705" spans="3:32" x14ac:dyDescent="0.35">
      <c r="C705" s="1">
        <v>43886</v>
      </c>
      <c r="D705" s="2">
        <v>43862</v>
      </c>
      <c r="E705">
        <v>1521</v>
      </c>
      <c r="F705" s="3">
        <v>4516.16</v>
      </c>
      <c r="G705" s="3">
        <v>3683.37</v>
      </c>
      <c r="H705" s="3">
        <v>832.79</v>
      </c>
      <c r="I705" s="3">
        <v>0.82</v>
      </c>
      <c r="J705">
        <v>0.31</v>
      </c>
      <c r="K705">
        <v>1824.49</v>
      </c>
      <c r="L705" t="s">
        <v>30</v>
      </c>
      <c r="M705">
        <v>685</v>
      </c>
      <c r="N705">
        <v>0.23</v>
      </c>
      <c r="O705" s="3">
        <v>297.37</v>
      </c>
      <c r="P705" s="3">
        <v>7.0000000000000007E-2</v>
      </c>
      <c r="Q705" s="3">
        <v>155.75</v>
      </c>
      <c r="R705" s="3">
        <v>0.03</v>
      </c>
      <c r="S705">
        <v>7</v>
      </c>
      <c r="T705">
        <v>1878.64</v>
      </c>
      <c r="U705">
        <v>42</v>
      </c>
      <c r="V705">
        <v>0</v>
      </c>
      <c r="W705">
        <v>440.47</v>
      </c>
      <c r="X705">
        <v>1503.34</v>
      </c>
      <c r="Y705" t="s">
        <v>36</v>
      </c>
      <c r="Z705" s="3">
        <v>1362.81</v>
      </c>
      <c r="AA705" t="s">
        <v>32</v>
      </c>
      <c r="AB705" t="s">
        <v>42</v>
      </c>
      <c r="AC705">
        <v>33.700000000000003</v>
      </c>
      <c r="AD705" t="s">
        <v>34</v>
      </c>
      <c r="AE705">
        <v>832.79</v>
      </c>
      <c r="AF705">
        <v>0</v>
      </c>
    </row>
    <row r="706" spans="3:32" x14ac:dyDescent="0.35">
      <c r="C706" s="1">
        <v>43886</v>
      </c>
      <c r="D706" s="2">
        <v>43862</v>
      </c>
      <c r="E706">
        <v>1950</v>
      </c>
      <c r="F706" s="3">
        <v>4455.53</v>
      </c>
      <c r="G706" s="3">
        <v>3308.17</v>
      </c>
      <c r="H706" s="3">
        <v>1147.3599999999999</v>
      </c>
      <c r="I706" s="3">
        <v>0.74</v>
      </c>
      <c r="J706">
        <v>0.32</v>
      </c>
      <c r="K706">
        <v>2815.92</v>
      </c>
      <c r="L706" t="s">
        <v>35</v>
      </c>
      <c r="M706">
        <v>720</v>
      </c>
      <c r="N706">
        <v>0.54</v>
      </c>
      <c r="O706" s="3">
        <v>402.27</v>
      </c>
      <c r="P706" s="3">
        <v>0.09</v>
      </c>
      <c r="Q706" s="3">
        <v>371.17</v>
      </c>
      <c r="R706" s="3">
        <v>0.08</v>
      </c>
      <c r="S706">
        <v>9</v>
      </c>
      <c r="T706">
        <v>1435.17</v>
      </c>
      <c r="U706">
        <v>48</v>
      </c>
      <c r="V706">
        <v>0</v>
      </c>
      <c r="W706">
        <v>674.34</v>
      </c>
      <c r="X706">
        <v>2461.61</v>
      </c>
      <c r="Y706" t="s">
        <v>36</v>
      </c>
      <c r="Z706" s="3">
        <v>1117.5899999999999</v>
      </c>
      <c r="AA706" t="s">
        <v>50</v>
      </c>
      <c r="AB706" t="s">
        <v>33</v>
      </c>
      <c r="AC706">
        <v>45.3</v>
      </c>
      <c r="AD706" t="s">
        <v>43</v>
      </c>
      <c r="AE706">
        <v>1147.3599999999999</v>
      </c>
      <c r="AF706">
        <v>0</v>
      </c>
    </row>
    <row r="707" spans="3:32" x14ac:dyDescent="0.35">
      <c r="C707" s="1">
        <v>43886</v>
      </c>
      <c r="D707" s="2">
        <v>43862</v>
      </c>
      <c r="E707">
        <v>1029</v>
      </c>
      <c r="F707" s="3">
        <v>2498.0700000000002</v>
      </c>
      <c r="G707" s="3">
        <v>3418.06</v>
      </c>
      <c r="H707" s="3">
        <v>-919.99</v>
      </c>
      <c r="I707" s="3">
        <v>1.37</v>
      </c>
      <c r="J707">
        <v>0.2</v>
      </c>
      <c r="K707">
        <v>2581.1799999999998</v>
      </c>
      <c r="L707" t="s">
        <v>30</v>
      </c>
      <c r="M707">
        <v>681</v>
      </c>
      <c r="N707">
        <v>0.28999999999999998</v>
      </c>
      <c r="O707" s="3">
        <v>403.3</v>
      </c>
      <c r="P707" s="3">
        <v>0.16</v>
      </c>
      <c r="Q707" s="3">
        <v>200.59</v>
      </c>
      <c r="R707" s="3">
        <v>0.08</v>
      </c>
      <c r="S707">
        <v>2</v>
      </c>
      <c r="T707">
        <v>275.75</v>
      </c>
      <c r="U707">
        <v>79</v>
      </c>
      <c r="V707">
        <v>0</v>
      </c>
      <c r="W707">
        <v>481.99</v>
      </c>
      <c r="X707">
        <v>1671.09</v>
      </c>
      <c r="Y707" t="s">
        <v>49</v>
      </c>
      <c r="Z707" s="3">
        <v>1822.25</v>
      </c>
      <c r="AA707" t="s">
        <v>50</v>
      </c>
      <c r="AB707" t="s">
        <v>44</v>
      </c>
      <c r="AC707">
        <v>99.3</v>
      </c>
      <c r="AD707" t="s">
        <v>43</v>
      </c>
      <c r="AE707">
        <v>0</v>
      </c>
      <c r="AF707">
        <v>0</v>
      </c>
    </row>
    <row r="708" spans="3:32" x14ac:dyDescent="0.35">
      <c r="C708" s="1">
        <v>43886</v>
      </c>
      <c r="D708" s="2">
        <v>43862</v>
      </c>
      <c r="E708">
        <v>1618</v>
      </c>
      <c r="F708" s="3">
        <v>2461.89</v>
      </c>
      <c r="G708" s="3">
        <v>2001.98</v>
      </c>
      <c r="H708" s="3">
        <v>459.91</v>
      </c>
      <c r="I708" s="3">
        <v>0.81</v>
      </c>
      <c r="J708">
        <v>0.21</v>
      </c>
      <c r="K708">
        <v>2506.4899999999998</v>
      </c>
      <c r="L708" t="s">
        <v>39</v>
      </c>
      <c r="M708">
        <v>672</v>
      </c>
      <c r="N708">
        <v>0.15</v>
      </c>
      <c r="O708" s="3">
        <v>975.97</v>
      </c>
      <c r="P708" s="3">
        <v>0.4</v>
      </c>
      <c r="Q708" s="3">
        <v>337.94</v>
      </c>
      <c r="R708" s="3">
        <v>0.14000000000000001</v>
      </c>
      <c r="S708">
        <v>1</v>
      </c>
      <c r="T708">
        <v>790.88</v>
      </c>
      <c r="U708">
        <v>74</v>
      </c>
      <c r="V708">
        <v>0</v>
      </c>
      <c r="W708">
        <v>427.03</v>
      </c>
      <c r="X708">
        <v>1829.64</v>
      </c>
      <c r="Y708" t="s">
        <v>31</v>
      </c>
      <c r="Z708" s="3">
        <v>775.16</v>
      </c>
      <c r="AA708" t="s">
        <v>41</v>
      </c>
      <c r="AB708" t="s">
        <v>44</v>
      </c>
      <c r="AC708">
        <v>79.7</v>
      </c>
      <c r="AD708" t="s">
        <v>38</v>
      </c>
      <c r="AE708">
        <v>459.91</v>
      </c>
      <c r="AF708">
        <v>0</v>
      </c>
    </row>
    <row r="709" spans="3:32" x14ac:dyDescent="0.35">
      <c r="C709" s="1">
        <v>43886</v>
      </c>
      <c r="D709" s="2">
        <v>43862</v>
      </c>
      <c r="E709">
        <v>1589</v>
      </c>
      <c r="F709" s="3">
        <v>3868.2</v>
      </c>
      <c r="G709" s="3">
        <v>2228.21</v>
      </c>
      <c r="H709" s="3">
        <v>1639.99</v>
      </c>
      <c r="I709" s="3">
        <v>0.57999999999999996</v>
      </c>
      <c r="J709">
        <v>0.06</v>
      </c>
      <c r="K709">
        <v>3671.15</v>
      </c>
      <c r="L709" t="s">
        <v>35</v>
      </c>
      <c r="M709">
        <v>661</v>
      </c>
      <c r="N709">
        <v>0.49</v>
      </c>
      <c r="O709" s="3">
        <v>776.42</v>
      </c>
      <c r="P709" s="3">
        <v>0.2</v>
      </c>
      <c r="Q709" s="3">
        <v>549.12</v>
      </c>
      <c r="R709" s="3">
        <v>0.14000000000000001</v>
      </c>
      <c r="S709">
        <v>7</v>
      </c>
      <c r="T709">
        <v>65.41</v>
      </c>
      <c r="U709">
        <v>72</v>
      </c>
      <c r="V709">
        <v>0</v>
      </c>
      <c r="W709">
        <v>604.91999999999996</v>
      </c>
      <c r="X709">
        <v>1027.6099999999999</v>
      </c>
      <c r="Y709" t="s">
        <v>36</v>
      </c>
      <c r="Z709" s="3">
        <v>1327.69</v>
      </c>
      <c r="AA709" t="s">
        <v>41</v>
      </c>
      <c r="AB709" t="s">
        <v>33</v>
      </c>
      <c r="AC709">
        <v>97.2</v>
      </c>
      <c r="AD709" t="s">
        <v>34</v>
      </c>
      <c r="AE709">
        <v>1639.99</v>
      </c>
      <c r="AF709">
        <v>0</v>
      </c>
    </row>
    <row r="710" spans="3:32" x14ac:dyDescent="0.35">
      <c r="C710" s="1">
        <v>43886</v>
      </c>
      <c r="D710" s="2">
        <v>43862</v>
      </c>
      <c r="E710">
        <v>1439</v>
      </c>
      <c r="F710" s="3">
        <v>7283.39</v>
      </c>
      <c r="G710" s="3">
        <v>693.73</v>
      </c>
      <c r="H710" s="3">
        <v>6589.66</v>
      </c>
      <c r="I710" s="3">
        <v>0.1</v>
      </c>
      <c r="J710">
        <v>0.15</v>
      </c>
      <c r="K710">
        <v>4010.12</v>
      </c>
      <c r="L710" t="s">
        <v>35</v>
      </c>
      <c r="M710">
        <v>755</v>
      </c>
      <c r="N710">
        <v>0.43</v>
      </c>
      <c r="O710" s="3">
        <v>660.27</v>
      </c>
      <c r="P710" s="3">
        <v>0.09</v>
      </c>
      <c r="Q710" s="3">
        <v>145.24</v>
      </c>
      <c r="R710" s="3">
        <v>0.02</v>
      </c>
      <c r="S710">
        <v>7</v>
      </c>
      <c r="T710">
        <v>1318.23</v>
      </c>
      <c r="U710">
        <v>60</v>
      </c>
      <c r="V710">
        <v>0</v>
      </c>
      <c r="W710">
        <v>384.64</v>
      </c>
      <c r="X710">
        <v>1889.32</v>
      </c>
      <c r="Y710" t="s">
        <v>49</v>
      </c>
      <c r="Z710" s="3">
        <v>1073.45</v>
      </c>
      <c r="AA710" t="s">
        <v>32</v>
      </c>
      <c r="AB710" t="s">
        <v>33</v>
      </c>
      <c r="AC710">
        <v>29.2</v>
      </c>
      <c r="AD710" t="s">
        <v>34</v>
      </c>
      <c r="AE710">
        <v>6589.66</v>
      </c>
      <c r="AF710">
        <v>1</v>
      </c>
    </row>
    <row r="711" spans="3:32" x14ac:dyDescent="0.35">
      <c r="C711" s="1">
        <v>43886</v>
      </c>
      <c r="D711" s="2">
        <v>43862</v>
      </c>
      <c r="E711">
        <v>1127</v>
      </c>
      <c r="F711" s="3">
        <v>4476.58</v>
      </c>
      <c r="G711" s="3">
        <v>2590.7399999999998</v>
      </c>
      <c r="H711" s="3">
        <v>1885.84</v>
      </c>
      <c r="I711" s="3">
        <v>0.57999999999999996</v>
      </c>
      <c r="J711">
        <v>0.27</v>
      </c>
      <c r="K711">
        <v>1943.46</v>
      </c>
      <c r="L711" t="s">
        <v>35</v>
      </c>
      <c r="M711">
        <v>719</v>
      </c>
      <c r="N711">
        <v>0.28000000000000003</v>
      </c>
      <c r="O711" s="3">
        <v>400.97</v>
      </c>
      <c r="P711" s="3">
        <v>0.09</v>
      </c>
      <c r="Q711" s="3">
        <v>286.24</v>
      </c>
      <c r="R711" s="3">
        <v>0.06</v>
      </c>
      <c r="S711">
        <v>7</v>
      </c>
      <c r="T711">
        <v>151.44999999999999</v>
      </c>
      <c r="U711">
        <v>36</v>
      </c>
      <c r="V711">
        <v>0</v>
      </c>
      <c r="W711">
        <v>477.34</v>
      </c>
      <c r="X711">
        <v>1174.8800000000001</v>
      </c>
      <c r="Y711" t="s">
        <v>36</v>
      </c>
      <c r="Z711" s="3">
        <v>1810.68</v>
      </c>
      <c r="AA711" t="s">
        <v>48</v>
      </c>
      <c r="AB711" t="s">
        <v>33</v>
      </c>
      <c r="AC711">
        <v>37.5</v>
      </c>
      <c r="AD711" t="s">
        <v>43</v>
      </c>
      <c r="AE711">
        <v>1885.84</v>
      </c>
      <c r="AF711">
        <v>0</v>
      </c>
    </row>
    <row r="712" spans="3:32" x14ac:dyDescent="0.35">
      <c r="C712" s="1">
        <v>43886</v>
      </c>
      <c r="D712" s="2">
        <v>43862</v>
      </c>
      <c r="E712">
        <v>1372</v>
      </c>
      <c r="F712" s="3">
        <v>3708.57</v>
      </c>
      <c r="G712" s="3">
        <v>1471.64</v>
      </c>
      <c r="H712" s="3">
        <v>2236.9299999999998</v>
      </c>
      <c r="I712" s="3">
        <v>0.4</v>
      </c>
      <c r="J712">
        <v>0.26</v>
      </c>
      <c r="K712">
        <v>2363.85</v>
      </c>
      <c r="L712" t="s">
        <v>35</v>
      </c>
      <c r="M712">
        <v>655</v>
      </c>
      <c r="N712">
        <v>0.4</v>
      </c>
      <c r="O712" s="3">
        <v>562.29</v>
      </c>
      <c r="P712" s="3">
        <v>0.15</v>
      </c>
      <c r="Q712" s="3">
        <v>528.33000000000004</v>
      </c>
      <c r="R712" s="3">
        <v>0.14000000000000001</v>
      </c>
      <c r="S712">
        <v>4</v>
      </c>
      <c r="T712">
        <v>1562.48</v>
      </c>
      <c r="U712">
        <v>72</v>
      </c>
      <c r="V712">
        <v>0</v>
      </c>
      <c r="W712">
        <v>278.14999999999998</v>
      </c>
      <c r="X712">
        <v>1685.83</v>
      </c>
      <c r="Y712" t="s">
        <v>49</v>
      </c>
      <c r="Z712" s="3">
        <v>1151.3399999999999</v>
      </c>
      <c r="AA712" t="s">
        <v>47</v>
      </c>
      <c r="AB712" t="s">
        <v>42</v>
      </c>
      <c r="AC712">
        <v>56.7</v>
      </c>
      <c r="AD712" t="s">
        <v>38</v>
      </c>
      <c r="AE712">
        <v>2236.9299999999998</v>
      </c>
      <c r="AF712">
        <v>0</v>
      </c>
    </row>
    <row r="713" spans="3:32" x14ac:dyDescent="0.35">
      <c r="C713" s="1">
        <v>43886</v>
      </c>
      <c r="D713" s="2">
        <v>43862</v>
      </c>
      <c r="E713">
        <v>1201</v>
      </c>
      <c r="F713" s="3">
        <v>3899.34</v>
      </c>
      <c r="G713" s="3">
        <v>4108.62</v>
      </c>
      <c r="H713" s="3">
        <v>-209.28</v>
      </c>
      <c r="I713" s="3">
        <v>1.05</v>
      </c>
      <c r="J713">
        <v>0.3</v>
      </c>
      <c r="K713">
        <v>1966.21</v>
      </c>
      <c r="L713" t="s">
        <v>35</v>
      </c>
      <c r="M713">
        <v>664</v>
      </c>
      <c r="N713">
        <v>0.37</v>
      </c>
      <c r="O713" s="3">
        <v>1064.0999999999999</v>
      </c>
      <c r="P713" s="3">
        <v>0.27</v>
      </c>
      <c r="Q713" s="3">
        <v>460.52</v>
      </c>
      <c r="R713" s="3">
        <v>0.12</v>
      </c>
      <c r="S713">
        <v>1</v>
      </c>
      <c r="T713">
        <v>1499.38</v>
      </c>
      <c r="U713">
        <v>69</v>
      </c>
      <c r="V713">
        <v>0</v>
      </c>
      <c r="W713">
        <v>598.49</v>
      </c>
      <c r="X713">
        <v>2541.9299999999998</v>
      </c>
      <c r="Y713" t="s">
        <v>36</v>
      </c>
      <c r="Z713" s="3">
        <v>330.13</v>
      </c>
      <c r="AA713" t="s">
        <v>40</v>
      </c>
      <c r="AB713" t="s">
        <v>42</v>
      </c>
      <c r="AC713">
        <v>67.900000000000006</v>
      </c>
      <c r="AD713" t="s">
        <v>43</v>
      </c>
      <c r="AE713">
        <v>0</v>
      </c>
      <c r="AF713">
        <v>0</v>
      </c>
    </row>
    <row r="714" spans="3:32" x14ac:dyDescent="0.35">
      <c r="C714" s="1">
        <v>43886</v>
      </c>
      <c r="D714" s="2">
        <v>43862</v>
      </c>
      <c r="E714">
        <v>1570</v>
      </c>
      <c r="F714" s="3">
        <v>2004.74</v>
      </c>
      <c r="G714" s="3">
        <v>3413.53</v>
      </c>
      <c r="H714" s="3">
        <v>-1408.79</v>
      </c>
      <c r="I714" s="3">
        <v>1.7</v>
      </c>
      <c r="J714">
        <v>0.05</v>
      </c>
      <c r="K714">
        <v>2787.08</v>
      </c>
      <c r="L714" t="s">
        <v>35</v>
      </c>
      <c r="M714">
        <v>738</v>
      </c>
      <c r="N714">
        <v>0.38</v>
      </c>
      <c r="O714" s="3">
        <v>729.66</v>
      </c>
      <c r="P714" s="3">
        <v>0.36</v>
      </c>
      <c r="Q714" s="3">
        <v>287.77</v>
      </c>
      <c r="R714" s="3">
        <v>0.14000000000000001</v>
      </c>
      <c r="S714">
        <v>2</v>
      </c>
      <c r="T714">
        <v>622.79</v>
      </c>
      <c r="U714">
        <v>58</v>
      </c>
      <c r="V714">
        <v>0</v>
      </c>
      <c r="W714">
        <v>350.94</v>
      </c>
      <c r="X714">
        <v>2271.5500000000002</v>
      </c>
      <c r="Y714" t="s">
        <v>36</v>
      </c>
      <c r="Z714" s="3">
        <v>1133.48</v>
      </c>
      <c r="AA714" t="s">
        <v>45</v>
      </c>
      <c r="AB714" t="s">
        <v>42</v>
      </c>
      <c r="AC714">
        <v>47.3</v>
      </c>
      <c r="AD714" t="s">
        <v>38</v>
      </c>
      <c r="AE714">
        <v>0</v>
      </c>
      <c r="AF714">
        <v>0</v>
      </c>
    </row>
    <row r="715" spans="3:32" x14ac:dyDescent="0.35">
      <c r="C715" s="1">
        <v>43886</v>
      </c>
      <c r="D715" s="2">
        <v>43862</v>
      </c>
      <c r="E715">
        <v>1327</v>
      </c>
      <c r="F715" s="3">
        <v>4822.96</v>
      </c>
      <c r="G715" s="3">
        <v>3197.11</v>
      </c>
      <c r="H715" s="3">
        <v>1625.85</v>
      </c>
      <c r="I715" s="3">
        <v>0.66</v>
      </c>
      <c r="J715">
        <v>0.08</v>
      </c>
      <c r="K715">
        <v>2918.12</v>
      </c>
      <c r="L715" t="s">
        <v>35</v>
      </c>
      <c r="M715">
        <v>716</v>
      </c>
      <c r="N715">
        <v>0.43</v>
      </c>
      <c r="O715" s="3">
        <v>347.64</v>
      </c>
      <c r="P715" s="3">
        <v>7.0000000000000007E-2</v>
      </c>
      <c r="Q715" s="3">
        <v>441.85</v>
      </c>
      <c r="R715" s="3">
        <v>0.09</v>
      </c>
      <c r="S715">
        <v>1</v>
      </c>
      <c r="T715">
        <v>1258.67</v>
      </c>
      <c r="U715">
        <v>75</v>
      </c>
      <c r="V715">
        <v>0</v>
      </c>
      <c r="W715">
        <v>753.5</v>
      </c>
      <c r="X715">
        <v>1761.88</v>
      </c>
      <c r="Y715" t="s">
        <v>36</v>
      </c>
      <c r="Z715" s="3">
        <v>1638.63</v>
      </c>
      <c r="AA715" t="s">
        <v>45</v>
      </c>
      <c r="AB715" t="s">
        <v>33</v>
      </c>
      <c r="AC715">
        <v>34.5</v>
      </c>
      <c r="AD715" t="s">
        <v>34</v>
      </c>
      <c r="AE715">
        <v>1625.85</v>
      </c>
      <c r="AF715">
        <v>0</v>
      </c>
    </row>
    <row r="716" spans="3:32" x14ac:dyDescent="0.35">
      <c r="C716" s="1">
        <v>43886</v>
      </c>
      <c r="D716" s="2">
        <v>43862</v>
      </c>
      <c r="E716">
        <v>1560</v>
      </c>
      <c r="F716" s="3">
        <v>3160.51</v>
      </c>
      <c r="G716" s="3">
        <v>4038.02</v>
      </c>
      <c r="H716" s="3">
        <v>-877.51</v>
      </c>
      <c r="I716" s="3">
        <v>1.28</v>
      </c>
      <c r="J716">
        <v>0.35</v>
      </c>
      <c r="K716">
        <v>2401.7199999999998</v>
      </c>
      <c r="L716" t="s">
        <v>35</v>
      </c>
      <c r="M716">
        <v>736</v>
      </c>
      <c r="N716">
        <v>0.54</v>
      </c>
      <c r="O716" s="3">
        <v>519.39</v>
      </c>
      <c r="P716" s="3">
        <v>0.16</v>
      </c>
      <c r="Q716" s="3">
        <v>134.97</v>
      </c>
      <c r="R716" s="3">
        <v>0.04</v>
      </c>
      <c r="S716">
        <v>4</v>
      </c>
      <c r="T716">
        <v>1029.3</v>
      </c>
      <c r="U716">
        <v>24</v>
      </c>
      <c r="V716">
        <v>0</v>
      </c>
      <c r="W716">
        <v>562.39</v>
      </c>
      <c r="X716">
        <v>2829.31</v>
      </c>
      <c r="Y716" t="s">
        <v>31</v>
      </c>
      <c r="Z716" s="3">
        <v>1417</v>
      </c>
      <c r="AA716" t="s">
        <v>45</v>
      </c>
      <c r="AB716" t="s">
        <v>42</v>
      </c>
      <c r="AC716">
        <v>80.7</v>
      </c>
      <c r="AD716" t="s">
        <v>34</v>
      </c>
      <c r="AE716">
        <v>0</v>
      </c>
      <c r="AF716">
        <v>0</v>
      </c>
    </row>
    <row r="717" spans="3:32" x14ac:dyDescent="0.35">
      <c r="C717" s="1">
        <v>43886</v>
      </c>
      <c r="D717" s="2">
        <v>43862</v>
      </c>
      <c r="E717">
        <v>1573</v>
      </c>
      <c r="F717" s="3">
        <v>4714.82</v>
      </c>
      <c r="G717" s="3">
        <v>2041.84</v>
      </c>
      <c r="H717" s="3">
        <v>2672.98</v>
      </c>
      <c r="I717" s="3">
        <v>0.43</v>
      </c>
      <c r="J717">
        <v>0.05</v>
      </c>
      <c r="K717">
        <v>2016.52</v>
      </c>
      <c r="L717" t="s">
        <v>35</v>
      </c>
      <c r="M717">
        <v>687</v>
      </c>
      <c r="N717">
        <v>0.33</v>
      </c>
      <c r="O717" s="3">
        <v>355.45</v>
      </c>
      <c r="P717" s="3">
        <v>0.08</v>
      </c>
      <c r="Q717" s="3">
        <v>380.48</v>
      </c>
      <c r="R717" s="3">
        <v>0.08</v>
      </c>
      <c r="S717">
        <v>3</v>
      </c>
      <c r="T717">
        <v>849.65</v>
      </c>
      <c r="U717">
        <v>57</v>
      </c>
      <c r="V717">
        <v>0</v>
      </c>
      <c r="W717">
        <v>723.16</v>
      </c>
      <c r="X717">
        <v>2045.86</v>
      </c>
      <c r="Y717" t="s">
        <v>49</v>
      </c>
      <c r="Z717" s="3">
        <v>827.96</v>
      </c>
      <c r="AA717" t="s">
        <v>45</v>
      </c>
      <c r="AB717" t="s">
        <v>33</v>
      </c>
      <c r="AC717">
        <v>82.7</v>
      </c>
      <c r="AD717" t="s">
        <v>34</v>
      </c>
      <c r="AE717">
        <v>2672.98</v>
      </c>
      <c r="AF717">
        <v>1</v>
      </c>
    </row>
    <row r="718" spans="3:32" x14ac:dyDescent="0.35">
      <c r="C718" s="1">
        <v>43886</v>
      </c>
      <c r="D718" s="2">
        <v>43862</v>
      </c>
      <c r="E718">
        <v>1750</v>
      </c>
      <c r="F718" s="3">
        <v>4099.25</v>
      </c>
      <c r="G718" s="3">
        <v>3721.13</v>
      </c>
      <c r="H718" s="3">
        <v>378.12</v>
      </c>
      <c r="I718" s="3">
        <v>0.91</v>
      </c>
      <c r="J718">
        <v>0.39</v>
      </c>
      <c r="K718">
        <v>2534.13</v>
      </c>
      <c r="L718" t="s">
        <v>35</v>
      </c>
      <c r="M718">
        <v>668</v>
      </c>
      <c r="N718">
        <v>0.37</v>
      </c>
      <c r="O718" s="3">
        <v>340.21</v>
      </c>
      <c r="P718" s="3">
        <v>0.08</v>
      </c>
      <c r="Q718" s="3">
        <v>426</v>
      </c>
      <c r="R718" s="3">
        <v>0.1</v>
      </c>
      <c r="S718">
        <v>3</v>
      </c>
      <c r="T718">
        <v>1445.92</v>
      </c>
      <c r="U718">
        <v>25</v>
      </c>
      <c r="V718">
        <v>0</v>
      </c>
      <c r="W718">
        <v>148.88</v>
      </c>
      <c r="X718">
        <v>3195.98</v>
      </c>
      <c r="Y718" t="s">
        <v>36</v>
      </c>
      <c r="Z718" s="3">
        <v>1329.56</v>
      </c>
      <c r="AA718" t="s">
        <v>51</v>
      </c>
      <c r="AB718" t="s">
        <v>33</v>
      </c>
      <c r="AC718">
        <v>97.4</v>
      </c>
      <c r="AD718" t="s">
        <v>38</v>
      </c>
      <c r="AE718">
        <v>378.12</v>
      </c>
      <c r="AF718">
        <v>0</v>
      </c>
    </row>
    <row r="719" spans="3:32" x14ac:dyDescent="0.35">
      <c r="C719" s="1">
        <v>43886</v>
      </c>
      <c r="D719" s="2">
        <v>43862</v>
      </c>
      <c r="E719">
        <v>1055</v>
      </c>
      <c r="F719" s="3">
        <v>5258.99</v>
      </c>
      <c r="G719" s="3">
        <v>2632.55</v>
      </c>
      <c r="H719" s="3">
        <v>2626.44</v>
      </c>
      <c r="I719" s="3">
        <v>0.5</v>
      </c>
      <c r="J719">
        <v>0.28999999999999998</v>
      </c>
      <c r="K719">
        <v>2364.88</v>
      </c>
      <c r="L719" t="s">
        <v>35</v>
      </c>
      <c r="M719">
        <v>640</v>
      </c>
      <c r="N719">
        <v>0.41</v>
      </c>
      <c r="O719" s="3">
        <v>321.08999999999997</v>
      </c>
      <c r="P719" s="3">
        <v>0.06</v>
      </c>
      <c r="Q719" s="3">
        <v>377.43</v>
      </c>
      <c r="R719" s="3">
        <v>7.0000000000000007E-2</v>
      </c>
      <c r="S719">
        <v>5</v>
      </c>
      <c r="T719">
        <v>1926.59</v>
      </c>
      <c r="U719">
        <v>69</v>
      </c>
      <c r="V719">
        <v>0</v>
      </c>
      <c r="W719">
        <v>770.47</v>
      </c>
      <c r="X719">
        <v>2415.06</v>
      </c>
      <c r="Y719" t="s">
        <v>31</v>
      </c>
      <c r="Z719" s="3">
        <v>1497.26</v>
      </c>
      <c r="AA719" t="s">
        <v>40</v>
      </c>
      <c r="AB719" t="s">
        <v>33</v>
      </c>
      <c r="AC719">
        <v>86.3</v>
      </c>
      <c r="AD719" t="s">
        <v>34</v>
      </c>
      <c r="AE719">
        <v>2626.44</v>
      </c>
      <c r="AF719">
        <v>1</v>
      </c>
    </row>
    <row r="720" spans="3:32" x14ac:dyDescent="0.35">
      <c r="C720" s="1">
        <v>43886</v>
      </c>
      <c r="D720" s="2">
        <v>43862</v>
      </c>
      <c r="E720">
        <v>1775</v>
      </c>
      <c r="F720" s="3">
        <v>4052.79</v>
      </c>
      <c r="G720" s="3">
        <v>2859.19</v>
      </c>
      <c r="H720" s="3">
        <v>1193.5999999999999</v>
      </c>
      <c r="I720" s="3">
        <v>0.71</v>
      </c>
      <c r="J720">
        <v>0.08</v>
      </c>
      <c r="K720">
        <v>2786.93</v>
      </c>
      <c r="L720" t="s">
        <v>35</v>
      </c>
      <c r="M720">
        <v>613</v>
      </c>
      <c r="N720">
        <v>0.15</v>
      </c>
      <c r="O720" s="3">
        <v>108.61</v>
      </c>
      <c r="P720" s="3">
        <v>0.03</v>
      </c>
      <c r="Q720" s="3">
        <v>413.18</v>
      </c>
      <c r="R720" s="3">
        <v>0.1</v>
      </c>
      <c r="S720">
        <v>5</v>
      </c>
      <c r="T720">
        <v>528.15</v>
      </c>
      <c r="U720">
        <v>24</v>
      </c>
      <c r="V720">
        <v>0</v>
      </c>
      <c r="W720">
        <v>523.94000000000005</v>
      </c>
      <c r="X720">
        <v>1458.48</v>
      </c>
      <c r="Y720" t="s">
        <v>36</v>
      </c>
      <c r="Z720" s="3">
        <v>1214.5999999999999</v>
      </c>
      <c r="AA720" t="s">
        <v>47</v>
      </c>
      <c r="AB720" t="s">
        <v>42</v>
      </c>
      <c r="AC720">
        <v>57.5</v>
      </c>
      <c r="AD720" t="s">
        <v>34</v>
      </c>
      <c r="AE720">
        <v>1193.5999999999999</v>
      </c>
      <c r="AF720">
        <v>0</v>
      </c>
    </row>
    <row r="721" spans="3:32" x14ac:dyDescent="0.35">
      <c r="C721" s="1">
        <v>43886</v>
      </c>
      <c r="D721" s="2">
        <v>43862</v>
      </c>
      <c r="E721">
        <v>1097</v>
      </c>
      <c r="F721" s="3">
        <v>3814.7</v>
      </c>
      <c r="G721" s="3">
        <v>2436.64</v>
      </c>
      <c r="H721" s="3">
        <v>1378.06</v>
      </c>
      <c r="I721" s="3">
        <v>0.64</v>
      </c>
      <c r="J721">
        <v>0.2</v>
      </c>
      <c r="K721">
        <v>2889.7</v>
      </c>
      <c r="L721" t="s">
        <v>35</v>
      </c>
      <c r="M721">
        <v>605</v>
      </c>
      <c r="N721">
        <v>0.36</v>
      </c>
      <c r="O721" s="3">
        <v>362.91</v>
      </c>
      <c r="P721" s="3">
        <v>0.1</v>
      </c>
      <c r="Q721" s="3">
        <v>673.23</v>
      </c>
      <c r="R721" s="3">
        <v>0.18</v>
      </c>
      <c r="S721">
        <v>2</v>
      </c>
      <c r="T721">
        <v>703.41</v>
      </c>
      <c r="U721">
        <v>68</v>
      </c>
      <c r="V721">
        <v>0</v>
      </c>
      <c r="W721">
        <v>321.67</v>
      </c>
      <c r="X721">
        <v>2394.87</v>
      </c>
      <c r="Y721" t="s">
        <v>36</v>
      </c>
      <c r="Z721" s="3">
        <v>648.47</v>
      </c>
      <c r="AA721" t="s">
        <v>48</v>
      </c>
      <c r="AB721" t="s">
        <v>44</v>
      </c>
      <c r="AC721">
        <v>12.8</v>
      </c>
      <c r="AD721" t="s">
        <v>38</v>
      </c>
      <c r="AE721">
        <v>1378.06</v>
      </c>
      <c r="AF721">
        <v>0</v>
      </c>
    </row>
    <row r="722" spans="3:32" x14ac:dyDescent="0.35">
      <c r="C722" s="1">
        <v>43886</v>
      </c>
      <c r="D722" s="2">
        <v>43862</v>
      </c>
      <c r="E722">
        <v>1000</v>
      </c>
      <c r="F722" s="3">
        <v>3381.06</v>
      </c>
      <c r="G722" s="3">
        <v>2088.04</v>
      </c>
      <c r="H722" s="3">
        <v>1293.02</v>
      </c>
      <c r="I722" s="3">
        <v>0.62</v>
      </c>
      <c r="J722">
        <v>0.35</v>
      </c>
      <c r="K722">
        <v>2127.41</v>
      </c>
      <c r="L722" t="s">
        <v>30</v>
      </c>
      <c r="M722">
        <v>616</v>
      </c>
      <c r="N722">
        <v>0.52</v>
      </c>
      <c r="O722" s="3">
        <v>914.31</v>
      </c>
      <c r="P722" s="3">
        <v>0.27</v>
      </c>
      <c r="Q722" s="3">
        <v>271.64</v>
      </c>
      <c r="R722" s="3">
        <v>0.08</v>
      </c>
      <c r="S722">
        <v>9</v>
      </c>
      <c r="T722">
        <v>1737.8</v>
      </c>
      <c r="U722">
        <v>67</v>
      </c>
      <c r="V722">
        <v>0</v>
      </c>
      <c r="W722">
        <v>430.48</v>
      </c>
      <c r="X722">
        <v>2091.79</v>
      </c>
      <c r="Y722" t="s">
        <v>36</v>
      </c>
      <c r="Z722" s="3">
        <v>1140.2</v>
      </c>
      <c r="AA722" t="s">
        <v>50</v>
      </c>
      <c r="AB722" t="s">
        <v>33</v>
      </c>
      <c r="AC722">
        <v>66.3</v>
      </c>
      <c r="AD722" t="s">
        <v>34</v>
      </c>
      <c r="AE722">
        <v>1293.02</v>
      </c>
      <c r="AF722">
        <v>0</v>
      </c>
    </row>
    <row r="723" spans="3:32" x14ac:dyDescent="0.35">
      <c r="C723" s="1">
        <v>43886</v>
      </c>
      <c r="D723" s="2">
        <v>43862</v>
      </c>
      <c r="E723">
        <v>1923</v>
      </c>
      <c r="F723" s="3">
        <v>4305.4799999999996</v>
      </c>
      <c r="G723" s="3">
        <v>3779.06</v>
      </c>
      <c r="H723" s="3">
        <v>526.41999999999996</v>
      </c>
      <c r="I723" s="3">
        <v>0.88</v>
      </c>
      <c r="J723">
        <v>0.21</v>
      </c>
      <c r="K723">
        <v>3028.18</v>
      </c>
      <c r="L723" t="s">
        <v>35</v>
      </c>
      <c r="M723">
        <v>695</v>
      </c>
      <c r="N723">
        <v>0.2</v>
      </c>
      <c r="O723" s="3">
        <v>607.62</v>
      </c>
      <c r="P723" s="3">
        <v>0.14000000000000001</v>
      </c>
      <c r="Q723" s="3">
        <v>421.56</v>
      </c>
      <c r="R723" s="3">
        <v>0.1</v>
      </c>
      <c r="S723">
        <v>8</v>
      </c>
      <c r="T723">
        <v>1516.44</v>
      </c>
      <c r="U723">
        <v>66</v>
      </c>
      <c r="V723">
        <v>0</v>
      </c>
      <c r="W723">
        <v>166.06</v>
      </c>
      <c r="X723">
        <v>3107.76</v>
      </c>
      <c r="Y723" t="s">
        <v>31</v>
      </c>
      <c r="Z723" s="3">
        <v>864.77</v>
      </c>
      <c r="AA723" t="s">
        <v>45</v>
      </c>
      <c r="AB723" t="s">
        <v>33</v>
      </c>
      <c r="AC723">
        <v>74.3</v>
      </c>
      <c r="AD723" t="s">
        <v>43</v>
      </c>
      <c r="AE723">
        <v>526.41999999999996</v>
      </c>
      <c r="AF723">
        <v>0</v>
      </c>
    </row>
    <row r="724" spans="3:32" x14ac:dyDescent="0.35">
      <c r="C724" s="1">
        <v>43886</v>
      </c>
      <c r="D724" s="2">
        <v>43862</v>
      </c>
      <c r="E724">
        <v>1957</v>
      </c>
      <c r="F724" s="3">
        <v>4857.6899999999996</v>
      </c>
      <c r="G724" s="3">
        <v>3463.34</v>
      </c>
      <c r="H724" s="3">
        <v>1394.35</v>
      </c>
      <c r="I724" s="3">
        <v>0.71</v>
      </c>
      <c r="J724">
        <v>0.38</v>
      </c>
      <c r="K724">
        <v>2435.11</v>
      </c>
      <c r="L724" t="s">
        <v>30</v>
      </c>
      <c r="M724">
        <v>642</v>
      </c>
      <c r="N724">
        <v>0.41</v>
      </c>
      <c r="O724" s="3">
        <v>697.55</v>
      </c>
      <c r="P724" s="3">
        <v>0.14000000000000001</v>
      </c>
      <c r="Q724" s="3">
        <v>549.83000000000004</v>
      </c>
      <c r="R724" s="3">
        <v>0.11</v>
      </c>
      <c r="S724">
        <v>7</v>
      </c>
      <c r="T724">
        <v>851.65</v>
      </c>
      <c r="U724">
        <v>95</v>
      </c>
      <c r="V724">
        <v>0</v>
      </c>
      <c r="W724">
        <v>314.02999999999997</v>
      </c>
      <c r="X724">
        <v>1761.8</v>
      </c>
      <c r="Y724" t="s">
        <v>31</v>
      </c>
      <c r="Z724" s="3">
        <v>929.51</v>
      </c>
      <c r="AA724" t="s">
        <v>40</v>
      </c>
      <c r="AB724" t="s">
        <v>33</v>
      </c>
      <c r="AC724">
        <v>25.2</v>
      </c>
      <c r="AD724" t="s">
        <v>34</v>
      </c>
      <c r="AE724">
        <v>1394.35</v>
      </c>
      <c r="AF724">
        <v>0</v>
      </c>
    </row>
    <row r="725" spans="3:32" x14ac:dyDescent="0.35">
      <c r="C725" s="1">
        <v>43886</v>
      </c>
      <c r="D725" s="2">
        <v>43862</v>
      </c>
      <c r="E725">
        <v>1936</v>
      </c>
      <c r="F725" s="3">
        <v>3852.59</v>
      </c>
      <c r="G725" s="3">
        <v>2000.92</v>
      </c>
      <c r="H725" s="3">
        <v>1851.67</v>
      </c>
      <c r="I725" s="3">
        <v>0.52</v>
      </c>
      <c r="J725">
        <v>0.31</v>
      </c>
      <c r="K725">
        <v>3328.53</v>
      </c>
      <c r="L725" t="s">
        <v>30</v>
      </c>
      <c r="M725">
        <v>629</v>
      </c>
      <c r="N725">
        <v>0.16</v>
      </c>
      <c r="O725" s="3">
        <v>105.88</v>
      </c>
      <c r="P725" s="3">
        <v>0.03</v>
      </c>
      <c r="Q725" s="3">
        <v>542.77</v>
      </c>
      <c r="R725" s="3">
        <v>0.14000000000000001</v>
      </c>
      <c r="S725">
        <v>8</v>
      </c>
      <c r="T725">
        <v>2135.6799999999998</v>
      </c>
      <c r="U725">
        <v>94</v>
      </c>
      <c r="V725">
        <v>0</v>
      </c>
      <c r="W725">
        <v>677.23</v>
      </c>
      <c r="X725">
        <v>2446.83</v>
      </c>
      <c r="Y725" t="s">
        <v>36</v>
      </c>
      <c r="Z725" s="3">
        <v>1066.33</v>
      </c>
      <c r="AA725" t="s">
        <v>47</v>
      </c>
      <c r="AB725" t="s">
        <v>33</v>
      </c>
      <c r="AC725">
        <v>51.6</v>
      </c>
      <c r="AD725" t="s">
        <v>43</v>
      </c>
      <c r="AE725">
        <v>1851.67</v>
      </c>
      <c r="AF725">
        <v>0</v>
      </c>
    </row>
    <row r="726" spans="3:32" x14ac:dyDescent="0.35">
      <c r="C726" s="1">
        <v>43886</v>
      </c>
      <c r="D726" s="2">
        <v>43862</v>
      </c>
      <c r="E726">
        <v>1680</v>
      </c>
      <c r="F726" s="3">
        <v>3653.03</v>
      </c>
      <c r="G726" s="3">
        <v>2542.02</v>
      </c>
      <c r="H726" s="3">
        <v>1111.01</v>
      </c>
      <c r="I726" s="3">
        <v>0.7</v>
      </c>
      <c r="J726">
        <v>0.33</v>
      </c>
      <c r="K726">
        <v>2758.25</v>
      </c>
      <c r="L726" t="s">
        <v>35</v>
      </c>
      <c r="M726">
        <v>700</v>
      </c>
      <c r="N726">
        <v>0.22</v>
      </c>
      <c r="O726" s="3">
        <v>680.51</v>
      </c>
      <c r="P726" s="3">
        <v>0.19</v>
      </c>
      <c r="Q726" s="3">
        <v>167.83</v>
      </c>
      <c r="R726" s="3">
        <v>0.05</v>
      </c>
      <c r="S726">
        <v>1</v>
      </c>
      <c r="T726">
        <v>889.93</v>
      </c>
      <c r="U726">
        <v>33</v>
      </c>
      <c r="V726">
        <v>0</v>
      </c>
      <c r="W726">
        <v>334.1</v>
      </c>
      <c r="X726">
        <v>2855.32</v>
      </c>
      <c r="Y726" t="s">
        <v>36</v>
      </c>
      <c r="Z726" s="3">
        <v>1513.6</v>
      </c>
      <c r="AA726" t="s">
        <v>32</v>
      </c>
      <c r="AB726" t="s">
        <v>44</v>
      </c>
      <c r="AC726">
        <v>90.8</v>
      </c>
      <c r="AD726" t="s">
        <v>34</v>
      </c>
      <c r="AE726">
        <v>1111.01</v>
      </c>
      <c r="AF726">
        <v>0</v>
      </c>
    </row>
    <row r="727" spans="3:32" x14ac:dyDescent="0.35">
      <c r="C727" s="1">
        <v>43886</v>
      </c>
      <c r="D727" s="2">
        <v>43862</v>
      </c>
      <c r="E727">
        <v>1959</v>
      </c>
      <c r="F727" s="3">
        <v>4177.1899999999996</v>
      </c>
      <c r="G727" s="3">
        <v>3911.36</v>
      </c>
      <c r="H727" s="3">
        <v>265.83</v>
      </c>
      <c r="I727" s="3">
        <v>0.94</v>
      </c>
      <c r="J727">
        <v>0.15</v>
      </c>
      <c r="K727">
        <v>3126.04</v>
      </c>
      <c r="L727" t="s">
        <v>35</v>
      </c>
      <c r="M727">
        <v>634</v>
      </c>
      <c r="N727">
        <v>0.2</v>
      </c>
      <c r="O727" s="3">
        <v>127.77</v>
      </c>
      <c r="P727" s="3">
        <v>0.03</v>
      </c>
      <c r="Q727" s="3">
        <v>483.9</v>
      </c>
      <c r="R727" s="3">
        <v>0.12</v>
      </c>
      <c r="S727">
        <v>5</v>
      </c>
      <c r="T727">
        <v>867.48</v>
      </c>
      <c r="U727">
        <v>42</v>
      </c>
      <c r="V727">
        <v>0</v>
      </c>
      <c r="W727">
        <v>748.91</v>
      </c>
      <c r="X727">
        <v>2386.6999999999998</v>
      </c>
      <c r="Y727" t="s">
        <v>31</v>
      </c>
      <c r="Z727" s="3">
        <v>954.59</v>
      </c>
      <c r="AA727" t="s">
        <v>40</v>
      </c>
      <c r="AB727" t="s">
        <v>33</v>
      </c>
      <c r="AC727">
        <v>0.1</v>
      </c>
      <c r="AD727" t="s">
        <v>38</v>
      </c>
      <c r="AE727">
        <v>265.83</v>
      </c>
      <c r="AF727">
        <v>0</v>
      </c>
    </row>
    <row r="728" spans="3:32" x14ac:dyDescent="0.35">
      <c r="C728" s="1">
        <v>43886</v>
      </c>
      <c r="D728" s="2">
        <v>43862</v>
      </c>
      <c r="E728">
        <v>1814</v>
      </c>
      <c r="F728" s="3">
        <v>3983.3</v>
      </c>
      <c r="G728" s="3">
        <v>2861.59</v>
      </c>
      <c r="H728" s="3">
        <v>1121.71</v>
      </c>
      <c r="I728" s="3">
        <v>0.72</v>
      </c>
      <c r="J728">
        <v>0.19</v>
      </c>
      <c r="K728">
        <v>2723.19</v>
      </c>
      <c r="L728" t="s">
        <v>35</v>
      </c>
      <c r="M728">
        <v>670</v>
      </c>
      <c r="N728">
        <v>0.49</v>
      </c>
      <c r="O728" s="3">
        <v>99.55</v>
      </c>
      <c r="P728" s="3">
        <v>0.02</v>
      </c>
      <c r="Q728" s="3">
        <v>914.84</v>
      </c>
      <c r="R728" s="3">
        <v>0.23</v>
      </c>
      <c r="S728">
        <v>2</v>
      </c>
      <c r="T728">
        <v>802.59</v>
      </c>
      <c r="U728">
        <v>55</v>
      </c>
      <c r="V728">
        <v>0</v>
      </c>
      <c r="W728">
        <v>638.14</v>
      </c>
      <c r="X728">
        <v>1000</v>
      </c>
      <c r="Y728" t="s">
        <v>36</v>
      </c>
      <c r="Z728" s="3">
        <v>1560.35</v>
      </c>
      <c r="AA728" t="s">
        <v>48</v>
      </c>
      <c r="AB728" t="s">
        <v>33</v>
      </c>
      <c r="AC728">
        <v>66.599999999999994</v>
      </c>
      <c r="AD728" t="s">
        <v>34</v>
      </c>
      <c r="AE728">
        <v>1121.71</v>
      </c>
      <c r="AF728">
        <v>0</v>
      </c>
    </row>
    <row r="729" spans="3:32" x14ac:dyDescent="0.35">
      <c r="C729" s="1">
        <v>43886</v>
      </c>
      <c r="D729" s="2">
        <v>43862</v>
      </c>
      <c r="E729">
        <v>1471</v>
      </c>
      <c r="F729" s="3">
        <v>2459.4499999999998</v>
      </c>
      <c r="G729" s="3">
        <v>2956.95</v>
      </c>
      <c r="H729" s="3">
        <v>-497.5</v>
      </c>
      <c r="I729" s="3">
        <v>1.2</v>
      </c>
      <c r="J729">
        <v>0.18</v>
      </c>
      <c r="K729">
        <v>2297.71</v>
      </c>
      <c r="L729" t="s">
        <v>39</v>
      </c>
      <c r="M729">
        <v>583</v>
      </c>
      <c r="N729">
        <v>0.19</v>
      </c>
      <c r="O729" s="3">
        <v>520.45000000000005</v>
      </c>
      <c r="P729" s="3">
        <v>0.21</v>
      </c>
      <c r="Q729" s="3">
        <v>500.02</v>
      </c>
      <c r="R729" s="3">
        <v>0.2</v>
      </c>
      <c r="S729">
        <v>1</v>
      </c>
      <c r="T729">
        <v>1336.18</v>
      </c>
      <c r="U729">
        <v>41</v>
      </c>
      <c r="V729">
        <v>0</v>
      </c>
      <c r="W729">
        <v>360.11</v>
      </c>
      <c r="X729">
        <v>2893.8</v>
      </c>
      <c r="Y729" t="s">
        <v>31</v>
      </c>
      <c r="Z729" s="3">
        <v>1228.0899999999999</v>
      </c>
      <c r="AA729" t="s">
        <v>48</v>
      </c>
      <c r="AB729" t="s">
        <v>33</v>
      </c>
      <c r="AC729">
        <v>35.200000000000003</v>
      </c>
      <c r="AD729" t="s">
        <v>34</v>
      </c>
      <c r="AE729">
        <v>0</v>
      </c>
      <c r="AF729">
        <v>0</v>
      </c>
    </row>
    <row r="730" spans="3:32" x14ac:dyDescent="0.35">
      <c r="C730" s="1">
        <v>43886</v>
      </c>
      <c r="D730" s="2">
        <v>43862</v>
      </c>
      <c r="E730">
        <v>1896</v>
      </c>
      <c r="F730" s="3">
        <v>4503.57</v>
      </c>
      <c r="G730" s="3">
        <v>3132.76</v>
      </c>
      <c r="H730" s="3">
        <v>1370.81</v>
      </c>
      <c r="I730" s="3">
        <v>0.7</v>
      </c>
      <c r="J730">
        <v>0.06</v>
      </c>
      <c r="K730">
        <v>3073.21</v>
      </c>
      <c r="L730" t="s">
        <v>35</v>
      </c>
      <c r="M730">
        <v>645</v>
      </c>
      <c r="N730">
        <v>0.34</v>
      </c>
      <c r="O730" s="3">
        <v>539.49</v>
      </c>
      <c r="P730" s="3">
        <v>0.12</v>
      </c>
      <c r="Q730" s="3">
        <v>379.39</v>
      </c>
      <c r="R730" s="3">
        <v>0.08</v>
      </c>
      <c r="S730">
        <v>7</v>
      </c>
      <c r="T730">
        <v>435.69</v>
      </c>
      <c r="U730">
        <v>46</v>
      </c>
      <c r="V730">
        <v>0</v>
      </c>
      <c r="W730">
        <v>709.61</v>
      </c>
      <c r="X730">
        <v>1000</v>
      </c>
      <c r="Y730" t="s">
        <v>36</v>
      </c>
      <c r="Z730" s="3">
        <v>1388.84</v>
      </c>
      <c r="AA730" t="s">
        <v>48</v>
      </c>
      <c r="AB730" t="s">
        <v>33</v>
      </c>
      <c r="AC730">
        <v>76.5</v>
      </c>
      <c r="AD730" t="s">
        <v>34</v>
      </c>
      <c r="AE730">
        <v>1370.81</v>
      </c>
      <c r="AF730">
        <v>0</v>
      </c>
    </row>
    <row r="731" spans="3:32" x14ac:dyDescent="0.35">
      <c r="C731" s="1">
        <v>43886</v>
      </c>
      <c r="D731" s="2">
        <v>43862</v>
      </c>
      <c r="E731">
        <v>1980</v>
      </c>
      <c r="F731" s="3">
        <v>5411.25</v>
      </c>
      <c r="G731" s="3">
        <v>2735.63</v>
      </c>
      <c r="H731" s="3">
        <v>2675.62</v>
      </c>
      <c r="I731" s="3">
        <v>0.51</v>
      </c>
      <c r="J731">
        <v>0.22</v>
      </c>
      <c r="K731">
        <v>2999.41</v>
      </c>
      <c r="L731" t="s">
        <v>39</v>
      </c>
      <c r="M731">
        <v>728</v>
      </c>
      <c r="N731">
        <v>0.3</v>
      </c>
      <c r="O731" s="3">
        <v>422.93</v>
      </c>
      <c r="P731" s="3">
        <v>0.08</v>
      </c>
      <c r="Q731" s="3">
        <v>224.21</v>
      </c>
      <c r="R731" s="3">
        <v>0.04</v>
      </c>
      <c r="S731">
        <v>7</v>
      </c>
      <c r="T731">
        <v>798.53</v>
      </c>
      <c r="U731">
        <v>32</v>
      </c>
      <c r="V731">
        <v>0</v>
      </c>
      <c r="W731">
        <v>444.74</v>
      </c>
      <c r="X731">
        <v>2285.16</v>
      </c>
      <c r="Y731" t="s">
        <v>36</v>
      </c>
      <c r="Z731" s="3">
        <v>2025</v>
      </c>
      <c r="AA731" t="s">
        <v>45</v>
      </c>
      <c r="AB731" t="s">
        <v>33</v>
      </c>
      <c r="AC731">
        <v>83.2</v>
      </c>
      <c r="AD731" t="s">
        <v>34</v>
      </c>
      <c r="AE731">
        <v>2675.62</v>
      </c>
      <c r="AF731">
        <v>0</v>
      </c>
    </row>
    <row r="732" spans="3:32" x14ac:dyDescent="0.35">
      <c r="C732" s="1">
        <v>43886</v>
      </c>
      <c r="D732" s="2">
        <v>43862</v>
      </c>
      <c r="E732">
        <v>1393</v>
      </c>
      <c r="F732" s="3">
        <v>3419.02</v>
      </c>
      <c r="G732" s="3">
        <v>4038.07</v>
      </c>
      <c r="H732" s="3">
        <v>-619.04999999999995</v>
      </c>
      <c r="I732" s="3">
        <v>1.18</v>
      </c>
      <c r="J732">
        <v>0.25</v>
      </c>
      <c r="K732">
        <v>3280.58</v>
      </c>
      <c r="L732" t="s">
        <v>35</v>
      </c>
      <c r="M732">
        <v>800</v>
      </c>
      <c r="N732">
        <v>0.13</v>
      </c>
      <c r="O732" s="3">
        <v>193.55</v>
      </c>
      <c r="P732" s="3">
        <v>0.06</v>
      </c>
      <c r="Q732" s="3">
        <v>0</v>
      </c>
      <c r="R732" s="3">
        <v>0</v>
      </c>
      <c r="S732">
        <v>2</v>
      </c>
      <c r="T732">
        <v>697.17</v>
      </c>
      <c r="U732">
        <v>73</v>
      </c>
      <c r="V732">
        <v>0</v>
      </c>
      <c r="W732">
        <v>606.16</v>
      </c>
      <c r="X732">
        <v>2286.08</v>
      </c>
      <c r="Y732" t="s">
        <v>31</v>
      </c>
      <c r="Z732" s="3">
        <v>1614.9</v>
      </c>
      <c r="AA732" t="s">
        <v>37</v>
      </c>
      <c r="AB732" t="s">
        <v>42</v>
      </c>
      <c r="AC732">
        <v>93.5</v>
      </c>
      <c r="AD732" t="s">
        <v>34</v>
      </c>
      <c r="AE732">
        <v>0</v>
      </c>
      <c r="AF732">
        <v>0</v>
      </c>
    </row>
    <row r="733" spans="3:32" x14ac:dyDescent="0.35">
      <c r="C733" s="1">
        <v>43886</v>
      </c>
      <c r="D733" s="2">
        <v>43862</v>
      </c>
      <c r="E733">
        <v>1908</v>
      </c>
      <c r="F733" s="3">
        <v>3664.79</v>
      </c>
      <c r="G733" s="3">
        <v>2656.52</v>
      </c>
      <c r="H733" s="3">
        <v>1008.27</v>
      </c>
      <c r="I733" s="3">
        <v>0.72</v>
      </c>
      <c r="J733">
        <v>0.22</v>
      </c>
      <c r="K733">
        <v>2879.68</v>
      </c>
      <c r="L733" t="s">
        <v>35</v>
      </c>
      <c r="M733">
        <v>708</v>
      </c>
      <c r="N733">
        <v>0.39</v>
      </c>
      <c r="O733" s="3">
        <v>375.54</v>
      </c>
      <c r="P733" s="3">
        <v>0.1</v>
      </c>
      <c r="Q733" s="3">
        <v>606.79</v>
      </c>
      <c r="R733" s="3">
        <v>0.17</v>
      </c>
      <c r="S733">
        <v>5</v>
      </c>
      <c r="T733">
        <v>969.33</v>
      </c>
      <c r="U733">
        <v>22</v>
      </c>
      <c r="V733">
        <v>0</v>
      </c>
      <c r="W733">
        <v>587.22</v>
      </c>
      <c r="X733">
        <v>2225.48</v>
      </c>
      <c r="Y733" t="s">
        <v>31</v>
      </c>
      <c r="Z733" s="3">
        <v>1753.52</v>
      </c>
      <c r="AA733" t="s">
        <v>51</v>
      </c>
      <c r="AB733" t="s">
        <v>33</v>
      </c>
      <c r="AC733">
        <v>96</v>
      </c>
      <c r="AD733" t="s">
        <v>43</v>
      </c>
      <c r="AE733">
        <v>1008.27</v>
      </c>
      <c r="AF733">
        <v>0</v>
      </c>
    </row>
    <row r="734" spans="3:32" x14ac:dyDescent="0.35">
      <c r="C734" s="1">
        <v>43886</v>
      </c>
      <c r="D734" s="2">
        <v>43862</v>
      </c>
      <c r="E734">
        <v>1339</v>
      </c>
      <c r="F734" s="3">
        <v>4756.9799999999996</v>
      </c>
      <c r="G734" s="3">
        <v>3296.33</v>
      </c>
      <c r="H734" s="3">
        <v>1460.65</v>
      </c>
      <c r="I734" s="3">
        <v>0.69</v>
      </c>
      <c r="J734">
        <v>0.21</v>
      </c>
      <c r="K734">
        <v>3536.16</v>
      </c>
      <c r="L734" t="s">
        <v>35</v>
      </c>
      <c r="M734">
        <v>667</v>
      </c>
      <c r="N734">
        <v>0.56999999999999995</v>
      </c>
      <c r="O734" s="3">
        <v>822.74</v>
      </c>
      <c r="P734" s="3">
        <v>0.17</v>
      </c>
      <c r="Q734" s="3">
        <v>290.63</v>
      </c>
      <c r="R734" s="3">
        <v>0.06</v>
      </c>
      <c r="S734">
        <v>5</v>
      </c>
      <c r="T734">
        <v>753.3</v>
      </c>
      <c r="U734">
        <v>91</v>
      </c>
      <c r="V734">
        <v>0</v>
      </c>
      <c r="W734">
        <v>602.1</v>
      </c>
      <c r="X734">
        <v>2163.0300000000002</v>
      </c>
      <c r="Y734" t="s">
        <v>36</v>
      </c>
      <c r="Z734" s="3">
        <v>1326.26</v>
      </c>
      <c r="AA734" t="s">
        <v>46</v>
      </c>
      <c r="AB734" t="s">
        <v>33</v>
      </c>
      <c r="AC734">
        <v>34.5</v>
      </c>
      <c r="AD734" t="s">
        <v>43</v>
      </c>
      <c r="AE734">
        <v>1460.65</v>
      </c>
      <c r="AF734">
        <v>0</v>
      </c>
    </row>
    <row r="735" spans="3:32" x14ac:dyDescent="0.35">
      <c r="C735" s="1">
        <v>43886</v>
      </c>
      <c r="D735" s="2">
        <v>43862</v>
      </c>
      <c r="E735">
        <v>1532</v>
      </c>
      <c r="F735" s="3">
        <v>3584.44</v>
      </c>
      <c r="G735" s="3">
        <v>2089.59</v>
      </c>
      <c r="H735" s="3">
        <v>1494.85</v>
      </c>
      <c r="I735" s="3">
        <v>0.57999999999999996</v>
      </c>
      <c r="J735">
        <v>0.1</v>
      </c>
      <c r="K735">
        <v>3000.28</v>
      </c>
      <c r="L735" t="s">
        <v>35</v>
      </c>
      <c r="M735">
        <v>683</v>
      </c>
      <c r="N735">
        <v>0.38</v>
      </c>
      <c r="O735" s="3">
        <v>575.35</v>
      </c>
      <c r="P735" s="3">
        <v>0.16</v>
      </c>
      <c r="Q735" s="3">
        <v>114.79</v>
      </c>
      <c r="R735" s="3">
        <v>0.03</v>
      </c>
      <c r="S735">
        <v>1</v>
      </c>
      <c r="T735">
        <v>847.45</v>
      </c>
      <c r="U735">
        <v>36</v>
      </c>
      <c r="V735">
        <v>0</v>
      </c>
      <c r="W735">
        <v>609.59</v>
      </c>
      <c r="X735">
        <v>1257.6400000000001</v>
      </c>
      <c r="Y735" t="s">
        <v>36</v>
      </c>
      <c r="Z735" s="3">
        <v>1235.56</v>
      </c>
      <c r="AA735" t="s">
        <v>37</v>
      </c>
      <c r="AB735" t="s">
        <v>33</v>
      </c>
      <c r="AC735">
        <v>7.1</v>
      </c>
      <c r="AD735" t="s">
        <v>38</v>
      </c>
      <c r="AE735">
        <v>1494.85</v>
      </c>
      <c r="AF735">
        <v>0</v>
      </c>
    </row>
    <row r="736" spans="3:32" x14ac:dyDescent="0.35">
      <c r="C736" s="1">
        <v>43886</v>
      </c>
      <c r="D736" s="2">
        <v>43862</v>
      </c>
      <c r="E736">
        <v>1525</v>
      </c>
      <c r="F736" s="3">
        <v>2076.37</v>
      </c>
      <c r="G736" s="3">
        <v>2096.5500000000002</v>
      </c>
      <c r="H736" s="3">
        <v>-20.18</v>
      </c>
      <c r="I736" s="3">
        <v>1.01</v>
      </c>
      <c r="J736">
        <v>0.14000000000000001</v>
      </c>
      <c r="K736">
        <v>1760.02</v>
      </c>
      <c r="L736" t="s">
        <v>35</v>
      </c>
      <c r="M736">
        <v>669</v>
      </c>
      <c r="N736">
        <v>0.4</v>
      </c>
      <c r="O736" s="3">
        <v>607.11</v>
      </c>
      <c r="P736" s="3">
        <v>0.28999999999999998</v>
      </c>
      <c r="Q736" s="3">
        <v>735.29</v>
      </c>
      <c r="R736" s="3">
        <v>0.35</v>
      </c>
      <c r="S736">
        <v>2</v>
      </c>
      <c r="T736">
        <v>1770.02</v>
      </c>
      <c r="U736">
        <v>37</v>
      </c>
      <c r="V736">
        <v>0</v>
      </c>
      <c r="W736">
        <v>593.65</v>
      </c>
      <c r="X736">
        <v>2008.17</v>
      </c>
      <c r="Y736" t="s">
        <v>36</v>
      </c>
      <c r="Z736" s="3">
        <v>1516.4</v>
      </c>
      <c r="AA736" t="s">
        <v>45</v>
      </c>
      <c r="AB736" t="s">
        <v>44</v>
      </c>
      <c r="AC736">
        <v>32.9</v>
      </c>
      <c r="AD736" t="s">
        <v>43</v>
      </c>
      <c r="AE736">
        <v>0</v>
      </c>
      <c r="AF736">
        <v>0</v>
      </c>
    </row>
    <row r="737" spans="3:32" x14ac:dyDescent="0.35">
      <c r="C737" s="1">
        <v>43886</v>
      </c>
      <c r="D737" s="2">
        <v>43862</v>
      </c>
      <c r="E737">
        <v>1474</v>
      </c>
      <c r="F737" s="3">
        <v>4789.4399999999996</v>
      </c>
      <c r="G737" s="3">
        <v>3046.26</v>
      </c>
      <c r="H737" s="3">
        <v>1743.18</v>
      </c>
      <c r="I737" s="3">
        <v>0.64</v>
      </c>
      <c r="J737">
        <v>0.12</v>
      </c>
      <c r="K737">
        <v>3592.84</v>
      </c>
      <c r="L737" t="s">
        <v>30</v>
      </c>
      <c r="M737">
        <v>755</v>
      </c>
      <c r="N737">
        <v>0.39</v>
      </c>
      <c r="O737" s="3">
        <v>856.62</v>
      </c>
      <c r="P737" s="3">
        <v>0.18</v>
      </c>
      <c r="Q737" s="3">
        <v>116.54</v>
      </c>
      <c r="R737" s="3">
        <v>0.02</v>
      </c>
      <c r="S737">
        <v>2</v>
      </c>
      <c r="T737">
        <v>1156.8800000000001</v>
      </c>
      <c r="U737">
        <v>70</v>
      </c>
      <c r="V737">
        <v>0</v>
      </c>
      <c r="W737">
        <v>666.98</v>
      </c>
      <c r="X737">
        <v>1352.01</v>
      </c>
      <c r="Y737" t="s">
        <v>49</v>
      </c>
      <c r="Z737" s="3">
        <v>1609.14</v>
      </c>
      <c r="AA737" t="s">
        <v>41</v>
      </c>
      <c r="AB737" t="s">
        <v>33</v>
      </c>
      <c r="AC737">
        <v>46.8</v>
      </c>
      <c r="AD737" t="s">
        <v>34</v>
      </c>
      <c r="AE737">
        <v>1743.18</v>
      </c>
      <c r="AF737">
        <v>0</v>
      </c>
    </row>
    <row r="738" spans="3:32" x14ac:dyDescent="0.35">
      <c r="C738" s="1">
        <v>43886</v>
      </c>
      <c r="D738" s="2">
        <v>43862</v>
      </c>
      <c r="E738">
        <v>1370</v>
      </c>
      <c r="F738" s="3">
        <v>5403.29</v>
      </c>
      <c r="G738" s="3">
        <v>2570.2800000000002</v>
      </c>
      <c r="H738" s="3">
        <v>2833.01</v>
      </c>
      <c r="I738" s="3">
        <v>0.48</v>
      </c>
      <c r="J738">
        <v>0.22</v>
      </c>
      <c r="K738">
        <v>3311.33</v>
      </c>
      <c r="L738" t="s">
        <v>30</v>
      </c>
      <c r="M738">
        <v>774</v>
      </c>
      <c r="N738">
        <v>0.22</v>
      </c>
      <c r="O738" s="3">
        <v>501.77</v>
      </c>
      <c r="P738" s="3">
        <v>0.09</v>
      </c>
      <c r="Q738" s="3">
        <v>887.27</v>
      </c>
      <c r="R738" s="3">
        <v>0.16</v>
      </c>
      <c r="S738">
        <v>6</v>
      </c>
      <c r="T738">
        <v>1409.17</v>
      </c>
      <c r="U738">
        <v>83</v>
      </c>
      <c r="V738">
        <v>0</v>
      </c>
      <c r="W738">
        <v>705.39</v>
      </c>
      <c r="X738">
        <v>2026.05</v>
      </c>
      <c r="Y738" t="s">
        <v>36</v>
      </c>
      <c r="Z738" s="3">
        <v>1039.54</v>
      </c>
      <c r="AA738" t="s">
        <v>45</v>
      </c>
      <c r="AB738" t="s">
        <v>33</v>
      </c>
      <c r="AC738">
        <v>79.900000000000006</v>
      </c>
      <c r="AD738" t="s">
        <v>34</v>
      </c>
      <c r="AE738">
        <v>2833.01</v>
      </c>
      <c r="AF738">
        <v>0</v>
      </c>
    </row>
    <row r="739" spans="3:32" x14ac:dyDescent="0.35">
      <c r="C739" s="1">
        <v>43886</v>
      </c>
      <c r="D739" s="2">
        <v>43862</v>
      </c>
      <c r="E739">
        <v>1479</v>
      </c>
      <c r="F739" s="3">
        <v>4511.12</v>
      </c>
      <c r="G739" s="3">
        <v>4149.1899999999996</v>
      </c>
      <c r="H739" s="3">
        <v>361.93</v>
      </c>
      <c r="I739" s="3">
        <v>0.92</v>
      </c>
      <c r="J739">
        <v>0.39</v>
      </c>
      <c r="K739">
        <v>2661.05</v>
      </c>
      <c r="L739" t="s">
        <v>35</v>
      </c>
      <c r="M739">
        <v>684</v>
      </c>
      <c r="N739">
        <v>0.14000000000000001</v>
      </c>
      <c r="O739" s="3">
        <v>581.61</v>
      </c>
      <c r="P739" s="3">
        <v>0.13</v>
      </c>
      <c r="Q739" s="3">
        <v>321.99</v>
      </c>
      <c r="R739" s="3">
        <v>7.0000000000000007E-2</v>
      </c>
      <c r="S739">
        <v>7</v>
      </c>
      <c r="T739">
        <v>789.42</v>
      </c>
      <c r="U739">
        <v>53</v>
      </c>
      <c r="V739">
        <v>0</v>
      </c>
      <c r="W739">
        <v>586.1</v>
      </c>
      <c r="X739">
        <v>2044.63</v>
      </c>
      <c r="Y739" t="s">
        <v>36</v>
      </c>
      <c r="Z739" s="3">
        <v>1335.47</v>
      </c>
      <c r="AA739" t="s">
        <v>46</v>
      </c>
      <c r="AB739" t="s">
        <v>33</v>
      </c>
      <c r="AC739">
        <v>95.4</v>
      </c>
      <c r="AD739" t="s">
        <v>38</v>
      </c>
      <c r="AE739">
        <v>361.93</v>
      </c>
      <c r="AF739">
        <v>0</v>
      </c>
    </row>
    <row r="740" spans="3:32" x14ac:dyDescent="0.35">
      <c r="C740" s="1">
        <v>43886</v>
      </c>
      <c r="D740" s="2">
        <v>43862</v>
      </c>
      <c r="E740">
        <v>1790</v>
      </c>
      <c r="F740" s="3">
        <v>3236.55</v>
      </c>
      <c r="G740" s="3">
        <v>1999.26</v>
      </c>
      <c r="H740" s="3">
        <v>1237.29</v>
      </c>
      <c r="I740" s="3">
        <v>0.62</v>
      </c>
      <c r="J740">
        <v>0.06</v>
      </c>
      <c r="K740">
        <v>2890.69</v>
      </c>
      <c r="L740" t="s">
        <v>35</v>
      </c>
      <c r="M740">
        <v>738</v>
      </c>
      <c r="N740">
        <v>0.51</v>
      </c>
      <c r="O740" s="3">
        <v>408.68</v>
      </c>
      <c r="P740" s="3">
        <v>0.13</v>
      </c>
      <c r="Q740" s="3">
        <v>269.95999999999998</v>
      </c>
      <c r="R740" s="3">
        <v>0.08</v>
      </c>
      <c r="S740">
        <v>3</v>
      </c>
      <c r="T740">
        <v>709.63</v>
      </c>
      <c r="U740">
        <v>48</v>
      </c>
      <c r="V740">
        <v>0</v>
      </c>
      <c r="W740">
        <v>906.36</v>
      </c>
      <c r="X740">
        <v>1825.72</v>
      </c>
      <c r="Y740" t="s">
        <v>31</v>
      </c>
      <c r="Z740" s="3">
        <v>1257.5999999999999</v>
      </c>
      <c r="AA740" t="s">
        <v>46</v>
      </c>
      <c r="AB740" t="s">
        <v>33</v>
      </c>
      <c r="AC740">
        <v>90</v>
      </c>
      <c r="AD740" t="s">
        <v>34</v>
      </c>
      <c r="AE740">
        <v>1237.29</v>
      </c>
      <c r="AF740">
        <v>0</v>
      </c>
    </row>
    <row r="741" spans="3:32" x14ac:dyDescent="0.35">
      <c r="C741" s="1">
        <v>43886</v>
      </c>
      <c r="D741" s="2">
        <v>43862</v>
      </c>
      <c r="E741">
        <v>1554</v>
      </c>
      <c r="F741" s="3">
        <v>4263.07</v>
      </c>
      <c r="G741" s="3">
        <v>2589.71</v>
      </c>
      <c r="H741" s="3">
        <v>1673.36</v>
      </c>
      <c r="I741" s="3">
        <v>0.61</v>
      </c>
      <c r="J741">
        <v>0.11</v>
      </c>
      <c r="K741">
        <v>2880.11</v>
      </c>
      <c r="L741" t="s">
        <v>35</v>
      </c>
      <c r="M741">
        <v>699</v>
      </c>
      <c r="N741">
        <v>0.34</v>
      </c>
      <c r="O741" s="3">
        <v>528.94000000000005</v>
      </c>
      <c r="P741" s="3">
        <v>0.12</v>
      </c>
      <c r="Q741" s="3">
        <v>463.76</v>
      </c>
      <c r="R741" s="3">
        <v>0.11</v>
      </c>
      <c r="S741">
        <v>8</v>
      </c>
      <c r="T741">
        <v>530.99</v>
      </c>
      <c r="U741">
        <v>89</v>
      </c>
      <c r="V741">
        <v>0</v>
      </c>
      <c r="W741">
        <v>223.14</v>
      </c>
      <c r="X741">
        <v>1821.92</v>
      </c>
      <c r="Y741" t="s">
        <v>49</v>
      </c>
      <c r="Z741" s="3">
        <v>1130.8599999999999</v>
      </c>
      <c r="AA741" t="s">
        <v>41</v>
      </c>
      <c r="AB741" t="s">
        <v>33</v>
      </c>
      <c r="AC741">
        <v>74.099999999999994</v>
      </c>
      <c r="AD741" t="s">
        <v>34</v>
      </c>
      <c r="AE741">
        <v>1673.36</v>
      </c>
      <c r="AF741">
        <v>0</v>
      </c>
    </row>
    <row r="742" spans="3:32" x14ac:dyDescent="0.35">
      <c r="C742" s="1">
        <v>43886</v>
      </c>
      <c r="D742" s="2">
        <v>43862</v>
      </c>
      <c r="E742">
        <v>1896</v>
      </c>
      <c r="F742" s="3">
        <v>6002.52</v>
      </c>
      <c r="G742" s="3">
        <v>985.01</v>
      </c>
      <c r="H742" s="3">
        <v>5017.51</v>
      </c>
      <c r="I742" s="3">
        <v>0.16</v>
      </c>
      <c r="J742">
        <v>0.13</v>
      </c>
      <c r="K742">
        <v>3742.75</v>
      </c>
      <c r="L742" t="s">
        <v>35</v>
      </c>
      <c r="M742">
        <v>736</v>
      </c>
      <c r="N742">
        <v>0.4</v>
      </c>
      <c r="O742" s="3">
        <v>486.01</v>
      </c>
      <c r="P742" s="3">
        <v>0.08</v>
      </c>
      <c r="Q742" s="3">
        <v>741.82</v>
      </c>
      <c r="R742" s="3">
        <v>0.12</v>
      </c>
      <c r="S742">
        <v>2</v>
      </c>
      <c r="T742">
        <v>700.45</v>
      </c>
      <c r="U742">
        <v>34</v>
      </c>
      <c r="V742">
        <v>0</v>
      </c>
      <c r="W742">
        <v>411.36</v>
      </c>
      <c r="X742">
        <v>1860.28</v>
      </c>
      <c r="Y742" t="s">
        <v>36</v>
      </c>
      <c r="Z742" s="3">
        <v>1061.6300000000001</v>
      </c>
      <c r="AA742" t="s">
        <v>40</v>
      </c>
      <c r="AB742" t="s">
        <v>33</v>
      </c>
      <c r="AC742">
        <v>39.6</v>
      </c>
      <c r="AD742" t="s">
        <v>34</v>
      </c>
      <c r="AE742">
        <v>5017.51</v>
      </c>
      <c r="AF742">
        <v>1</v>
      </c>
    </row>
    <row r="743" spans="3:32" x14ac:dyDescent="0.35">
      <c r="C743" s="1">
        <v>43886</v>
      </c>
      <c r="D743" s="2">
        <v>43862</v>
      </c>
      <c r="E743">
        <v>1592</v>
      </c>
      <c r="F743" s="3">
        <v>2399.9</v>
      </c>
      <c r="G743" s="3">
        <v>1800.87</v>
      </c>
      <c r="H743" s="3">
        <v>599.03</v>
      </c>
      <c r="I743" s="3">
        <v>0.75</v>
      </c>
      <c r="J743">
        <v>0.06</v>
      </c>
      <c r="K743">
        <v>2876.9</v>
      </c>
      <c r="L743" t="s">
        <v>30</v>
      </c>
      <c r="M743">
        <v>585</v>
      </c>
      <c r="N743">
        <v>0.12</v>
      </c>
      <c r="O743" s="3">
        <v>545.84</v>
      </c>
      <c r="P743" s="3">
        <v>0.23</v>
      </c>
      <c r="Q743" s="3">
        <v>628.23</v>
      </c>
      <c r="R743" s="3">
        <v>0.26</v>
      </c>
      <c r="S743">
        <v>3</v>
      </c>
      <c r="T743">
        <v>1575.54</v>
      </c>
      <c r="U743">
        <v>75</v>
      </c>
      <c r="V743">
        <v>0</v>
      </c>
      <c r="W743">
        <v>745.29</v>
      </c>
      <c r="X743">
        <v>2133.9499999999998</v>
      </c>
      <c r="Y743" t="s">
        <v>31</v>
      </c>
      <c r="Z743" s="3">
        <v>1653.27</v>
      </c>
      <c r="AA743" t="s">
        <v>45</v>
      </c>
      <c r="AB743" t="s">
        <v>33</v>
      </c>
      <c r="AC743">
        <v>81.400000000000006</v>
      </c>
      <c r="AD743" t="s">
        <v>34</v>
      </c>
      <c r="AE743">
        <v>599.03</v>
      </c>
      <c r="AF743">
        <v>0</v>
      </c>
    </row>
    <row r="744" spans="3:32" x14ac:dyDescent="0.35">
      <c r="C744" s="1">
        <v>43886</v>
      </c>
      <c r="D744" s="2">
        <v>43862</v>
      </c>
      <c r="E744">
        <v>1466</v>
      </c>
      <c r="F744" s="3">
        <v>5357.48</v>
      </c>
      <c r="G744" s="3">
        <v>3249.94</v>
      </c>
      <c r="H744" s="3">
        <v>2107.54</v>
      </c>
      <c r="I744" s="3">
        <v>0.61</v>
      </c>
      <c r="J744">
        <v>0.22</v>
      </c>
      <c r="K744">
        <v>2967.63</v>
      </c>
      <c r="L744" t="s">
        <v>30</v>
      </c>
      <c r="M744">
        <v>670</v>
      </c>
      <c r="N744">
        <v>0.52</v>
      </c>
      <c r="O744" s="3">
        <v>826.78</v>
      </c>
      <c r="P744" s="3">
        <v>0.15</v>
      </c>
      <c r="Q744" s="3">
        <v>0</v>
      </c>
      <c r="R744" s="3">
        <v>0</v>
      </c>
      <c r="S744">
        <v>6</v>
      </c>
      <c r="T744">
        <v>809.59</v>
      </c>
      <c r="U744">
        <v>36</v>
      </c>
      <c r="V744">
        <v>0</v>
      </c>
      <c r="W744">
        <v>280.07</v>
      </c>
      <c r="X744">
        <v>1782.45</v>
      </c>
      <c r="Y744" t="s">
        <v>31</v>
      </c>
      <c r="Z744" s="3">
        <v>1890.56</v>
      </c>
      <c r="AA744" t="s">
        <v>40</v>
      </c>
      <c r="AB744" t="s">
        <v>44</v>
      </c>
      <c r="AC744">
        <v>37.9</v>
      </c>
      <c r="AD744" t="s">
        <v>34</v>
      </c>
      <c r="AE744">
        <v>2107.54</v>
      </c>
      <c r="AF744">
        <v>0</v>
      </c>
    </row>
    <row r="745" spans="3:32" x14ac:dyDescent="0.35">
      <c r="C745" s="1">
        <v>43886</v>
      </c>
      <c r="D745" s="2">
        <v>43862</v>
      </c>
      <c r="E745">
        <v>1104</v>
      </c>
      <c r="F745" s="3">
        <v>3372.16</v>
      </c>
      <c r="G745" s="3">
        <v>2710.54</v>
      </c>
      <c r="H745" s="3">
        <v>661.62</v>
      </c>
      <c r="I745" s="3">
        <v>0.8</v>
      </c>
      <c r="J745">
        <v>7.0000000000000007E-2</v>
      </c>
      <c r="K745">
        <v>3037.42</v>
      </c>
      <c r="L745" t="s">
        <v>35</v>
      </c>
      <c r="M745">
        <v>789</v>
      </c>
      <c r="N745">
        <v>0.56000000000000005</v>
      </c>
      <c r="O745" s="3">
        <v>488.08</v>
      </c>
      <c r="P745" s="3">
        <v>0.14000000000000001</v>
      </c>
      <c r="Q745" s="3">
        <v>997.72</v>
      </c>
      <c r="R745" s="3">
        <v>0.3</v>
      </c>
      <c r="S745">
        <v>4</v>
      </c>
      <c r="T745">
        <v>741.1</v>
      </c>
      <c r="U745">
        <v>73</v>
      </c>
      <c r="V745">
        <v>0</v>
      </c>
      <c r="W745">
        <v>497.05</v>
      </c>
      <c r="X745">
        <v>1127.81</v>
      </c>
      <c r="Y745" t="s">
        <v>31</v>
      </c>
      <c r="Z745" s="3">
        <v>1275.8599999999999</v>
      </c>
      <c r="AA745" t="s">
        <v>41</v>
      </c>
      <c r="AB745" t="s">
        <v>44</v>
      </c>
      <c r="AC745">
        <v>71.599999999999994</v>
      </c>
      <c r="AD745" t="s">
        <v>38</v>
      </c>
      <c r="AE745">
        <v>661.62</v>
      </c>
      <c r="AF745">
        <v>0</v>
      </c>
    </row>
    <row r="746" spans="3:32" x14ac:dyDescent="0.35">
      <c r="C746" s="1">
        <v>43886</v>
      </c>
      <c r="D746" s="2">
        <v>43862</v>
      </c>
      <c r="E746">
        <v>1621</v>
      </c>
      <c r="F746" s="3">
        <v>4200.3900000000003</v>
      </c>
      <c r="G746" s="3">
        <v>2733.36</v>
      </c>
      <c r="H746" s="3">
        <v>1467.03</v>
      </c>
      <c r="I746" s="3">
        <v>0.65</v>
      </c>
      <c r="J746">
        <v>0.14000000000000001</v>
      </c>
      <c r="K746">
        <v>3651.54</v>
      </c>
      <c r="L746" t="s">
        <v>35</v>
      </c>
      <c r="M746">
        <v>658</v>
      </c>
      <c r="N746">
        <v>0.36</v>
      </c>
      <c r="O746" s="3">
        <v>737.39</v>
      </c>
      <c r="P746" s="3">
        <v>0.18</v>
      </c>
      <c r="Q746" s="3">
        <v>813.94</v>
      </c>
      <c r="R746" s="3">
        <v>0.19</v>
      </c>
      <c r="S746">
        <v>4</v>
      </c>
      <c r="T746">
        <v>0</v>
      </c>
      <c r="U746">
        <v>39</v>
      </c>
      <c r="V746">
        <v>0</v>
      </c>
      <c r="W746">
        <v>666.01</v>
      </c>
      <c r="X746">
        <v>1000</v>
      </c>
      <c r="Y746" t="s">
        <v>36</v>
      </c>
      <c r="Z746" s="3">
        <v>1336.37</v>
      </c>
      <c r="AA746" t="s">
        <v>51</v>
      </c>
      <c r="AB746" t="s">
        <v>33</v>
      </c>
      <c r="AC746">
        <v>44.8</v>
      </c>
      <c r="AD746" t="s">
        <v>38</v>
      </c>
      <c r="AE746">
        <v>1467.03</v>
      </c>
      <c r="AF746">
        <v>0</v>
      </c>
    </row>
    <row r="747" spans="3:32" x14ac:dyDescent="0.35">
      <c r="C747" s="1">
        <v>43886</v>
      </c>
      <c r="D747" s="2">
        <v>43862</v>
      </c>
      <c r="E747">
        <v>1408</v>
      </c>
      <c r="F747" s="3">
        <v>2571.25</v>
      </c>
      <c r="G747" s="3">
        <v>1455.54</v>
      </c>
      <c r="H747" s="3">
        <v>1115.71</v>
      </c>
      <c r="I747" s="3">
        <v>0.56999999999999995</v>
      </c>
      <c r="J747">
        <v>0.25</v>
      </c>
      <c r="K747">
        <v>2439.37</v>
      </c>
      <c r="L747" t="s">
        <v>35</v>
      </c>
      <c r="M747">
        <v>637</v>
      </c>
      <c r="N747">
        <v>0.39</v>
      </c>
      <c r="O747" s="3">
        <v>486.3</v>
      </c>
      <c r="P747" s="3">
        <v>0.19</v>
      </c>
      <c r="Q747" s="3">
        <v>342.51</v>
      </c>
      <c r="R747" s="3">
        <v>0.13</v>
      </c>
      <c r="S747">
        <v>3</v>
      </c>
      <c r="T747">
        <v>507.87</v>
      </c>
      <c r="U747">
        <v>60</v>
      </c>
      <c r="V747">
        <v>0</v>
      </c>
      <c r="W747">
        <v>452.25</v>
      </c>
      <c r="X747">
        <v>2924.52</v>
      </c>
      <c r="Y747" t="s">
        <v>36</v>
      </c>
      <c r="Z747" s="3">
        <v>1550.85</v>
      </c>
      <c r="AA747" t="s">
        <v>41</v>
      </c>
      <c r="AB747" t="s">
        <v>33</v>
      </c>
      <c r="AC747">
        <v>28.8</v>
      </c>
      <c r="AD747" t="s">
        <v>34</v>
      </c>
      <c r="AE747">
        <v>1115.71</v>
      </c>
      <c r="AF747">
        <v>0</v>
      </c>
    </row>
    <row r="748" spans="3:32" x14ac:dyDescent="0.35">
      <c r="C748" s="1">
        <v>43886</v>
      </c>
      <c r="D748" s="2">
        <v>43862</v>
      </c>
      <c r="E748">
        <v>1220</v>
      </c>
      <c r="F748" s="3">
        <v>4237.7</v>
      </c>
      <c r="G748" s="3">
        <v>2526.7800000000002</v>
      </c>
      <c r="H748" s="3">
        <v>1710.92</v>
      </c>
      <c r="I748" s="3">
        <v>0.6</v>
      </c>
      <c r="J748">
        <v>7.0000000000000007E-2</v>
      </c>
      <c r="K748">
        <v>3161</v>
      </c>
      <c r="L748" t="s">
        <v>39</v>
      </c>
      <c r="M748">
        <v>704</v>
      </c>
      <c r="N748">
        <v>0.43</v>
      </c>
      <c r="O748" s="3">
        <v>144.97</v>
      </c>
      <c r="P748" s="3">
        <v>0.03</v>
      </c>
      <c r="Q748" s="3">
        <v>328.86</v>
      </c>
      <c r="R748" s="3">
        <v>0.08</v>
      </c>
      <c r="S748">
        <v>1</v>
      </c>
      <c r="T748">
        <v>1301.1300000000001</v>
      </c>
      <c r="U748">
        <v>37</v>
      </c>
      <c r="V748">
        <v>0</v>
      </c>
      <c r="W748">
        <v>828.46</v>
      </c>
      <c r="X748">
        <v>1271.5</v>
      </c>
      <c r="Y748" t="s">
        <v>36</v>
      </c>
      <c r="Z748" s="3">
        <v>1561.97</v>
      </c>
      <c r="AA748" t="s">
        <v>45</v>
      </c>
      <c r="AB748" t="s">
        <v>33</v>
      </c>
      <c r="AC748">
        <v>35.6</v>
      </c>
      <c r="AD748" t="s">
        <v>34</v>
      </c>
      <c r="AE748">
        <v>1710.92</v>
      </c>
      <c r="AF748">
        <v>0</v>
      </c>
    </row>
    <row r="749" spans="3:32" x14ac:dyDescent="0.35">
      <c r="C749" s="1">
        <v>43886</v>
      </c>
      <c r="D749" s="2">
        <v>43862</v>
      </c>
      <c r="E749">
        <v>1755</v>
      </c>
      <c r="F749" s="3">
        <v>2333.9699999999998</v>
      </c>
      <c r="G749" s="3">
        <v>3590.9</v>
      </c>
      <c r="H749" s="3">
        <v>-1256.93</v>
      </c>
      <c r="I749" s="3">
        <v>1.54</v>
      </c>
      <c r="J749">
        <v>0.28999999999999998</v>
      </c>
      <c r="K749">
        <v>2591.5300000000002</v>
      </c>
      <c r="L749" t="s">
        <v>35</v>
      </c>
      <c r="M749">
        <v>649</v>
      </c>
      <c r="N749">
        <v>0.56999999999999995</v>
      </c>
      <c r="O749" s="3">
        <v>895.03</v>
      </c>
      <c r="P749" s="3">
        <v>0.38</v>
      </c>
      <c r="Q749" s="3">
        <v>493.96</v>
      </c>
      <c r="R749" s="3">
        <v>0.21</v>
      </c>
      <c r="S749">
        <v>3</v>
      </c>
      <c r="T749">
        <v>1245.3800000000001</v>
      </c>
      <c r="U749">
        <v>87</v>
      </c>
      <c r="V749">
        <v>0</v>
      </c>
      <c r="W749">
        <v>292.20999999999998</v>
      </c>
      <c r="X749">
        <v>2806.17</v>
      </c>
      <c r="Y749" t="s">
        <v>31</v>
      </c>
      <c r="Z749" s="3">
        <v>763.47</v>
      </c>
      <c r="AA749" t="s">
        <v>46</v>
      </c>
      <c r="AB749" t="s">
        <v>33</v>
      </c>
      <c r="AC749">
        <v>74.400000000000006</v>
      </c>
      <c r="AD749" t="s">
        <v>43</v>
      </c>
      <c r="AE749">
        <v>0</v>
      </c>
      <c r="AF749">
        <v>0</v>
      </c>
    </row>
    <row r="750" spans="3:32" x14ac:dyDescent="0.35">
      <c r="C750" s="1">
        <v>43886</v>
      </c>
      <c r="D750" s="2">
        <v>43862</v>
      </c>
      <c r="E750">
        <v>1274</v>
      </c>
      <c r="F750" s="3">
        <v>3844.43</v>
      </c>
      <c r="G750" s="3">
        <v>2510.8000000000002</v>
      </c>
      <c r="H750" s="3">
        <v>1333.63</v>
      </c>
      <c r="I750" s="3">
        <v>0.65</v>
      </c>
      <c r="J750">
        <v>0.17</v>
      </c>
      <c r="K750">
        <v>1990.63</v>
      </c>
      <c r="L750" t="s">
        <v>35</v>
      </c>
      <c r="M750">
        <v>697</v>
      </c>
      <c r="N750">
        <v>0.3</v>
      </c>
      <c r="O750" s="3">
        <v>363.42</v>
      </c>
      <c r="P750" s="3">
        <v>0.09</v>
      </c>
      <c r="Q750" s="3">
        <v>678.57</v>
      </c>
      <c r="R750" s="3">
        <v>0.18</v>
      </c>
      <c r="S750">
        <v>8</v>
      </c>
      <c r="T750">
        <v>747.35</v>
      </c>
      <c r="U750">
        <v>55</v>
      </c>
      <c r="V750">
        <v>0</v>
      </c>
      <c r="W750">
        <v>249</v>
      </c>
      <c r="X750">
        <v>3586.9</v>
      </c>
      <c r="Y750" t="s">
        <v>36</v>
      </c>
      <c r="Z750" s="3">
        <v>1343.76</v>
      </c>
      <c r="AA750" t="s">
        <v>51</v>
      </c>
      <c r="AB750" t="s">
        <v>33</v>
      </c>
      <c r="AC750">
        <v>37.4</v>
      </c>
      <c r="AD750" t="s">
        <v>43</v>
      </c>
      <c r="AE750">
        <v>1333.63</v>
      </c>
      <c r="AF750">
        <v>0</v>
      </c>
    </row>
    <row r="751" spans="3:32" x14ac:dyDescent="0.35">
      <c r="C751" s="1">
        <v>43886</v>
      </c>
      <c r="D751" s="2">
        <v>43862</v>
      </c>
      <c r="E751">
        <v>1901</v>
      </c>
      <c r="F751" s="3">
        <v>2733.95</v>
      </c>
      <c r="G751" s="3">
        <v>2653.62</v>
      </c>
      <c r="H751" s="3">
        <v>80.33</v>
      </c>
      <c r="I751" s="3">
        <v>0.97</v>
      </c>
      <c r="J751">
        <v>0.18</v>
      </c>
      <c r="K751">
        <v>3020.08</v>
      </c>
      <c r="L751" t="s">
        <v>30</v>
      </c>
      <c r="M751">
        <v>677</v>
      </c>
      <c r="N751">
        <v>0.57999999999999996</v>
      </c>
      <c r="O751" s="3">
        <v>365.7</v>
      </c>
      <c r="P751" s="3">
        <v>0.13</v>
      </c>
      <c r="Q751" s="3">
        <v>725.23</v>
      </c>
      <c r="R751" s="3">
        <v>0.27</v>
      </c>
      <c r="S751">
        <v>6</v>
      </c>
      <c r="T751">
        <v>657.65</v>
      </c>
      <c r="U751">
        <v>89</v>
      </c>
      <c r="V751">
        <v>0</v>
      </c>
      <c r="W751">
        <v>495.89</v>
      </c>
      <c r="X751">
        <v>1856.22</v>
      </c>
      <c r="Y751" t="s">
        <v>31</v>
      </c>
      <c r="Z751" s="3">
        <v>906.49</v>
      </c>
      <c r="AA751" t="s">
        <v>48</v>
      </c>
      <c r="AB751" t="s">
        <v>33</v>
      </c>
      <c r="AC751">
        <v>86.1</v>
      </c>
      <c r="AD751" t="s">
        <v>34</v>
      </c>
      <c r="AE751">
        <v>80.33</v>
      </c>
      <c r="AF751">
        <v>0</v>
      </c>
    </row>
    <row r="752" spans="3:32" x14ac:dyDescent="0.35">
      <c r="C752" s="1">
        <v>43916</v>
      </c>
      <c r="D752" s="2">
        <v>43891</v>
      </c>
      <c r="E752">
        <v>1750</v>
      </c>
      <c r="F752" s="3">
        <v>2098.58</v>
      </c>
      <c r="G752" s="3">
        <v>4614.09</v>
      </c>
      <c r="H752" s="3">
        <v>-2515.5100000000002</v>
      </c>
      <c r="I752" s="3">
        <v>2.2000000000000002</v>
      </c>
      <c r="J752">
        <v>0.16</v>
      </c>
      <c r="K752">
        <v>2896.61</v>
      </c>
      <c r="L752" t="s">
        <v>35</v>
      </c>
      <c r="M752">
        <v>620</v>
      </c>
      <c r="N752">
        <v>0.28999999999999998</v>
      </c>
      <c r="O752" s="3">
        <v>655.47</v>
      </c>
      <c r="P752" s="3">
        <v>0.31</v>
      </c>
      <c r="Q752" s="3">
        <v>284.89</v>
      </c>
      <c r="R752" s="3">
        <v>0.14000000000000001</v>
      </c>
      <c r="S752">
        <v>1</v>
      </c>
      <c r="T752">
        <v>1381.6</v>
      </c>
      <c r="U752">
        <v>58</v>
      </c>
      <c r="V752">
        <v>0</v>
      </c>
      <c r="W752">
        <v>494.7</v>
      </c>
      <c r="X752">
        <v>1332.65</v>
      </c>
      <c r="Y752" t="s">
        <v>36</v>
      </c>
      <c r="Z752" s="3">
        <v>868.9</v>
      </c>
      <c r="AA752" t="s">
        <v>40</v>
      </c>
      <c r="AB752" t="s">
        <v>33</v>
      </c>
      <c r="AC752">
        <v>94.2</v>
      </c>
      <c r="AD752" t="s">
        <v>34</v>
      </c>
      <c r="AE752">
        <v>0</v>
      </c>
      <c r="AF752">
        <v>0</v>
      </c>
    </row>
    <row r="753" spans="3:32" x14ac:dyDescent="0.35">
      <c r="C753" s="1">
        <v>43916</v>
      </c>
      <c r="D753" s="2">
        <v>43891</v>
      </c>
      <c r="E753">
        <v>1866</v>
      </c>
      <c r="F753" s="3">
        <v>3814.84</v>
      </c>
      <c r="G753" s="3">
        <v>2020.61</v>
      </c>
      <c r="H753" s="3">
        <v>1794.23</v>
      </c>
      <c r="I753" s="3">
        <v>0.53</v>
      </c>
      <c r="J753">
        <v>0.14000000000000001</v>
      </c>
      <c r="K753">
        <v>2757.38</v>
      </c>
      <c r="L753" t="s">
        <v>39</v>
      </c>
      <c r="M753">
        <v>670</v>
      </c>
      <c r="N753">
        <v>0.18</v>
      </c>
      <c r="O753" s="3">
        <v>367.81</v>
      </c>
      <c r="P753" s="3">
        <v>0.1</v>
      </c>
      <c r="Q753" s="3">
        <v>666.47</v>
      </c>
      <c r="R753" s="3">
        <v>0.17</v>
      </c>
      <c r="S753">
        <v>8</v>
      </c>
      <c r="T753">
        <v>1872.93</v>
      </c>
      <c r="U753">
        <v>37</v>
      </c>
      <c r="V753">
        <v>0</v>
      </c>
      <c r="W753">
        <v>537.92999999999995</v>
      </c>
      <c r="X753">
        <v>2462.69</v>
      </c>
      <c r="Y753" t="s">
        <v>31</v>
      </c>
      <c r="Z753" s="3">
        <v>465.23</v>
      </c>
      <c r="AA753" t="s">
        <v>47</v>
      </c>
      <c r="AB753" t="s">
        <v>33</v>
      </c>
      <c r="AC753">
        <v>96.9</v>
      </c>
      <c r="AD753" t="s">
        <v>34</v>
      </c>
      <c r="AE753">
        <v>1794.23</v>
      </c>
      <c r="AF753">
        <v>0</v>
      </c>
    </row>
    <row r="754" spans="3:32" x14ac:dyDescent="0.35">
      <c r="C754" s="1">
        <v>43916</v>
      </c>
      <c r="D754" s="2">
        <v>43891</v>
      </c>
      <c r="E754">
        <v>1788</v>
      </c>
      <c r="F754" s="3">
        <v>4236.25</v>
      </c>
      <c r="G754" s="3">
        <v>1861.05</v>
      </c>
      <c r="H754" s="3">
        <v>2375.1999999999998</v>
      </c>
      <c r="I754" s="3">
        <v>0.44</v>
      </c>
      <c r="J754">
        <v>0.31</v>
      </c>
      <c r="K754">
        <v>3863.63</v>
      </c>
      <c r="L754" t="s">
        <v>39</v>
      </c>
      <c r="M754">
        <v>661</v>
      </c>
      <c r="N754">
        <v>0.3</v>
      </c>
      <c r="O754" s="3">
        <v>375.76</v>
      </c>
      <c r="P754" s="3">
        <v>0.09</v>
      </c>
      <c r="Q754" s="3">
        <v>115.31</v>
      </c>
      <c r="R754" s="3">
        <v>0.03</v>
      </c>
      <c r="S754">
        <v>1</v>
      </c>
      <c r="T754">
        <v>588.54999999999995</v>
      </c>
      <c r="U754">
        <v>80</v>
      </c>
      <c r="V754">
        <v>0</v>
      </c>
      <c r="W754">
        <v>388.07</v>
      </c>
      <c r="X754">
        <v>2759.05</v>
      </c>
      <c r="Y754" t="s">
        <v>49</v>
      </c>
      <c r="Z754" s="3">
        <v>1059.8699999999999</v>
      </c>
      <c r="AA754" t="s">
        <v>50</v>
      </c>
      <c r="AB754" t="s">
        <v>33</v>
      </c>
      <c r="AC754">
        <v>95.1</v>
      </c>
      <c r="AD754" t="s">
        <v>43</v>
      </c>
      <c r="AE754">
        <v>2375.1999999999998</v>
      </c>
      <c r="AF754">
        <v>0</v>
      </c>
    </row>
    <row r="755" spans="3:32" x14ac:dyDescent="0.35">
      <c r="C755" s="1">
        <v>43916</v>
      </c>
      <c r="D755" s="2">
        <v>43891</v>
      </c>
      <c r="E755">
        <v>1749</v>
      </c>
      <c r="F755" s="3">
        <v>4960.3599999999997</v>
      </c>
      <c r="G755" s="3">
        <v>3565.49</v>
      </c>
      <c r="H755" s="3">
        <v>1394.87</v>
      </c>
      <c r="I755" s="3">
        <v>0.72</v>
      </c>
      <c r="J755">
        <v>0.35</v>
      </c>
      <c r="K755">
        <v>2418.21</v>
      </c>
      <c r="L755" t="s">
        <v>39</v>
      </c>
      <c r="M755">
        <v>654</v>
      </c>
      <c r="N755">
        <v>0.56999999999999995</v>
      </c>
      <c r="O755" s="3">
        <v>781.6</v>
      </c>
      <c r="P755" s="3">
        <v>0.16</v>
      </c>
      <c r="Q755" s="3">
        <v>436.03</v>
      </c>
      <c r="R755" s="3">
        <v>0.09</v>
      </c>
      <c r="S755">
        <v>5</v>
      </c>
      <c r="T755">
        <v>1351.29</v>
      </c>
      <c r="U755">
        <v>25</v>
      </c>
      <c r="V755">
        <v>0</v>
      </c>
      <c r="W755">
        <v>289.44</v>
      </c>
      <c r="X755">
        <v>3135.85</v>
      </c>
      <c r="Y755" t="s">
        <v>49</v>
      </c>
      <c r="Z755" s="3">
        <v>947.18</v>
      </c>
      <c r="AA755" t="s">
        <v>40</v>
      </c>
      <c r="AB755" t="s">
        <v>42</v>
      </c>
      <c r="AC755">
        <v>77</v>
      </c>
      <c r="AD755" t="s">
        <v>34</v>
      </c>
      <c r="AE755">
        <v>1394.87</v>
      </c>
      <c r="AF755">
        <v>0</v>
      </c>
    </row>
    <row r="756" spans="3:32" x14ac:dyDescent="0.35">
      <c r="C756" s="1">
        <v>43916</v>
      </c>
      <c r="D756" s="2">
        <v>43891</v>
      </c>
      <c r="E756">
        <v>1982</v>
      </c>
      <c r="F756" s="3">
        <v>3787.96</v>
      </c>
      <c r="G756" s="3">
        <v>1551.83</v>
      </c>
      <c r="H756" s="3">
        <v>2236.13</v>
      </c>
      <c r="I756" s="3">
        <v>0.41</v>
      </c>
      <c r="J756">
        <v>0.19</v>
      </c>
      <c r="K756">
        <v>3098.12</v>
      </c>
      <c r="L756" t="s">
        <v>35</v>
      </c>
      <c r="M756">
        <v>627</v>
      </c>
      <c r="N756">
        <v>0.41</v>
      </c>
      <c r="O756" s="3">
        <v>712.19</v>
      </c>
      <c r="P756" s="3">
        <v>0.19</v>
      </c>
      <c r="Q756" s="3">
        <v>483.07</v>
      </c>
      <c r="R756" s="3">
        <v>0.13</v>
      </c>
      <c r="S756">
        <v>2</v>
      </c>
      <c r="T756">
        <v>1110.8699999999999</v>
      </c>
      <c r="U756">
        <v>52</v>
      </c>
      <c r="V756">
        <v>0</v>
      </c>
      <c r="W756">
        <v>443.07</v>
      </c>
      <c r="X756">
        <v>1233.79</v>
      </c>
      <c r="Y756" t="s">
        <v>36</v>
      </c>
      <c r="Z756" s="3">
        <v>622.67999999999995</v>
      </c>
      <c r="AA756" t="s">
        <v>47</v>
      </c>
      <c r="AB756" t="s">
        <v>33</v>
      </c>
      <c r="AC756">
        <v>87.8</v>
      </c>
      <c r="AD756" t="s">
        <v>34</v>
      </c>
      <c r="AE756">
        <v>2236.13</v>
      </c>
      <c r="AF756">
        <v>0</v>
      </c>
    </row>
    <row r="757" spans="3:32" x14ac:dyDescent="0.35">
      <c r="C757" s="1">
        <v>43916</v>
      </c>
      <c r="D757" s="2">
        <v>43891</v>
      </c>
      <c r="E757">
        <v>1924</v>
      </c>
      <c r="F757" s="3">
        <v>3314.49</v>
      </c>
      <c r="G757" s="3">
        <v>2616.7399999999998</v>
      </c>
      <c r="H757" s="3">
        <v>697.75</v>
      </c>
      <c r="I757" s="3">
        <v>0.79</v>
      </c>
      <c r="J757">
        <v>0.12</v>
      </c>
      <c r="K757">
        <v>2834.98</v>
      </c>
      <c r="L757" t="s">
        <v>30</v>
      </c>
      <c r="M757">
        <v>668</v>
      </c>
      <c r="N757">
        <v>0.12</v>
      </c>
      <c r="O757" s="3">
        <v>906.75</v>
      </c>
      <c r="P757" s="3">
        <v>0.27</v>
      </c>
      <c r="Q757" s="3">
        <v>1006.41</v>
      </c>
      <c r="R757" s="3">
        <v>0.3</v>
      </c>
      <c r="S757">
        <v>4</v>
      </c>
      <c r="T757">
        <v>930.4</v>
      </c>
      <c r="U757">
        <v>91</v>
      </c>
      <c r="V757">
        <v>0</v>
      </c>
      <c r="W757">
        <v>578.38</v>
      </c>
      <c r="X757">
        <v>2802.85</v>
      </c>
      <c r="Y757" t="s">
        <v>36</v>
      </c>
      <c r="Z757" s="3">
        <v>664.43</v>
      </c>
      <c r="AA757" t="s">
        <v>40</v>
      </c>
      <c r="AB757" t="s">
        <v>44</v>
      </c>
      <c r="AC757">
        <v>90.7</v>
      </c>
      <c r="AD757" t="s">
        <v>34</v>
      </c>
      <c r="AE757">
        <v>697.75</v>
      </c>
      <c r="AF757">
        <v>0</v>
      </c>
    </row>
    <row r="758" spans="3:32" x14ac:dyDescent="0.35">
      <c r="C758" s="1">
        <v>43916</v>
      </c>
      <c r="D758" s="2">
        <v>43891</v>
      </c>
      <c r="E758">
        <v>1325</v>
      </c>
      <c r="F758" s="3">
        <v>3193.44</v>
      </c>
      <c r="G758" s="3">
        <v>3294.84</v>
      </c>
      <c r="H758" s="3">
        <v>-101.4</v>
      </c>
      <c r="I758" s="3">
        <v>1.03</v>
      </c>
      <c r="J758">
        <v>0.39</v>
      </c>
      <c r="K758">
        <v>2294.64</v>
      </c>
      <c r="L758" t="s">
        <v>35</v>
      </c>
      <c r="M758">
        <v>773</v>
      </c>
      <c r="N758">
        <v>0.3</v>
      </c>
      <c r="O758" s="3">
        <v>635.95000000000005</v>
      </c>
      <c r="P758" s="3">
        <v>0.2</v>
      </c>
      <c r="Q758" s="3">
        <v>311.31</v>
      </c>
      <c r="R758" s="3">
        <v>0.1</v>
      </c>
      <c r="S758">
        <v>7</v>
      </c>
      <c r="T758">
        <v>1137.6099999999999</v>
      </c>
      <c r="U758">
        <v>46</v>
      </c>
      <c r="V758">
        <v>0</v>
      </c>
      <c r="W758">
        <v>570.91999999999996</v>
      </c>
      <c r="X758">
        <v>3173.48</v>
      </c>
      <c r="Y758" t="s">
        <v>36</v>
      </c>
      <c r="Z758" s="3">
        <v>1278.43</v>
      </c>
      <c r="AA758" t="s">
        <v>32</v>
      </c>
      <c r="AB758" t="s">
        <v>33</v>
      </c>
      <c r="AC758">
        <v>25</v>
      </c>
      <c r="AD758" t="s">
        <v>43</v>
      </c>
      <c r="AE758">
        <v>0</v>
      </c>
      <c r="AF758">
        <v>0</v>
      </c>
    </row>
    <row r="759" spans="3:32" x14ac:dyDescent="0.35">
      <c r="C759" s="1">
        <v>43916</v>
      </c>
      <c r="D759" s="2">
        <v>43891</v>
      </c>
      <c r="E759">
        <v>1274</v>
      </c>
      <c r="F759" s="3">
        <v>5263.09</v>
      </c>
      <c r="G759" s="3">
        <v>3299.5</v>
      </c>
      <c r="H759" s="3">
        <v>1963.59</v>
      </c>
      <c r="I759" s="3">
        <v>0.63</v>
      </c>
      <c r="J759">
        <v>0.31</v>
      </c>
      <c r="K759">
        <v>1664.8</v>
      </c>
      <c r="L759" t="s">
        <v>35</v>
      </c>
      <c r="M759">
        <v>684</v>
      </c>
      <c r="N759">
        <v>0.23</v>
      </c>
      <c r="O759" s="3">
        <v>599.35</v>
      </c>
      <c r="P759" s="3">
        <v>0.11</v>
      </c>
      <c r="Q759" s="3">
        <v>260.85000000000002</v>
      </c>
      <c r="R759" s="3">
        <v>0.05</v>
      </c>
      <c r="S759">
        <v>9</v>
      </c>
      <c r="T759">
        <v>747.05</v>
      </c>
      <c r="U759">
        <v>85</v>
      </c>
      <c r="V759">
        <v>0</v>
      </c>
      <c r="W759">
        <v>569.14</v>
      </c>
      <c r="X759">
        <v>2330.0500000000002</v>
      </c>
      <c r="Y759" t="s">
        <v>31</v>
      </c>
      <c r="Z759" s="3">
        <v>1181.6099999999999</v>
      </c>
      <c r="AA759" t="s">
        <v>48</v>
      </c>
      <c r="AB759" t="s">
        <v>42</v>
      </c>
      <c r="AC759">
        <v>29.9</v>
      </c>
      <c r="AD759" t="s">
        <v>34</v>
      </c>
      <c r="AE759">
        <v>1963.59</v>
      </c>
      <c r="AF759">
        <v>1</v>
      </c>
    </row>
    <row r="760" spans="3:32" x14ac:dyDescent="0.35">
      <c r="C760" s="1">
        <v>43916</v>
      </c>
      <c r="D760" s="2">
        <v>43891</v>
      </c>
      <c r="E760">
        <v>1716</v>
      </c>
      <c r="F760" s="3">
        <v>2721.22</v>
      </c>
      <c r="G760" s="3">
        <v>3791.53</v>
      </c>
      <c r="H760" s="3">
        <v>-1070.31</v>
      </c>
      <c r="I760" s="3">
        <v>1.39</v>
      </c>
      <c r="J760">
        <v>0.38</v>
      </c>
      <c r="K760">
        <v>2851.26</v>
      </c>
      <c r="L760" t="s">
        <v>30</v>
      </c>
      <c r="M760">
        <v>653</v>
      </c>
      <c r="N760">
        <v>0.23</v>
      </c>
      <c r="O760" s="3">
        <v>224.08</v>
      </c>
      <c r="P760" s="3">
        <v>0.08</v>
      </c>
      <c r="Q760" s="3">
        <v>657.92</v>
      </c>
      <c r="R760" s="3">
        <v>0.24</v>
      </c>
      <c r="S760">
        <v>3</v>
      </c>
      <c r="T760">
        <v>178.67</v>
      </c>
      <c r="U760">
        <v>42</v>
      </c>
      <c r="V760">
        <v>0</v>
      </c>
      <c r="W760">
        <v>153.44</v>
      </c>
      <c r="X760">
        <v>1587.65</v>
      </c>
      <c r="Y760" t="s">
        <v>36</v>
      </c>
      <c r="Z760" s="3">
        <v>920.79</v>
      </c>
      <c r="AA760" t="s">
        <v>48</v>
      </c>
      <c r="AB760" t="s">
        <v>33</v>
      </c>
      <c r="AC760">
        <v>84.2</v>
      </c>
      <c r="AD760" t="s">
        <v>34</v>
      </c>
      <c r="AE760">
        <v>0</v>
      </c>
      <c r="AF760">
        <v>0</v>
      </c>
    </row>
    <row r="761" spans="3:32" x14ac:dyDescent="0.35">
      <c r="C761" s="1">
        <v>43916</v>
      </c>
      <c r="D761" s="2">
        <v>43891</v>
      </c>
      <c r="E761">
        <v>1286</v>
      </c>
      <c r="F761" s="3">
        <v>3580.69</v>
      </c>
      <c r="G761" s="3">
        <v>2853.5</v>
      </c>
      <c r="H761" s="3">
        <v>727.19</v>
      </c>
      <c r="I761" s="3">
        <v>0.8</v>
      </c>
      <c r="J761">
        <v>0.18</v>
      </c>
      <c r="K761">
        <v>3095.01</v>
      </c>
      <c r="L761" t="s">
        <v>39</v>
      </c>
      <c r="M761">
        <v>671</v>
      </c>
      <c r="N761">
        <v>0.28000000000000003</v>
      </c>
      <c r="O761" s="3">
        <v>698.86</v>
      </c>
      <c r="P761" s="3">
        <v>0.2</v>
      </c>
      <c r="Q761" s="3">
        <v>420.88</v>
      </c>
      <c r="R761" s="3">
        <v>0.12</v>
      </c>
      <c r="S761">
        <v>5</v>
      </c>
      <c r="T761">
        <v>239.15</v>
      </c>
      <c r="U761">
        <v>95</v>
      </c>
      <c r="V761">
        <v>0</v>
      </c>
      <c r="W761">
        <v>249.33</v>
      </c>
      <c r="X761">
        <v>2080.16</v>
      </c>
      <c r="Y761" t="s">
        <v>36</v>
      </c>
      <c r="Z761" s="3">
        <v>831.02</v>
      </c>
      <c r="AA761" t="s">
        <v>46</v>
      </c>
      <c r="AB761" t="s">
        <v>44</v>
      </c>
      <c r="AC761">
        <v>19.100000000000001</v>
      </c>
      <c r="AD761" t="s">
        <v>34</v>
      </c>
      <c r="AE761">
        <v>727.19</v>
      </c>
      <c r="AF761">
        <v>0</v>
      </c>
    </row>
    <row r="762" spans="3:32" x14ac:dyDescent="0.35">
      <c r="C762" s="1">
        <v>43916</v>
      </c>
      <c r="D762" s="2">
        <v>43891</v>
      </c>
      <c r="E762">
        <v>1672</v>
      </c>
      <c r="F762" s="3">
        <v>3430.78</v>
      </c>
      <c r="G762" s="3">
        <v>1850.13</v>
      </c>
      <c r="H762" s="3">
        <v>1580.65</v>
      </c>
      <c r="I762" s="3">
        <v>0.54</v>
      </c>
      <c r="J762">
        <v>0.23</v>
      </c>
      <c r="K762">
        <v>3549.62</v>
      </c>
      <c r="L762" t="s">
        <v>30</v>
      </c>
      <c r="M762">
        <v>695</v>
      </c>
      <c r="N762">
        <v>0.26</v>
      </c>
      <c r="O762" s="3">
        <v>630.27</v>
      </c>
      <c r="P762" s="3">
        <v>0.18</v>
      </c>
      <c r="Q762" s="3">
        <v>105.93</v>
      </c>
      <c r="R762" s="3">
        <v>0.03</v>
      </c>
      <c r="S762">
        <v>8</v>
      </c>
      <c r="T762">
        <v>2048.3000000000002</v>
      </c>
      <c r="U762">
        <v>20</v>
      </c>
      <c r="V762">
        <v>0</v>
      </c>
      <c r="W762">
        <v>651.67999999999995</v>
      </c>
      <c r="X762">
        <v>2442.16</v>
      </c>
      <c r="Y762" t="s">
        <v>36</v>
      </c>
      <c r="Z762" s="3">
        <v>891.75</v>
      </c>
      <c r="AA762" t="s">
        <v>48</v>
      </c>
      <c r="AB762" t="s">
        <v>44</v>
      </c>
      <c r="AC762">
        <v>20.8</v>
      </c>
      <c r="AD762" t="s">
        <v>38</v>
      </c>
      <c r="AE762">
        <v>1580.65</v>
      </c>
      <c r="AF762">
        <v>0</v>
      </c>
    </row>
    <row r="763" spans="3:32" x14ac:dyDescent="0.35">
      <c r="C763" s="1">
        <v>43916</v>
      </c>
      <c r="D763" s="2">
        <v>43891</v>
      </c>
      <c r="E763">
        <v>1900</v>
      </c>
      <c r="F763" s="3">
        <v>3808.43</v>
      </c>
      <c r="G763" s="3">
        <v>2154.1999999999998</v>
      </c>
      <c r="H763" s="3">
        <v>1654.23</v>
      </c>
      <c r="I763" s="3">
        <v>0.56999999999999995</v>
      </c>
      <c r="J763">
        <v>0.1</v>
      </c>
      <c r="K763">
        <v>2060.09</v>
      </c>
      <c r="L763" t="s">
        <v>35</v>
      </c>
      <c r="M763">
        <v>629</v>
      </c>
      <c r="N763">
        <v>0.6</v>
      </c>
      <c r="O763" s="3">
        <v>320.04000000000002</v>
      </c>
      <c r="P763" s="3">
        <v>0.08</v>
      </c>
      <c r="Q763" s="3">
        <v>127.57</v>
      </c>
      <c r="R763" s="3">
        <v>0.03</v>
      </c>
      <c r="S763">
        <v>3</v>
      </c>
      <c r="T763">
        <v>1041.29</v>
      </c>
      <c r="U763">
        <v>25</v>
      </c>
      <c r="V763">
        <v>0</v>
      </c>
      <c r="W763">
        <v>556.85</v>
      </c>
      <c r="X763">
        <v>2918.28</v>
      </c>
      <c r="Y763" t="s">
        <v>36</v>
      </c>
      <c r="Z763" s="3">
        <v>762.66</v>
      </c>
      <c r="AA763" t="s">
        <v>41</v>
      </c>
      <c r="AB763" t="s">
        <v>33</v>
      </c>
      <c r="AC763">
        <v>68.099999999999994</v>
      </c>
      <c r="AD763" t="s">
        <v>38</v>
      </c>
      <c r="AE763">
        <v>1654.23</v>
      </c>
      <c r="AF763">
        <v>0</v>
      </c>
    </row>
    <row r="764" spans="3:32" x14ac:dyDescent="0.35">
      <c r="C764" s="1">
        <v>43916</v>
      </c>
      <c r="D764" s="2">
        <v>43891</v>
      </c>
      <c r="E764">
        <v>1345</v>
      </c>
      <c r="F764" s="3">
        <v>4233.57</v>
      </c>
      <c r="G764" s="3">
        <v>2846.38</v>
      </c>
      <c r="H764" s="3">
        <v>1387.19</v>
      </c>
      <c r="I764" s="3">
        <v>0.67</v>
      </c>
      <c r="J764">
        <v>0.38</v>
      </c>
      <c r="K764">
        <v>3135.34</v>
      </c>
      <c r="L764" t="s">
        <v>35</v>
      </c>
      <c r="M764">
        <v>615</v>
      </c>
      <c r="N764">
        <v>0.32</v>
      </c>
      <c r="O764" s="3">
        <v>426.01</v>
      </c>
      <c r="P764" s="3">
        <v>0.1</v>
      </c>
      <c r="Q764" s="3">
        <v>955.54</v>
      </c>
      <c r="R764" s="3">
        <v>0.23</v>
      </c>
      <c r="S764">
        <v>4</v>
      </c>
      <c r="T764">
        <v>816.89</v>
      </c>
      <c r="U764">
        <v>88</v>
      </c>
      <c r="V764">
        <v>0</v>
      </c>
      <c r="W764">
        <v>650.55999999999995</v>
      </c>
      <c r="X764">
        <v>2943.68</v>
      </c>
      <c r="Y764" t="s">
        <v>36</v>
      </c>
      <c r="Z764" s="3">
        <v>1095.21</v>
      </c>
      <c r="AA764" t="s">
        <v>45</v>
      </c>
      <c r="AB764" t="s">
        <v>44</v>
      </c>
      <c r="AC764">
        <v>19.399999999999999</v>
      </c>
      <c r="AD764" t="s">
        <v>43</v>
      </c>
      <c r="AE764">
        <v>1387.19</v>
      </c>
      <c r="AF764">
        <v>0</v>
      </c>
    </row>
    <row r="765" spans="3:32" x14ac:dyDescent="0.35">
      <c r="C765" s="1">
        <v>43916</v>
      </c>
      <c r="D765" s="2">
        <v>43891</v>
      </c>
      <c r="E765">
        <v>1152</v>
      </c>
      <c r="F765" s="3">
        <v>3925.88</v>
      </c>
      <c r="G765" s="3">
        <v>2459.81</v>
      </c>
      <c r="H765" s="3">
        <v>1466.07</v>
      </c>
      <c r="I765" s="3">
        <v>0.63</v>
      </c>
      <c r="J765">
        <v>0.36</v>
      </c>
      <c r="K765">
        <v>3537.37</v>
      </c>
      <c r="L765" t="s">
        <v>39</v>
      </c>
      <c r="M765">
        <v>698</v>
      </c>
      <c r="N765">
        <v>0.44</v>
      </c>
      <c r="O765" s="3">
        <v>721.88</v>
      </c>
      <c r="P765" s="3">
        <v>0.18</v>
      </c>
      <c r="Q765" s="3">
        <v>384.95</v>
      </c>
      <c r="R765" s="3">
        <v>0.1</v>
      </c>
      <c r="S765">
        <v>4</v>
      </c>
      <c r="T765">
        <v>838.73</v>
      </c>
      <c r="U765">
        <v>76</v>
      </c>
      <c r="V765">
        <v>0</v>
      </c>
      <c r="W765">
        <v>170.36</v>
      </c>
      <c r="X765">
        <v>1062.95</v>
      </c>
      <c r="Y765" t="s">
        <v>36</v>
      </c>
      <c r="Z765" s="3">
        <v>1004.05</v>
      </c>
      <c r="AA765" t="s">
        <v>48</v>
      </c>
      <c r="AB765" t="s">
        <v>33</v>
      </c>
      <c r="AC765">
        <v>36.299999999999997</v>
      </c>
      <c r="AD765" t="s">
        <v>34</v>
      </c>
      <c r="AE765">
        <v>1466.07</v>
      </c>
      <c r="AF765">
        <v>0</v>
      </c>
    </row>
    <row r="766" spans="3:32" x14ac:dyDescent="0.35">
      <c r="C766" s="1">
        <v>43916</v>
      </c>
      <c r="D766" s="2">
        <v>43891</v>
      </c>
      <c r="E766">
        <v>1037</v>
      </c>
      <c r="F766" s="3">
        <v>4797.88</v>
      </c>
      <c r="G766" s="3">
        <v>2182.62</v>
      </c>
      <c r="H766" s="3">
        <v>2615.2600000000002</v>
      </c>
      <c r="I766" s="3">
        <v>0.45</v>
      </c>
      <c r="J766">
        <v>0.18</v>
      </c>
      <c r="K766">
        <v>2667.16</v>
      </c>
      <c r="L766" t="s">
        <v>39</v>
      </c>
      <c r="M766">
        <v>645</v>
      </c>
      <c r="N766">
        <v>0.21</v>
      </c>
      <c r="O766" s="3">
        <v>236.42</v>
      </c>
      <c r="P766" s="3">
        <v>0.05</v>
      </c>
      <c r="Q766" s="3">
        <v>149.96</v>
      </c>
      <c r="R766" s="3">
        <v>0.03</v>
      </c>
      <c r="S766">
        <v>4</v>
      </c>
      <c r="T766">
        <v>1347.91</v>
      </c>
      <c r="U766">
        <v>86</v>
      </c>
      <c r="V766">
        <v>0</v>
      </c>
      <c r="W766">
        <v>369.78</v>
      </c>
      <c r="X766">
        <v>2961.04</v>
      </c>
      <c r="Y766" t="s">
        <v>36</v>
      </c>
      <c r="Z766" s="3">
        <v>1402.67</v>
      </c>
      <c r="AA766" t="s">
        <v>45</v>
      </c>
      <c r="AB766" t="s">
        <v>33</v>
      </c>
      <c r="AC766">
        <v>0.6</v>
      </c>
      <c r="AD766" t="s">
        <v>38</v>
      </c>
      <c r="AE766">
        <v>2615.2600000000002</v>
      </c>
      <c r="AF766">
        <v>0</v>
      </c>
    </row>
    <row r="767" spans="3:32" x14ac:dyDescent="0.35">
      <c r="C767" s="1">
        <v>43916</v>
      </c>
      <c r="D767" s="2">
        <v>43891</v>
      </c>
      <c r="E767">
        <v>1081</v>
      </c>
      <c r="F767" s="3">
        <v>5689.03</v>
      </c>
      <c r="G767" s="3">
        <v>2454.2199999999998</v>
      </c>
      <c r="H767" s="3">
        <v>3234.81</v>
      </c>
      <c r="I767" s="3">
        <v>0.43</v>
      </c>
      <c r="J767">
        <v>0.1</v>
      </c>
      <c r="K767">
        <v>2222.85</v>
      </c>
      <c r="L767" t="s">
        <v>30</v>
      </c>
      <c r="M767">
        <v>686</v>
      </c>
      <c r="N767">
        <v>0.11</v>
      </c>
      <c r="O767" s="3">
        <v>550.69000000000005</v>
      </c>
      <c r="P767" s="3">
        <v>0.1</v>
      </c>
      <c r="Q767" s="3">
        <v>468.14</v>
      </c>
      <c r="R767" s="3">
        <v>0.08</v>
      </c>
      <c r="S767">
        <v>3</v>
      </c>
      <c r="T767">
        <v>1868.19</v>
      </c>
      <c r="U767">
        <v>50</v>
      </c>
      <c r="V767">
        <v>0</v>
      </c>
      <c r="W767">
        <v>704.52</v>
      </c>
      <c r="X767">
        <v>1743.89</v>
      </c>
      <c r="Y767" t="s">
        <v>49</v>
      </c>
      <c r="Z767" s="3">
        <v>2092.8000000000002</v>
      </c>
      <c r="AA767" t="s">
        <v>41</v>
      </c>
      <c r="AB767" t="s">
        <v>33</v>
      </c>
      <c r="AC767">
        <v>46.4</v>
      </c>
      <c r="AD767" t="s">
        <v>34</v>
      </c>
      <c r="AE767">
        <v>3234.81</v>
      </c>
      <c r="AF767">
        <v>1</v>
      </c>
    </row>
    <row r="768" spans="3:32" x14ac:dyDescent="0.35">
      <c r="C768" s="1">
        <v>43916</v>
      </c>
      <c r="D768" s="2">
        <v>43891</v>
      </c>
      <c r="E768">
        <v>1097</v>
      </c>
      <c r="F768" s="3">
        <v>3213.26</v>
      </c>
      <c r="G768" s="3">
        <v>1793.93</v>
      </c>
      <c r="H768" s="3">
        <v>1419.33</v>
      </c>
      <c r="I768" s="3">
        <v>0.56000000000000005</v>
      </c>
      <c r="J768">
        <v>0.1</v>
      </c>
      <c r="K768">
        <v>3418.06</v>
      </c>
      <c r="L768" t="s">
        <v>39</v>
      </c>
      <c r="M768">
        <v>674</v>
      </c>
      <c r="N768">
        <v>0.38</v>
      </c>
      <c r="O768" s="3">
        <v>911.02</v>
      </c>
      <c r="P768" s="3">
        <v>0.28000000000000003</v>
      </c>
      <c r="Q768" s="3">
        <v>1020.87</v>
      </c>
      <c r="R768" s="3">
        <v>0.32</v>
      </c>
      <c r="S768">
        <v>6</v>
      </c>
      <c r="T768">
        <v>86.37</v>
      </c>
      <c r="U768">
        <v>51</v>
      </c>
      <c r="V768">
        <v>0</v>
      </c>
      <c r="W768">
        <v>680.08</v>
      </c>
      <c r="X768">
        <v>2946.01</v>
      </c>
      <c r="Y768" t="s">
        <v>36</v>
      </c>
      <c r="Z768" s="3">
        <v>1436.6</v>
      </c>
      <c r="AA768" t="s">
        <v>32</v>
      </c>
      <c r="AB768" t="s">
        <v>33</v>
      </c>
      <c r="AC768">
        <v>12.9</v>
      </c>
      <c r="AD768" t="s">
        <v>34</v>
      </c>
      <c r="AE768">
        <v>1419.33</v>
      </c>
      <c r="AF768">
        <v>0</v>
      </c>
    </row>
    <row r="769" spans="3:32" x14ac:dyDescent="0.35">
      <c r="C769" s="1">
        <v>43916</v>
      </c>
      <c r="D769" s="2">
        <v>43891</v>
      </c>
      <c r="E769">
        <v>1566</v>
      </c>
      <c r="F769" s="3">
        <v>4067.93</v>
      </c>
      <c r="G769" s="3">
        <v>3038.68</v>
      </c>
      <c r="H769" s="3">
        <v>1029.25</v>
      </c>
      <c r="I769" s="3">
        <v>0.75</v>
      </c>
      <c r="J769">
        <v>0.31</v>
      </c>
      <c r="K769">
        <v>2890.52</v>
      </c>
      <c r="L769" t="s">
        <v>30</v>
      </c>
      <c r="M769">
        <v>636</v>
      </c>
      <c r="N769">
        <v>0.14000000000000001</v>
      </c>
      <c r="O769" s="3">
        <v>683.68</v>
      </c>
      <c r="P769" s="3">
        <v>0.17</v>
      </c>
      <c r="Q769" s="3">
        <v>284.02</v>
      </c>
      <c r="R769" s="3">
        <v>7.0000000000000007E-2</v>
      </c>
      <c r="S769">
        <v>3</v>
      </c>
      <c r="T769">
        <v>1095.55</v>
      </c>
      <c r="U769">
        <v>79</v>
      </c>
      <c r="V769">
        <v>0</v>
      </c>
      <c r="W769">
        <v>626.41</v>
      </c>
      <c r="X769">
        <v>1869.17</v>
      </c>
      <c r="Y769" t="s">
        <v>31</v>
      </c>
      <c r="Z769" s="3">
        <v>1482.5</v>
      </c>
      <c r="AA769" t="s">
        <v>48</v>
      </c>
      <c r="AB769" t="s">
        <v>44</v>
      </c>
      <c r="AC769">
        <v>23.2</v>
      </c>
      <c r="AD769" t="s">
        <v>34</v>
      </c>
      <c r="AE769">
        <v>1029.25</v>
      </c>
      <c r="AF769">
        <v>0</v>
      </c>
    </row>
    <row r="770" spans="3:32" x14ac:dyDescent="0.35">
      <c r="C770" s="1">
        <v>43916</v>
      </c>
      <c r="D770" s="2">
        <v>43891</v>
      </c>
      <c r="E770">
        <v>1667</v>
      </c>
      <c r="F770" s="3">
        <v>4374.68</v>
      </c>
      <c r="G770" s="3">
        <v>3464.74</v>
      </c>
      <c r="H770" s="3">
        <v>909.94</v>
      </c>
      <c r="I770" s="3">
        <v>0.79</v>
      </c>
      <c r="J770">
        <v>0.31</v>
      </c>
      <c r="K770">
        <v>3000.42</v>
      </c>
      <c r="L770" t="s">
        <v>35</v>
      </c>
      <c r="M770">
        <v>663</v>
      </c>
      <c r="N770">
        <v>0.45</v>
      </c>
      <c r="O770" s="3">
        <v>618.71</v>
      </c>
      <c r="P770" s="3">
        <v>0.14000000000000001</v>
      </c>
      <c r="Q770" s="3">
        <v>323.24</v>
      </c>
      <c r="R770" s="3">
        <v>7.0000000000000007E-2</v>
      </c>
      <c r="S770">
        <v>1</v>
      </c>
      <c r="T770">
        <v>924.93</v>
      </c>
      <c r="U770">
        <v>99</v>
      </c>
      <c r="V770">
        <v>0</v>
      </c>
      <c r="W770">
        <v>527.65</v>
      </c>
      <c r="X770">
        <v>3431.66</v>
      </c>
      <c r="Y770" t="s">
        <v>36</v>
      </c>
      <c r="Z770" s="3">
        <v>2009.45</v>
      </c>
      <c r="AA770" t="s">
        <v>51</v>
      </c>
      <c r="AB770" t="s">
        <v>42</v>
      </c>
      <c r="AC770">
        <v>17.8</v>
      </c>
      <c r="AD770" t="s">
        <v>34</v>
      </c>
      <c r="AE770">
        <v>909.94</v>
      </c>
      <c r="AF770">
        <v>0</v>
      </c>
    </row>
    <row r="771" spans="3:32" x14ac:dyDescent="0.35">
      <c r="C771" s="1">
        <v>43916</v>
      </c>
      <c r="D771" s="2">
        <v>43891</v>
      </c>
      <c r="E771">
        <v>1274</v>
      </c>
      <c r="F771" s="3">
        <v>1346.96</v>
      </c>
      <c r="G771" s="3">
        <v>3085.74</v>
      </c>
      <c r="H771" s="3">
        <v>-1738.78</v>
      </c>
      <c r="I771" s="3">
        <v>2.29</v>
      </c>
      <c r="J771">
        <v>0.3</v>
      </c>
      <c r="K771">
        <v>2640.98</v>
      </c>
      <c r="L771" t="s">
        <v>30</v>
      </c>
      <c r="M771">
        <v>742</v>
      </c>
      <c r="N771">
        <v>0.46</v>
      </c>
      <c r="O771" s="3">
        <v>409.03</v>
      </c>
      <c r="P771" s="3">
        <v>0.3</v>
      </c>
      <c r="Q771" s="3">
        <v>288.51</v>
      </c>
      <c r="R771" s="3">
        <v>0.21</v>
      </c>
      <c r="S771">
        <v>5</v>
      </c>
      <c r="T771">
        <v>1429.59</v>
      </c>
      <c r="U771">
        <v>80</v>
      </c>
      <c r="V771">
        <v>0</v>
      </c>
      <c r="W771">
        <v>280.82</v>
      </c>
      <c r="X771">
        <v>2134.5100000000002</v>
      </c>
      <c r="Y771" t="s">
        <v>36</v>
      </c>
      <c r="Z771" s="3">
        <v>893.39</v>
      </c>
      <c r="AA771" t="s">
        <v>41</v>
      </c>
      <c r="AB771" t="s">
        <v>33</v>
      </c>
      <c r="AC771">
        <v>32.9</v>
      </c>
      <c r="AD771" t="s">
        <v>34</v>
      </c>
      <c r="AE771">
        <v>0</v>
      </c>
      <c r="AF771">
        <v>0</v>
      </c>
    </row>
    <row r="772" spans="3:32" x14ac:dyDescent="0.35">
      <c r="C772" s="1">
        <v>43916</v>
      </c>
      <c r="D772" s="2">
        <v>43891</v>
      </c>
      <c r="E772">
        <v>1681</v>
      </c>
      <c r="F772" s="3">
        <v>5312.2</v>
      </c>
      <c r="G772" s="3">
        <v>2953.76</v>
      </c>
      <c r="H772" s="3">
        <v>2358.44</v>
      </c>
      <c r="I772" s="3">
        <v>0.56000000000000005</v>
      </c>
      <c r="J772">
        <v>0.16</v>
      </c>
      <c r="K772">
        <v>2769.19</v>
      </c>
      <c r="L772" t="s">
        <v>35</v>
      </c>
      <c r="M772">
        <v>675</v>
      </c>
      <c r="N772">
        <v>0.32</v>
      </c>
      <c r="O772" s="3">
        <v>233.87</v>
      </c>
      <c r="P772" s="3">
        <v>0.04</v>
      </c>
      <c r="Q772" s="3">
        <v>523.38</v>
      </c>
      <c r="R772" s="3">
        <v>0.1</v>
      </c>
      <c r="S772">
        <v>8</v>
      </c>
      <c r="T772">
        <v>1204.45</v>
      </c>
      <c r="U772">
        <v>34</v>
      </c>
      <c r="V772">
        <v>0</v>
      </c>
      <c r="W772">
        <v>636.6</v>
      </c>
      <c r="X772">
        <v>1265.21</v>
      </c>
      <c r="Y772" t="s">
        <v>36</v>
      </c>
      <c r="Z772" s="3">
        <v>1649.06</v>
      </c>
      <c r="AA772" t="s">
        <v>48</v>
      </c>
      <c r="AB772" t="s">
        <v>42</v>
      </c>
      <c r="AC772">
        <v>14.4</v>
      </c>
      <c r="AD772" t="s">
        <v>34</v>
      </c>
      <c r="AE772">
        <v>2358.44</v>
      </c>
      <c r="AF772">
        <v>0</v>
      </c>
    </row>
    <row r="773" spans="3:32" x14ac:dyDescent="0.35">
      <c r="C773" s="1">
        <v>43916</v>
      </c>
      <c r="D773" s="2">
        <v>43891</v>
      </c>
      <c r="E773">
        <v>1264</v>
      </c>
      <c r="F773" s="3">
        <v>4549.6899999999996</v>
      </c>
      <c r="G773" s="3">
        <v>3338.99</v>
      </c>
      <c r="H773" s="3">
        <v>1210.7</v>
      </c>
      <c r="I773" s="3">
        <v>0.73</v>
      </c>
      <c r="J773">
        <v>0.35</v>
      </c>
      <c r="K773">
        <v>3564.46</v>
      </c>
      <c r="L773" t="s">
        <v>35</v>
      </c>
      <c r="M773">
        <v>642</v>
      </c>
      <c r="N773">
        <v>0.45</v>
      </c>
      <c r="O773" s="3">
        <v>607.85</v>
      </c>
      <c r="P773" s="3">
        <v>0.13</v>
      </c>
      <c r="Q773" s="3">
        <v>0</v>
      </c>
      <c r="R773" s="3">
        <v>0</v>
      </c>
      <c r="S773">
        <v>3</v>
      </c>
      <c r="T773">
        <v>909.23</v>
      </c>
      <c r="U773">
        <v>69</v>
      </c>
      <c r="V773">
        <v>0</v>
      </c>
      <c r="W773">
        <v>492.24</v>
      </c>
      <c r="X773">
        <v>2260.14</v>
      </c>
      <c r="Y773" t="s">
        <v>36</v>
      </c>
      <c r="Z773" s="3">
        <v>1074.17</v>
      </c>
      <c r="AA773" t="s">
        <v>37</v>
      </c>
      <c r="AB773" t="s">
        <v>33</v>
      </c>
      <c r="AC773">
        <v>4.5</v>
      </c>
      <c r="AD773" t="s">
        <v>34</v>
      </c>
      <c r="AE773">
        <v>1210.7</v>
      </c>
      <c r="AF773">
        <v>0</v>
      </c>
    </row>
    <row r="774" spans="3:32" x14ac:dyDescent="0.35">
      <c r="C774" s="1">
        <v>43916</v>
      </c>
      <c r="D774" s="2">
        <v>43891</v>
      </c>
      <c r="E774">
        <v>1593</v>
      </c>
      <c r="F774" s="3">
        <v>5499.2</v>
      </c>
      <c r="G774" s="3">
        <v>1964.02</v>
      </c>
      <c r="H774" s="3">
        <v>3535.18</v>
      </c>
      <c r="I774" s="3">
        <v>0.36</v>
      </c>
      <c r="J774">
        <v>0.11</v>
      </c>
      <c r="K774">
        <v>2143.61</v>
      </c>
      <c r="L774" t="s">
        <v>39</v>
      </c>
      <c r="M774">
        <v>698</v>
      </c>
      <c r="N774">
        <v>0.51</v>
      </c>
      <c r="O774" s="3">
        <v>621.69000000000005</v>
      </c>
      <c r="P774" s="3">
        <v>0.11</v>
      </c>
      <c r="Q774" s="3">
        <v>275.75</v>
      </c>
      <c r="R774" s="3">
        <v>0.05</v>
      </c>
      <c r="S774">
        <v>2</v>
      </c>
      <c r="T774">
        <v>773.32</v>
      </c>
      <c r="U774">
        <v>87</v>
      </c>
      <c r="V774">
        <v>0</v>
      </c>
      <c r="W774">
        <v>184.18</v>
      </c>
      <c r="X774">
        <v>2671.26</v>
      </c>
      <c r="Y774" t="s">
        <v>36</v>
      </c>
      <c r="Z774" s="3">
        <v>1483.48</v>
      </c>
      <c r="AA774" t="s">
        <v>32</v>
      </c>
      <c r="AB774" t="s">
        <v>33</v>
      </c>
      <c r="AC774">
        <v>44.9</v>
      </c>
      <c r="AD774" t="s">
        <v>38</v>
      </c>
      <c r="AE774">
        <v>3535.18</v>
      </c>
      <c r="AF774">
        <v>1</v>
      </c>
    </row>
    <row r="775" spans="3:32" x14ac:dyDescent="0.35">
      <c r="C775" s="1">
        <v>43916</v>
      </c>
      <c r="D775" s="2">
        <v>43891</v>
      </c>
      <c r="E775">
        <v>1540</v>
      </c>
      <c r="F775" s="3">
        <v>4856.47</v>
      </c>
      <c r="G775" s="3">
        <v>4627.6899999999996</v>
      </c>
      <c r="H775" s="3">
        <v>228.78</v>
      </c>
      <c r="I775" s="3">
        <v>0.95</v>
      </c>
      <c r="J775">
        <v>0.06</v>
      </c>
      <c r="K775">
        <v>3301.08</v>
      </c>
      <c r="L775" t="s">
        <v>35</v>
      </c>
      <c r="M775">
        <v>663</v>
      </c>
      <c r="N775">
        <v>0.55000000000000004</v>
      </c>
      <c r="O775" s="3">
        <v>537.15</v>
      </c>
      <c r="P775" s="3">
        <v>0.11</v>
      </c>
      <c r="Q775" s="3">
        <v>771.96</v>
      </c>
      <c r="R775" s="3">
        <v>0.16</v>
      </c>
      <c r="S775">
        <v>7</v>
      </c>
      <c r="T775">
        <v>729.48</v>
      </c>
      <c r="U775">
        <v>34</v>
      </c>
      <c r="V775">
        <v>0</v>
      </c>
      <c r="W775">
        <v>680.92</v>
      </c>
      <c r="X775">
        <v>1791.98</v>
      </c>
      <c r="Y775" t="s">
        <v>36</v>
      </c>
      <c r="Z775" s="3">
        <v>1903.92</v>
      </c>
      <c r="AA775" t="s">
        <v>50</v>
      </c>
      <c r="AB775" t="s">
        <v>33</v>
      </c>
      <c r="AC775">
        <v>68.8</v>
      </c>
      <c r="AD775" t="s">
        <v>34</v>
      </c>
      <c r="AE775">
        <v>228.78</v>
      </c>
      <c r="AF775">
        <v>0</v>
      </c>
    </row>
    <row r="776" spans="3:32" x14ac:dyDescent="0.35">
      <c r="C776" s="1">
        <v>43916</v>
      </c>
      <c r="D776" s="2">
        <v>43891</v>
      </c>
      <c r="E776">
        <v>1517</v>
      </c>
      <c r="F776" s="3">
        <v>3896.29</v>
      </c>
      <c r="G776" s="3">
        <v>2072.6799999999998</v>
      </c>
      <c r="H776" s="3">
        <v>1823.61</v>
      </c>
      <c r="I776" s="3">
        <v>0.53</v>
      </c>
      <c r="J776">
        <v>0.16</v>
      </c>
      <c r="K776">
        <v>3071.32</v>
      </c>
      <c r="L776" t="s">
        <v>30</v>
      </c>
      <c r="M776">
        <v>712</v>
      </c>
      <c r="N776">
        <v>0.59</v>
      </c>
      <c r="O776" s="3">
        <v>441.12</v>
      </c>
      <c r="P776" s="3">
        <v>0.11</v>
      </c>
      <c r="Q776" s="3">
        <v>331.99</v>
      </c>
      <c r="R776" s="3">
        <v>0.09</v>
      </c>
      <c r="S776">
        <v>2</v>
      </c>
      <c r="T776">
        <v>1607.56</v>
      </c>
      <c r="U776">
        <v>84</v>
      </c>
      <c r="V776">
        <v>0</v>
      </c>
      <c r="W776">
        <v>252.45</v>
      </c>
      <c r="X776">
        <v>2620.87</v>
      </c>
      <c r="Y776" t="s">
        <v>49</v>
      </c>
      <c r="Z776" s="3">
        <v>1652.43</v>
      </c>
      <c r="AA776" t="s">
        <v>46</v>
      </c>
      <c r="AB776" t="s">
        <v>44</v>
      </c>
      <c r="AC776">
        <v>0.9</v>
      </c>
      <c r="AD776" t="s">
        <v>38</v>
      </c>
      <c r="AE776">
        <v>1823.61</v>
      </c>
      <c r="AF776">
        <v>0</v>
      </c>
    </row>
    <row r="777" spans="3:32" x14ac:dyDescent="0.35">
      <c r="C777" s="1">
        <v>43916</v>
      </c>
      <c r="D777" s="2">
        <v>43891</v>
      </c>
      <c r="E777">
        <v>1378</v>
      </c>
      <c r="F777" s="3">
        <v>5380.6</v>
      </c>
      <c r="G777" s="3">
        <v>2955.18</v>
      </c>
      <c r="H777" s="3">
        <v>2425.42</v>
      </c>
      <c r="I777" s="3">
        <v>0.55000000000000004</v>
      </c>
      <c r="J777">
        <v>0.28999999999999998</v>
      </c>
      <c r="K777">
        <v>3234.64</v>
      </c>
      <c r="L777" t="s">
        <v>39</v>
      </c>
      <c r="M777">
        <v>698</v>
      </c>
      <c r="N777">
        <v>0.16</v>
      </c>
      <c r="O777" s="3">
        <v>720.03</v>
      </c>
      <c r="P777" s="3">
        <v>0.13</v>
      </c>
      <c r="Q777" s="3">
        <v>541.13</v>
      </c>
      <c r="R777" s="3">
        <v>0.1</v>
      </c>
      <c r="S777">
        <v>1</v>
      </c>
      <c r="T777">
        <v>80.849999999999994</v>
      </c>
      <c r="U777">
        <v>51</v>
      </c>
      <c r="V777">
        <v>0</v>
      </c>
      <c r="W777">
        <v>584.91999999999996</v>
      </c>
      <c r="X777">
        <v>1884.09</v>
      </c>
      <c r="Y777" t="s">
        <v>36</v>
      </c>
      <c r="Z777" s="3">
        <v>1162.02</v>
      </c>
      <c r="AA777" t="s">
        <v>47</v>
      </c>
      <c r="AB777" t="s">
        <v>33</v>
      </c>
      <c r="AC777">
        <v>61.4</v>
      </c>
      <c r="AD777" t="s">
        <v>38</v>
      </c>
      <c r="AE777">
        <v>2425.42</v>
      </c>
      <c r="AF777">
        <v>0</v>
      </c>
    </row>
    <row r="778" spans="3:32" x14ac:dyDescent="0.35">
      <c r="C778" s="1">
        <v>43916</v>
      </c>
      <c r="D778" s="2">
        <v>43891</v>
      </c>
      <c r="E778">
        <v>1874</v>
      </c>
      <c r="F778" s="3">
        <v>4608.24</v>
      </c>
      <c r="G778" s="3">
        <v>3625.17</v>
      </c>
      <c r="H778" s="3">
        <v>983.07</v>
      </c>
      <c r="I778" s="3">
        <v>0.79</v>
      </c>
      <c r="J778">
        <v>0.06</v>
      </c>
      <c r="K778">
        <v>2930.12</v>
      </c>
      <c r="L778" t="s">
        <v>30</v>
      </c>
      <c r="M778">
        <v>620</v>
      </c>
      <c r="N778">
        <v>0.55000000000000004</v>
      </c>
      <c r="O778" s="3">
        <v>515.45000000000005</v>
      </c>
      <c r="P778" s="3">
        <v>0.11</v>
      </c>
      <c r="Q778" s="3">
        <v>416.9</v>
      </c>
      <c r="R778" s="3">
        <v>0.09</v>
      </c>
      <c r="S778">
        <v>7</v>
      </c>
      <c r="T778">
        <v>1164.02</v>
      </c>
      <c r="U778">
        <v>48</v>
      </c>
      <c r="V778">
        <v>0</v>
      </c>
      <c r="W778">
        <v>51.5</v>
      </c>
      <c r="X778">
        <v>1419.08</v>
      </c>
      <c r="Y778" t="s">
        <v>36</v>
      </c>
      <c r="Z778" s="3">
        <v>1110.6099999999999</v>
      </c>
      <c r="AA778" t="s">
        <v>51</v>
      </c>
      <c r="AB778" t="s">
        <v>42</v>
      </c>
      <c r="AC778">
        <v>6.6</v>
      </c>
      <c r="AD778" t="s">
        <v>38</v>
      </c>
      <c r="AE778">
        <v>983.07</v>
      </c>
      <c r="AF778">
        <v>0</v>
      </c>
    </row>
    <row r="779" spans="3:32" x14ac:dyDescent="0.35">
      <c r="C779" s="1">
        <v>43916</v>
      </c>
      <c r="D779" s="2">
        <v>43891</v>
      </c>
      <c r="E779">
        <v>1543</v>
      </c>
      <c r="F779" s="3">
        <v>5932.37</v>
      </c>
      <c r="G779" s="3">
        <v>4386.9399999999996</v>
      </c>
      <c r="H779" s="3">
        <v>1545.43</v>
      </c>
      <c r="I779" s="3">
        <v>0.74</v>
      </c>
      <c r="J779">
        <v>0.31</v>
      </c>
      <c r="K779">
        <v>2431.9499999999998</v>
      </c>
      <c r="L779" t="s">
        <v>30</v>
      </c>
      <c r="M779">
        <v>742</v>
      </c>
      <c r="N779">
        <v>0.59</v>
      </c>
      <c r="O779" s="3">
        <v>318.04000000000002</v>
      </c>
      <c r="P779" s="3">
        <v>0.05</v>
      </c>
      <c r="Q779" s="3">
        <v>203.91</v>
      </c>
      <c r="R779" s="3">
        <v>0.03</v>
      </c>
      <c r="S779">
        <v>8</v>
      </c>
      <c r="T779">
        <v>719.68</v>
      </c>
      <c r="U779">
        <v>22</v>
      </c>
      <c r="V779">
        <v>0</v>
      </c>
      <c r="W779">
        <v>622.29</v>
      </c>
      <c r="X779">
        <v>1326.26</v>
      </c>
      <c r="Y779" t="s">
        <v>31</v>
      </c>
      <c r="Z779" s="3">
        <v>437.88</v>
      </c>
      <c r="AA779" t="s">
        <v>32</v>
      </c>
      <c r="AB779" t="s">
        <v>33</v>
      </c>
      <c r="AC779">
        <v>87</v>
      </c>
      <c r="AD779" t="s">
        <v>43</v>
      </c>
      <c r="AE779">
        <v>1545.43</v>
      </c>
      <c r="AF779">
        <v>0</v>
      </c>
    </row>
    <row r="780" spans="3:32" x14ac:dyDescent="0.35">
      <c r="C780" s="1">
        <v>43916</v>
      </c>
      <c r="D780" s="2">
        <v>43891</v>
      </c>
      <c r="E780">
        <v>1227</v>
      </c>
      <c r="F780" s="3">
        <v>4403.12</v>
      </c>
      <c r="G780" s="3">
        <v>3012.03</v>
      </c>
      <c r="H780" s="3">
        <v>1391.09</v>
      </c>
      <c r="I780" s="3">
        <v>0.68</v>
      </c>
      <c r="J780">
        <v>0.13</v>
      </c>
      <c r="K780">
        <v>2354.84</v>
      </c>
      <c r="L780" t="s">
        <v>35</v>
      </c>
      <c r="M780">
        <v>709</v>
      </c>
      <c r="N780">
        <v>0.42</v>
      </c>
      <c r="O780" s="3">
        <v>288.83</v>
      </c>
      <c r="P780" s="3">
        <v>7.0000000000000007E-2</v>
      </c>
      <c r="Q780" s="3">
        <v>771.88</v>
      </c>
      <c r="R780" s="3">
        <v>0.18</v>
      </c>
      <c r="S780">
        <v>8</v>
      </c>
      <c r="T780">
        <v>725.96</v>
      </c>
      <c r="U780">
        <v>90</v>
      </c>
      <c r="V780">
        <v>0</v>
      </c>
      <c r="W780">
        <v>477.07</v>
      </c>
      <c r="X780">
        <v>1876.96</v>
      </c>
      <c r="Y780" t="s">
        <v>36</v>
      </c>
      <c r="Z780" s="3">
        <v>912.6</v>
      </c>
      <c r="AA780" t="s">
        <v>47</v>
      </c>
      <c r="AB780" t="s">
        <v>33</v>
      </c>
      <c r="AC780">
        <v>39.299999999999997</v>
      </c>
      <c r="AD780" t="s">
        <v>34</v>
      </c>
      <c r="AE780">
        <v>1391.09</v>
      </c>
      <c r="AF780">
        <v>0</v>
      </c>
    </row>
    <row r="781" spans="3:32" x14ac:dyDescent="0.35">
      <c r="C781" s="1">
        <v>43916</v>
      </c>
      <c r="D781" s="2">
        <v>43891</v>
      </c>
      <c r="E781">
        <v>1798</v>
      </c>
      <c r="F781" s="3">
        <v>1818.94</v>
      </c>
      <c r="G781" s="3">
        <v>2323.98</v>
      </c>
      <c r="H781" s="3">
        <v>-505.04</v>
      </c>
      <c r="I781" s="3">
        <v>1.28</v>
      </c>
      <c r="J781">
        <v>0.18</v>
      </c>
      <c r="K781">
        <v>3037.3</v>
      </c>
      <c r="L781" t="s">
        <v>35</v>
      </c>
      <c r="M781">
        <v>686</v>
      </c>
      <c r="N781">
        <v>0.5</v>
      </c>
      <c r="O781" s="3">
        <v>335.67</v>
      </c>
      <c r="P781" s="3">
        <v>0.18</v>
      </c>
      <c r="Q781" s="3">
        <v>674.57</v>
      </c>
      <c r="R781" s="3">
        <v>0.37</v>
      </c>
      <c r="S781">
        <v>7</v>
      </c>
      <c r="T781">
        <v>1161.2</v>
      </c>
      <c r="U781">
        <v>45</v>
      </c>
      <c r="V781">
        <v>0</v>
      </c>
      <c r="W781">
        <v>295.75</v>
      </c>
      <c r="X781">
        <v>2342.52</v>
      </c>
      <c r="Y781" t="s">
        <v>31</v>
      </c>
      <c r="Z781" s="3">
        <v>1432.9</v>
      </c>
      <c r="AA781" t="s">
        <v>40</v>
      </c>
      <c r="AB781" t="s">
        <v>33</v>
      </c>
      <c r="AC781">
        <v>91.1</v>
      </c>
      <c r="AD781" t="s">
        <v>34</v>
      </c>
      <c r="AE781">
        <v>0</v>
      </c>
      <c r="AF781">
        <v>0</v>
      </c>
    </row>
    <row r="782" spans="3:32" x14ac:dyDescent="0.35">
      <c r="C782" s="1">
        <v>43916</v>
      </c>
      <c r="D782" s="2">
        <v>43891</v>
      </c>
      <c r="E782">
        <v>1082</v>
      </c>
      <c r="F782" s="3">
        <v>5262.83</v>
      </c>
      <c r="G782" s="3">
        <v>1927.35</v>
      </c>
      <c r="H782" s="3">
        <v>3335.48</v>
      </c>
      <c r="I782" s="3">
        <v>0.37</v>
      </c>
      <c r="J782">
        <v>0.3</v>
      </c>
      <c r="K782">
        <v>2331.17</v>
      </c>
      <c r="L782" t="s">
        <v>35</v>
      </c>
      <c r="M782">
        <v>810</v>
      </c>
      <c r="N782">
        <v>0.55000000000000004</v>
      </c>
      <c r="O782" s="3">
        <v>421.44</v>
      </c>
      <c r="P782" s="3">
        <v>0.08</v>
      </c>
      <c r="Q782" s="3">
        <v>847.02</v>
      </c>
      <c r="R782" s="3">
        <v>0.16</v>
      </c>
      <c r="S782">
        <v>7</v>
      </c>
      <c r="T782">
        <v>2563.5100000000002</v>
      </c>
      <c r="U782">
        <v>32</v>
      </c>
      <c r="V782">
        <v>0</v>
      </c>
      <c r="W782">
        <v>575.95000000000005</v>
      </c>
      <c r="X782">
        <v>2734.46</v>
      </c>
      <c r="Y782" t="s">
        <v>36</v>
      </c>
      <c r="Z782" s="3">
        <v>1026.95</v>
      </c>
      <c r="AA782" t="s">
        <v>37</v>
      </c>
      <c r="AB782" t="s">
        <v>44</v>
      </c>
      <c r="AC782">
        <v>18.2</v>
      </c>
      <c r="AD782" t="s">
        <v>34</v>
      </c>
      <c r="AE782">
        <v>3335.48</v>
      </c>
      <c r="AF782">
        <v>1</v>
      </c>
    </row>
    <row r="783" spans="3:32" x14ac:dyDescent="0.35">
      <c r="C783" s="1">
        <v>43916</v>
      </c>
      <c r="D783" s="2">
        <v>43891</v>
      </c>
      <c r="E783">
        <v>1371</v>
      </c>
      <c r="F783" s="3">
        <v>4529.79</v>
      </c>
      <c r="G783" s="3">
        <v>3188.92</v>
      </c>
      <c r="H783" s="3">
        <v>1340.87</v>
      </c>
      <c r="I783" s="3">
        <v>0.7</v>
      </c>
      <c r="J783">
        <v>0.06</v>
      </c>
      <c r="K783">
        <v>2895.1</v>
      </c>
      <c r="L783" t="s">
        <v>35</v>
      </c>
      <c r="M783">
        <v>687</v>
      </c>
      <c r="N783">
        <v>0.23</v>
      </c>
      <c r="O783" s="3">
        <v>858.29</v>
      </c>
      <c r="P783" s="3">
        <v>0.19</v>
      </c>
      <c r="Q783" s="3">
        <v>178.38</v>
      </c>
      <c r="R783" s="3">
        <v>0.04</v>
      </c>
      <c r="S783">
        <v>4</v>
      </c>
      <c r="T783">
        <v>1416.14</v>
      </c>
      <c r="U783">
        <v>76</v>
      </c>
      <c r="V783">
        <v>0</v>
      </c>
      <c r="W783">
        <v>668.38</v>
      </c>
      <c r="X783">
        <v>1000</v>
      </c>
      <c r="Y783" t="s">
        <v>36</v>
      </c>
      <c r="Z783" s="3">
        <v>2172.11</v>
      </c>
      <c r="AA783" t="s">
        <v>41</v>
      </c>
      <c r="AB783" t="s">
        <v>33</v>
      </c>
      <c r="AC783">
        <v>51.6</v>
      </c>
      <c r="AD783" t="s">
        <v>43</v>
      </c>
      <c r="AE783">
        <v>1340.87</v>
      </c>
      <c r="AF783">
        <v>0</v>
      </c>
    </row>
    <row r="784" spans="3:32" x14ac:dyDescent="0.35">
      <c r="C784" s="1">
        <v>43916</v>
      </c>
      <c r="D784" s="2">
        <v>43891</v>
      </c>
      <c r="E784">
        <v>1238</v>
      </c>
      <c r="F784" s="3">
        <v>3122.86</v>
      </c>
      <c r="G784" s="3">
        <v>2184.06</v>
      </c>
      <c r="H784" s="3">
        <v>938.8</v>
      </c>
      <c r="I784" s="3">
        <v>0.7</v>
      </c>
      <c r="J784">
        <v>7.0000000000000007E-2</v>
      </c>
      <c r="K784">
        <v>2212.2800000000002</v>
      </c>
      <c r="L784" t="s">
        <v>30</v>
      </c>
      <c r="M784">
        <v>621</v>
      </c>
      <c r="N784">
        <v>0.51</v>
      </c>
      <c r="O784" s="3">
        <v>721.92</v>
      </c>
      <c r="P784" s="3">
        <v>0.23</v>
      </c>
      <c r="Q784" s="3">
        <v>425.67</v>
      </c>
      <c r="R784" s="3">
        <v>0.14000000000000001</v>
      </c>
      <c r="S784">
        <v>7</v>
      </c>
      <c r="T784">
        <v>147.28</v>
      </c>
      <c r="U784">
        <v>35</v>
      </c>
      <c r="V784">
        <v>0</v>
      </c>
      <c r="W784">
        <v>570.52</v>
      </c>
      <c r="X784">
        <v>2395.42</v>
      </c>
      <c r="Y784" t="s">
        <v>36</v>
      </c>
      <c r="Z784" s="3">
        <v>1212.26</v>
      </c>
      <c r="AA784" t="s">
        <v>47</v>
      </c>
      <c r="AB784" t="s">
        <v>44</v>
      </c>
      <c r="AC784">
        <v>43.7</v>
      </c>
      <c r="AD784" t="s">
        <v>34</v>
      </c>
      <c r="AE784">
        <v>938.8</v>
      </c>
      <c r="AF784">
        <v>0</v>
      </c>
    </row>
    <row r="785" spans="3:32" x14ac:dyDescent="0.35">
      <c r="C785" s="1">
        <v>43916</v>
      </c>
      <c r="D785" s="2">
        <v>43891</v>
      </c>
      <c r="E785">
        <v>1378</v>
      </c>
      <c r="F785" s="3">
        <v>3311.26</v>
      </c>
      <c r="G785" s="3">
        <v>3268.93</v>
      </c>
      <c r="H785" s="3">
        <v>42.33</v>
      </c>
      <c r="I785" s="3">
        <v>0.99</v>
      </c>
      <c r="J785">
        <v>0.4</v>
      </c>
      <c r="K785">
        <v>3357.18</v>
      </c>
      <c r="L785" t="s">
        <v>30</v>
      </c>
      <c r="M785">
        <v>681</v>
      </c>
      <c r="N785">
        <v>0.15</v>
      </c>
      <c r="O785" s="3">
        <v>799.71</v>
      </c>
      <c r="P785" s="3">
        <v>0.24</v>
      </c>
      <c r="Q785" s="3">
        <v>304.55</v>
      </c>
      <c r="R785" s="3">
        <v>0.09</v>
      </c>
      <c r="S785">
        <v>3</v>
      </c>
      <c r="T785">
        <v>1281.47</v>
      </c>
      <c r="U785">
        <v>80</v>
      </c>
      <c r="V785">
        <v>0</v>
      </c>
      <c r="W785">
        <v>676.19</v>
      </c>
      <c r="X785">
        <v>3378.95</v>
      </c>
      <c r="Y785" t="s">
        <v>36</v>
      </c>
      <c r="Z785" s="3">
        <v>492.36</v>
      </c>
      <c r="AA785" t="s">
        <v>46</v>
      </c>
      <c r="AB785" t="s">
        <v>33</v>
      </c>
      <c r="AC785">
        <v>81.900000000000006</v>
      </c>
      <c r="AD785" t="s">
        <v>34</v>
      </c>
      <c r="AE785">
        <v>42.33</v>
      </c>
      <c r="AF785">
        <v>0</v>
      </c>
    </row>
    <row r="786" spans="3:32" x14ac:dyDescent="0.35">
      <c r="C786" s="1">
        <v>43916</v>
      </c>
      <c r="D786" s="2">
        <v>43891</v>
      </c>
      <c r="E786">
        <v>1355</v>
      </c>
      <c r="F786" s="3">
        <v>5559.53</v>
      </c>
      <c r="G786" s="3">
        <v>2918.58</v>
      </c>
      <c r="H786" s="3">
        <v>2640.95</v>
      </c>
      <c r="I786" s="3">
        <v>0.52</v>
      </c>
      <c r="J786">
        <v>0.32</v>
      </c>
      <c r="K786">
        <v>3153.86</v>
      </c>
      <c r="L786" t="s">
        <v>35</v>
      </c>
      <c r="M786">
        <v>661</v>
      </c>
      <c r="N786">
        <v>0.24</v>
      </c>
      <c r="O786" s="3">
        <v>832.8</v>
      </c>
      <c r="P786" s="3">
        <v>0.15</v>
      </c>
      <c r="Q786" s="3">
        <v>190.64</v>
      </c>
      <c r="R786" s="3">
        <v>0.03</v>
      </c>
      <c r="S786">
        <v>9</v>
      </c>
      <c r="T786">
        <v>1211.1400000000001</v>
      </c>
      <c r="U786">
        <v>54</v>
      </c>
      <c r="V786">
        <v>0</v>
      </c>
      <c r="W786">
        <v>307.87</v>
      </c>
      <c r="X786">
        <v>2471.5500000000002</v>
      </c>
      <c r="Y786" t="s">
        <v>49</v>
      </c>
      <c r="Z786" s="3">
        <v>1794.87</v>
      </c>
      <c r="AA786" t="s">
        <v>48</v>
      </c>
      <c r="AB786" t="s">
        <v>44</v>
      </c>
      <c r="AC786">
        <v>48.6</v>
      </c>
      <c r="AD786" t="s">
        <v>43</v>
      </c>
      <c r="AE786">
        <v>2640.95</v>
      </c>
      <c r="AF786">
        <v>0</v>
      </c>
    </row>
    <row r="787" spans="3:32" x14ac:dyDescent="0.35">
      <c r="C787" s="1">
        <v>43916</v>
      </c>
      <c r="D787" s="2">
        <v>43891</v>
      </c>
      <c r="E787">
        <v>1664</v>
      </c>
      <c r="F787" s="3">
        <v>4786.41</v>
      </c>
      <c r="G787" s="3">
        <v>3225.68</v>
      </c>
      <c r="H787" s="3">
        <v>1560.73</v>
      </c>
      <c r="I787" s="3">
        <v>0.67</v>
      </c>
      <c r="J787">
        <v>0.19</v>
      </c>
      <c r="K787">
        <v>2791.91</v>
      </c>
      <c r="L787" t="s">
        <v>30</v>
      </c>
      <c r="M787">
        <v>679</v>
      </c>
      <c r="N787">
        <v>0.47</v>
      </c>
      <c r="O787" s="3">
        <v>552.61</v>
      </c>
      <c r="P787" s="3">
        <v>0.12</v>
      </c>
      <c r="Q787" s="3">
        <v>873.88</v>
      </c>
      <c r="R787" s="3">
        <v>0.18</v>
      </c>
      <c r="S787">
        <v>8</v>
      </c>
      <c r="T787">
        <v>617.54999999999995</v>
      </c>
      <c r="U787">
        <v>46</v>
      </c>
      <c r="V787">
        <v>0</v>
      </c>
      <c r="W787">
        <v>295.01</v>
      </c>
      <c r="X787">
        <v>2033.26</v>
      </c>
      <c r="Y787" t="s">
        <v>36</v>
      </c>
      <c r="Z787" s="3">
        <v>581.95000000000005</v>
      </c>
      <c r="AA787" t="s">
        <v>47</v>
      </c>
      <c r="AB787" t="s">
        <v>33</v>
      </c>
      <c r="AC787">
        <v>34.9</v>
      </c>
      <c r="AD787" t="s">
        <v>43</v>
      </c>
      <c r="AE787">
        <v>1560.73</v>
      </c>
      <c r="AF787">
        <v>0</v>
      </c>
    </row>
    <row r="788" spans="3:32" x14ac:dyDescent="0.35">
      <c r="C788" s="1">
        <v>43916</v>
      </c>
      <c r="D788" s="2">
        <v>43891</v>
      </c>
      <c r="E788">
        <v>1998</v>
      </c>
      <c r="F788" s="3">
        <v>4476.68</v>
      </c>
      <c r="G788" s="3">
        <v>3057.81</v>
      </c>
      <c r="H788" s="3">
        <v>1418.87</v>
      </c>
      <c r="I788" s="3">
        <v>0.68</v>
      </c>
      <c r="J788">
        <v>0.28000000000000003</v>
      </c>
      <c r="K788">
        <v>2721.64</v>
      </c>
      <c r="L788" t="s">
        <v>30</v>
      </c>
      <c r="M788">
        <v>702</v>
      </c>
      <c r="N788">
        <v>0.42</v>
      </c>
      <c r="O788" s="3">
        <v>459.85</v>
      </c>
      <c r="P788" s="3">
        <v>0.1</v>
      </c>
      <c r="Q788" s="3">
        <v>758.52</v>
      </c>
      <c r="R788" s="3">
        <v>0.17</v>
      </c>
      <c r="S788">
        <v>3</v>
      </c>
      <c r="T788">
        <v>1358.44</v>
      </c>
      <c r="U788">
        <v>90</v>
      </c>
      <c r="V788">
        <v>0</v>
      </c>
      <c r="W788">
        <v>388.93</v>
      </c>
      <c r="X788">
        <v>2022.37</v>
      </c>
      <c r="Y788" t="s">
        <v>36</v>
      </c>
      <c r="Z788" s="3">
        <v>1346.97</v>
      </c>
      <c r="AA788" t="s">
        <v>48</v>
      </c>
      <c r="AB788" t="s">
        <v>33</v>
      </c>
      <c r="AC788">
        <v>22.5</v>
      </c>
      <c r="AD788" t="s">
        <v>38</v>
      </c>
      <c r="AE788">
        <v>1418.87</v>
      </c>
      <c r="AF788">
        <v>0</v>
      </c>
    </row>
    <row r="789" spans="3:32" x14ac:dyDescent="0.35">
      <c r="C789" s="1">
        <v>43916</v>
      </c>
      <c r="D789" s="2">
        <v>43891</v>
      </c>
      <c r="E789">
        <v>1226</v>
      </c>
      <c r="F789" s="3">
        <v>4760.28</v>
      </c>
      <c r="G789" s="3">
        <v>3543.35</v>
      </c>
      <c r="H789" s="3">
        <v>1216.93</v>
      </c>
      <c r="I789" s="3">
        <v>0.74</v>
      </c>
      <c r="J789">
        <v>7.0000000000000007E-2</v>
      </c>
      <c r="K789">
        <v>2947.74</v>
      </c>
      <c r="L789" t="s">
        <v>35</v>
      </c>
      <c r="M789">
        <v>632</v>
      </c>
      <c r="N789">
        <v>0.22</v>
      </c>
      <c r="O789" s="3">
        <v>111.38</v>
      </c>
      <c r="P789" s="3">
        <v>0.02</v>
      </c>
      <c r="Q789" s="3">
        <v>686.84</v>
      </c>
      <c r="R789" s="3">
        <v>0.14000000000000001</v>
      </c>
      <c r="S789">
        <v>2</v>
      </c>
      <c r="T789">
        <v>949.81</v>
      </c>
      <c r="U789">
        <v>69</v>
      </c>
      <c r="V789">
        <v>0</v>
      </c>
      <c r="W789">
        <v>682.25</v>
      </c>
      <c r="X789">
        <v>2850.31</v>
      </c>
      <c r="Y789" t="s">
        <v>36</v>
      </c>
      <c r="Z789" s="3">
        <v>1535.29</v>
      </c>
      <c r="AA789" t="s">
        <v>50</v>
      </c>
      <c r="AB789" t="s">
        <v>33</v>
      </c>
      <c r="AC789">
        <v>69.8</v>
      </c>
      <c r="AD789" t="s">
        <v>34</v>
      </c>
      <c r="AE789">
        <v>1216.93</v>
      </c>
      <c r="AF789">
        <v>0</v>
      </c>
    </row>
    <row r="790" spans="3:32" x14ac:dyDescent="0.35">
      <c r="C790" s="1">
        <v>43916</v>
      </c>
      <c r="D790" s="2">
        <v>43891</v>
      </c>
      <c r="E790">
        <v>1714</v>
      </c>
      <c r="F790" s="3">
        <v>4685.03</v>
      </c>
      <c r="G790" s="3">
        <v>2951.98</v>
      </c>
      <c r="H790" s="3">
        <v>1733.05</v>
      </c>
      <c r="I790" s="3">
        <v>0.63</v>
      </c>
      <c r="J790">
        <v>0.09</v>
      </c>
      <c r="K790">
        <v>1814.53</v>
      </c>
      <c r="L790" t="s">
        <v>30</v>
      </c>
      <c r="M790">
        <v>729</v>
      </c>
      <c r="N790">
        <v>0.6</v>
      </c>
      <c r="O790" s="3">
        <v>582.24</v>
      </c>
      <c r="P790" s="3">
        <v>0.12</v>
      </c>
      <c r="Q790" s="3">
        <v>541.41999999999996</v>
      </c>
      <c r="R790" s="3">
        <v>0.12</v>
      </c>
      <c r="S790">
        <v>6</v>
      </c>
      <c r="T790">
        <v>690.53</v>
      </c>
      <c r="U790">
        <v>41</v>
      </c>
      <c r="V790">
        <v>0</v>
      </c>
      <c r="W790">
        <v>743.8</v>
      </c>
      <c r="X790">
        <v>2361.16</v>
      </c>
      <c r="Y790" t="s">
        <v>36</v>
      </c>
      <c r="Z790" s="3">
        <v>1086.03</v>
      </c>
      <c r="AA790" t="s">
        <v>45</v>
      </c>
      <c r="AB790" t="s">
        <v>33</v>
      </c>
      <c r="AC790">
        <v>83.3</v>
      </c>
      <c r="AD790" t="s">
        <v>43</v>
      </c>
      <c r="AE790">
        <v>1733.05</v>
      </c>
      <c r="AF790">
        <v>0</v>
      </c>
    </row>
    <row r="791" spans="3:32" x14ac:dyDescent="0.35">
      <c r="C791" s="1">
        <v>43916</v>
      </c>
      <c r="D791" s="2">
        <v>43891</v>
      </c>
      <c r="E791">
        <v>1510</v>
      </c>
      <c r="F791" s="3">
        <v>4561.17</v>
      </c>
      <c r="G791" s="3">
        <v>3149.25</v>
      </c>
      <c r="H791" s="3">
        <v>1411.92</v>
      </c>
      <c r="I791" s="3">
        <v>0.69</v>
      </c>
      <c r="J791">
        <v>0.38</v>
      </c>
      <c r="K791">
        <v>3389.86</v>
      </c>
      <c r="L791" t="s">
        <v>35</v>
      </c>
      <c r="M791">
        <v>672</v>
      </c>
      <c r="N791">
        <v>0.46</v>
      </c>
      <c r="O791" s="3">
        <v>286.31</v>
      </c>
      <c r="P791" s="3">
        <v>0.06</v>
      </c>
      <c r="Q791" s="3">
        <v>220.48</v>
      </c>
      <c r="R791" s="3">
        <v>0.05</v>
      </c>
      <c r="S791">
        <v>2</v>
      </c>
      <c r="T791">
        <v>1523.43</v>
      </c>
      <c r="U791">
        <v>62</v>
      </c>
      <c r="V791">
        <v>0</v>
      </c>
      <c r="W791">
        <v>586.84</v>
      </c>
      <c r="X791">
        <v>3344.51</v>
      </c>
      <c r="Y791" t="s">
        <v>36</v>
      </c>
      <c r="Z791" s="3">
        <v>660.57</v>
      </c>
      <c r="AA791" t="s">
        <v>46</v>
      </c>
      <c r="AB791" t="s">
        <v>44</v>
      </c>
      <c r="AC791">
        <v>84.7</v>
      </c>
      <c r="AD791" t="s">
        <v>43</v>
      </c>
      <c r="AE791">
        <v>1411.92</v>
      </c>
      <c r="AF791">
        <v>0</v>
      </c>
    </row>
    <row r="792" spans="3:32" x14ac:dyDescent="0.35">
      <c r="C792" s="1">
        <v>43916</v>
      </c>
      <c r="D792" s="2">
        <v>43891</v>
      </c>
      <c r="E792">
        <v>1620</v>
      </c>
      <c r="F792" s="3">
        <v>3718.28</v>
      </c>
      <c r="G792" s="3">
        <v>2430.39</v>
      </c>
      <c r="H792" s="3">
        <v>1287.8900000000001</v>
      </c>
      <c r="I792" s="3">
        <v>0.65</v>
      </c>
      <c r="J792">
        <v>0.36</v>
      </c>
      <c r="K792">
        <v>2898.54</v>
      </c>
      <c r="L792" t="s">
        <v>30</v>
      </c>
      <c r="M792">
        <v>632</v>
      </c>
      <c r="N792">
        <v>0.11</v>
      </c>
      <c r="O792" s="3">
        <v>463.01</v>
      </c>
      <c r="P792" s="3">
        <v>0.12</v>
      </c>
      <c r="Q792" s="3">
        <v>158.28</v>
      </c>
      <c r="R792" s="3">
        <v>0.04</v>
      </c>
      <c r="S792">
        <v>2</v>
      </c>
      <c r="T792">
        <v>986.41</v>
      </c>
      <c r="U792">
        <v>85</v>
      </c>
      <c r="V792">
        <v>0</v>
      </c>
      <c r="W792">
        <v>673.05</v>
      </c>
      <c r="X792">
        <v>2778.06</v>
      </c>
      <c r="Y792" t="s">
        <v>36</v>
      </c>
      <c r="Z792" s="3">
        <v>944.76</v>
      </c>
      <c r="AA792" t="s">
        <v>51</v>
      </c>
      <c r="AB792" t="s">
        <v>33</v>
      </c>
      <c r="AC792">
        <v>25</v>
      </c>
      <c r="AD792" t="s">
        <v>34</v>
      </c>
      <c r="AE792">
        <v>1287.8900000000001</v>
      </c>
      <c r="AF792">
        <v>0</v>
      </c>
    </row>
    <row r="793" spans="3:32" x14ac:dyDescent="0.35">
      <c r="C793" s="1">
        <v>43916</v>
      </c>
      <c r="D793" s="2">
        <v>43891</v>
      </c>
      <c r="E793">
        <v>1546</v>
      </c>
      <c r="F793" s="3">
        <v>3573.59</v>
      </c>
      <c r="G793" s="3">
        <v>1348.89</v>
      </c>
      <c r="H793" s="3">
        <v>2224.6999999999998</v>
      </c>
      <c r="I793" s="3">
        <v>0.38</v>
      </c>
      <c r="J793">
        <v>0.26</v>
      </c>
      <c r="K793">
        <v>2959.77</v>
      </c>
      <c r="L793" t="s">
        <v>39</v>
      </c>
      <c r="M793">
        <v>695</v>
      </c>
      <c r="N793">
        <v>0.17</v>
      </c>
      <c r="O793" s="3">
        <v>480.7</v>
      </c>
      <c r="P793" s="3">
        <v>0.13</v>
      </c>
      <c r="Q793" s="3">
        <v>592.71</v>
      </c>
      <c r="R793" s="3">
        <v>0.17</v>
      </c>
      <c r="S793">
        <v>6</v>
      </c>
      <c r="T793">
        <v>1662.35</v>
      </c>
      <c r="U793">
        <v>59</v>
      </c>
      <c r="V793">
        <v>0</v>
      </c>
      <c r="W793">
        <v>604.5</v>
      </c>
      <c r="X793">
        <v>1348.61</v>
      </c>
      <c r="Y793" t="s">
        <v>31</v>
      </c>
      <c r="Z793" s="3">
        <v>1017.07</v>
      </c>
      <c r="AA793" t="s">
        <v>46</v>
      </c>
      <c r="AB793" t="s">
        <v>44</v>
      </c>
      <c r="AC793">
        <v>50.8</v>
      </c>
      <c r="AD793" t="s">
        <v>43</v>
      </c>
      <c r="AE793">
        <v>2224.6999999999998</v>
      </c>
      <c r="AF793">
        <v>0</v>
      </c>
    </row>
    <row r="794" spans="3:32" x14ac:dyDescent="0.35">
      <c r="C794" s="1">
        <v>43916</v>
      </c>
      <c r="D794" s="2">
        <v>43891</v>
      </c>
      <c r="E794">
        <v>1544</v>
      </c>
      <c r="F794" s="3">
        <v>4521.67</v>
      </c>
      <c r="G794" s="3">
        <v>3115.2</v>
      </c>
      <c r="H794" s="3">
        <v>1406.47</v>
      </c>
      <c r="I794" s="3">
        <v>0.69</v>
      </c>
      <c r="J794">
        <v>0.38</v>
      </c>
      <c r="K794">
        <v>3880.88</v>
      </c>
      <c r="L794" t="s">
        <v>35</v>
      </c>
      <c r="M794">
        <v>721</v>
      </c>
      <c r="N794">
        <v>0.1</v>
      </c>
      <c r="O794" s="3">
        <v>384.85</v>
      </c>
      <c r="P794" s="3">
        <v>0.09</v>
      </c>
      <c r="Q794" s="3">
        <v>147.02000000000001</v>
      </c>
      <c r="R794" s="3">
        <v>0.03</v>
      </c>
      <c r="S794">
        <v>3</v>
      </c>
      <c r="T794">
        <v>572.84</v>
      </c>
      <c r="U794">
        <v>67</v>
      </c>
      <c r="V794">
        <v>0</v>
      </c>
      <c r="W794">
        <v>548.89</v>
      </c>
      <c r="X794">
        <v>1578.26</v>
      </c>
      <c r="Y794" t="s">
        <v>36</v>
      </c>
      <c r="Z794" s="3">
        <v>1121.71</v>
      </c>
      <c r="AA794" t="s">
        <v>51</v>
      </c>
      <c r="AB794" t="s">
        <v>42</v>
      </c>
      <c r="AC794">
        <v>13.4</v>
      </c>
      <c r="AD794" t="s">
        <v>34</v>
      </c>
      <c r="AE794">
        <v>1406.47</v>
      </c>
      <c r="AF794">
        <v>0</v>
      </c>
    </row>
    <row r="795" spans="3:32" x14ac:dyDescent="0.35">
      <c r="C795" s="1">
        <v>43916</v>
      </c>
      <c r="D795" s="2">
        <v>43891</v>
      </c>
      <c r="E795">
        <v>1669</v>
      </c>
      <c r="F795" s="3">
        <v>3119.24</v>
      </c>
      <c r="G795" s="3">
        <v>2985.71</v>
      </c>
      <c r="H795" s="3">
        <v>133.53</v>
      </c>
      <c r="I795" s="3">
        <v>0.96</v>
      </c>
      <c r="J795">
        <v>0.38</v>
      </c>
      <c r="K795">
        <v>2459.62</v>
      </c>
      <c r="L795" t="s">
        <v>35</v>
      </c>
      <c r="M795">
        <v>615</v>
      </c>
      <c r="N795">
        <v>0.38</v>
      </c>
      <c r="O795" s="3">
        <v>354.25</v>
      </c>
      <c r="P795" s="3">
        <v>0.11</v>
      </c>
      <c r="Q795" s="3">
        <v>1171.69</v>
      </c>
      <c r="R795" s="3">
        <v>0.38</v>
      </c>
      <c r="S795">
        <v>7</v>
      </c>
      <c r="T795">
        <v>641.29999999999995</v>
      </c>
      <c r="U795">
        <v>58</v>
      </c>
      <c r="V795">
        <v>1</v>
      </c>
      <c r="W795">
        <v>362.6</v>
      </c>
      <c r="X795">
        <v>1815.86</v>
      </c>
      <c r="Y795" t="s">
        <v>36</v>
      </c>
      <c r="Z795" s="3">
        <v>534.39</v>
      </c>
      <c r="AA795" t="s">
        <v>47</v>
      </c>
      <c r="AB795" t="s">
        <v>33</v>
      </c>
      <c r="AC795">
        <v>59</v>
      </c>
      <c r="AD795" t="s">
        <v>34</v>
      </c>
      <c r="AE795">
        <v>133.53</v>
      </c>
      <c r="AF795">
        <v>0</v>
      </c>
    </row>
    <row r="796" spans="3:32" x14ac:dyDescent="0.35">
      <c r="C796" s="1">
        <v>43916</v>
      </c>
      <c r="D796" s="2">
        <v>43891</v>
      </c>
      <c r="E796">
        <v>1543</v>
      </c>
      <c r="F796" s="3">
        <v>5502.02</v>
      </c>
      <c r="G796" s="3">
        <v>3872.48</v>
      </c>
      <c r="H796" s="3">
        <v>1629.54</v>
      </c>
      <c r="I796" s="3">
        <v>0.7</v>
      </c>
      <c r="J796">
        <v>0.19</v>
      </c>
      <c r="K796">
        <v>3166.58</v>
      </c>
      <c r="L796" t="s">
        <v>35</v>
      </c>
      <c r="M796">
        <v>650</v>
      </c>
      <c r="N796">
        <v>0.16</v>
      </c>
      <c r="O796" s="3">
        <v>314.64</v>
      </c>
      <c r="P796" s="3">
        <v>0.06</v>
      </c>
      <c r="Q796" s="3">
        <v>360.5</v>
      </c>
      <c r="R796" s="3">
        <v>7.0000000000000007E-2</v>
      </c>
      <c r="S796">
        <v>4</v>
      </c>
      <c r="T796">
        <v>1339.67</v>
      </c>
      <c r="U796">
        <v>89</v>
      </c>
      <c r="V796">
        <v>0</v>
      </c>
      <c r="W796">
        <v>502.01</v>
      </c>
      <c r="X796">
        <v>1629.73</v>
      </c>
      <c r="Y796" t="s">
        <v>36</v>
      </c>
      <c r="Z796" s="3">
        <v>1718.29</v>
      </c>
      <c r="AA796" t="s">
        <v>50</v>
      </c>
      <c r="AB796" t="s">
        <v>33</v>
      </c>
      <c r="AC796">
        <v>72</v>
      </c>
      <c r="AD796" t="s">
        <v>43</v>
      </c>
      <c r="AE796">
        <v>1629.54</v>
      </c>
      <c r="AF796">
        <v>0</v>
      </c>
    </row>
    <row r="797" spans="3:32" x14ac:dyDescent="0.35">
      <c r="C797" s="1">
        <v>43916</v>
      </c>
      <c r="D797" s="2">
        <v>43891</v>
      </c>
      <c r="E797">
        <v>1437</v>
      </c>
      <c r="F797" s="3">
        <v>4687.22</v>
      </c>
      <c r="G797" s="3">
        <v>2770.55</v>
      </c>
      <c r="H797" s="3">
        <v>1916.67</v>
      </c>
      <c r="I797" s="3">
        <v>0.59</v>
      </c>
      <c r="J797">
        <v>0.36</v>
      </c>
      <c r="K797">
        <v>2952.45</v>
      </c>
      <c r="L797" t="s">
        <v>39</v>
      </c>
      <c r="M797">
        <v>687</v>
      </c>
      <c r="N797">
        <v>0.22</v>
      </c>
      <c r="O797" s="3">
        <v>143.66999999999999</v>
      </c>
      <c r="P797" s="3">
        <v>0.03</v>
      </c>
      <c r="Q797" s="3">
        <v>560.85</v>
      </c>
      <c r="R797" s="3">
        <v>0.12</v>
      </c>
      <c r="S797">
        <v>4</v>
      </c>
      <c r="T797">
        <v>1074.57</v>
      </c>
      <c r="U797">
        <v>25</v>
      </c>
      <c r="V797">
        <v>0</v>
      </c>
      <c r="W797">
        <v>493.52</v>
      </c>
      <c r="X797">
        <v>2635.11</v>
      </c>
      <c r="Y797" t="s">
        <v>36</v>
      </c>
      <c r="Z797" s="3">
        <v>1512.87</v>
      </c>
      <c r="AA797" t="s">
        <v>45</v>
      </c>
      <c r="AB797" t="s">
        <v>42</v>
      </c>
      <c r="AC797">
        <v>90</v>
      </c>
      <c r="AD797" t="s">
        <v>34</v>
      </c>
      <c r="AE797">
        <v>1916.67</v>
      </c>
      <c r="AF797">
        <v>0</v>
      </c>
    </row>
    <row r="798" spans="3:32" x14ac:dyDescent="0.35">
      <c r="C798" s="1">
        <v>43916</v>
      </c>
      <c r="D798" s="2">
        <v>43891</v>
      </c>
      <c r="E798">
        <v>1415</v>
      </c>
      <c r="F798" s="3">
        <v>6326.95</v>
      </c>
      <c r="G798" s="3">
        <v>3744.31</v>
      </c>
      <c r="H798" s="3">
        <v>2582.64</v>
      </c>
      <c r="I798" s="3">
        <v>0.59</v>
      </c>
      <c r="J798">
        <v>0.18</v>
      </c>
      <c r="K798">
        <v>2110.9899999999998</v>
      </c>
      <c r="L798" t="s">
        <v>35</v>
      </c>
      <c r="M798">
        <v>734</v>
      </c>
      <c r="N798">
        <v>0.54</v>
      </c>
      <c r="O798" s="3">
        <v>548.16</v>
      </c>
      <c r="P798" s="3">
        <v>0.09</v>
      </c>
      <c r="Q798" s="3">
        <v>565.97</v>
      </c>
      <c r="R798" s="3">
        <v>0.09</v>
      </c>
      <c r="S798">
        <v>2</v>
      </c>
      <c r="T798">
        <v>883.99</v>
      </c>
      <c r="U798">
        <v>38</v>
      </c>
      <c r="V798">
        <v>0</v>
      </c>
      <c r="W798">
        <v>614.14</v>
      </c>
      <c r="X798">
        <v>2175.37</v>
      </c>
      <c r="Y798" t="s">
        <v>49</v>
      </c>
      <c r="Z798" s="3">
        <v>648.88</v>
      </c>
      <c r="AA798" t="s">
        <v>51</v>
      </c>
      <c r="AB798" t="s">
        <v>33</v>
      </c>
      <c r="AC798">
        <v>60</v>
      </c>
      <c r="AD798" t="s">
        <v>34</v>
      </c>
      <c r="AE798">
        <v>2582.64</v>
      </c>
      <c r="AF798">
        <v>1</v>
      </c>
    </row>
    <row r="799" spans="3:32" x14ac:dyDescent="0.35">
      <c r="C799" s="1">
        <v>43916</v>
      </c>
      <c r="D799" s="2">
        <v>43891</v>
      </c>
      <c r="E799">
        <v>1938</v>
      </c>
      <c r="F799" s="3">
        <v>1634.88</v>
      </c>
      <c r="G799" s="3">
        <v>1022.59</v>
      </c>
      <c r="H799" s="3">
        <v>612.29</v>
      </c>
      <c r="I799" s="3">
        <v>0.63</v>
      </c>
      <c r="J799">
        <v>0.14000000000000001</v>
      </c>
      <c r="K799">
        <v>2389.1999999999998</v>
      </c>
      <c r="L799" t="s">
        <v>35</v>
      </c>
      <c r="M799">
        <v>622</v>
      </c>
      <c r="N799">
        <v>0.12</v>
      </c>
      <c r="O799" s="3">
        <v>280.81</v>
      </c>
      <c r="P799" s="3">
        <v>0.17</v>
      </c>
      <c r="Q799" s="3">
        <v>544.65</v>
      </c>
      <c r="R799" s="3">
        <v>0.33</v>
      </c>
      <c r="S799">
        <v>8</v>
      </c>
      <c r="T799">
        <v>1196.04</v>
      </c>
      <c r="U799">
        <v>31</v>
      </c>
      <c r="V799">
        <v>0</v>
      </c>
      <c r="W799">
        <v>527.17999999999995</v>
      </c>
      <c r="X799">
        <v>3060.86</v>
      </c>
      <c r="Y799" t="s">
        <v>31</v>
      </c>
      <c r="Z799" s="3">
        <v>1520.66</v>
      </c>
      <c r="AA799" t="s">
        <v>45</v>
      </c>
      <c r="AB799" t="s">
        <v>44</v>
      </c>
      <c r="AC799">
        <v>36.799999999999997</v>
      </c>
      <c r="AD799" t="s">
        <v>38</v>
      </c>
      <c r="AE799">
        <v>612.29</v>
      </c>
      <c r="AF799">
        <v>0</v>
      </c>
    </row>
    <row r="800" spans="3:32" x14ac:dyDescent="0.35">
      <c r="C800" s="1">
        <v>43916</v>
      </c>
      <c r="D800" s="2">
        <v>43891</v>
      </c>
      <c r="E800">
        <v>1719</v>
      </c>
      <c r="F800" s="3">
        <v>2096.0500000000002</v>
      </c>
      <c r="G800" s="3">
        <v>3937.16</v>
      </c>
      <c r="H800" s="3">
        <v>-1841.11</v>
      </c>
      <c r="I800" s="3">
        <v>1.88</v>
      </c>
      <c r="J800">
        <v>0.24</v>
      </c>
      <c r="K800">
        <v>2905.61</v>
      </c>
      <c r="L800" t="s">
        <v>39</v>
      </c>
      <c r="M800">
        <v>675</v>
      </c>
      <c r="N800">
        <v>0.23</v>
      </c>
      <c r="O800" s="3">
        <v>471.65</v>
      </c>
      <c r="P800" s="3">
        <v>0.23</v>
      </c>
      <c r="Q800" s="3">
        <v>385.39</v>
      </c>
      <c r="R800" s="3">
        <v>0.18</v>
      </c>
      <c r="S800">
        <v>8</v>
      </c>
      <c r="T800">
        <v>1105.46</v>
      </c>
      <c r="U800">
        <v>87</v>
      </c>
      <c r="V800">
        <v>0</v>
      </c>
      <c r="W800">
        <v>514.62</v>
      </c>
      <c r="X800">
        <v>1826.23</v>
      </c>
      <c r="Y800" t="s">
        <v>36</v>
      </c>
      <c r="Z800" s="3">
        <v>1224.98</v>
      </c>
      <c r="AA800" t="s">
        <v>45</v>
      </c>
      <c r="AB800" t="s">
        <v>33</v>
      </c>
      <c r="AC800">
        <v>38.200000000000003</v>
      </c>
      <c r="AD800" t="s">
        <v>43</v>
      </c>
      <c r="AE800">
        <v>0</v>
      </c>
      <c r="AF800">
        <v>0</v>
      </c>
    </row>
    <row r="801" spans="3:32" x14ac:dyDescent="0.35">
      <c r="C801" s="1">
        <v>43916</v>
      </c>
      <c r="D801" s="2">
        <v>43891</v>
      </c>
      <c r="E801">
        <v>1788</v>
      </c>
      <c r="F801" s="3">
        <v>5235.5600000000004</v>
      </c>
      <c r="G801" s="3">
        <v>3948.58</v>
      </c>
      <c r="H801" s="3">
        <v>1286.98</v>
      </c>
      <c r="I801" s="3">
        <v>0.75</v>
      </c>
      <c r="J801">
        <v>0.11</v>
      </c>
      <c r="K801">
        <v>2463.44</v>
      </c>
      <c r="L801" t="s">
        <v>30</v>
      </c>
      <c r="M801">
        <v>706</v>
      </c>
      <c r="N801">
        <v>0.42</v>
      </c>
      <c r="O801" s="3">
        <v>826.13</v>
      </c>
      <c r="P801" s="3">
        <v>0.16</v>
      </c>
      <c r="Q801" s="3">
        <v>471.72</v>
      </c>
      <c r="R801" s="3">
        <v>0.09</v>
      </c>
      <c r="S801">
        <v>2</v>
      </c>
      <c r="T801">
        <v>981.71</v>
      </c>
      <c r="U801">
        <v>75</v>
      </c>
      <c r="V801">
        <v>0</v>
      </c>
      <c r="W801">
        <v>455.22</v>
      </c>
      <c r="X801">
        <v>2786.8</v>
      </c>
      <c r="Y801" t="s">
        <v>36</v>
      </c>
      <c r="Z801" s="3">
        <v>1793.05</v>
      </c>
      <c r="AA801" t="s">
        <v>47</v>
      </c>
      <c r="AB801" t="s">
        <v>33</v>
      </c>
      <c r="AC801">
        <v>98.7</v>
      </c>
      <c r="AD801" t="s">
        <v>43</v>
      </c>
      <c r="AE801">
        <v>1286.98</v>
      </c>
      <c r="AF801">
        <v>0</v>
      </c>
    </row>
    <row r="802" spans="3:32" x14ac:dyDescent="0.35">
      <c r="C802" s="1">
        <v>43946</v>
      </c>
      <c r="D802" s="2">
        <v>43922</v>
      </c>
      <c r="E802">
        <v>1222</v>
      </c>
      <c r="F802" s="3">
        <v>3677.65</v>
      </c>
      <c r="G802" s="3">
        <v>3489.82</v>
      </c>
      <c r="H802" s="3">
        <v>187.83</v>
      </c>
      <c r="I802" s="3">
        <v>0.95</v>
      </c>
      <c r="J802">
        <v>0.3</v>
      </c>
      <c r="K802">
        <v>2068.33</v>
      </c>
      <c r="L802" t="s">
        <v>35</v>
      </c>
      <c r="M802">
        <v>631</v>
      </c>
      <c r="N802">
        <v>0.13</v>
      </c>
      <c r="O802" s="3">
        <v>511.94</v>
      </c>
      <c r="P802" s="3">
        <v>0.14000000000000001</v>
      </c>
      <c r="Q802" s="3">
        <v>347.32</v>
      </c>
      <c r="R802" s="3">
        <v>0.09</v>
      </c>
      <c r="S802">
        <v>7</v>
      </c>
      <c r="T802">
        <v>1729.56</v>
      </c>
      <c r="U802">
        <v>66</v>
      </c>
      <c r="V802">
        <v>1</v>
      </c>
      <c r="W802">
        <v>362.3</v>
      </c>
      <c r="X802">
        <v>2576.38</v>
      </c>
      <c r="Y802" t="s">
        <v>49</v>
      </c>
      <c r="Z802" s="3">
        <v>1284.68</v>
      </c>
      <c r="AA802" t="s">
        <v>48</v>
      </c>
      <c r="AB802" t="s">
        <v>44</v>
      </c>
      <c r="AC802">
        <v>50</v>
      </c>
      <c r="AD802" t="s">
        <v>34</v>
      </c>
      <c r="AE802">
        <v>187.83</v>
      </c>
      <c r="AF802">
        <v>0</v>
      </c>
    </row>
    <row r="803" spans="3:32" x14ac:dyDescent="0.35">
      <c r="C803" s="1">
        <v>43946</v>
      </c>
      <c r="D803" s="2">
        <v>43922</v>
      </c>
      <c r="E803">
        <v>1949</v>
      </c>
      <c r="F803" s="3">
        <v>2282.15</v>
      </c>
      <c r="G803" s="3">
        <v>1808.42</v>
      </c>
      <c r="H803" s="3">
        <v>473.73</v>
      </c>
      <c r="I803" s="3">
        <v>0.79</v>
      </c>
      <c r="J803">
        <v>0.08</v>
      </c>
      <c r="K803">
        <v>2036.74</v>
      </c>
      <c r="L803" t="s">
        <v>35</v>
      </c>
      <c r="M803">
        <v>612</v>
      </c>
      <c r="N803">
        <v>0.43</v>
      </c>
      <c r="O803" s="3">
        <v>573.76</v>
      </c>
      <c r="P803" s="3">
        <v>0.25</v>
      </c>
      <c r="Q803" s="3">
        <v>489.73</v>
      </c>
      <c r="R803" s="3">
        <v>0.21</v>
      </c>
      <c r="S803">
        <v>5</v>
      </c>
      <c r="T803">
        <v>486.95</v>
      </c>
      <c r="U803">
        <v>93</v>
      </c>
      <c r="V803">
        <v>0</v>
      </c>
      <c r="W803">
        <v>438.09</v>
      </c>
      <c r="X803">
        <v>2490.75</v>
      </c>
      <c r="Y803" t="s">
        <v>36</v>
      </c>
      <c r="Z803" s="3">
        <v>928.5</v>
      </c>
      <c r="AA803" t="s">
        <v>32</v>
      </c>
      <c r="AB803" t="s">
        <v>33</v>
      </c>
      <c r="AC803">
        <v>55.7</v>
      </c>
      <c r="AD803" t="s">
        <v>34</v>
      </c>
      <c r="AE803">
        <v>473.73</v>
      </c>
      <c r="AF803">
        <v>0</v>
      </c>
    </row>
    <row r="804" spans="3:32" x14ac:dyDescent="0.35">
      <c r="C804" s="1">
        <v>43946</v>
      </c>
      <c r="D804" s="2">
        <v>43922</v>
      </c>
      <c r="E804">
        <v>1759</v>
      </c>
      <c r="F804" s="3">
        <v>3391.04</v>
      </c>
      <c r="G804" s="3">
        <v>4857.8500000000004</v>
      </c>
      <c r="H804" s="3">
        <v>-1466.81</v>
      </c>
      <c r="I804" s="3">
        <v>1.43</v>
      </c>
      <c r="J804">
        <v>0.37</v>
      </c>
      <c r="K804">
        <v>3028.27</v>
      </c>
      <c r="L804" t="s">
        <v>30</v>
      </c>
      <c r="M804">
        <v>726</v>
      </c>
      <c r="N804">
        <v>0.17</v>
      </c>
      <c r="O804" s="3">
        <v>420.55</v>
      </c>
      <c r="P804" s="3">
        <v>0.12</v>
      </c>
      <c r="Q804" s="3">
        <v>748.4</v>
      </c>
      <c r="R804" s="3">
        <v>0.22</v>
      </c>
      <c r="S804">
        <v>2</v>
      </c>
      <c r="T804">
        <v>1696.56</v>
      </c>
      <c r="U804">
        <v>83</v>
      </c>
      <c r="V804">
        <v>0</v>
      </c>
      <c r="W804">
        <v>879.56</v>
      </c>
      <c r="X804">
        <v>1430.28</v>
      </c>
      <c r="Y804" t="s">
        <v>36</v>
      </c>
      <c r="Z804" s="3">
        <v>1914.63</v>
      </c>
      <c r="AA804" t="s">
        <v>47</v>
      </c>
      <c r="AB804" t="s">
        <v>42</v>
      </c>
      <c r="AC804">
        <v>5.9</v>
      </c>
      <c r="AD804" t="s">
        <v>34</v>
      </c>
      <c r="AE804">
        <v>0</v>
      </c>
      <c r="AF804">
        <v>0</v>
      </c>
    </row>
    <row r="805" spans="3:32" x14ac:dyDescent="0.35">
      <c r="C805" s="1">
        <v>43946</v>
      </c>
      <c r="D805" s="2">
        <v>43922</v>
      </c>
      <c r="E805">
        <v>1244</v>
      </c>
      <c r="F805" s="3">
        <v>3579.28</v>
      </c>
      <c r="G805" s="3">
        <v>3564.95</v>
      </c>
      <c r="H805" s="3">
        <v>14.33</v>
      </c>
      <c r="I805" s="3">
        <v>1</v>
      </c>
      <c r="J805">
        <v>0.08</v>
      </c>
      <c r="K805">
        <v>3138.08</v>
      </c>
      <c r="L805" t="s">
        <v>35</v>
      </c>
      <c r="M805">
        <v>578</v>
      </c>
      <c r="N805">
        <v>0.55000000000000004</v>
      </c>
      <c r="O805" s="3">
        <v>697.35</v>
      </c>
      <c r="P805" s="3">
        <v>0.19</v>
      </c>
      <c r="Q805" s="3">
        <v>582.85</v>
      </c>
      <c r="R805" s="3">
        <v>0.16</v>
      </c>
      <c r="S805">
        <v>1</v>
      </c>
      <c r="T805">
        <v>1135.29</v>
      </c>
      <c r="U805">
        <v>49</v>
      </c>
      <c r="V805">
        <v>0</v>
      </c>
      <c r="W805">
        <v>461.58</v>
      </c>
      <c r="X805">
        <v>2004.93</v>
      </c>
      <c r="Y805" t="s">
        <v>36</v>
      </c>
      <c r="Z805" s="3">
        <v>982.64</v>
      </c>
      <c r="AA805" t="s">
        <v>50</v>
      </c>
      <c r="AB805" t="s">
        <v>33</v>
      </c>
      <c r="AC805">
        <v>73.5</v>
      </c>
      <c r="AD805" t="s">
        <v>34</v>
      </c>
      <c r="AE805">
        <v>14.33</v>
      </c>
      <c r="AF805">
        <v>0</v>
      </c>
    </row>
    <row r="806" spans="3:32" x14ac:dyDescent="0.35">
      <c r="C806" s="1">
        <v>43946</v>
      </c>
      <c r="D806" s="2">
        <v>43922</v>
      </c>
      <c r="E806">
        <v>1891</v>
      </c>
      <c r="F806" s="3">
        <v>3379.5</v>
      </c>
      <c r="G806" s="3">
        <v>3878.12</v>
      </c>
      <c r="H806" s="3">
        <v>-498.62</v>
      </c>
      <c r="I806" s="3">
        <v>1.1499999999999999</v>
      </c>
      <c r="J806">
        <v>0.12</v>
      </c>
      <c r="K806">
        <v>2734.71</v>
      </c>
      <c r="L806" t="s">
        <v>39</v>
      </c>
      <c r="M806">
        <v>616</v>
      </c>
      <c r="N806">
        <v>0.57999999999999996</v>
      </c>
      <c r="O806" s="3">
        <v>215.77</v>
      </c>
      <c r="P806" s="3">
        <v>0.06</v>
      </c>
      <c r="Q806" s="3">
        <v>402.27</v>
      </c>
      <c r="R806" s="3">
        <v>0.12</v>
      </c>
      <c r="S806">
        <v>4</v>
      </c>
      <c r="T806">
        <v>669.03</v>
      </c>
      <c r="U806">
        <v>80</v>
      </c>
      <c r="V806">
        <v>0</v>
      </c>
      <c r="W806">
        <v>552.46</v>
      </c>
      <c r="X806">
        <v>2799.78</v>
      </c>
      <c r="Y806" t="s">
        <v>36</v>
      </c>
      <c r="Z806" s="3">
        <v>1095.54</v>
      </c>
      <c r="AA806" t="s">
        <v>46</v>
      </c>
      <c r="AB806" t="s">
        <v>42</v>
      </c>
      <c r="AC806">
        <v>13.1</v>
      </c>
      <c r="AD806" t="s">
        <v>43</v>
      </c>
      <c r="AE806">
        <v>0</v>
      </c>
      <c r="AF806">
        <v>0</v>
      </c>
    </row>
    <row r="807" spans="3:32" x14ac:dyDescent="0.35">
      <c r="C807" s="1">
        <v>43946</v>
      </c>
      <c r="D807" s="2">
        <v>43922</v>
      </c>
      <c r="E807">
        <v>1066</v>
      </c>
      <c r="F807" s="3">
        <v>3804.27</v>
      </c>
      <c r="G807" s="3">
        <v>2920.26</v>
      </c>
      <c r="H807" s="3">
        <v>884.01</v>
      </c>
      <c r="I807" s="3">
        <v>0.77</v>
      </c>
      <c r="J807">
        <v>0.09</v>
      </c>
      <c r="K807">
        <v>3017.68</v>
      </c>
      <c r="L807" t="s">
        <v>39</v>
      </c>
      <c r="M807">
        <v>638</v>
      </c>
      <c r="N807">
        <v>0.32</v>
      </c>
      <c r="O807" s="3">
        <v>772.03</v>
      </c>
      <c r="P807" s="3">
        <v>0.2</v>
      </c>
      <c r="Q807" s="3">
        <v>189.5</v>
      </c>
      <c r="R807" s="3">
        <v>0.05</v>
      </c>
      <c r="S807">
        <v>2</v>
      </c>
      <c r="T807">
        <v>311.97000000000003</v>
      </c>
      <c r="U807">
        <v>22</v>
      </c>
      <c r="V807">
        <v>0</v>
      </c>
      <c r="W807">
        <v>241.23</v>
      </c>
      <c r="X807">
        <v>2253.0500000000002</v>
      </c>
      <c r="Y807" t="s">
        <v>36</v>
      </c>
      <c r="Z807" s="3">
        <v>1250.3900000000001</v>
      </c>
      <c r="AA807" t="s">
        <v>45</v>
      </c>
      <c r="AB807" t="s">
        <v>33</v>
      </c>
      <c r="AC807">
        <v>22.8</v>
      </c>
      <c r="AD807" t="s">
        <v>34</v>
      </c>
      <c r="AE807">
        <v>884.01</v>
      </c>
      <c r="AF807">
        <v>0</v>
      </c>
    </row>
    <row r="808" spans="3:32" x14ac:dyDescent="0.35">
      <c r="C808" s="1">
        <v>43946</v>
      </c>
      <c r="D808" s="2">
        <v>43922</v>
      </c>
      <c r="E808">
        <v>1023</v>
      </c>
      <c r="F808" s="3">
        <v>4493.74</v>
      </c>
      <c r="G808" s="3">
        <v>2518.77</v>
      </c>
      <c r="H808" s="3">
        <v>1974.97</v>
      </c>
      <c r="I808" s="3">
        <v>0.56000000000000005</v>
      </c>
      <c r="J808">
        <v>0.17</v>
      </c>
      <c r="K808">
        <v>2045.48</v>
      </c>
      <c r="L808" t="s">
        <v>39</v>
      </c>
      <c r="M808">
        <v>632</v>
      </c>
      <c r="N808">
        <v>0.16</v>
      </c>
      <c r="O808" s="3">
        <v>550.48</v>
      </c>
      <c r="P808" s="3">
        <v>0.12</v>
      </c>
      <c r="Q808" s="3">
        <v>0</v>
      </c>
      <c r="R808" s="3">
        <v>0</v>
      </c>
      <c r="S808">
        <v>7</v>
      </c>
      <c r="T808">
        <v>1584.71</v>
      </c>
      <c r="U808">
        <v>94</v>
      </c>
      <c r="V808">
        <v>0</v>
      </c>
      <c r="W808">
        <v>310.54000000000002</v>
      </c>
      <c r="X808">
        <v>2016.61</v>
      </c>
      <c r="Y808" t="s">
        <v>36</v>
      </c>
      <c r="Z808" s="3">
        <v>692.79</v>
      </c>
      <c r="AA808" t="s">
        <v>50</v>
      </c>
      <c r="AB808" t="s">
        <v>44</v>
      </c>
      <c r="AC808">
        <v>41.5</v>
      </c>
      <c r="AD808" t="s">
        <v>38</v>
      </c>
      <c r="AE808">
        <v>1974.97</v>
      </c>
      <c r="AF808">
        <v>0</v>
      </c>
    </row>
    <row r="809" spans="3:32" x14ac:dyDescent="0.35">
      <c r="C809" s="1">
        <v>43946</v>
      </c>
      <c r="D809" s="2">
        <v>43922</v>
      </c>
      <c r="E809">
        <v>1922</v>
      </c>
      <c r="F809" s="3">
        <v>1830.45</v>
      </c>
      <c r="G809" s="3">
        <v>3499.35</v>
      </c>
      <c r="H809" s="3">
        <v>-1668.9</v>
      </c>
      <c r="I809" s="3">
        <v>1.91</v>
      </c>
      <c r="J809">
        <v>0.13</v>
      </c>
      <c r="K809">
        <v>2932.96</v>
      </c>
      <c r="L809" t="s">
        <v>30</v>
      </c>
      <c r="M809">
        <v>708</v>
      </c>
      <c r="N809">
        <v>0.26</v>
      </c>
      <c r="O809" s="3">
        <v>555.32000000000005</v>
      </c>
      <c r="P809" s="3">
        <v>0.3</v>
      </c>
      <c r="Q809" s="3">
        <v>586.41</v>
      </c>
      <c r="R809" s="3">
        <v>0.32</v>
      </c>
      <c r="S809">
        <v>9</v>
      </c>
      <c r="T809">
        <v>1899.02</v>
      </c>
      <c r="U809">
        <v>87</v>
      </c>
      <c r="V809">
        <v>0</v>
      </c>
      <c r="W809">
        <v>740.71</v>
      </c>
      <c r="X809">
        <v>2218.7600000000002</v>
      </c>
      <c r="Y809" t="s">
        <v>36</v>
      </c>
      <c r="Z809" s="3">
        <v>1143.57</v>
      </c>
      <c r="AA809" t="s">
        <v>51</v>
      </c>
      <c r="AB809" t="s">
        <v>33</v>
      </c>
      <c r="AC809">
        <v>77.5</v>
      </c>
      <c r="AD809" t="s">
        <v>38</v>
      </c>
      <c r="AE809">
        <v>0</v>
      </c>
      <c r="AF809">
        <v>0</v>
      </c>
    </row>
    <row r="810" spans="3:32" x14ac:dyDescent="0.35">
      <c r="C810" s="1">
        <v>43946</v>
      </c>
      <c r="D810" s="2">
        <v>43922</v>
      </c>
      <c r="E810">
        <v>1511</v>
      </c>
      <c r="F810" s="3">
        <v>4081.92</v>
      </c>
      <c r="G810" s="3">
        <v>3107.84</v>
      </c>
      <c r="H810" s="3">
        <v>974.08</v>
      </c>
      <c r="I810" s="3">
        <v>0.76</v>
      </c>
      <c r="J810">
        <v>0.28000000000000003</v>
      </c>
      <c r="K810">
        <v>2893.95</v>
      </c>
      <c r="L810" t="s">
        <v>35</v>
      </c>
      <c r="M810">
        <v>601</v>
      </c>
      <c r="N810">
        <v>0.51</v>
      </c>
      <c r="O810" s="3">
        <v>491.31</v>
      </c>
      <c r="P810" s="3">
        <v>0.12</v>
      </c>
      <c r="Q810" s="3">
        <v>266.66000000000003</v>
      </c>
      <c r="R810" s="3">
        <v>7.0000000000000007E-2</v>
      </c>
      <c r="S810">
        <v>3</v>
      </c>
      <c r="T810">
        <v>1373.48</v>
      </c>
      <c r="U810">
        <v>65</v>
      </c>
      <c r="V810">
        <v>0</v>
      </c>
      <c r="W810">
        <v>411.45</v>
      </c>
      <c r="X810">
        <v>3098.26</v>
      </c>
      <c r="Y810" t="s">
        <v>36</v>
      </c>
      <c r="Z810" s="3">
        <v>770.57</v>
      </c>
      <c r="AA810" t="s">
        <v>50</v>
      </c>
      <c r="AB810" t="s">
        <v>44</v>
      </c>
      <c r="AC810">
        <v>65.7</v>
      </c>
      <c r="AD810" t="s">
        <v>43</v>
      </c>
      <c r="AE810">
        <v>974.08</v>
      </c>
      <c r="AF810">
        <v>0</v>
      </c>
    </row>
    <row r="811" spans="3:32" x14ac:dyDescent="0.35">
      <c r="C811" s="1">
        <v>43946</v>
      </c>
      <c r="D811" s="2">
        <v>43922</v>
      </c>
      <c r="E811">
        <v>1647</v>
      </c>
      <c r="F811" s="3">
        <v>2914.83</v>
      </c>
      <c r="G811" s="3">
        <v>3348.88</v>
      </c>
      <c r="H811" s="3">
        <v>-434.05</v>
      </c>
      <c r="I811" s="3">
        <v>1.1499999999999999</v>
      </c>
      <c r="J811">
        <v>0.14000000000000001</v>
      </c>
      <c r="K811">
        <v>2709.64</v>
      </c>
      <c r="L811" t="s">
        <v>35</v>
      </c>
      <c r="M811">
        <v>604</v>
      </c>
      <c r="N811">
        <v>0.41</v>
      </c>
      <c r="O811" s="3">
        <v>519.34</v>
      </c>
      <c r="P811" s="3">
        <v>0.18</v>
      </c>
      <c r="Q811" s="3">
        <v>352.22</v>
      </c>
      <c r="R811" s="3">
        <v>0.12</v>
      </c>
      <c r="S811">
        <v>3</v>
      </c>
      <c r="T811">
        <v>1049.97</v>
      </c>
      <c r="U811">
        <v>47</v>
      </c>
      <c r="V811">
        <v>0</v>
      </c>
      <c r="W811">
        <v>248.6</v>
      </c>
      <c r="X811">
        <v>3093.26</v>
      </c>
      <c r="Y811" t="s">
        <v>36</v>
      </c>
      <c r="Z811" s="3">
        <v>1381.48</v>
      </c>
      <c r="AA811" t="s">
        <v>32</v>
      </c>
      <c r="AB811" t="s">
        <v>42</v>
      </c>
      <c r="AC811">
        <v>68.599999999999994</v>
      </c>
      <c r="AD811" t="s">
        <v>38</v>
      </c>
      <c r="AE811">
        <v>0</v>
      </c>
      <c r="AF811">
        <v>0</v>
      </c>
    </row>
    <row r="812" spans="3:32" x14ac:dyDescent="0.35">
      <c r="C812" s="1">
        <v>43946</v>
      </c>
      <c r="D812" s="2">
        <v>43922</v>
      </c>
      <c r="E812">
        <v>1280</v>
      </c>
      <c r="F812" s="3">
        <v>3986.88</v>
      </c>
      <c r="G812" s="3">
        <v>2654.7</v>
      </c>
      <c r="H812" s="3">
        <v>1332.18</v>
      </c>
      <c r="I812" s="3">
        <v>0.67</v>
      </c>
      <c r="J812">
        <v>0.22</v>
      </c>
      <c r="K812">
        <v>3285.38</v>
      </c>
      <c r="L812" t="s">
        <v>35</v>
      </c>
      <c r="M812">
        <v>689</v>
      </c>
      <c r="N812">
        <v>0.26</v>
      </c>
      <c r="O812" s="3">
        <v>564.72</v>
      </c>
      <c r="P812" s="3">
        <v>0.14000000000000001</v>
      </c>
      <c r="Q812" s="3">
        <v>726.66</v>
      </c>
      <c r="R812" s="3">
        <v>0.18</v>
      </c>
      <c r="S812">
        <v>2</v>
      </c>
      <c r="T812">
        <v>1169.52</v>
      </c>
      <c r="U812">
        <v>84</v>
      </c>
      <c r="V812">
        <v>0</v>
      </c>
      <c r="W812">
        <v>575.1</v>
      </c>
      <c r="X812">
        <v>2640.91</v>
      </c>
      <c r="Y812" t="s">
        <v>36</v>
      </c>
      <c r="Z812" s="3">
        <v>1228.4000000000001</v>
      </c>
      <c r="AA812" t="s">
        <v>50</v>
      </c>
      <c r="AB812" t="s">
        <v>44</v>
      </c>
      <c r="AC812">
        <v>49.4</v>
      </c>
      <c r="AD812" t="s">
        <v>34</v>
      </c>
      <c r="AE812">
        <v>1332.18</v>
      </c>
      <c r="AF812">
        <v>0</v>
      </c>
    </row>
    <row r="813" spans="3:32" x14ac:dyDescent="0.35">
      <c r="C813" s="1">
        <v>43946</v>
      </c>
      <c r="D813" s="2">
        <v>43922</v>
      </c>
      <c r="E813">
        <v>1953</v>
      </c>
      <c r="F813" s="3">
        <v>2461.7800000000002</v>
      </c>
      <c r="G813" s="3">
        <v>1372.67</v>
      </c>
      <c r="H813" s="3">
        <v>1089.1099999999999</v>
      </c>
      <c r="I813" s="3">
        <v>0.56000000000000005</v>
      </c>
      <c r="J813">
        <v>0.3</v>
      </c>
      <c r="K813">
        <v>3114.1</v>
      </c>
      <c r="L813" t="s">
        <v>39</v>
      </c>
      <c r="M813">
        <v>763</v>
      </c>
      <c r="N813">
        <v>0.44</v>
      </c>
      <c r="O813" s="3">
        <v>557.48</v>
      </c>
      <c r="P813" s="3">
        <v>0.23</v>
      </c>
      <c r="Q813" s="3">
        <v>718.62</v>
      </c>
      <c r="R813" s="3">
        <v>0.28999999999999998</v>
      </c>
      <c r="S813">
        <v>4</v>
      </c>
      <c r="T813">
        <v>1333.9</v>
      </c>
      <c r="U813">
        <v>54</v>
      </c>
      <c r="V813">
        <v>0</v>
      </c>
      <c r="W813">
        <v>369.41</v>
      </c>
      <c r="X813">
        <v>2034.16</v>
      </c>
      <c r="Y813" t="s">
        <v>36</v>
      </c>
      <c r="Z813" s="3">
        <v>1558.73</v>
      </c>
      <c r="AA813" t="s">
        <v>45</v>
      </c>
      <c r="AB813" t="s">
        <v>44</v>
      </c>
      <c r="AC813">
        <v>4.2</v>
      </c>
      <c r="AD813" t="s">
        <v>34</v>
      </c>
      <c r="AE813">
        <v>1089.1099999999999</v>
      </c>
      <c r="AF813">
        <v>0</v>
      </c>
    </row>
    <row r="814" spans="3:32" x14ac:dyDescent="0.35">
      <c r="C814" s="1">
        <v>43946</v>
      </c>
      <c r="D814" s="2">
        <v>43922</v>
      </c>
      <c r="E814">
        <v>1818</v>
      </c>
      <c r="F814" s="3">
        <v>4226.7</v>
      </c>
      <c r="G814" s="3">
        <v>2268.11</v>
      </c>
      <c r="H814" s="3">
        <v>1958.59</v>
      </c>
      <c r="I814" s="3">
        <v>0.54</v>
      </c>
      <c r="J814">
        <v>0.22</v>
      </c>
      <c r="K814">
        <v>2727.01</v>
      </c>
      <c r="L814" t="s">
        <v>30</v>
      </c>
      <c r="M814">
        <v>605</v>
      </c>
      <c r="N814">
        <v>0.2</v>
      </c>
      <c r="O814" s="3">
        <v>562.99</v>
      </c>
      <c r="P814" s="3">
        <v>0.13</v>
      </c>
      <c r="Q814" s="3">
        <v>224.12</v>
      </c>
      <c r="R814" s="3">
        <v>0.05</v>
      </c>
      <c r="S814">
        <v>9</v>
      </c>
      <c r="T814">
        <v>1790.08</v>
      </c>
      <c r="U814">
        <v>54</v>
      </c>
      <c r="V814">
        <v>0</v>
      </c>
      <c r="W814">
        <v>556.17999999999995</v>
      </c>
      <c r="X814">
        <v>3032.39</v>
      </c>
      <c r="Y814" t="s">
        <v>49</v>
      </c>
      <c r="Z814" s="3">
        <v>1397.43</v>
      </c>
      <c r="AA814" t="s">
        <v>45</v>
      </c>
      <c r="AB814" t="s">
        <v>44</v>
      </c>
      <c r="AC814">
        <v>38</v>
      </c>
      <c r="AD814" t="s">
        <v>34</v>
      </c>
      <c r="AE814">
        <v>1958.59</v>
      </c>
      <c r="AF814">
        <v>0</v>
      </c>
    </row>
    <row r="815" spans="3:32" x14ac:dyDescent="0.35">
      <c r="C815" s="1">
        <v>43946</v>
      </c>
      <c r="D815" s="2">
        <v>43922</v>
      </c>
      <c r="E815">
        <v>1215</v>
      </c>
      <c r="F815" s="3">
        <v>4702.3599999999997</v>
      </c>
      <c r="G815" s="3">
        <v>1359.84</v>
      </c>
      <c r="H815" s="3">
        <v>3342.52</v>
      </c>
      <c r="I815" s="3">
        <v>0.28999999999999998</v>
      </c>
      <c r="J815">
        <v>0.24</v>
      </c>
      <c r="K815">
        <v>2764.38</v>
      </c>
      <c r="L815" t="s">
        <v>35</v>
      </c>
      <c r="M815">
        <v>672</v>
      </c>
      <c r="N815">
        <v>0.21</v>
      </c>
      <c r="O815" s="3">
        <v>582.83000000000004</v>
      </c>
      <c r="P815" s="3">
        <v>0.12</v>
      </c>
      <c r="Q815" s="3">
        <v>374.05</v>
      </c>
      <c r="R815" s="3">
        <v>0.08</v>
      </c>
      <c r="S815">
        <v>1</v>
      </c>
      <c r="T815">
        <v>965.94</v>
      </c>
      <c r="U815">
        <v>63</v>
      </c>
      <c r="V815">
        <v>0</v>
      </c>
      <c r="W815">
        <v>534.94000000000005</v>
      </c>
      <c r="X815">
        <v>2079.3000000000002</v>
      </c>
      <c r="Y815" t="s">
        <v>36</v>
      </c>
      <c r="Z815" s="3">
        <v>891.36</v>
      </c>
      <c r="AA815" t="s">
        <v>40</v>
      </c>
      <c r="AB815" t="s">
        <v>33</v>
      </c>
      <c r="AC815">
        <v>97</v>
      </c>
      <c r="AD815" t="s">
        <v>43</v>
      </c>
      <c r="AE815">
        <v>3342.52</v>
      </c>
      <c r="AF815">
        <v>1</v>
      </c>
    </row>
    <row r="816" spans="3:32" x14ac:dyDescent="0.35">
      <c r="C816" s="1">
        <v>43946</v>
      </c>
      <c r="D816" s="2">
        <v>43922</v>
      </c>
      <c r="E816">
        <v>1889</v>
      </c>
      <c r="F816" s="3">
        <v>3130.77</v>
      </c>
      <c r="G816" s="3">
        <v>3962.61</v>
      </c>
      <c r="H816" s="3">
        <v>-831.84</v>
      </c>
      <c r="I816" s="3">
        <v>1.27</v>
      </c>
      <c r="J816">
        <v>0.08</v>
      </c>
      <c r="K816">
        <v>2756.68</v>
      </c>
      <c r="L816" t="s">
        <v>30</v>
      </c>
      <c r="M816">
        <v>717</v>
      </c>
      <c r="N816">
        <v>0.12</v>
      </c>
      <c r="O816" s="3">
        <v>720.65</v>
      </c>
      <c r="P816" s="3">
        <v>0.23</v>
      </c>
      <c r="Q816" s="3">
        <v>417.85</v>
      </c>
      <c r="R816" s="3">
        <v>0.13</v>
      </c>
      <c r="S816">
        <v>2</v>
      </c>
      <c r="T816">
        <v>2191.34</v>
      </c>
      <c r="U816">
        <v>44</v>
      </c>
      <c r="V816">
        <v>0</v>
      </c>
      <c r="W816">
        <v>663.17</v>
      </c>
      <c r="X816">
        <v>1322.39</v>
      </c>
      <c r="Y816" t="s">
        <v>31</v>
      </c>
      <c r="Z816" s="3">
        <v>394.1</v>
      </c>
      <c r="AA816" t="s">
        <v>50</v>
      </c>
      <c r="AB816" t="s">
        <v>33</v>
      </c>
      <c r="AC816">
        <v>53.7</v>
      </c>
      <c r="AD816" t="s">
        <v>34</v>
      </c>
      <c r="AE816">
        <v>0</v>
      </c>
      <c r="AF816">
        <v>0</v>
      </c>
    </row>
    <row r="817" spans="3:32" x14ac:dyDescent="0.35">
      <c r="C817" s="1">
        <v>43946</v>
      </c>
      <c r="D817" s="2">
        <v>43922</v>
      </c>
      <c r="E817">
        <v>1516</v>
      </c>
      <c r="F817" s="3">
        <v>4744.3599999999997</v>
      </c>
      <c r="G817" s="3">
        <v>2837.84</v>
      </c>
      <c r="H817" s="3">
        <v>1906.52</v>
      </c>
      <c r="I817" s="3">
        <v>0.6</v>
      </c>
      <c r="J817">
        <v>0.35</v>
      </c>
      <c r="K817">
        <v>2811.8</v>
      </c>
      <c r="L817" t="s">
        <v>39</v>
      </c>
      <c r="M817">
        <v>704</v>
      </c>
      <c r="N817">
        <v>0.56999999999999995</v>
      </c>
      <c r="O817" s="3">
        <v>581.99</v>
      </c>
      <c r="P817" s="3">
        <v>0.12</v>
      </c>
      <c r="Q817" s="3">
        <v>322.26</v>
      </c>
      <c r="R817" s="3">
        <v>7.0000000000000007E-2</v>
      </c>
      <c r="S817">
        <v>8</v>
      </c>
      <c r="T817">
        <v>681.49</v>
      </c>
      <c r="U817">
        <v>64</v>
      </c>
      <c r="V817">
        <v>0</v>
      </c>
      <c r="W817">
        <v>515.84</v>
      </c>
      <c r="X817">
        <v>2347.1799999999998</v>
      </c>
      <c r="Y817" t="s">
        <v>36</v>
      </c>
      <c r="Z817" s="3">
        <v>1501.13</v>
      </c>
      <c r="AA817" t="s">
        <v>50</v>
      </c>
      <c r="AB817" t="s">
        <v>42</v>
      </c>
      <c r="AC817">
        <v>7.5</v>
      </c>
      <c r="AD817" t="s">
        <v>34</v>
      </c>
      <c r="AE817">
        <v>1906.52</v>
      </c>
      <c r="AF817">
        <v>0</v>
      </c>
    </row>
    <row r="818" spans="3:32" x14ac:dyDescent="0.35">
      <c r="C818" s="1">
        <v>43946</v>
      </c>
      <c r="D818" s="2">
        <v>43922</v>
      </c>
      <c r="E818">
        <v>1002</v>
      </c>
      <c r="F818" s="3">
        <v>4712.63</v>
      </c>
      <c r="G818" s="3">
        <v>2307.9</v>
      </c>
      <c r="H818" s="3">
        <v>2404.73</v>
      </c>
      <c r="I818" s="3">
        <v>0.49</v>
      </c>
      <c r="J818">
        <v>0.2</v>
      </c>
      <c r="K818">
        <v>3174.14</v>
      </c>
      <c r="L818" t="s">
        <v>35</v>
      </c>
      <c r="M818">
        <v>615</v>
      </c>
      <c r="N818">
        <v>0.22</v>
      </c>
      <c r="O818" s="3">
        <v>184.54</v>
      </c>
      <c r="P818" s="3">
        <v>0.04</v>
      </c>
      <c r="Q818" s="3">
        <v>605.21</v>
      </c>
      <c r="R818" s="3">
        <v>0.13</v>
      </c>
      <c r="S818">
        <v>5</v>
      </c>
      <c r="T818">
        <v>1318.93</v>
      </c>
      <c r="U818">
        <v>83</v>
      </c>
      <c r="V818">
        <v>0</v>
      </c>
      <c r="W818">
        <v>460.49</v>
      </c>
      <c r="X818">
        <v>1814.41</v>
      </c>
      <c r="Y818" t="s">
        <v>31</v>
      </c>
      <c r="Z818" s="3">
        <v>1415.75</v>
      </c>
      <c r="AA818" t="s">
        <v>46</v>
      </c>
      <c r="AB818" t="s">
        <v>33</v>
      </c>
      <c r="AC818">
        <v>85.3</v>
      </c>
      <c r="AD818" t="s">
        <v>34</v>
      </c>
      <c r="AE818">
        <v>2404.73</v>
      </c>
      <c r="AF818">
        <v>0</v>
      </c>
    </row>
    <row r="819" spans="3:32" x14ac:dyDescent="0.35">
      <c r="C819" s="1">
        <v>43946</v>
      </c>
      <c r="D819" s="2">
        <v>43922</v>
      </c>
      <c r="E819">
        <v>1763</v>
      </c>
      <c r="F819" s="3">
        <v>3914.89</v>
      </c>
      <c r="G819" s="3">
        <v>3911.52</v>
      </c>
      <c r="H819" s="3">
        <v>3.37</v>
      </c>
      <c r="I819" s="3">
        <v>1</v>
      </c>
      <c r="J819">
        <v>0.39</v>
      </c>
      <c r="K819">
        <v>2415.9</v>
      </c>
      <c r="L819" t="s">
        <v>35</v>
      </c>
      <c r="M819">
        <v>623</v>
      </c>
      <c r="N819">
        <v>0.52</v>
      </c>
      <c r="O819" s="3">
        <v>416.89</v>
      </c>
      <c r="P819" s="3">
        <v>0.11</v>
      </c>
      <c r="Q819" s="3">
        <v>510.11</v>
      </c>
      <c r="R819" s="3">
        <v>0.13</v>
      </c>
      <c r="S819">
        <v>2</v>
      </c>
      <c r="T819">
        <v>636.46</v>
      </c>
      <c r="U819">
        <v>86</v>
      </c>
      <c r="V819">
        <v>0</v>
      </c>
      <c r="W819">
        <v>440.37</v>
      </c>
      <c r="X819">
        <v>2342.96</v>
      </c>
      <c r="Y819" t="s">
        <v>31</v>
      </c>
      <c r="Z819" s="3">
        <v>830.68</v>
      </c>
      <c r="AA819" t="s">
        <v>40</v>
      </c>
      <c r="AB819" t="s">
        <v>33</v>
      </c>
      <c r="AC819">
        <v>13.5</v>
      </c>
      <c r="AD819" t="s">
        <v>34</v>
      </c>
      <c r="AE819">
        <v>3.37</v>
      </c>
      <c r="AF819">
        <v>0</v>
      </c>
    </row>
    <row r="820" spans="3:32" x14ac:dyDescent="0.35">
      <c r="C820" s="1">
        <v>43946</v>
      </c>
      <c r="D820" s="2">
        <v>43922</v>
      </c>
      <c r="E820">
        <v>1884</v>
      </c>
      <c r="F820" s="3">
        <v>3676.37</v>
      </c>
      <c r="G820" s="3">
        <v>1911.12</v>
      </c>
      <c r="H820" s="3">
        <v>1765.25</v>
      </c>
      <c r="I820" s="3">
        <v>0.52</v>
      </c>
      <c r="J820">
        <v>0.3</v>
      </c>
      <c r="K820">
        <v>2559.83</v>
      </c>
      <c r="L820" t="s">
        <v>35</v>
      </c>
      <c r="M820">
        <v>703</v>
      </c>
      <c r="N820">
        <v>0.44</v>
      </c>
      <c r="O820" s="3">
        <v>920.41</v>
      </c>
      <c r="P820" s="3">
        <v>0.25</v>
      </c>
      <c r="Q820" s="3">
        <v>410.4</v>
      </c>
      <c r="R820" s="3">
        <v>0.11</v>
      </c>
      <c r="S820">
        <v>5</v>
      </c>
      <c r="T820">
        <v>786.74</v>
      </c>
      <c r="U820">
        <v>98</v>
      </c>
      <c r="V820">
        <v>0</v>
      </c>
      <c r="W820">
        <v>595.16</v>
      </c>
      <c r="X820">
        <v>3313.32</v>
      </c>
      <c r="Y820" t="s">
        <v>49</v>
      </c>
      <c r="Z820" s="3">
        <v>777.98</v>
      </c>
      <c r="AA820" t="s">
        <v>37</v>
      </c>
      <c r="AB820" t="s">
        <v>42</v>
      </c>
      <c r="AC820">
        <v>21.3</v>
      </c>
      <c r="AD820" t="s">
        <v>38</v>
      </c>
      <c r="AE820">
        <v>1765.25</v>
      </c>
      <c r="AF820">
        <v>0</v>
      </c>
    </row>
    <row r="821" spans="3:32" x14ac:dyDescent="0.35">
      <c r="C821" s="1">
        <v>43946</v>
      </c>
      <c r="D821" s="2">
        <v>43922</v>
      </c>
      <c r="E821">
        <v>1313</v>
      </c>
      <c r="F821" s="3">
        <v>4159.08</v>
      </c>
      <c r="G821" s="3">
        <v>3558.11</v>
      </c>
      <c r="H821" s="3">
        <v>600.97</v>
      </c>
      <c r="I821" s="3">
        <v>0.86</v>
      </c>
      <c r="J821">
        <v>0.15</v>
      </c>
      <c r="K821">
        <v>2985.75</v>
      </c>
      <c r="L821" t="s">
        <v>39</v>
      </c>
      <c r="M821">
        <v>605</v>
      </c>
      <c r="N821">
        <v>0.21</v>
      </c>
      <c r="O821" s="3">
        <v>474.77</v>
      </c>
      <c r="P821" s="3">
        <v>0.11</v>
      </c>
      <c r="Q821" s="3">
        <v>896.42</v>
      </c>
      <c r="R821" s="3">
        <v>0.22</v>
      </c>
      <c r="S821">
        <v>8</v>
      </c>
      <c r="T821">
        <v>1246.47</v>
      </c>
      <c r="U821">
        <v>90</v>
      </c>
      <c r="V821">
        <v>1</v>
      </c>
      <c r="W821">
        <v>380.89</v>
      </c>
      <c r="X821">
        <v>2468.66</v>
      </c>
      <c r="Y821" t="s">
        <v>36</v>
      </c>
      <c r="Z821" s="3">
        <v>1430.57</v>
      </c>
      <c r="AA821" t="s">
        <v>40</v>
      </c>
      <c r="AB821" t="s">
        <v>33</v>
      </c>
      <c r="AC821">
        <v>94.2</v>
      </c>
      <c r="AD821" t="s">
        <v>34</v>
      </c>
      <c r="AE821">
        <v>600.97</v>
      </c>
      <c r="AF821">
        <v>0</v>
      </c>
    </row>
    <row r="822" spans="3:32" x14ac:dyDescent="0.35">
      <c r="C822" s="1">
        <v>43946</v>
      </c>
      <c r="D822" s="2">
        <v>43922</v>
      </c>
      <c r="E822">
        <v>1789</v>
      </c>
      <c r="F822" s="3">
        <v>4438.58</v>
      </c>
      <c r="G822" s="3">
        <v>2404.56</v>
      </c>
      <c r="H822" s="3">
        <v>2034.02</v>
      </c>
      <c r="I822" s="3">
        <v>0.54</v>
      </c>
      <c r="J822">
        <v>0.33</v>
      </c>
      <c r="K822">
        <v>1888.02</v>
      </c>
      <c r="L822" t="s">
        <v>35</v>
      </c>
      <c r="M822">
        <v>571</v>
      </c>
      <c r="N822">
        <v>0.21</v>
      </c>
      <c r="O822" s="3">
        <v>696.45</v>
      </c>
      <c r="P822" s="3">
        <v>0.16</v>
      </c>
      <c r="Q822" s="3">
        <v>258.07</v>
      </c>
      <c r="R822" s="3">
        <v>0.06</v>
      </c>
      <c r="S822">
        <v>1</v>
      </c>
      <c r="T822">
        <v>801.51</v>
      </c>
      <c r="U822">
        <v>43</v>
      </c>
      <c r="V822">
        <v>0</v>
      </c>
      <c r="W822">
        <v>304.97000000000003</v>
      </c>
      <c r="X822">
        <v>2676.6</v>
      </c>
      <c r="Y822" t="s">
        <v>31</v>
      </c>
      <c r="Z822" s="3">
        <v>693.64</v>
      </c>
      <c r="AA822" t="s">
        <v>40</v>
      </c>
      <c r="AB822" t="s">
        <v>33</v>
      </c>
      <c r="AC822">
        <v>19.399999999999999</v>
      </c>
      <c r="AD822" t="s">
        <v>38</v>
      </c>
      <c r="AE822">
        <v>2034.02</v>
      </c>
      <c r="AF822">
        <v>1</v>
      </c>
    </row>
    <row r="823" spans="3:32" x14ac:dyDescent="0.35">
      <c r="C823" s="1">
        <v>43946</v>
      </c>
      <c r="D823" s="2">
        <v>43922</v>
      </c>
      <c r="E823">
        <v>1810</v>
      </c>
      <c r="F823" s="3">
        <v>5195.83</v>
      </c>
      <c r="G823" s="3">
        <v>3514.07</v>
      </c>
      <c r="H823" s="3">
        <v>1681.76</v>
      </c>
      <c r="I823" s="3">
        <v>0.68</v>
      </c>
      <c r="J823">
        <v>0.27</v>
      </c>
      <c r="K823">
        <v>3207.02</v>
      </c>
      <c r="L823" t="s">
        <v>35</v>
      </c>
      <c r="M823">
        <v>740</v>
      </c>
      <c r="N823">
        <v>0.14000000000000001</v>
      </c>
      <c r="O823" s="3">
        <v>438.63</v>
      </c>
      <c r="P823" s="3">
        <v>0.08</v>
      </c>
      <c r="Q823" s="3">
        <v>560.26</v>
      </c>
      <c r="R823" s="3">
        <v>0.11</v>
      </c>
      <c r="S823">
        <v>5</v>
      </c>
      <c r="T823">
        <v>506.28</v>
      </c>
      <c r="U823">
        <v>52</v>
      </c>
      <c r="V823">
        <v>0</v>
      </c>
      <c r="W823">
        <v>834.28</v>
      </c>
      <c r="X823">
        <v>1091.92</v>
      </c>
      <c r="Y823" t="s">
        <v>31</v>
      </c>
      <c r="Z823" s="3">
        <v>1726.51</v>
      </c>
      <c r="AA823" t="s">
        <v>50</v>
      </c>
      <c r="AB823" t="s">
        <v>44</v>
      </c>
      <c r="AC823">
        <v>58.2</v>
      </c>
      <c r="AD823" t="s">
        <v>38</v>
      </c>
      <c r="AE823">
        <v>1681.76</v>
      </c>
      <c r="AF823">
        <v>0</v>
      </c>
    </row>
    <row r="824" spans="3:32" x14ac:dyDescent="0.35">
      <c r="C824" s="1">
        <v>43946</v>
      </c>
      <c r="D824" s="2">
        <v>43922</v>
      </c>
      <c r="E824">
        <v>1914</v>
      </c>
      <c r="F824" s="3">
        <v>4396.8100000000004</v>
      </c>
      <c r="G824" s="3">
        <v>2857.63</v>
      </c>
      <c r="H824" s="3">
        <v>1539.18</v>
      </c>
      <c r="I824" s="3">
        <v>0.65</v>
      </c>
      <c r="J824">
        <v>0.12</v>
      </c>
      <c r="K824">
        <v>2238.12</v>
      </c>
      <c r="L824" t="s">
        <v>39</v>
      </c>
      <c r="M824">
        <v>591</v>
      </c>
      <c r="N824">
        <v>0.51</v>
      </c>
      <c r="O824" s="3">
        <v>587.09</v>
      </c>
      <c r="P824" s="3">
        <v>0.13</v>
      </c>
      <c r="Q824" s="3">
        <v>109.29</v>
      </c>
      <c r="R824" s="3">
        <v>0.02</v>
      </c>
      <c r="S824">
        <v>2</v>
      </c>
      <c r="T824">
        <v>1118.3499999999999</v>
      </c>
      <c r="U824">
        <v>88</v>
      </c>
      <c r="V824">
        <v>0</v>
      </c>
      <c r="W824">
        <v>240.41</v>
      </c>
      <c r="X824">
        <v>1334.17</v>
      </c>
      <c r="Y824" t="s">
        <v>31</v>
      </c>
      <c r="Z824" s="3">
        <v>300</v>
      </c>
      <c r="AA824" t="s">
        <v>45</v>
      </c>
      <c r="AB824" t="s">
        <v>44</v>
      </c>
      <c r="AC824">
        <v>69.3</v>
      </c>
      <c r="AD824" t="s">
        <v>38</v>
      </c>
      <c r="AE824">
        <v>1539.18</v>
      </c>
      <c r="AF824">
        <v>0</v>
      </c>
    </row>
    <row r="825" spans="3:32" x14ac:dyDescent="0.35">
      <c r="C825" s="1">
        <v>43946</v>
      </c>
      <c r="D825" s="2">
        <v>43922</v>
      </c>
      <c r="E825">
        <v>1371</v>
      </c>
      <c r="F825" s="3">
        <v>3218.96</v>
      </c>
      <c r="G825" s="3">
        <v>4282.76</v>
      </c>
      <c r="H825" s="3">
        <v>-1063.8</v>
      </c>
      <c r="I825" s="3">
        <v>1.33</v>
      </c>
      <c r="J825">
        <v>0.36</v>
      </c>
      <c r="K825">
        <v>3390.91</v>
      </c>
      <c r="L825" t="s">
        <v>35</v>
      </c>
      <c r="M825">
        <v>691</v>
      </c>
      <c r="N825">
        <v>0.5</v>
      </c>
      <c r="O825" s="3">
        <v>258.87</v>
      </c>
      <c r="P825" s="3">
        <v>0.08</v>
      </c>
      <c r="Q825" s="3">
        <v>326.11</v>
      </c>
      <c r="R825" s="3">
        <v>0.1</v>
      </c>
      <c r="S825">
        <v>8</v>
      </c>
      <c r="T825">
        <v>1178.8800000000001</v>
      </c>
      <c r="U825">
        <v>41</v>
      </c>
      <c r="V825">
        <v>0</v>
      </c>
      <c r="W825">
        <v>742.02</v>
      </c>
      <c r="X825">
        <v>1800.47</v>
      </c>
      <c r="Y825" t="s">
        <v>36</v>
      </c>
      <c r="Z825" s="3">
        <v>1167.3399999999999</v>
      </c>
      <c r="AA825" t="s">
        <v>51</v>
      </c>
      <c r="AB825" t="s">
        <v>33</v>
      </c>
      <c r="AC825">
        <v>80.400000000000006</v>
      </c>
      <c r="AD825" t="s">
        <v>34</v>
      </c>
      <c r="AE825">
        <v>0</v>
      </c>
      <c r="AF825">
        <v>0</v>
      </c>
    </row>
    <row r="826" spans="3:32" x14ac:dyDescent="0.35">
      <c r="C826" s="1">
        <v>43946</v>
      </c>
      <c r="D826" s="2">
        <v>43922</v>
      </c>
      <c r="E826">
        <v>1179</v>
      </c>
      <c r="F826" s="3">
        <v>4658.8</v>
      </c>
      <c r="G826" s="3">
        <v>3544.55</v>
      </c>
      <c r="H826" s="3">
        <v>1114.25</v>
      </c>
      <c r="I826" s="3">
        <v>0.76</v>
      </c>
      <c r="J826">
        <v>0.35</v>
      </c>
      <c r="K826">
        <v>2656.31</v>
      </c>
      <c r="L826" t="s">
        <v>35</v>
      </c>
      <c r="M826">
        <v>729</v>
      </c>
      <c r="N826">
        <v>0.15</v>
      </c>
      <c r="O826" s="3">
        <v>393.83</v>
      </c>
      <c r="P826" s="3">
        <v>0.08</v>
      </c>
      <c r="Q826" s="3">
        <v>462.86</v>
      </c>
      <c r="R826" s="3">
        <v>0.1</v>
      </c>
      <c r="S826">
        <v>7</v>
      </c>
      <c r="T826">
        <v>1470.17</v>
      </c>
      <c r="U826">
        <v>54</v>
      </c>
      <c r="V826">
        <v>0</v>
      </c>
      <c r="W826">
        <v>761.01</v>
      </c>
      <c r="X826">
        <v>1903.22</v>
      </c>
      <c r="Y826" t="s">
        <v>36</v>
      </c>
      <c r="Z826" s="3">
        <v>957.44</v>
      </c>
      <c r="AA826" t="s">
        <v>48</v>
      </c>
      <c r="AB826" t="s">
        <v>44</v>
      </c>
      <c r="AC826">
        <v>42.7</v>
      </c>
      <c r="AD826" t="s">
        <v>34</v>
      </c>
      <c r="AE826">
        <v>1114.25</v>
      </c>
      <c r="AF826">
        <v>0</v>
      </c>
    </row>
    <row r="827" spans="3:32" x14ac:dyDescent="0.35">
      <c r="C827" s="1">
        <v>43946</v>
      </c>
      <c r="D827" s="2">
        <v>43922</v>
      </c>
      <c r="E827">
        <v>1464</v>
      </c>
      <c r="F827" s="3">
        <v>5234.63</v>
      </c>
      <c r="G827" s="3">
        <v>2610.4299999999998</v>
      </c>
      <c r="H827" s="3">
        <v>2624.2</v>
      </c>
      <c r="I827" s="3">
        <v>0.5</v>
      </c>
      <c r="J827">
        <v>0.08</v>
      </c>
      <c r="K827">
        <v>2292.4699999999998</v>
      </c>
      <c r="L827" t="s">
        <v>35</v>
      </c>
      <c r="M827">
        <v>715</v>
      </c>
      <c r="N827">
        <v>0.39</v>
      </c>
      <c r="O827" s="3">
        <v>272.94</v>
      </c>
      <c r="P827" s="3">
        <v>0.05</v>
      </c>
      <c r="Q827" s="3">
        <v>286.17</v>
      </c>
      <c r="R827" s="3">
        <v>0.05</v>
      </c>
      <c r="S827">
        <v>6</v>
      </c>
      <c r="T827">
        <v>975.31</v>
      </c>
      <c r="U827">
        <v>35</v>
      </c>
      <c r="V827">
        <v>0</v>
      </c>
      <c r="W827">
        <v>423.58</v>
      </c>
      <c r="X827">
        <v>2285.0300000000002</v>
      </c>
      <c r="Y827" t="s">
        <v>36</v>
      </c>
      <c r="Z827" s="3">
        <v>300</v>
      </c>
      <c r="AA827" t="s">
        <v>45</v>
      </c>
      <c r="AB827" t="s">
        <v>44</v>
      </c>
      <c r="AC827">
        <v>77.3</v>
      </c>
      <c r="AD827" t="s">
        <v>38</v>
      </c>
      <c r="AE827">
        <v>2624.2</v>
      </c>
      <c r="AF827">
        <v>1</v>
      </c>
    </row>
    <row r="828" spans="3:32" x14ac:dyDescent="0.35">
      <c r="C828" s="1">
        <v>43946</v>
      </c>
      <c r="D828" s="2">
        <v>43922</v>
      </c>
      <c r="E828">
        <v>1947</v>
      </c>
      <c r="F828" s="3">
        <v>4400.6000000000004</v>
      </c>
      <c r="G828" s="3">
        <v>2105.98</v>
      </c>
      <c r="H828" s="3">
        <v>2294.62</v>
      </c>
      <c r="I828" s="3">
        <v>0.48</v>
      </c>
      <c r="J828">
        <v>0.05</v>
      </c>
      <c r="K828">
        <v>2493.16</v>
      </c>
      <c r="L828" t="s">
        <v>35</v>
      </c>
      <c r="M828">
        <v>728</v>
      </c>
      <c r="N828">
        <v>0.31</v>
      </c>
      <c r="O828" s="3">
        <v>743.62</v>
      </c>
      <c r="P828" s="3">
        <v>0.17</v>
      </c>
      <c r="Q828" s="3">
        <v>406.5</v>
      </c>
      <c r="R828" s="3">
        <v>0.09</v>
      </c>
      <c r="S828">
        <v>5</v>
      </c>
      <c r="T828">
        <v>747.85</v>
      </c>
      <c r="U828">
        <v>73</v>
      </c>
      <c r="V828">
        <v>0</v>
      </c>
      <c r="W828">
        <v>535.63</v>
      </c>
      <c r="X828">
        <v>2613.2199999999998</v>
      </c>
      <c r="Y828" t="s">
        <v>36</v>
      </c>
      <c r="Z828" s="3">
        <v>1376.96</v>
      </c>
      <c r="AA828" t="s">
        <v>47</v>
      </c>
      <c r="AB828" t="s">
        <v>33</v>
      </c>
      <c r="AC828">
        <v>10.9</v>
      </c>
      <c r="AD828" t="s">
        <v>38</v>
      </c>
      <c r="AE828">
        <v>2294.62</v>
      </c>
      <c r="AF828">
        <v>0</v>
      </c>
    </row>
    <row r="829" spans="3:32" x14ac:dyDescent="0.35">
      <c r="C829" s="1">
        <v>43946</v>
      </c>
      <c r="D829" s="2">
        <v>43922</v>
      </c>
      <c r="E829">
        <v>1347</v>
      </c>
      <c r="F829" s="3">
        <v>3989.47</v>
      </c>
      <c r="G829" s="3">
        <v>1511.71</v>
      </c>
      <c r="H829" s="3">
        <v>2477.7600000000002</v>
      </c>
      <c r="I829" s="3">
        <v>0.38</v>
      </c>
      <c r="J829">
        <v>0.08</v>
      </c>
      <c r="K829">
        <v>3296.36</v>
      </c>
      <c r="L829" t="s">
        <v>39</v>
      </c>
      <c r="M829">
        <v>730</v>
      </c>
      <c r="N829">
        <v>0.17</v>
      </c>
      <c r="O829" s="3">
        <v>503.55</v>
      </c>
      <c r="P829" s="3">
        <v>0.13</v>
      </c>
      <c r="Q829" s="3">
        <v>151.56</v>
      </c>
      <c r="R829" s="3">
        <v>0.04</v>
      </c>
      <c r="S829">
        <v>3</v>
      </c>
      <c r="T829">
        <v>740.54</v>
      </c>
      <c r="U829">
        <v>21</v>
      </c>
      <c r="V829">
        <v>0</v>
      </c>
      <c r="W829">
        <v>858.32</v>
      </c>
      <c r="X829">
        <v>1474.71</v>
      </c>
      <c r="Y829" t="s">
        <v>31</v>
      </c>
      <c r="Z829" s="3">
        <v>1445.16</v>
      </c>
      <c r="AA829" t="s">
        <v>45</v>
      </c>
      <c r="AB829" t="s">
        <v>33</v>
      </c>
      <c r="AC829">
        <v>45.4</v>
      </c>
      <c r="AD829" t="s">
        <v>43</v>
      </c>
      <c r="AE829">
        <v>2477.7600000000002</v>
      </c>
      <c r="AF829">
        <v>0</v>
      </c>
    </row>
    <row r="830" spans="3:32" x14ac:dyDescent="0.35">
      <c r="C830" s="1">
        <v>43946</v>
      </c>
      <c r="D830" s="2">
        <v>43922</v>
      </c>
      <c r="E830">
        <v>1731</v>
      </c>
      <c r="F830" s="3">
        <v>3227.23</v>
      </c>
      <c r="G830" s="3">
        <v>2309.79</v>
      </c>
      <c r="H830" s="3">
        <v>917.44</v>
      </c>
      <c r="I830" s="3">
        <v>0.72</v>
      </c>
      <c r="J830">
        <v>0.13</v>
      </c>
      <c r="K830">
        <v>2406.41</v>
      </c>
      <c r="L830" t="s">
        <v>35</v>
      </c>
      <c r="M830">
        <v>676</v>
      </c>
      <c r="N830">
        <v>0.23</v>
      </c>
      <c r="O830" s="3">
        <v>578.54</v>
      </c>
      <c r="P830" s="3">
        <v>0.18</v>
      </c>
      <c r="Q830" s="3">
        <v>824.93</v>
      </c>
      <c r="R830" s="3">
        <v>0.26</v>
      </c>
      <c r="S830">
        <v>3</v>
      </c>
      <c r="T830">
        <v>834.48</v>
      </c>
      <c r="U830">
        <v>66</v>
      </c>
      <c r="V830">
        <v>0</v>
      </c>
      <c r="W830">
        <v>481.87</v>
      </c>
      <c r="X830">
        <v>2016.05</v>
      </c>
      <c r="Y830" t="s">
        <v>36</v>
      </c>
      <c r="Z830" s="3">
        <v>1035.8499999999999</v>
      </c>
      <c r="AA830" t="s">
        <v>37</v>
      </c>
      <c r="AB830" t="s">
        <v>44</v>
      </c>
      <c r="AC830">
        <v>15.7</v>
      </c>
      <c r="AD830" t="s">
        <v>43</v>
      </c>
      <c r="AE830">
        <v>917.44</v>
      </c>
      <c r="AF830">
        <v>0</v>
      </c>
    </row>
    <row r="831" spans="3:32" x14ac:dyDescent="0.35">
      <c r="C831" s="1">
        <v>43946</v>
      </c>
      <c r="D831" s="2">
        <v>43922</v>
      </c>
      <c r="E831">
        <v>1647</v>
      </c>
      <c r="F831" s="3">
        <v>5174.97</v>
      </c>
      <c r="G831" s="3">
        <v>3141.27</v>
      </c>
      <c r="H831" s="3">
        <v>2033.7</v>
      </c>
      <c r="I831" s="3">
        <v>0.61</v>
      </c>
      <c r="J831">
        <v>0.27</v>
      </c>
      <c r="K831">
        <v>2379.14</v>
      </c>
      <c r="L831" t="s">
        <v>39</v>
      </c>
      <c r="M831">
        <v>686</v>
      </c>
      <c r="N831">
        <v>0.25</v>
      </c>
      <c r="O831" s="3">
        <v>262.04000000000002</v>
      </c>
      <c r="P831" s="3">
        <v>0.05</v>
      </c>
      <c r="Q831" s="3">
        <v>301.27</v>
      </c>
      <c r="R831" s="3">
        <v>0.06</v>
      </c>
      <c r="S831">
        <v>1</v>
      </c>
      <c r="T831">
        <v>437.83</v>
      </c>
      <c r="U831">
        <v>82</v>
      </c>
      <c r="V831">
        <v>0</v>
      </c>
      <c r="W831">
        <v>460.93</v>
      </c>
      <c r="X831">
        <v>3113.47</v>
      </c>
      <c r="Y831" t="s">
        <v>36</v>
      </c>
      <c r="Z831" s="3">
        <v>1461.15</v>
      </c>
      <c r="AA831" t="s">
        <v>47</v>
      </c>
      <c r="AB831" t="s">
        <v>33</v>
      </c>
      <c r="AC831">
        <v>50.5</v>
      </c>
      <c r="AD831" t="s">
        <v>38</v>
      </c>
      <c r="AE831">
        <v>2033.7</v>
      </c>
      <c r="AF831">
        <v>0</v>
      </c>
    </row>
    <row r="832" spans="3:32" x14ac:dyDescent="0.35">
      <c r="C832" s="1">
        <v>43946</v>
      </c>
      <c r="D832" s="2">
        <v>43922</v>
      </c>
      <c r="E832">
        <v>1294</v>
      </c>
      <c r="F832" s="3">
        <v>3854.89</v>
      </c>
      <c r="G832" s="3">
        <v>2443.44</v>
      </c>
      <c r="H832" s="3">
        <v>1411.45</v>
      </c>
      <c r="I832" s="3">
        <v>0.63</v>
      </c>
      <c r="J832">
        <v>0.14000000000000001</v>
      </c>
      <c r="K832">
        <v>2346.98</v>
      </c>
      <c r="L832" t="s">
        <v>35</v>
      </c>
      <c r="M832">
        <v>719</v>
      </c>
      <c r="N832">
        <v>0.17</v>
      </c>
      <c r="O832" s="3">
        <v>477.79</v>
      </c>
      <c r="P832" s="3">
        <v>0.12</v>
      </c>
      <c r="Q832" s="3">
        <v>202.27</v>
      </c>
      <c r="R832" s="3">
        <v>0.05</v>
      </c>
      <c r="S832">
        <v>4</v>
      </c>
      <c r="T832">
        <v>1286.49</v>
      </c>
      <c r="U832">
        <v>73</v>
      </c>
      <c r="V832">
        <v>0</v>
      </c>
      <c r="W832">
        <v>753.26</v>
      </c>
      <c r="X832">
        <v>1740</v>
      </c>
      <c r="Y832" t="s">
        <v>31</v>
      </c>
      <c r="Z832" s="3">
        <v>1086.19</v>
      </c>
      <c r="AA832" t="s">
        <v>41</v>
      </c>
      <c r="AB832" t="s">
        <v>42</v>
      </c>
      <c r="AC832">
        <v>20</v>
      </c>
      <c r="AD832" t="s">
        <v>43</v>
      </c>
      <c r="AE832">
        <v>1411.45</v>
      </c>
      <c r="AF832">
        <v>0</v>
      </c>
    </row>
    <row r="833" spans="3:32" x14ac:dyDescent="0.35">
      <c r="C833" s="1">
        <v>43946</v>
      </c>
      <c r="D833" s="2">
        <v>43922</v>
      </c>
      <c r="E833">
        <v>1701</v>
      </c>
      <c r="F833" s="3">
        <v>4457.3999999999996</v>
      </c>
      <c r="G833" s="3">
        <v>3435.29</v>
      </c>
      <c r="H833" s="3">
        <v>1022.11</v>
      </c>
      <c r="I833" s="3">
        <v>0.77</v>
      </c>
      <c r="J833">
        <v>0.27</v>
      </c>
      <c r="K833">
        <v>2427.06</v>
      </c>
      <c r="L833" t="s">
        <v>35</v>
      </c>
      <c r="M833">
        <v>637</v>
      </c>
      <c r="N833">
        <v>0.5</v>
      </c>
      <c r="O833" s="3">
        <v>40.9</v>
      </c>
      <c r="P833" s="3">
        <v>0.01</v>
      </c>
      <c r="Q833" s="3">
        <v>253.5</v>
      </c>
      <c r="R833" s="3">
        <v>0.06</v>
      </c>
      <c r="S833">
        <v>3</v>
      </c>
      <c r="T833">
        <v>1365.4</v>
      </c>
      <c r="U833">
        <v>94</v>
      </c>
      <c r="V833">
        <v>0</v>
      </c>
      <c r="W833">
        <v>456.27</v>
      </c>
      <c r="X833">
        <v>1660.94</v>
      </c>
      <c r="Y833" t="s">
        <v>36</v>
      </c>
      <c r="Z833" s="3">
        <v>935.89</v>
      </c>
      <c r="AA833" t="s">
        <v>48</v>
      </c>
      <c r="AB833" t="s">
        <v>33</v>
      </c>
      <c r="AC833">
        <v>55.8</v>
      </c>
      <c r="AD833" t="s">
        <v>43</v>
      </c>
      <c r="AE833">
        <v>1022.11</v>
      </c>
      <c r="AF833">
        <v>0</v>
      </c>
    </row>
    <row r="834" spans="3:32" x14ac:dyDescent="0.35">
      <c r="C834" s="1">
        <v>43946</v>
      </c>
      <c r="D834" s="2">
        <v>43922</v>
      </c>
      <c r="E834">
        <v>1040</v>
      </c>
      <c r="F834" s="3">
        <v>3723.09</v>
      </c>
      <c r="G834" s="3">
        <v>1632.99</v>
      </c>
      <c r="H834" s="3">
        <v>2090.1</v>
      </c>
      <c r="I834" s="3">
        <v>0.44</v>
      </c>
      <c r="J834">
        <v>0.33</v>
      </c>
      <c r="K834">
        <v>2708.52</v>
      </c>
      <c r="L834" t="s">
        <v>35</v>
      </c>
      <c r="M834">
        <v>695</v>
      </c>
      <c r="N834">
        <v>0.15</v>
      </c>
      <c r="O834" s="3">
        <v>915.97</v>
      </c>
      <c r="P834" s="3">
        <v>0.25</v>
      </c>
      <c r="Q834" s="3">
        <v>349.9</v>
      </c>
      <c r="R834" s="3">
        <v>0.09</v>
      </c>
      <c r="S834">
        <v>9</v>
      </c>
      <c r="T834">
        <v>0</v>
      </c>
      <c r="U834">
        <v>52</v>
      </c>
      <c r="V834">
        <v>0</v>
      </c>
      <c r="W834">
        <v>677.64</v>
      </c>
      <c r="X834">
        <v>3467.09</v>
      </c>
      <c r="Y834" t="s">
        <v>36</v>
      </c>
      <c r="Z834" s="3">
        <v>1127.74</v>
      </c>
      <c r="AA834" t="s">
        <v>47</v>
      </c>
      <c r="AB834" t="s">
        <v>33</v>
      </c>
      <c r="AC834">
        <v>43</v>
      </c>
      <c r="AD834" t="s">
        <v>34</v>
      </c>
      <c r="AE834">
        <v>2090.1</v>
      </c>
      <c r="AF834">
        <v>0</v>
      </c>
    </row>
    <row r="835" spans="3:32" x14ac:dyDescent="0.35">
      <c r="C835" s="1">
        <v>43946</v>
      </c>
      <c r="D835" s="2">
        <v>43922</v>
      </c>
      <c r="E835">
        <v>1571</v>
      </c>
      <c r="F835" s="3">
        <v>3722.17</v>
      </c>
      <c r="G835" s="3">
        <v>2698.77</v>
      </c>
      <c r="H835" s="3">
        <v>1023.4</v>
      </c>
      <c r="I835" s="3">
        <v>0.73</v>
      </c>
      <c r="J835">
        <v>0.28999999999999998</v>
      </c>
      <c r="K835">
        <v>3200.6</v>
      </c>
      <c r="L835" t="s">
        <v>35</v>
      </c>
      <c r="M835">
        <v>673</v>
      </c>
      <c r="N835">
        <v>0.32</v>
      </c>
      <c r="O835" s="3">
        <v>357.42</v>
      </c>
      <c r="P835" s="3">
        <v>0.1</v>
      </c>
      <c r="Q835" s="3">
        <v>981.94</v>
      </c>
      <c r="R835" s="3">
        <v>0.26</v>
      </c>
      <c r="S835">
        <v>6</v>
      </c>
      <c r="T835">
        <v>549.38</v>
      </c>
      <c r="U835">
        <v>20</v>
      </c>
      <c r="V835">
        <v>0</v>
      </c>
      <c r="W835">
        <v>349.02</v>
      </c>
      <c r="X835">
        <v>1780.53</v>
      </c>
      <c r="Y835" t="s">
        <v>36</v>
      </c>
      <c r="Z835" s="3">
        <v>1344.85</v>
      </c>
      <c r="AA835" t="s">
        <v>40</v>
      </c>
      <c r="AB835" t="s">
        <v>44</v>
      </c>
      <c r="AC835">
        <v>54.8</v>
      </c>
      <c r="AD835" t="s">
        <v>38</v>
      </c>
      <c r="AE835">
        <v>1023.4</v>
      </c>
      <c r="AF835">
        <v>0</v>
      </c>
    </row>
    <row r="836" spans="3:32" x14ac:dyDescent="0.35">
      <c r="C836" s="1">
        <v>43946</v>
      </c>
      <c r="D836" s="2">
        <v>43922</v>
      </c>
      <c r="E836">
        <v>1204</v>
      </c>
      <c r="F836" s="3">
        <v>3709</v>
      </c>
      <c r="G836" s="3">
        <v>2579.19</v>
      </c>
      <c r="H836" s="3">
        <v>1129.81</v>
      </c>
      <c r="I836" s="3">
        <v>0.7</v>
      </c>
      <c r="J836">
        <v>0.13</v>
      </c>
      <c r="K836">
        <v>3047.43</v>
      </c>
      <c r="L836" t="s">
        <v>35</v>
      </c>
      <c r="M836">
        <v>619</v>
      </c>
      <c r="N836">
        <v>0.34</v>
      </c>
      <c r="O836" s="3">
        <v>571.91</v>
      </c>
      <c r="P836" s="3">
        <v>0.15</v>
      </c>
      <c r="Q836" s="3">
        <v>376.32</v>
      </c>
      <c r="R836" s="3">
        <v>0.1</v>
      </c>
      <c r="S836">
        <v>2</v>
      </c>
      <c r="T836">
        <v>141.29</v>
      </c>
      <c r="U836">
        <v>59</v>
      </c>
      <c r="V836">
        <v>0</v>
      </c>
      <c r="W836">
        <v>478.88</v>
      </c>
      <c r="X836">
        <v>2553.4699999999998</v>
      </c>
      <c r="Y836" t="s">
        <v>36</v>
      </c>
      <c r="Z836" s="3">
        <v>1008.4</v>
      </c>
      <c r="AA836" t="s">
        <v>45</v>
      </c>
      <c r="AB836" t="s">
        <v>33</v>
      </c>
      <c r="AC836">
        <v>22.3</v>
      </c>
      <c r="AD836" t="s">
        <v>38</v>
      </c>
      <c r="AE836">
        <v>1129.81</v>
      </c>
      <c r="AF836">
        <v>0</v>
      </c>
    </row>
    <row r="837" spans="3:32" x14ac:dyDescent="0.35">
      <c r="C837" s="1">
        <v>43946</v>
      </c>
      <c r="D837" s="2">
        <v>43922</v>
      </c>
      <c r="E837">
        <v>1043</v>
      </c>
      <c r="F837" s="3">
        <v>3519.82</v>
      </c>
      <c r="G837" s="3">
        <v>2372.88</v>
      </c>
      <c r="H837" s="3">
        <v>1146.94</v>
      </c>
      <c r="I837" s="3">
        <v>0.67</v>
      </c>
      <c r="J837">
        <v>0.21</v>
      </c>
      <c r="K837">
        <v>2780.81</v>
      </c>
      <c r="L837" t="s">
        <v>35</v>
      </c>
      <c r="M837">
        <v>634</v>
      </c>
      <c r="N837">
        <v>0.56999999999999995</v>
      </c>
      <c r="O837" s="3">
        <v>363.81</v>
      </c>
      <c r="P837" s="3">
        <v>0.1</v>
      </c>
      <c r="Q837" s="3">
        <v>233.72</v>
      </c>
      <c r="R837" s="3">
        <v>7.0000000000000007E-2</v>
      </c>
      <c r="S837">
        <v>1</v>
      </c>
      <c r="T837">
        <v>1195.27</v>
      </c>
      <c r="U837">
        <v>93</v>
      </c>
      <c r="V837">
        <v>0</v>
      </c>
      <c r="W837">
        <v>527.76</v>
      </c>
      <c r="X837">
        <v>2354.0700000000002</v>
      </c>
      <c r="Y837" t="s">
        <v>49</v>
      </c>
      <c r="Z837" s="3">
        <v>1122.74</v>
      </c>
      <c r="AA837" t="s">
        <v>32</v>
      </c>
      <c r="AB837" t="s">
        <v>42</v>
      </c>
      <c r="AC837">
        <v>10.3</v>
      </c>
      <c r="AD837" t="s">
        <v>34</v>
      </c>
      <c r="AE837">
        <v>1146.94</v>
      </c>
      <c r="AF837">
        <v>0</v>
      </c>
    </row>
    <row r="838" spans="3:32" x14ac:dyDescent="0.35">
      <c r="C838" s="1">
        <v>43946</v>
      </c>
      <c r="D838" s="2">
        <v>43922</v>
      </c>
      <c r="E838">
        <v>1298</v>
      </c>
      <c r="F838" s="3">
        <v>3633.98</v>
      </c>
      <c r="G838" s="3">
        <v>3113.24</v>
      </c>
      <c r="H838" s="3">
        <v>520.74</v>
      </c>
      <c r="I838" s="3">
        <v>0.86</v>
      </c>
      <c r="J838">
        <v>0.23</v>
      </c>
      <c r="K838">
        <v>2273.34</v>
      </c>
      <c r="L838" t="s">
        <v>35</v>
      </c>
      <c r="M838">
        <v>668</v>
      </c>
      <c r="N838">
        <v>0.53</v>
      </c>
      <c r="O838" s="3">
        <v>265.02999999999997</v>
      </c>
      <c r="P838" s="3">
        <v>7.0000000000000007E-2</v>
      </c>
      <c r="Q838" s="3">
        <v>274.19</v>
      </c>
      <c r="R838" s="3">
        <v>0.08</v>
      </c>
      <c r="S838">
        <v>1</v>
      </c>
      <c r="T838">
        <v>1384.06</v>
      </c>
      <c r="U838">
        <v>58</v>
      </c>
      <c r="V838">
        <v>0</v>
      </c>
      <c r="W838">
        <v>0</v>
      </c>
      <c r="X838">
        <v>2414.06</v>
      </c>
      <c r="Y838" t="s">
        <v>31</v>
      </c>
      <c r="Z838" s="3">
        <v>1492.58</v>
      </c>
      <c r="AA838" t="s">
        <v>46</v>
      </c>
      <c r="AB838" t="s">
        <v>42</v>
      </c>
      <c r="AC838">
        <v>92.9</v>
      </c>
      <c r="AD838" t="s">
        <v>43</v>
      </c>
      <c r="AE838">
        <v>520.74</v>
      </c>
      <c r="AF838">
        <v>0</v>
      </c>
    </row>
    <row r="839" spans="3:32" x14ac:dyDescent="0.35">
      <c r="C839" s="1">
        <v>43946</v>
      </c>
      <c r="D839" s="2">
        <v>43922</v>
      </c>
      <c r="E839">
        <v>1570</v>
      </c>
      <c r="F839" s="3">
        <v>6003.35</v>
      </c>
      <c r="G839" s="3">
        <v>3555.37</v>
      </c>
      <c r="H839" s="3">
        <v>2447.98</v>
      </c>
      <c r="I839" s="3">
        <v>0.59</v>
      </c>
      <c r="J839">
        <v>0.36</v>
      </c>
      <c r="K839">
        <v>4262.5200000000004</v>
      </c>
      <c r="L839" t="s">
        <v>30</v>
      </c>
      <c r="M839">
        <v>712</v>
      </c>
      <c r="N839">
        <v>0.19</v>
      </c>
      <c r="O839" s="3">
        <v>397.27</v>
      </c>
      <c r="P839" s="3">
        <v>7.0000000000000007E-2</v>
      </c>
      <c r="Q839" s="3">
        <v>107.59</v>
      </c>
      <c r="R839" s="3">
        <v>0.02</v>
      </c>
      <c r="S839">
        <v>4</v>
      </c>
      <c r="T839">
        <v>1168.22</v>
      </c>
      <c r="U839">
        <v>91</v>
      </c>
      <c r="V839">
        <v>0</v>
      </c>
      <c r="W839">
        <v>342.13</v>
      </c>
      <c r="X839">
        <v>2276.75</v>
      </c>
      <c r="Y839" t="s">
        <v>31</v>
      </c>
      <c r="Z839" s="3">
        <v>1818.81</v>
      </c>
      <c r="AA839" t="s">
        <v>41</v>
      </c>
      <c r="AB839" t="s">
        <v>33</v>
      </c>
      <c r="AC839">
        <v>31.1</v>
      </c>
      <c r="AD839" t="s">
        <v>34</v>
      </c>
      <c r="AE839">
        <v>2447.98</v>
      </c>
      <c r="AF839">
        <v>0</v>
      </c>
    </row>
    <row r="840" spans="3:32" x14ac:dyDescent="0.35">
      <c r="C840" s="1">
        <v>43946</v>
      </c>
      <c r="D840" s="2">
        <v>43922</v>
      </c>
      <c r="E840">
        <v>1176</v>
      </c>
      <c r="F840" s="3">
        <v>5323.58</v>
      </c>
      <c r="G840" s="3">
        <v>4325.1499999999996</v>
      </c>
      <c r="H840" s="3">
        <v>998.43</v>
      </c>
      <c r="I840" s="3">
        <v>0.81</v>
      </c>
      <c r="J840">
        <v>0.31</v>
      </c>
      <c r="K840">
        <v>2673.2</v>
      </c>
      <c r="L840" t="s">
        <v>35</v>
      </c>
      <c r="M840">
        <v>679</v>
      </c>
      <c r="N840">
        <v>0.5</v>
      </c>
      <c r="O840" s="3">
        <v>678.56</v>
      </c>
      <c r="P840" s="3">
        <v>0.13</v>
      </c>
      <c r="Q840" s="3">
        <v>524.21</v>
      </c>
      <c r="R840" s="3">
        <v>0.1</v>
      </c>
      <c r="S840">
        <v>8</v>
      </c>
      <c r="T840">
        <v>80.930000000000007</v>
      </c>
      <c r="U840">
        <v>99</v>
      </c>
      <c r="V840">
        <v>1</v>
      </c>
      <c r="W840">
        <v>639.84</v>
      </c>
      <c r="X840">
        <v>2987.39</v>
      </c>
      <c r="Y840" t="s">
        <v>36</v>
      </c>
      <c r="Z840" s="3">
        <v>678.98</v>
      </c>
      <c r="AA840" t="s">
        <v>46</v>
      </c>
      <c r="AB840" t="s">
        <v>33</v>
      </c>
      <c r="AC840">
        <v>98.2</v>
      </c>
      <c r="AD840" t="s">
        <v>34</v>
      </c>
      <c r="AE840">
        <v>998.43</v>
      </c>
      <c r="AF840">
        <v>0</v>
      </c>
    </row>
    <row r="841" spans="3:32" x14ac:dyDescent="0.35">
      <c r="C841" s="1">
        <v>43946</v>
      </c>
      <c r="D841" s="2">
        <v>43922</v>
      </c>
      <c r="E841">
        <v>1966</v>
      </c>
      <c r="F841" s="3">
        <v>3475.29</v>
      </c>
      <c r="G841" s="3">
        <v>3536.74</v>
      </c>
      <c r="H841" s="3">
        <v>-61.45</v>
      </c>
      <c r="I841" s="3">
        <v>1.02</v>
      </c>
      <c r="J841">
        <v>0.05</v>
      </c>
      <c r="K841">
        <v>2613.46</v>
      </c>
      <c r="L841" t="s">
        <v>30</v>
      </c>
      <c r="M841">
        <v>786</v>
      </c>
      <c r="N841">
        <v>0.56999999999999995</v>
      </c>
      <c r="O841" s="3">
        <v>734.61</v>
      </c>
      <c r="P841" s="3">
        <v>0.21</v>
      </c>
      <c r="Q841" s="3">
        <v>0</v>
      </c>
      <c r="R841" s="3">
        <v>0</v>
      </c>
      <c r="S841">
        <v>2</v>
      </c>
      <c r="T841">
        <v>783.53</v>
      </c>
      <c r="U841">
        <v>95</v>
      </c>
      <c r="V841">
        <v>0</v>
      </c>
      <c r="W841">
        <v>821.66</v>
      </c>
      <c r="X841">
        <v>2274.12</v>
      </c>
      <c r="Y841" t="s">
        <v>36</v>
      </c>
      <c r="Z841" s="3">
        <v>789.9</v>
      </c>
      <c r="AA841" t="s">
        <v>48</v>
      </c>
      <c r="AB841" t="s">
        <v>33</v>
      </c>
      <c r="AC841">
        <v>38.700000000000003</v>
      </c>
      <c r="AD841" t="s">
        <v>43</v>
      </c>
      <c r="AE841">
        <v>0</v>
      </c>
      <c r="AF841">
        <v>0</v>
      </c>
    </row>
    <row r="842" spans="3:32" x14ac:dyDescent="0.35">
      <c r="C842" s="1">
        <v>43946</v>
      </c>
      <c r="D842" s="2">
        <v>43922</v>
      </c>
      <c r="E842">
        <v>1280</v>
      </c>
      <c r="F842" s="3">
        <v>4932.71</v>
      </c>
      <c r="G842" s="3">
        <v>2546.71</v>
      </c>
      <c r="H842" s="3">
        <v>2386</v>
      </c>
      <c r="I842" s="3">
        <v>0.52</v>
      </c>
      <c r="J842">
        <v>0.38</v>
      </c>
      <c r="K842">
        <v>2468.31</v>
      </c>
      <c r="L842" t="s">
        <v>35</v>
      </c>
      <c r="M842">
        <v>652</v>
      </c>
      <c r="N842">
        <v>0.21</v>
      </c>
      <c r="O842" s="3">
        <v>568.75</v>
      </c>
      <c r="P842" s="3">
        <v>0.12</v>
      </c>
      <c r="Q842" s="3">
        <v>519.62</v>
      </c>
      <c r="R842" s="3">
        <v>0.11</v>
      </c>
      <c r="S842">
        <v>1</v>
      </c>
      <c r="T842">
        <v>779.76</v>
      </c>
      <c r="U842">
        <v>63</v>
      </c>
      <c r="V842">
        <v>0</v>
      </c>
      <c r="W842">
        <v>384.75</v>
      </c>
      <c r="X842">
        <v>2779.89</v>
      </c>
      <c r="Y842" t="s">
        <v>36</v>
      </c>
      <c r="Z842" s="3">
        <v>826.62</v>
      </c>
      <c r="AA842" t="s">
        <v>41</v>
      </c>
      <c r="AB842" t="s">
        <v>33</v>
      </c>
      <c r="AC842">
        <v>94.3</v>
      </c>
      <c r="AD842" t="s">
        <v>34</v>
      </c>
      <c r="AE842">
        <v>2386</v>
      </c>
      <c r="AF842">
        <v>0</v>
      </c>
    </row>
    <row r="843" spans="3:32" x14ac:dyDescent="0.35">
      <c r="C843" s="1">
        <v>43946</v>
      </c>
      <c r="D843" s="2">
        <v>43922</v>
      </c>
      <c r="E843">
        <v>1632</v>
      </c>
      <c r="F843" s="3">
        <v>4830.58</v>
      </c>
      <c r="G843" s="3">
        <v>3774.05</v>
      </c>
      <c r="H843" s="3">
        <v>1056.53</v>
      </c>
      <c r="I843" s="3">
        <v>0.78</v>
      </c>
      <c r="J843">
        <v>0.18</v>
      </c>
      <c r="K843">
        <v>2819.09</v>
      </c>
      <c r="L843" t="s">
        <v>35</v>
      </c>
      <c r="M843">
        <v>688</v>
      </c>
      <c r="N843">
        <v>0.15</v>
      </c>
      <c r="O843" s="3">
        <v>385.07</v>
      </c>
      <c r="P843" s="3">
        <v>0.08</v>
      </c>
      <c r="Q843" s="3">
        <v>90.72</v>
      </c>
      <c r="R843" s="3">
        <v>0.02</v>
      </c>
      <c r="S843">
        <v>4</v>
      </c>
      <c r="T843">
        <v>856.02</v>
      </c>
      <c r="U843">
        <v>33</v>
      </c>
      <c r="V843">
        <v>0</v>
      </c>
      <c r="W843">
        <v>665.36</v>
      </c>
      <c r="X843">
        <v>2102.46</v>
      </c>
      <c r="Y843" t="s">
        <v>36</v>
      </c>
      <c r="Z843" s="3">
        <v>1074.78</v>
      </c>
      <c r="AA843" t="s">
        <v>51</v>
      </c>
      <c r="AB843" t="s">
        <v>33</v>
      </c>
      <c r="AC843">
        <v>77</v>
      </c>
      <c r="AD843" t="s">
        <v>34</v>
      </c>
      <c r="AE843">
        <v>1056.53</v>
      </c>
      <c r="AF843">
        <v>0</v>
      </c>
    </row>
    <row r="844" spans="3:32" x14ac:dyDescent="0.35">
      <c r="C844" s="1">
        <v>43946</v>
      </c>
      <c r="D844" s="2">
        <v>43922</v>
      </c>
      <c r="E844">
        <v>1190</v>
      </c>
      <c r="F844" s="3">
        <v>2783.2</v>
      </c>
      <c r="G844" s="3">
        <v>2110.1</v>
      </c>
      <c r="H844" s="3">
        <v>673.1</v>
      </c>
      <c r="I844" s="3">
        <v>0.76</v>
      </c>
      <c r="J844">
        <v>0.3</v>
      </c>
      <c r="K844">
        <v>3384.5</v>
      </c>
      <c r="L844" t="s">
        <v>39</v>
      </c>
      <c r="M844">
        <v>721</v>
      </c>
      <c r="N844">
        <v>0.52</v>
      </c>
      <c r="O844" s="3">
        <v>95.28</v>
      </c>
      <c r="P844" s="3">
        <v>0.03</v>
      </c>
      <c r="Q844" s="3">
        <v>669.29</v>
      </c>
      <c r="R844" s="3">
        <v>0.24</v>
      </c>
      <c r="S844">
        <v>2</v>
      </c>
      <c r="T844">
        <v>1392.78</v>
      </c>
      <c r="U844">
        <v>90</v>
      </c>
      <c r="V844">
        <v>0</v>
      </c>
      <c r="W844">
        <v>395.3</v>
      </c>
      <c r="X844">
        <v>3054.2</v>
      </c>
      <c r="Y844" t="s">
        <v>49</v>
      </c>
      <c r="Z844" s="3">
        <v>716.94</v>
      </c>
      <c r="AA844" t="s">
        <v>51</v>
      </c>
      <c r="AB844" t="s">
        <v>33</v>
      </c>
      <c r="AC844">
        <v>74.7</v>
      </c>
      <c r="AD844" t="s">
        <v>38</v>
      </c>
      <c r="AE844">
        <v>673.1</v>
      </c>
      <c r="AF844">
        <v>0</v>
      </c>
    </row>
    <row r="845" spans="3:32" x14ac:dyDescent="0.35">
      <c r="C845" s="1">
        <v>43946</v>
      </c>
      <c r="D845" s="2">
        <v>43922</v>
      </c>
      <c r="E845">
        <v>1087</v>
      </c>
      <c r="F845" s="3">
        <v>3672.17</v>
      </c>
      <c r="G845" s="3">
        <v>2924.18</v>
      </c>
      <c r="H845" s="3">
        <v>747.99</v>
      </c>
      <c r="I845" s="3">
        <v>0.8</v>
      </c>
      <c r="J845">
        <v>0.33</v>
      </c>
      <c r="K845">
        <v>2655.87</v>
      </c>
      <c r="L845" t="s">
        <v>35</v>
      </c>
      <c r="M845">
        <v>653</v>
      </c>
      <c r="N845">
        <v>0.13</v>
      </c>
      <c r="O845" s="3">
        <v>577.11</v>
      </c>
      <c r="P845" s="3">
        <v>0.16</v>
      </c>
      <c r="Q845" s="3">
        <v>568.87</v>
      </c>
      <c r="R845" s="3">
        <v>0.15</v>
      </c>
      <c r="S845">
        <v>3</v>
      </c>
      <c r="T845">
        <v>947.03</v>
      </c>
      <c r="U845">
        <v>69</v>
      </c>
      <c r="V845">
        <v>0</v>
      </c>
      <c r="W845">
        <v>391.13</v>
      </c>
      <c r="X845">
        <v>2511.88</v>
      </c>
      <c r="Y845" t="s">
        <v>36</v>
      </c>
      <c r="Z845" s="3">
        <v>1185.81</v>
      </c>
      <c r="AA845" t="s">
        <v>37</v>
      </c>
      <c r="AB845" t="s">
        <v>42</v>
      </c>
      <c r="AC845">
        <v>75.8</v>
      </c>
      <c r="AD845" t="s">
        <v>43</v>
      </c>
      <c r="AE845">
        <v>747.99</v>
      </c>
      <c r="AF845">
        <v>0</v>
      </c>
    </row>
    <row r="846" spans="3:32" x14ac:dyDescent="0.35">
      <c r="C846" s="1">
        <v>43946</v>
      </c>
      <c r="D846" s="2">
        <v>43922</v>
      </c>
      <c r="E846">
        <v>1153</v>
      </c>
      <c r="F846" s="3">
        <v>4987.93</v>
      </c>
      <c r="G846" s="3">
        <v>2830.48</v>
      </c>
      <c r="H846" s="3">
        <v>2157.4499999999998</v>
      </c>
      <c r="I846" s="3">
        <v>0.56999999999999995</v>
      </c>
      <c r="J846">
        <v>0.19</v>
      </c>
      <c r="K846">
        <v>2370.91</v>
      </c>
      <c r="L846" t="s">
        <v>39</v>
      </c>
      <c r="M846">
        <v>744</v>
      </c>
      <c r="N846">
        <v>0.13</v>
      </c>
      <c r="O846" s="3">
        <v>411.87</v>
      </c>
      <c r="P846" s="3">
        <v>0.08</v>
      </c>
      <c r="Q846" s="3">
        <v>595.71</v>
      </c>
      <c r="R846" s="3">
        <v>0.12</v>
      </c>
      <c r="S846">
        <v>8</v>
      </c>
      <c r="T846">
        <v>623.64</v>
      </c>
      <c r="U846">
        <v>93</v>
      </c>
      <c r="V846">
        <v>0</v>
      </c>
      <c r="W846">
        <v>560.04999999999995</v>
      </c>
      <c r="X846">
        <v>1912.31</v>
      </c>
      <c r="Y846" t="s">
        <v>36</v>
      </c>
      <c r="Z846" s="3">
        <v>1725.13</v>
      </c>
      <c r="AA846" t="s">
        <v>32</v>
      </c>
      <c r="AB846" t="s">
        <v>42</v>
      </c>
      <c r="AC846">
        <v>0.9</v>
      </c>
      <c r="AD846" t="s">
        <v>34</v>
      </c>
      <c r="AE846">
        <v>2157.4499999999998</v>
      </c>
      <c r="AF846">
        <v>0</v>
      </c>
    </row>
    <row r="847" spans="3:32" x14ac:dyDescent="0.35">
      <c r="C847" s="1">
        <v>43946</v>
      </c>
      <c r="D847" s="2">
        <v>43922</v>
      </c>
      <c r="E847">
        <v>1076</v>
      </c>
      <c r="F847" s="3">
        <v>5454.76</v>
      </c>
      <c r="G847" s="3">
        <v>2154.4699999999998</v>
      </c>
      <c r="H847" s="3">
        <v>3300.29</v>
      </c>
      <c r="I847" s="3">
        <v>0.39</v>
      </c>
      <c r="J847">
        <v>0.24</v>
      </c>
      <c r="K847">
        <v>2266.39</v>
      </c>
      <c r="L847" t="s">
        <v>35</v>
      </c>
      <c r="M847">
        <v>710</v>
      </c>
      <c r="N847">
        <v>0.5</v>
      </c>
      <c r="O847" s="3">
        <v>637.62</v>
      </c>
      <c r="P847" s="3">
        <v>0.12</v>
      </c>
      <c r="Q847" s="3">
        <v>641.61</v>
      </c>
      <c r="R847" s="3">
        <v>0.12</v>
      </c>
      <c r="S847">
        <v>4</v>
      </c>
      <c r="T847">
        <v>677.57</v>
      </c>
      <c r="U847">
        <v>21</v>
      </c>
      <c r="V847">
        <v>0</v>
      </c>
      <c r="W847">
        <v>489.71</v>
      </c>
      <c r="X847">
        <v>2510.36</v>
      </c>
      <c r="Y847" t="s">
        <v>31</v>
      </c>
      <c r="Z847" s="3">
        <v>1543.86</v>
      </c>
      <c r="AA847" t="s">
        <v>41</v>
      </c>
      <c r="AB847" t="s">
        <v>44</v>
      </c>
      <c r="AC847">
        <v>81.400000000000006</v>
      </c>
      <c r="AD847" t="s">
        <v>43</v>
      </c>
      <c r="AE847">
        <v>3300.29</v>
      </c>
      <c r="AF847">
        <v>1</v>
      </c>
    </row>
    <row r="848" spans="3:32" x14ac:dyDescent="0.35">
      <c r="C848" s="1">
        <v>43946</v>
      </c>
      <c r="D848" s="2">
        <v>43922</v>
      </c>
      <c r="E848">
        <v>1631</v>
      </c>
      <c r="F848" s="3">
        <v>3397.68</v>
      </c>
      <c r="G848" s="3">
        <v>2411.48</v>
      </c>
      <c r="H848" s="3">
        <v>986.2</v>
      </c>
      <c r="I848" s="3">
        <v>0.71</v>
      </c>
      <c r="J848">
        <v>0.25</v>
      </c>
      <c r="K848">
        <v>3757.28</v>
      </c>
      <c r="L848" t="s">
        <v>30</v>
      </c>
      <c r="M848">
        <v>640</v>
      </c>
      <c r="N848">
        <v>0.45</v>
      </c>
      <c r="O848" s="3">
        <v>547.42999999999995</v>
      </c>
      <c r="P848" s="3">
        <v>0.16</v>
      </c>
      <c r="Q848" s="3">
        <v>532.64</v>
      </c>
      <c r="R848" s="3">
        <v>0.16</v>
      </c>
      <c r="S848">
        <v>4</v>
      </c>
      <c r="T848">
        <v>105</v>
      </c>
      <c r="U848">
        <v>93</v>
      </c>
      <c r="V848">
        <v>0</v>
      </c>
      <c r="W848">
        <v>456.26</v>
      </c>
      <c r="X848">
        <v>1885.64</v>
      </c>
      <c r="Y848" t="s">
        <v>36</v>
      </c>
      <c r="Z848" s="3">
        <v>1065.27</v>
      </c>
      <c r="AA848" t="s">
        <v>32</v>
      </c>
      <c r="AB848" t="s">
        <v>42</v>
      </c>
      <c r="AC848">
        <v>59.5</v>
      </c>
      <c r="AD848" t="s">
        <v>43</v>
      </c>
      <c r="AE848">
        <v>986.2</v>
      </c>
      <c r="AF848">
        <v>0</v>
      </c>
    </row>
    <row r="849" spans="3:32" x14ac:dyDescent="0.35">
      <c r="C849" s="1">
        <v>43946</v>
      </c>
      <c r="D849" s="2">
        <v>43922</v>
      </c>
      <c r="E849">
        <v>1529</v>
      </c>
      <c r="F849" s="3">
        <v>3001.94</v>
      </c>
      <c r="G849" s="3">
        <v>3635.21</v>
      </c>
      <c r="H849" s="3">
        <v>-633.27</v>
      </c>
      <c r="I849" s="3">
        <v>1.21</v>
      </c>
      <c r="J849">
        <v>0.13</v>
      </c>
      <c r="K849">
        <v>3014.23</v>
      </c>
      <c r="L849" t="s">
        <v>39</v>
      </c>
      <c r="M849">
        <v>667</v>
      </c>
      <c r="N849">
        <v>0.13</v>
      </c>
      <c r="O849" s="3">
        <v>859.22</v>
      </c>
      <c r="P849" s="3">
        <v>0.28999999999999998</v>
      </c>
      <c r="Q849" s="3">
        <v>110.94</v>
      </c>
      <c r="R849" s="3">
        <v>0.04</v>
      </c>
      <c r="S849">
        <v>5</v>
      </c>
      <c r="T849">
        <v>158.97</v>
      </c>
      <c r="U849">
        <v>64</v>
      </c>
      <c r="V849">
        <v>0</v>
      </c>
      <c r="W849">
        <v>766.06</v>
      </c>
      <c r="X849">
        <v>1421.02</v>
      </c>
      <c r="Y849" t="s">
        <v>36</v>
      </c>
      <c r="Z849" s="3">
        <v>2056.7600000000002</v>
      </c>
      <c r="AA849" t="s">
        <v>37</v>
      </c>
      <c r="AB849" t="s">
        <v>44</v>
      </c>
      <c r="AC849">
        <v>41</v>
      </c>
      <c r="AD849" t="s">
        <v>38</v>
      </c>
      <c r="AE849">
        <v>0</v>
      </c>
      <c r="AF849">
        <v>0</v>
      </c>
    </row>
    <row r="850" spans="3:32" x14ac:dyDescent="0.35">
      <c r="C850" s="1">
        <v>43946</v>
      </c>
      <c r="D850" s="2">
        <v>43922</v>
      </c>
      <c r="E850">
        <v>1472</v>
      </c>
      <c r="F850" s="3">
        <v>3764.76</v>
      </c>
      <c r="G850" s="3">
        <v>3345.58</v>
      </c>
      <c r="H850" s="3">
        <v>419.18</v>
      </c>
      <c r="I850" s="3">
        <v>0.89</v>
      </c>
      <c r="J850">
        <v>0.31</v>
      </c>
      <c r="K850">
        <v>2450.86</v>
      </c>
      <c r="L850" t="s">
        <v>30</v>
      </c>
      <c r="M850">
        <v>678</v>
      </c>
      <c r="N850">
        <v>0.47</v>
      </c>
      <c r="O850" s="3">
        <v>512.46</v>
      </c>
      <c r="P850" s="3">
        <v>0.14000000000000001</v>
      </c>
      <c r="Q850" s="3">
        <v>211.66</v>
      </c>
      <c r="R850" s="3">
        <v>0.06</v>
      </c>
      <c r="S850">
        <v>9</v>
      </c>
      <c r="T850">
        <v>846.86</v>
      </c>
      <c r="U850">
        <v>96</v>
      </c>
      <c r="V850">
        <v>0</v>
      </c>
      <c r="W850">
        <v>694.38</v>
      </c>
      <c r="X850">
        <v>2051.12</v>
      </c>
      <c r="Y850" t="s">
        <v>36</v>
      </c>
      <c r="Z850" s="3">
        <v>983.29</v>
      </c>
      <c r="AA850" t="s">
        <v>37</v>
      </c>
      <c r="AB850" t="s">
        <v>44</v>
      </c>
      <c r="AC850">
        <v>96.6</v>
      </c>
      <c r="AD850" t="s">
        <v>34</v>
      </c>
      <c r="AE850">
        <v>419.18</v>
      </c>
      <c r="AF850">
        <v>0</v>
      </c>
    </row>
    <row r="851" spans="3:32" x14ac:dyDescent="0.35">
      <c r="C851" s="1">
        <v>43946</v>
      </c>
      <c r="D851" s="2">
        <v>43922</v>
      </c>
      <c r="E851">
        <v>1167</v>
      </c>
      <c r="F851" s="3">
        <v>2108.86</v>
      </c>
      <c r="G851" s="3">
        <v>2913.53</v>
      </c>
      <c r="H851" s="3">
        <v>-804.67</v>
      </c>
      <c r="I851" s="3">
        <v>1.38</v>
      </c>
      <c r="J851">
        <v>0.39</v>
      </c>
      <c r="K851">
        <v>2092.2600000000002</v>
      </c>
      <c r="L851" t="s">
        <v>39</v>
      </c>
      <c r="M851">
        <v>660</v>
      </c>
      <c r="N851">
        <v>0.38</v>
      </c>
      <c r="O851" s="3">
        <v>380.34</v>
      </c>
      <c r="P851" s="3">
        <v>0.18</v>
      </c>
      <c r="Q851" s="3">
        <v>255.41</v>
      </c>
      <c r="R851" s="3">
        <v>0.12</v>
      </c>
      <c r="S851">
        <v>5</v>
      </c>
      <c r="T851">
        <v>659.84</v>
      </c>
      <c r="U851">
        <v>40</v>
      </c>
      <c r="V851">
        <v>0</v>
      </c>
      <c r="W851">
        <v>392.67</v>
      </c>
      <c r="X851">
        <v>2158.27</v>
      </c>
      <c r="Y851" t="s">
        <v>31</v>
      </c>
      <c r="Z851" s="3">
        <v>1586.08</v>
      </c>
      <c r="AA851" t="s">
        <v>51</v>
      </c>
      <c r="AB851" t="s">
        <v>33</v>
      </c>
      <c r="AC851">
        <v>86.7</v>
      </c>
      <c r="AD851" t="s">
        <v>34</v>
      </c>
      <c r="AE851">
        <v>0</v>
      </c>
      <c r="AF851">
        <v>0</v>
      </c>
    </row>
    <row r="852" spans="3:32" x14ac:dyDescent="0.35">
      <c r="C852" s="1">
        <v>43976</v>
      </c>
      <c r="D852" s="2">
        <v>43952</v>
      </c>
      <c r="E852">
        <v>1050</v>
      </c>
      <c r="F852" s="3">
        <v>1884.19</v>
      </c>
      <c r="G852" s="3">
        <v>2764.11</v>
      </c>
      <c r="H852" s="3">
        <v>-879.92</v>
      </c>
      <c r="I852" s="3">
        <v>1.47</v>
      </c>
      <c r="J852">
        <v>0.28999999999999998</v>
      </c>
      <c r="K852">
        <v>3904.13</v>
      </c>
      <c r="L852" t="s">
        <v>35</v>
      </c>
      <c r="M852">
        <v>676</v>
      </c>
      <c r="N852">
        <v>0.41</v>
      </c>
      <c r="O852" s="3">
        <v>550.79</v>
      </c>
      <c r="P852" s="3">
        <v>0.28999999999999998</v>
      </c>
      <c r="Q852" s="3">
        <v>394.33</v>
      </c>
      <c r="R852" s="3">
        <v>0.21</v>
      </c>
      <c r="S852">
        <v>6</v>
      </c>
      <c r="T852">
        <v>1692.29</v>
      </c>
      <c r="U852">
        <v>59</v>
      </c>
      <c r="V852">
        <v>0</v>
      </c>
      <c r="W852">
        <v>633.22</v>
      </c>
      <c r="X852">
        <v>2517.59</v>
      </c>
      <c r="Y852" t="s">
        <v>49</v>
      </c>
      <c r="Z852" s="3">
        <v>1187.56</v>
      </c>
      <c r="AA852" t="s">
        <v>40</v>
      </c>
      <c r="AB852" t="s">
        <v>33</v>
      </c>
      <c r="AC852">
        <v>68.599999999999994</v>
      </c>
      <c r="AD852" t="s">
        <v>34</v>
      </c>
      <c r="AE852">
        <v>0</v>
      </c>
      <c r="AF852">
        <v>0</v>
      </c>
    </row>
    <row r="853" spans="3:32" x14ac:dyDescent="0.35">
      <c r="C853" s="1">
        <v>43976</v>
      </c>
      <c r="D853" s="2">
        <v>43952</v>
      </c>
      <c r="E853">
        <v>1730</v>
      </c>
      <c r="F853" s="3">
        <v>4003.62</v>
      </c>
      <c r="G853" s="3">
        <v>4254.45</v>
      </c>
      <c r="H853" s="3">
        <v>-250.83</v>
      </c>
      <c r="I853" s="3">
        <v>1.06</v>
      </c>
      <c r="J853">
        <v>0.17</v>
      </c>
      <c r="K853">
        <v>2560.16</v>
      </c>
      <c r="L853" t="s">
        <v>35</v>
      </c>
      <c r="M853">
        <v>628</v>
      </c>
      <c r="N853">
        <v>0.46</v>
      </c>
      <c r="O853" s="3">
        <v>660.45</v>
      </c>
      <c r="P853" s="3">
        <v>0.16</v>
      </c>
      <c r="Q853" s="3">
        <v>767.32</v>
      </c>
      <c r="R853" s="3">
        <v>0.19</v>
      </c>
      <c r="S853">
        <v>1</v>
      </c>
      <c r="T853">
        <v>794.26</v>
      </c>
      <c r="U853">
        <v>57</v>
      </c>
      <c r="V853">
        <v>0</v>
      </c>
      <c r="W853">
        <v>525.02</v>
      </c>
      <c r="X853">
        <v>1000</v>
      </c>
      <c r="Y853" t="s">
        <v>36</v>
      </c>
      <c r="Z853" s="3">
        <v>1609.61</v>
      </c>
      <c r="AA853" t="s">
        <v>37</v>
      </c>
      <c r="AB853" t="s">
        <v>33</v>
      </c>
      <c r="AC853">
        <v>71.8</v>
      </c>
      <c r="AD853" t="s">
        <v>34</v>
      </c>
      <c r="AE853">
        <v>0</v>
      </c>
      <c r="AF853">
        <v>0</v>
      </c>
    </row>
    <row r="854" spans="3:32" x14ac:dyDescent="0.35">
      <c r="C854" s="1">
        <v>43976</v>
      </c>
      <c r="D854" s="2">
        <v>43952</v>
      </c>
      <c r="E854">
        <v>1718</v>
      </c>
      <c r="F854" s="3">
        <v>2598.8200000000002</v>
      </c>
      <c r="G854" s="3">
        <v>2864.59</v>
      </c>
      <c r="H854" s="3">
        <v>-265.77</v>
      </c>
      <c r="I854" s="3">
        <v>1.1000000000000001</v>
      </c>
      <c r="J854">
        <v>0.13</v>
      </c>
      <c r="K854">
        <v>2660.26</v>
      </c>
      <c r="L854" t="s">
        <v>30</v>
      </c>
      <c r="M854">
        <v>671</v>
      </c>
      <c r="N854">
        <v>0.11</v>
      </c>
      <c r="O854" s="3">
        <v>758.38</v>
      </c>
      <c r="P854" s="3">
        <v>0.28999999999999998</v>
      </c>
      <c r="Q854" s="3">
        <v>0</v>
      </c>
      <c r="R854" s="3">
        <v>0</v>
      </c>
      <c r="S854">
        <v>1</v>
      </c>
      <c r="T854">
        <v>447.74</v>
      </c>
      <c r="U854">
        <v>32</v>
      </c>
      <c r="V854">
        <v>0</v>
      </c>
      <c r="W854">
        <v>866.5</v>
      </c>
      <c r="X854">
        <v>1636.85</v>
      </c>
      <c r="Y854" t="s">
        <v>31</v>
      </c>
      <c r="Z854" s="3">
        <v>1055.44</v>
      </c>
      <c r="AA854" t="s">
        <v>46</v>
      </c>
      <c r="AB854" t="s">
        <v>44</v>
      </c>
      <c r="AC854">
        <v>83.2</v>
      </c>
      <c r="AD854" t="s">
        <v>34</v>
      </c>
      <c r="AE854">
        <v>0</v>
      </c>
      <c r="AF854">
        <v>0</v>
      </c>
    </row>
    <row r="855" spans="3:32" x14ac:dyDescent="0.35">
      <c r="C855" s="1">
        <v>43976</v>
      </c>
      <c r="D855" s="2">
        <v>43952</v>
      </c>
      <c r="E855">
        <v>1852</v>
      </c>
      <c r="F855" s="3">
        <v>4195.32</v>
      </c>
      <c r="G855" s="3">
        <v>4528.08</v>
      </c>
      <c r="H855" s="3">
        <v>-332.76</v>
      </c>
      <c r="I855" s="3">
        <v>1.08</v>
      </c>
      <c r="J855">
        <v>0.06</v>
      </c>
      <c r="K855">
        <v>3192.45</v>
      </c>
      <c r="L855" t="s">
        <v>35</v>
      </c>
      <c r="M855">
        <v>722</v>
      </c>
      <c r="N855">
        <v>0.43</v>
      </c>
      <c r="O855" s="3">
        <v>789.01</v>
      </c>
      <c r="P855" s="3">
        <v>0.19</v>
      </c>
      <c r="Q855" s="3">
        <v>436.08</v>
      </c>
      <c r="R855" s="3">
        <v>0.1</v>
      </c>
      <c r="S855">
        <v>2</v>
      </c>
      <c r="T855">
        <v>246.74</v>
      </c>
      <c r="U855">
        <v>57</v>
      </c>
      <c r="V855">
        <v>0</v>
      </c>
      <c r="W855">
        <v>504.13</v>
      </c>
      <c r="X855">
        <v>2207.11</v>
      </c>
      <c r="Y855" t="s">
        <v>36</v>
      </c>
      <c r="Z855" s="3">
        <v>770.82</v>
      </c>
      <c r="AA855" t="s">
        <v>46</v>
      </c>
      <c r="AB855" t="s">
        <v>44</v>
      </c>
      <c r="AC855">
        <v>92.6</v>
      </c>
      <c r="AD855" t="s">
        <v>43</v>
      </c>
      <c r="AE855">
        <v>0</v>
      </c>
      <c r="AF855">
        <v>0</v>
      </c>
    </row>
    <row r="856" spans="3:32" x14ac:dyDescent="0.35">
      <c r="C856" s="1">
        <v>43976</v>
      </c>
      <c r="D856" s="2">
        <v>43952</v>
      </c>
      <c r="E856">
        <v>1484</v>
      </c>
      <c r="F856" s="3">
        <v>4088.09</v>
      </c>
      <c r="G856" s="3">
        <v>3620.7</v>
      </c>
      <c r="H856" s="3">
        <v>467.39</v>
      </c>
      <c r="I856" s="3">
        <v>0.89</v>
      </c>
      <c r="J856">
        <v>0.34</v>
      </c>
      <c r="K856">
        <v>2010.8</v>
      </c>
      <c r="L856" t="s">
        <v>30</v>
      </c>
      <c r="M856">
        <v>710</v>
      </c>
      <c r="N856">
        <v>0.34</v>
      </c>
      <c r="O856" s="3">
        <v>611.34</v>
      </c>
      <c r="P856" s="3">
        <v>0.15</v>
      </c>
      <c r="Q856" s="3">
        <v>735.94</v>
      </c>
      <c r="R856" s="3">
        <v>0.18</v>
      </c>
      <c r="S856">
        <v>1</v>
      </c>
      <c r="T856">
        <v>1614.93</v>
      </c>
      <c r="U856">
        <v>75</v>
      </c>
      <c r="V856">
        <v>0</v>
      </c>
      <c r="W856">
        <v>551.29</v>
      </c>
      <c r="X856">
        <v>2624.18</v>
      </c>
      <c r="Y856" t="s">
        <v>36</v>
      </c>
      <c r="Z856" s="3">
        <v>1461.19</v>
      </c>
      <c r="AA856" t="s">
        <v>41</v>
      </c>
      <c r="AB856" t="s">
        <v>33</v>
      </c>
      <c r="AC856">
        <v>46.1</v>
      </c>
      <c r="AD856" t="s">
        <v>34</v>
      </c>
      <c r="AE856">
        <v>467.39</v>
      </c>
      <c r="AF856">
        <v>0</v>
      </c>
    </row>
    <row r="857" spans="3:32" x14ac:dyDescent="0.35">
      <c r="C857" s="1">
        <v>43976</v>
      </c>
      <c r="D857" s="2">
        <v>43952</v>
      </c>
      <c r="E857">
        <v>1605</v>
      </c>
      <c r="F857" s="3">
        <v>3942.37</v>
      </c>
      <c r="G857" s="3">
        <v>4078.75</v>
      </c>
      <c r="H857" s="3">
        <v>-136.38</v>
      </c>
      <c r="I857" s="3">
        <v>1.03</v>
      </c>
      <c r="J857">
        <v>0.32</v>
      </c>
      <c r="K857">
        <v>3336.25</v>
      </c>
      <c r="L857" t="s">
        <v>35</v>
      </c>
      <c r="M857">
        <v>718</v>
      </c>
      <c r="N857">
        <v>0.53</v>
      </c>
      <c r="O857" s="3">
        <v>690.54</v>
      </c>
      <c r="P857" s="3">
        <v>0.18</v>
      </c>
      <c r="Q857" s="3">
        <v>275.01</v>
      </c>
      <c r="R857" s="3">
        <v>7.0000000000000007E-2</v>
      </c>
      <c r="S857">
        <v>7</v>
      </c>
      <c r="T857">
        <v>818.54</v>
      </c>
      <c r="U857">
        <v>86</v>
      </c>
      <c r="V857">
        <v>0</v>
      </c>
      <c r="W857">
        <v>562.32000000000005</v>
      </c>
      <c r="X857">
        <v>2412.9699999999998</v>
      </c>
      <c r="Y857" t="s">
        <v>36</v>
      </c>
      <c r="Z857" s="3">
        <v>1326.91</v>
      </c>
      <c r="AA857" t="s">
        <v>47</v>
      </c>
      <c r="AB857" t="s">
        <v>33</v>
      </c>
      <c r="AC857">
        <v>53.4</v>
      </c>
      <c r="AD857" t="s">
        <v>38</v>
      </c>
      <c r="AE857">
        <v>0</v>
      </c>
      <c r="AF857">
        <v>0</v>
      </c>
    </row>
    <row r="858" spans="3:32" x14ac:dyDescent="0.35">
      <c r="C858" s="1">
        <v>43976</v>
      </c>
      <c r="D858" s="2">
        <v>43952</v>
      </c>
      <c r="E858">
        <v>1286</v>
      </c>
      <c r="F858" s="3">
        <v>5753.34</v>
      </c>
      <c r="G858" s="3">
        <v>3238.35</v>
      </c>
      <c r="H858" s="3">
        <v>2514.9899999999998</v>
      </c>
      <c r="I858" s="3">
        <v>0.56000000000000005</v>
      </c>
      <c r="J858">
        <v>0.38</v>
      </c>
      <c r="K858">
        <v>2607.6</v>
      </c>
      <c r="L858" t="s">
        <v>35</v>
      </c>
      <c r="M858">
        <v>682</v>
      </c>
      <c r="N858">
        <v>0.26</v>
      </c>
      <c r="O858" s="3">
        <v>487.83</v>
      </c>
      <c r="P858" s="3">
        <v>0.08</v>
      </c>
      <c r="Q858" s="3">
        <v>296.7</v>
      </c>
      <c r="R858" s="3">
        <v>0.05</v>
      </c>
      <c r="S858">
        <v>7</v>
      </c>
      <c r="T858">
        <v>1258.3900000000001</v>
      </c>
      <c r="U858">
        <v>77</v>
      </c>
      <c r="V858">
        <v>0</v>
      </c>
      <c r="W858">
        <v>804.12</v>
      </c>
      <c r="X858">
        <v>2517.02</v>
      </c>
      <c r="Y858" t="s">
        <v>36</v>
      </c>
      <c r="Z858" s="3">
        <v>1359.53</v>
      </c>
      <c r="AA858" t="s">
        <v>46</v>
      </c>
      <c r="AB858" t="s">
        <v>33</v>
      </c>
      <c r="AC858">
        <v>95.8</v>
      </c>
      <c r="AD858" t="s">
        <v>43</v>
      </c>
      <c r="AE858">
        <v>2514.9899999999998</v>
      </c>
      <c r="AF858">
        <v>0</v>
      </c>
    </row>
    <row r="859" spans="3:32" x14ac:dyDescent="0.35">
      <c r="C859" s="1">
        <v>43976</v>
      </c>
      <c r="D859" s="2">
        <v>43952</v>
      </c>
      <c r="E859">
        <v>1529</v>
      </c>
      <c r="F859" s="3">
        <v>4708.46</v>
      </c>
      <c r="G859" s="3">
        <v>3533.97</v>
      </c>
      <c r="H859" s="3">
        <v>1174.49</v>
      </c>
      <c r="I859" s="3">
        <v>0.75</v>
      </c>
      <c r="J859">
        <v>0.37</v>
      </c>
      <c r="K859">
        <v>2535.7800000000002</v>
      </c>
      <c r="L859" t="s">
        <v>35</v>
      </c>
      <c r="M859">
        <v>697</v>
      </c>
      <c r="N859">
        <v>0.36</v>
      </c>
      <c r="O859" s="3">
        <v>783.58</v>
      </c>
      <c r="P859" s="3">
        <v>0.17</v>
      </c>
      <c r="Q859" s="3">
        <v>0</v>
      </c>
      <c r="R859" s="3">
        <v>0</v>
      </c>
      <c r="S859">
        <v>3</v>
      </c>
      <c r="T859">
        <v>709.75</v>
      </c>
      <c r="U859">
        <v>61</v>
      </c>
      <c r="V859">
        <v>0</v>
      </c>
      <c r="W859">
        <v>690.13</v>
      </c>
      <c r="X859">
        <v>2430.7399999999998</v>
      </c>
      <c r="Y859" t="s">
        <v>36</v>
      </c>
      <c r="Z859" s="3">
        <v>1152.6500000000001</v>
      </c>
      <c r="AA859" t="s">
        <v>50</v>
      </c>
      <c r="AB859" t="s">
        <v>33</v>
      </c>
      <c r="AC859">
        <v>20.8</v>
      </c>
      <c r="AD859" t="s">
        <v>34</v>
      </c>
      <c r="AE859">
        <v>1174.49</v>
      </c>
      <c r="AF859">
        <v>0</v>
      </c>
    </row>
    <row r="860" spans="3:32" x14ac:dyDescent="0.35">
      <c r="C860" s="1">
        <v>43976</v>
      </c>
      <c r="D860" s="2">
        <v>43952</v>
      </c>
      <c r="E860">
        <v>1692</v>
      </c>
      <c r="F860" s="3">
        <v>3353.89</v>
      </c>
      <c r="G860" s="3">
        <v>2721.3</v>
      </c>
      <c r="H860" s="3">
        <v>632.59</v>
      </c>
      <c r="I860" s="3">
        <v>0.81</v>
      </c>
      <c r="J860">
        <v>0.34</v>
      </c>
      <c r="K860">
        <v>2831.99</v>
      </c>
      <c r="L860" t="s">
        <v>35</v>
      </c>
      <c r="M860">
        <v>678</v>
      </c>
      <c r="N860">
        <v>0.54</v>
      </c>
      <c r="O860" s="3">
        <v>753.89</v>
      </c>
      <c r="P860" s="3">
        <v>0.22</v>
      </c>
      <c r="Q860" s="3">
        <v>316.05</v>
      </c>
      <c r="R860" s="3">
        <v>0.09</v>
      </c>
      <c r="S860">
        <v>5</v>
      </c>
      <c r="T860">
        <v>934.71</v>
      </c>
      <c r="U860">
        <v>35</v>
      </c>
      <c r="V860">
        <v>0</v>
      </c>
      <c r="W860">
        <v>513.63</v>
      </c>
      <c r="X860">
        <v>1301.67</v>
      </c>
      <c r="Y860" t="s">
        <v>31</v>
      </c>
      <c r="Z860" s="3">
        <v>1414.77</v>
      </c>
      <c r="AA860" t="s">
        <v>47</v>
      </c>
      <c r="AB860" t="s">
        <v>33</v>
      </c>
      <c r="AC860">
        <v>70</v>
      </c>
      <c r="AD860" t="s">
        <v>38</v>
      </c>
      <c r="AE860">
        <v>632.59</v>
      </c>
      <c r="AF860">
        <v>0</v>
      </c>
    </row>
    <row r="861" spans="3:32" x14ac:dyDescent="0.35">
      <c r="C861" s="1">
        <v>43976</v>
      </c>
      <c r="D861" s="2">
        <v>43952</v>
      </c>
      <c r="E861">
        <v>1543</v>
      </c>
      <c r="F861" s="3">
        <v>4448.12</v>
      </c>
      <c r="G861" s="3">
        <v>2677.72</v>
      </c>
      <c r="H861" s="3">
        <v>1770.4</v>
      </c>
      <c r="I861" s="3">
        <v>0.6</v>
      </c>
      <c r="J861">
        <v>0.27</v>
      </c>
      <c r="K861">
        <v>2309.8000000000002</v>
      </c>
      <c r="L861" t="s">
        <v>35</v>
      </c>
      <c r="M861">
        <v>797</v>
      </c>
      <c r="N861">
        <v>0.44</v>
      </c>
      <c r="O861" s="3">
        <v>366.82</v>
      </c>
      <c r="P861" s="3">
        <v>0.08</v>
      </c>
      <c r="Q861" s="3">
        <v>553.58000000000004</v>
      </c>
      <c r="R861" s="3">
        <v>0.12</v>
      </c>
      <c r="S861">
        <v>2</v>
      </c>
      <c r="T861">
        <v>834.51</v>
      </c>
      <c r="U861">
        <v>93</v>
      </c>
      <c r="V861">
        <v>0</v>
      </c>
      <c r="W861">
        <v>877.83</v>
      </c>
      <c r="X861">
        <v>2917.2</v>
      </c>
      <c r="Y861" t="s">
        <v>31</v>
      </c>
      <c r="Z861" s="3">
        <v>1324.87</v>
      </c>
      <c r="AA861" t="s">
        <v>45</v>
      </c>
      <c r="AB861" t="s">
        <v>33</v>
      </c>
      <c r="AC861">
        <v>90.5</v>
      </c>
      <c r="AD861" t="s">
        <v>38</v>
      </c>
      <c r="AE861">
        <v>1770.4</v>
      </c>
      <c r="AF861">
        <v>0</v>
      </c>
    </row>
    <row r="862" spans="3:32" x14ac:dyDescent="0.35">
      <c r="C862" s="1">
        <v>43976</v>
      </c>
      <c r="D862" s="2">
        <v>43952</v>
      </c>
      <c r="E862">
        <v>1524</v>
      </c>
      <c r="F862" s="3">
        <v>4703.43</v>
      </c>
      <c r="G862" s="3">
        <v>4581.72</v>
      </c>
      <c r="H862" s="3">
        <v>121.71</v>
      </c>
      <c r="I862" s="3">
        <v>0.97</v>
      </c>
      <c r="J862">
        <v>0.31</v>
      </c>
      <c r="K862">
        <v>3193.16</v>
      </c>
      <c r="L862" t="s">
        <v>35</v>
      </c>
      <c r="M862">
        <v>680</v>
      </c>
      <c r="N862">
        <v>0.35</v>
      </c>
      <c r="O862" s="3">
        <v>630.80999999999995</v>
      </c>
      <c r="P862" s="3">
        <v>0.13</v>
      </c>
      <c r="Q862" s="3">
        <v>1288.24</v>
      </c>
      <c r="R862" s="3">
        <v>0.27</v>
      </c>
      <c r="S862">
        <v>4</v>
      </c>
      <c r="T862">
        <v>1066.51</v>
      </c>
      <c r="U862">
        <v>59</v>
      </c>
      <c r="V862">
        <v>0</v>
      </c>
      <c r="W862">
        <v>473.21</v>
      </c>
      <c r="X862">
        <v>2219.56</v>
      </c>
      <c r="Y862" t="s">
        <v>36</v>
      </c>
      <c r="Z862" s="3">
        <v>1673.28</v>
      </c>
      <c r="AA862" t="s">
        <v>45</v>
      </c>
      <c r="AB862" t="s">
        <v>42</v>
      </c>
      <c r="AC862">
        <v>45</v>
      </c>
      <c r="AD862" t="s">
        <v>43</v>
      </c>
      <c r="AE862">
        <v>121.71</v>
      </c>
      <c r="AF862">
        <v>0</v>
      </c>
    </row>
    <row r="863" spans="3:32" x14ac:dyDescent="0.35">
      <c r="C863" s="1">
        <v>43976</v>
      </c>
      <c r="D863" s="2">
        <v>43952</v>
      </c>
      <c r="E863">
        <v>1252</v>
      </c>
      <c r="F863" s="3">
        <v>4358.1499999999996</v>
      </c>
      <c r="G863" s="3">
        <v>1107.05</v>
      </c>
      <c r="H863" s="3">
        <v>3251.1</v>
      </c>
      <c r="I863" s="3">
        <v>0.25</v>
      </c>
      <c r="J863">
        <v>0.08</v>
      </c>
      <c r="K863">
        <v>1901.55</v>
      </c>
      <c r="L863" t="s">
        <v>30</v>
      </c>
      <c r="M863">
        <v>664</v>
      </c>
      <c r="N863">
        <v>0.37</v>
      </c>
      <c r="O863" s="3">
        <v>696.93</v>
      </c>
      <c r="P863" s="3">
        <v>0.16</v>
      </c>
      <c r="Q863" s="3">
        <v>427.17</v>
      </c>
      <c r="R863" s="3">
        <v>0.1</v>
      </c>
      <c r="S863">
        <v>9</v>
      </c>
      <c r="T863">
        <v>1076.1600000000001</v>
      </c>
      <c r="U863">
        <v>93</v>
      </c>
      <c r="V863">
        <v>0</v>
      </c>
      <c r="W863">
        <v>566.45000000000005</v>
      </c>
      <c r="X863">
        <v>2941.9</v>
      </c>
      <c r="Y863" t="s">
        <v>36</v>
      </c>
      <c r="Z863" s="3">
        <v>1520.21</v>
      </c>
      <c r="AA863" t="s">
        <v>50</v>
      </c>
      <c r="AB863" t="s">
        <v>33</v>
      </c>
      <c r="AC863">
        <v>42.1</v>
      </c>
      <c r="AD863" t="s">
        <v>34</v>
      </c>
      <c r="AE863">
        <v>3251.1</v>
      </c>
      <c r="AF863">
        <v>1</v>
      </c>
    </row>
    <row r="864" spans="3:32" x14ac:dyDescent="0.35">
      <c r="C864" s="1">
        <v>43976</v>
      </c>
      <c r="D864" s="2">
        <v>43952</v>
      </c>
      <c r="E864">
        <v>1459</v>
      </c>
      <c r="F864" s="3">
        <v>6190.28</v>
      </c>
      <c r="G864" s="3">
        <v>3125.66</v>
      </c>
      <c r="H864" s="3">
        <v>3064.62</v>
      </c>
      <c r="I864" s="3">
        <v>0.5</v>
      </c>
      <c r="J864">
        <v>0.22</v>
      </c>
      <c r="K864">
        <v>2272.3000000000002</v>
      </c>
      <c r="L864" t="s">
        <v>35</v>
      </c>
      <c r="M864">
        <v>677</v>
      </c>
      <c r="N864">
        <v>0.22</v>
      </c>
      <c r="O864" s="3">
        <v>459.49</v>
      </c>
      <c r="P864" s="3">
        <v>7.0000000000000007E-2</v>
      </c>
      <c r="Q864" s="3">
        <v>653.91999999999996</v>
      </c>
      <c r="R864" s="3">
        <v>0.11</v>
      </c>
      <c r="S864">
        <v>1</v>
      </c>
      <c r="T864">
        <v>1830.59</v>
      </c>
      <c r="U864">
        <v>98</v>
      </c>
      <c r="V864">
        <v>0</v>
      </c>
      <c r="W864">
        <v>490.83</v>
      </c>
      <c r="X864">
        <v>2738.41</v>
      </c>
      <c r="Y864" t="s">
        <v>31</v>
      </c>
      <c r="Z864" s="3">
        <v>971.23</v>
      </c>
      <c r="AA864" t="s">
        <v>47</v>
      </c>
      <c r="AB864" t="s">
        <v>33</v>
      </c>
      <c r="AC864">
        <v>41.5</v>
      </c>
      <c r="AD864" t="s">
        <v>34</v>
      </c>
      <c r="AE864">
        <v>3064.62</v>
      </c>
      <c r="AF864">
        <v>1</v>
      </c>
    </row>
    <row r="865" spans="3:32" x14ac:dyDescent="0.35">
      <c r="C865" s="1">
        <v>43976</v>
      </c>
      <c r="D865" s="2">
        <v>43952</v>
      </c>
      <c r="E865">
        <v>1127</v>
      </c>
      <c r="F865" s="3">
        <v>5677.78</v>
      </c>
      <c r="G865" s="3">
        <v>3404.97</v>
      </c>
      <c r="H865" s="3">
        <v>2272.81</v>
      </c>
      <c r="I865" s="3">
        <v>0.6</v>
      </c>
      <c r="J865">
        <v>0.38</v>
      </c>
      <c r="K865">
        <v>2677.7</v>
      </c>
      <c r="L865" t="s">
        <v>30</v>
      </c>
      <c r="M865">
        <v>663</v>
      </c>
      <c r="N865">
        <v>0.3</v>
      </c>
      <c r="O865" s="3">
        <v>300.58</v>
      </c>
      <c r="P865" s="3">
        <v>0.05</v>
      </c>
      <c r="Q865" s="3">
        <v>168.99</v>
      </c>
      <c r="R865" s="3">
        <v>0.03</v>
      </c>
      <c r="S865">
        <v>9</v>
      </c>
      <c r="T865">
        <v>977.87</v>
      </c>
      <c r="U865">
        <v>68</v>
      </c>
      <c r="V865">
        <v>0</v>
      </c>
      <c r="W865">
        <v>843.47</v>
      </c>
      <c r="X865">
        <v>2441.8200000000002</v>
      </c>
      <c r="Y865" t="s">
        <v>36</v>
      </c>
      <c r="Z865" s="3">
        <v>910.48</v>
      </c>
      <c r="AA865" t="s">
        <v>47</v>
      </c>
      <c r="AB865" t="s">
        <v>33</v>
      </c>
      <c r="AC865">
        <v>34.799999999999997</v>
      </c>
      <c r="AD865" t="s">
        <v>34</v>
      </c>
      <c r="AE865">
        <v>2272.81</v>
      </c>
      <c r="AF865">
        <v>0</v>
      </c>
    </row>
    <row r="866" spans="3:32" x14ac:dyDescent="0.35">
      <c r="C866" s="1">
        <v>43976</v>
      </c>
      <c r="D866" s="2">
        <v>43952</v>
      </c>
      <c r="E866">
        <v>1100</v>
      </c>
      <c r="F866" s="3">
        <v>3965.82</v>
      </c>
      <c r="G866" s="3">
        <v>4953.4799999999996</v>
      </c>
      <c r="H866" s="3">
        <v>-987.66</v>
      </c>
      <c r="I866" s="3">
        <v>1.25</v>
      </c>
      <c r="J866">
        <v>0.21</v>
      </c>
      <c r="K866">
        <v>2769.08</v>
      </c>
      <c r="L866" t="s">
        <v>35</v>
      </c>
      <c r="M866">
        <v>583</v>
      </c>
      <c r="N866">
        <v>0.39</v>
      </c>
      <c r="O866" s="3">
        <v>397.29</v>
      </c>
      <c r="P866" s="3">
        <v>0.1</v>
      </c>
      <c r="Q866" s="3">
        <v>633.23</v>
      </c>
      <c r="R866" s="3">
        <v>0.16</v>
      </c>
      <c r="S866">
        <v>9</v>
      </c>
      <c r="T866">
        <v>562.98</v>
      </c>
      <c r="U866">
        <v>85</v>
      </c>
      <c r="V866">
        <v>0</v>
      </c>
      <c r="W866">
        <v>381.06</v>
      </c>
      <c r="X866">
        <v>3575.89</v>
      </c>
      <c r="Y866" t="s">
        <v>36</v>
      </c>
      <c r="Z866" s="3">
        <v>2116.54</v>
      </c>
      <c r="AA866" t="s">
        <v>40</v>
      </c>
      <c r="AB866" t="s">
        <v>42</v>
      </c>
      <c r="AC866">
        <v>31.2</v>
      </c>
      <c r="AD866" t="s">
        <v>43</v>
      </c>
      <c r="AE866">
        <v>0</v>
      </c>
      <c r="AF866">
        <v>0</v>
      </c>
    </row>
    <row r="867" spans="3:32" x14ac:dyDescent="0.35">
      <c r="C867" s="1">
        <v>43976</v>
      </c>
      <c r="D867" s="2">
        <v>43952</v>
      </c>
      <c r="E867">
        <v>1652</v>
      </c>
      <c r="F867" s="3">
        <v>3881.49</v>
      </c>
      <c r="G867" s="3">
        <v>3167.81</v>
      </c>
      <c r="H867" s="3">
        <v>713.68</v>
      </c>
      <c r="I867" s="3">
        <v>0.82</v>
      </c>
      <c r="J867">
        <v>0.05</v>
      </c>
      <c r="K867">
        <v>2643.11</v>
      </c>
      <c r="L867" t="s">
        <v>39</v>
      </c>
      <c r="M867">
        <v>705</v>
      </c>
      <c r="N867">
        <v>0.22</v>
      </c>
      <c r="O867" s="3">
        <v>239.12</v>
      </c>
      <c r="P867" s="3">
        <v>0.06</v>
      </c>
      <c r="Q867" s="3">
        <v>251.37</v>
      </c>
      <c r="R867" s="3">
        <v>0.06</v>
      </c>
      <c r="S867">
        <v>5</v>
      </c>
      <c r="T867">
        <v>295.57</v>
      </c>
      <c r="U867">
        <v>36</v>
      </c>
      <c r="V867">
        <v>0</v>
      </c>
      <c r="W867">
        <v>593.63</v>
      </c>
      <c r="X867">
        <v>1797.74</v>
      </c>
      <c r="Y867" t="s">
        <v>36</v>
      </c>
      <c r="Z867" s="3">
        <v>1822.98</v>
      </c>
      <c r="AA867" t="s">
        <v>40</v>
      </c>
      <c r="AB867" t="s">
        <v>42</v>
      </c>
      <c r="AC867">
        <v>98.8</v>
      </c>
      <c r="AD867" t="s">
        <v>34</v>
      </c>
      <c r="AE867">
        <v>713.68</v>
      </c>
      <c r="AF867">
        <v>0</v>
      </c>
    </row>
    <row r="868" spans="3:32" x14ac:dyDescent="0.35">
      <c r="C868" s="1">
        <v>43976</v>
      </c>
      <c r="D868" s="2">
        <v>43952</v>
      </c>
      <c r="E868">
        <v>1599</v>
      </c>
      <c r="F868" s="3">
        <v>4136.6099999999997</v>
      </c>
      <c r="G868" s="3">
        <v>2958.28</v>
      </c>
      <c r="H868" s="3">
        <v>1178.33</v>
      </c>
      <c r="I868" s="3">
        <v>0.72</v>
      </c>
      <c r="J868">
        <v>0.39</v>
      </c>
      <c r="K868">
        <v>3100.36</v>
      </c>
      <c r="L868" t="s">
        <v>30</v>
      </c>
      <c r="M868">
        <v>725</v>
      </c>
      <c r="N868">
        <v>0.45</v>
      </c>
      <c r="O868" s="3">
        <v>761.91</v>
      </c>
      <c r="P868" s="3">
        <v>0.18</v>
      </c>
      <c r="Q868" s="3">
        <v>399.58</v>
      </c>
      <c r="R868" s="3">
        <v>0.1</v>
      </c>
      <c r="S868">
        <v>1</v>
      </c>
      <c r="T868">
        <v>445.02</v>
      </c>
      <c r="U868">
        <v>84</v>
      </c>
      <c r="V868">
        <v>0</v>
      </c>
      <c r="W868">
        <v>458.94</v>
      </c>
      <c r="X868">
        <v>1893.77</v>
      </c>
      <c r="Y868" t="s">
        <v>49</v>
      </c>
      <c r="Z868" s="3">
        <v>1470.46</v>
      </c>
      <c r="AA868" t="s">
        <v>47</v>
      </c>
      <c r="AB868" t="s">
        <v>33</v>
      </c>
      <c r="AC868">
        <v>28</v>
      </c>
      <c r="AD868" t="s">
        <v>43</v>
      </c>
      <c r="AE868">
        <v>1178.33</v>
      </c>
      <c r="AF868">
        <v>0</v>
      </c>
    </row>
    <row r="869" spans="3:32" x14ac:dyDescent="0.35">
      <c r="C869" s="1">
        <v>43976</v>
      </c>
      <c r="D869" s="2">
        <v>43952</v>
      </c>
      <c r="E869">
        <v>1784</v>
      </c>
      <c r="F869" s="3">
        <v>4488.8500000000004</v>
      </c>
      <c r="G869" s="3">
        <v>4399.84</v>
      </c>
      <c r="H869" s="3">
        <v>89.01</v>
      </c>
      <c r="I869" s="3">
        <v>0.98</v>
      </c>
      <c r="J869">
        <v>0.39</v>
      </c>
      <c r="K869">
        <v>2360.5</v>
      </c>
      <c r="L869" t="s">
        <v>35</v>
      </c>
      <c r="M869">
        <v>714</v>
      </c>
      <c r="N869">
        <v>0.18</v>
      </c>
      <c r="O869" s="3">
        <v>809.59</v>
      </c>
      <c r="P869" s="3">
        <v>0.18</v>
      </c>
      <c r="Q869" s="3">
        <v>767.54</v>
      </c>
      <c r="R869" s="3">
        <v>0.17</v>
      </c>
      <c r="S869">
        <v>3</v>
      </c>
      <c r="T869">
        <v>1099.68</v>
      </c>
      <c r="U869">
        <v>71</v>
      </c>
      <c r="V869">
        <v>0</v>
      </c>
      <c r="W869">
        <v>380.14</v>
      </c>
      <c r="X869">
        <v>1474.65</v>
      </c>
      <c r="Y869" t="s">
        <v>36</v>
      </c>
      <c r="Z869" s="3">
        <v>1126.51</v>
      </c>
      <c r="AA869" t="s">
        <v>50</v>
      </c>
      <c r="AB869" t="s">
        <v>33</v>
      </c>
      <c r="AC869">
        <v>87.3</v>
      </c>
      <c r="AD869" t="s">
        <v>38</v>
      </c>
      <c r="AE869">
        <v>89.01</v>
      </c>
      <c r="AF869">
        <v>0</v>
      </c>
    </row>
    <row r="870" spans="3:32" x14ac:dyDescent="0.35">
      <c r="C870" s="1">
        <v>43976</v>
      </c>
      <c r="D870" s="2">
        <v>43952</v>
      </c>
      <c r="E870">
        <v>1140</v>
      </c>
      <c r="F870" s="3">
        <v>4695.57</v>
      </c>
      <c r="G870" s="3">
        <v>2806.19</v>
      </c>
      <c r="H870" s="3">
        <v>1889.38</v>
      </c>
      <c r="I870" s="3">
        <v>0.6</v>
      </c>
      <c r="J870">
        <v>0.1</v>
      </c>
      <c r="K870">
        <v>2240.5</v>
      </c>
      <c r="L870" t="s">
        <v>35</v>
      </c>
      <c r="M870">
        <v>715</v>
      </c>
      <c r="N870">
        <v>0.54</v>
      </c>
      <c r="O870" s="3">
        <v>336.8</v>
      </c>
      <c r="P870" s="3">
        <v>7.0000000000000007E-2</v>
      </c>
      <c r="Q870" s="3">
        <v>459</v>
      </c>
      <c r="R870" s="3">
        <v>0.1</v>
      </c>
      <c r="S870">
        <v>3</v>
      </c>
      <c r="T870">
        <v>602.27</v>
      </c>
      <c r="U870">
        <v>46</v>
      </c>
      <c r="V870">
        <v>0</v>
      </c>
      <c r="W870">
        <v>542.15</v>
      </c>
      <c r="X870">
        <v>1000</v>
      </c>
      <c r="Y870" t="s">
        <v>36</v>
      </c>
      <c r="Z870" s="3">
        <v>1370.82</v>
      </c>
      <c r="AA870" t="s">
        <v>48</v>
      </c>
      <c r="AB870" t="s">
        <v>33</v>
      </c>
      <c r="AC870">
        <v>69.900000000000006</v>
      </c>
      <c r="AD870" t="s">
        <v>34</v>
      </c>
      <c r="AE870">
        <v>1889.38</v>
      </c>
      <c r="AF870">
        <v>0</v>
      </c>
    </row>
    <row r="871" spans="3:32" x14ac:dyDescent="0.35">
      <c r="C871" s="1">
        <v>43976</v>
      </c>
      <c r="D871" s="2">
        <v>43952</v>
      </c>
      <c r="E871">
        <v>1052</v>
      </c>
      <c r="F871" s="3">
        <v>4385.47</v>
      </c>
      <c r="G871" s="3">
        <v>2898.22</v>
      </c>
      <c r="H871" s="3">
        <v>1487.25</v>
      </c>
      <c r="I871" s="3">
        <v>0.66</v>
      </c>
      <c r="J871">
        <v>0.19</v>
      </c>
      <c r="K871">
        <v>2321.21</v>
      </c>
      <c r="L871" t="s">
        <v>35</v>
      </c>
      <c r="M871">
        <v>638</v>
      </c>
      <c r="N871">
        <v>0.15</v>
      </c>
      <c r="O871" s="3">
        <v>127.53</v>
      </c>
      <c r="P871" s="3">
        <v>0.03</v>
      </c>
      <c r="Q871" s="3">
        <v>170.15</v>
      </c>
      <c r="R871" s="3">
        <v>0.04</v>
      </c>
      <c r="S871">
        <v>1</v>
      </c>
      <c r="T871">
        <v>299.77999999999997</v>
      </c>
      <c r="U871">
        <v>86</v>
      </c>
      <c r="V871">
        <v>0</v>
      </c>
      <c r="W871">
        <v>118.95</v>
      </c>
      <c r="X871">
        <v>2268.67</v>
      </c>
      <c r="Y871" t="s">
        <v>31</v>
      </c>
      <c r="Z871" s="3">
        <v>1713.51</v>
      </c>
      <c r="AA871" t="s">
        <v>48</v>
      </c>
      <c r="AB871" t="s">
        <v>33</v>
      </c>
      <c r="AC871">
        <v>46.9</v>
      </c>
      <c r="AD871" t="s">
        <v>34</v>
      </c>
      <c r="AE871">
        <v>1487.25</v>
      </c>
      <c r="AF871">
        <v>0</v>
      </c>
    </row>
    <row r="872" spans="3:32" x14ac:dyDescent="0.35">
      <c r="C872" s="1">
        <v>43976</v>
      </c>
      <c r="D872" s="2">
        <v>43952</v>
      </c>
      <c r="E872">
        <v>1763</v>
      </c>
      <c r="F872" s="3">
        <v>5136.21</v>
      </c>
      <c r="G872" s="3">
        <v>4502.0600000000004</v>
      </c>
      <c r="H872" s="3">
        <v>634.15</v>
      </c>
      <c r="I872" s="3">
        <v>0.88</v>
      </c>
      <c r="J872">
        <v>0.2</v>
      </c>
      <c r="K872">
        <v>2634.13</v>
      </c>
      <c r="L872" t="s">
        <v>30</v>
      </c>
      <c r="M872">
        <v>635</v>
      </c>
      <c r="N872">
        <v>0.53</v>
      </c>
      <c r="O872" s="3">
        <v>443.15</v>
      </c>
      <c r="P872" s="3">
        <v>0.09</v>
      </c>
      <c r="Q872" s="3">
        <v>320.49</v>
      </c>
      <c r="R872" s="3">
        <v>0.06</v>
      </c>
      <c r="S872">
        <v>7</v>
      </c>
      <c r="T872">
        <v>52.89</v>
      </c>
      <c r="U872">
        <v>43</v>
      </c>
      <c r="V872">
        <v>0</v>
      </c>
      <c r="W872">
        <v>473.34</v>
      </c>
      <c r="X872">
        <v>2388.88</v>
      </c>
      <c r="Y872" t="s">
        <v>36</v>
      </c>
      <c r="Z872" s="3">
        <v>823.84</v>
      </c>
      <c r="AA872" t="s">
        <v>48</v>
      </c>
      <c r="AB872" t="s">
        <v>33</v>
      </c>
      <c r="AC872">
        <v>31.8</v>
      </c>
      <c r="AD872" t="s">
        <v>34</v>
      </c>
      <c r="AE872">
        <v>634.15</v>
      </c>
      <c r="AF872">
        <v>0</v>
      </c>
    </row>
    <row r="873" spans="3:32" x14ac:dyDescent="0.35">
      <c r="C873" s="1">
        <v>43976</v>
      </c>
      <c r="D873" s="2">
        <v>43952</v>
      </c>
      <c r="E873">
        <v>1771</v>
      </c>
      <c r="F873" s="3">
        <v>3333.31</v>
      </c>
      <c r="G873" s="3">
        <v>2219.09</v>
      </c>
      <c r="H873" s="3">
        <v>1114.22</v>
      </c>
      <c r="I873" s="3">
        <v>0.67</v>
      </c>
      <c r="J873">
        <v>0.28999999999999998</v>
      </c>
      <c r="K873">
        <v>2310.84</v>
      </c>
      <c r="L873" t="s">
        <v>39</v>
      </c>
      <c r="M873">
        <v>733</v>
      </c>
      <c r="N873">
        <v>0.39</v>
      </c>
      <c r="O873" s="3">
        <v>424.62</v>
      </c>
      <c r="P873" s="3">
        <v>0.13</v>
      </c>
      <c r="Q873" s="3">
        <v>434.77</v>
      </c>
      <c r="R873" s="3">
        <v>0.13</v>
      </c>
      <c r="S873">
        <v>8</v>
      </c>
      <c r="T873">
        <v>1581.95</v>
      </c>
      <c r="U873">
        <v>72</v>
      </c>
      <c r="V873">
        <v>0</v>
      </c>
      <c r="W873">
        <v>397.04</v>
      </c>
      <c r="X873">
        <v>2706.59</v>
      </c>
      <c r="Y873" t="s">
        <v>31</v>
      </c>
      <c r="Z873" s="3">
        <v>789.24</v>
      </c>
      <c r="AA873" t="s">
        <v>45</v>
      </c>
      <c r="AB873" t="s">
        <v>42</v>
      </c>
      <c r="AC873">
        <v>51.6</v>
      </c>
      <c r="AD873" t="s">
        <v>43</v>
      </c>
      <c r="AE873">
        <v>1114.22</v>
      </c>
      <c r="AF873">
        <v>0</v>
      </c>
    </row>
    <row r="874" spans="3:32" x14ac:dyDescent="0.35">
      <c r="C874" s="1">
        <v>43976</v>
      </c>
      <c r="D874" s="2">
        <v>43952</v>
      </c>
      <c r="E874">
        <v>1493</v>
      </c>
      <c r="F874" s="3">
        <v>4804.53</v>
      </c>
      <c r="G874" s="3">
        <v>3627.08</v>
      </c>
      <c r="H874" s="3">
        <v>1177.45</v>
      </c>
      <c r="I874" s="3">
        <v>0.75</v>
      </c>
      <c r="J874">
        <v>0.3</v>
      </c>
      <c r="K874">
        <v>2574.2199999999998</v>
      </c>
      <c r="L874" t="s">
        <v>35</v>
      </c>
      <c r="M874">
        <v>694</v>
      </c>
      <c r="N874">
        <v>0.56999999999999995</v>
      </c>
      <c r="O874" s="3">
        <v>427.03</v>
      </c>
      <c r="P874" s="3">
        <v>0.09</v>
      </c>
      <c r="Q874" s="3">
        <v>579.98</v>
      </c>
      <c r="R874" s="3">
        <v>0.12</v>
      </c>
      <c r="S874">
        <v>8</v>
      </c>
      <c r="T874">
        <v>1146.3499999999999</v>
      </c>
      <c r="U874">
        <v>85</v>
      </c>
      <c r="V874">
        <v>0</v>
      </c>
      <c r="W874">
        <v>633.84</v>
      </c>
      <c r="X874">
        <v>2326.04</v>
      </c>
      <c r="Y874" t="s">
        <v>36</v>
      </c>
      <c r="Z874" s="3">
        <v>1385.96</v>
      </c>
      <c r="AA874" t="s">
        <v>45</v>
      </c>
      <c r="AB874" t="s">
        <v>42</v>
      </c>
      <c r="AC874">
        <v>4.9000000000000004</v>
      </c>
      <c r="AD874" t="s">
        <v>34</v>
      </c>
      <c r="AE874">
        <v>1177.45</v>
      </c>
      <c r="AF874">
        <v>0</v>
      </c>
    </row>
    <row r="875" spans="3:32" x14ac:dyDescent="0.35">
      <c r="C875" s="1">
        <v>43976</v>
      </c>
      <c r="D875" s="2">
        <v>43952</v>
      </c>
      <c r="E875">
        <v>1095</v>
      </c>
      <c r="F875" s="3">
        <v>3252.73</v>
      </c>
      <c r="G875" s="3">
        <v>3149.63</v>
      </c>
      <c r="H875" s="3">
        <v>103.1</v>
      </c>
      <c r="I875" s="3">
        <v>0.97</v>
      </c>
      <c r="J875">
        <v>0.16</v>
      </c>
      <c r="K875">
        <v>2463.61</v>
      </c>
      <c r="L875" t="s">
        <v>30</v>
      </c>
      <c r="M875">
        <v>673</v>
      </c>
      <c r="N875">
        <v>0.36</v>
      </c>
      <c r="O875" s="3">
        <v>679</v>
      </c>
      <c r="P875" s="3">
        <v>0.21</v>
      </c>
      <c r="Q875" s="3">
        <v>106.06</v>
      </c>
      <c r="R875" s="3">
        <v>0.03</v>
      </c>
      <c r="S875">
        <v>6</v>
      </c>
      <c r="T875">
        <v>1882.74</v>
      </c>
      <c r="U875">
        <v>81</v>
      </c>
      <c r="V875">
        <v>0</v>
      </c>
      <c r="W875">
        <v>586.62</v>
      </c>
      <c r="X875">
        <v>1586.28</v>
      </c>
      <c r="Y875" t="s">
        <v>36</v>
      </c>
      <c r="Z875" s="3">
        <v>1493.27</v>
      </c>
      <c r="AA875" t="s">
        <v>37</v>
      </c>
      <c r="AB875" t="s">
        <v>44</v>
      </c>
      <c r="AC875">
        <v>87.7</v>
      </c>
      <c r="AD875" t="s">
        <v>38</v>
      </c>
      <c r="AE875">
        <v>103.1</v>
      </c>
      <c r="AF875">
        <v>0</v>
      </c>
    </row>
    <row r="876" spans="3:32" x14ac:dyDescent="0.35">
      <c r="C876" s="1">
        <v>43976</v>
      </c>
      <c r="D876" s="2">
        <v>43952</v>
      </c>
      <c r="E876">
        <v>1602</v>
      </c>
      <c r="F876" s="3">
        <v>4255.3599999999997</v>
      </c>
      <c r="G876" s="3">
        <v>2536.66</v>
      </c>
      <c r="H876" s="3">
        <v>1718.7</v>
      </c>
      <c r="I876" s="3">
        <v>0.6</v>
      </c>
      <c r="J876">
        <v>0.08</v>
      </c>
      <c r="K876">
        <v>4030.24</v>
      </c>
      <c r="L876" t="s">
        <v>35</v>
      </c>
      <c r="M876">
        <v>664</v>
      </c>
      <c r="N876">
        <v>0.12</v>
      </c>
      <c r="O876" s="3">
        <v>416.59</v>
      </c>
      <c r="P876" s="3">
        <v>0.1</v>
      </c>
      <c r="Q876" s="3">
        <v>508.87</v>
      </c>
      <c r="R876" s="3">
        <v>0.12</v>
      </c>
      <c r="S876">
        <v>7</v>
      </c>
      <c r="T876">
        <v>1523.37</v>
      </c>
      <c r="U876">
        <v>27</v>
      </c>
      <c r="V876">
        <v>0</v>
      </c>
      <c r="W876">
        <v>391.51</v>
      </c>
      <c r="X876">
        <v>1397.49</v>
      </c>
      <c r="Y876" t="s">
        <v>36</v>
      </c>
      <c r="Z876" s="3">
        <v>1356.43</v>
      </c>
      <c r="AA876" t="s">
        <v>50</v>
      </c>
      <c r="AB876" t="s">
        <v>33</v>
      </c>
      <c r="AC876">
        <v>2.5</v>
      </c>
      <c r="AD876" t="s">
        <v>38</v>
      </c>
      <c r="AE876">
        <v>1718.7</v>
      </c>
      <c r="AF876">
        <v>0</v>
      </c>
    </row>
    <row r="877" spans="3:32" x14ac:dyDescent="0.35">
      <c r="C877" s="1">
        <v>43976</v>
      </c>
      <c r="D877" s="2">
        <v>43952</v>
      </c>
      <c r="E877">
        <v>1685</v>
      </c>
      <c r="F877" s="3">
        <v>4897.55</v>
      </c>
      <c r="G877" s="3">
        <v>2850.16</v>
      </c>
      <c r="H877" s="3">
        <v>2047.39</v>
      </c>
      <c r="I877" s="3">
        <v>0.57999999999999996</v>
      </c>
      <c r="J877">
        <v>0.2</v>
      </c>
      <c r="K877">
        <v>2293.4</v>
      </c>
      <c r="L877" t="s">
        <v>35</v>
      </c>
      <c r="M877">
        <v>612</v>
      </c>
      <c r="N877">
        <v>0.16</v>
      </c>
      <c r="O877" s="3">
        <v>619.21</v>
      </c>
      <c r="P877" s="3">
        <v>0.13</v>
      </c>
      <c r="Q877" s="3">
        <v>456.93</v>
      </c>
      <c r="R877" s="3">
        <v>0.09</v>
      </c>
      <c r="S877">
        <v>7</v>
      </c>
      <c r="T877">
        <v>1121.58</v>
      </c>
      <c r="U877">
        <v>75</v>
      </c>
      <c r="V877">
        <v>0</v>
      </c>
      <c r="W877">
        <v>573.15</v>
      </c>
      <c r="X877">
        <v>1888.39</v>
      </c>
      <c r="Y877" t="s">
        <v>36</v>
      </c>
      <c r="Z877" s="3">
        <v>1303.51</v>
      </c>
      <c r="AA877" t="s">
        <v>50</v>
      </c>
      <c r="AB877" t="s">
        <v>44</v>
      </c>
      <c r="AC877">
        <v>75.900000000000006</v>
      </c>
      <c r="AD877" t="s">
        <v>34</v>
      </c>
      <c r="AE877">
        <v>2047.39</v>
      </c>
      <c r="AF877">
        <v>0</v>
      </c>
    </row>
    <row r="878" spans="3:32" x14ac:dyDescent="0.35">
      <c r="C878" s="1">
        <v>43976</v>
      </c>
      <c r="D878" s="2">
        <v>43952</v>
      </c>
      <c r="E878">
        <v>1595</v>
      </c>
      <c r="F878" s="3">
        <v>4161.28</v>
      </c>
      <c r="G878" s="3">
        <v>2325.9499999999998</v>
      </c>
      <c r="H878" s="3">
        <v>1835.33</v>
      </c>
      <c r="I878" s="3">
        <v>0.56000000000000005</v>
      </c>
      <c r="J878">
        <v>0.34</v>
      </c>
      <c r="K878">
        <v>2739.99</v>
      </c>
      <c r="L878" t="s">
        <v>30</v>
      </c>
      <c r="M878">
        <v>534</v>
      </c>
      <c r="N878">
        <v>0.28999999999999998</v>
      </c>
      <c r="O878" s="3">
        <v>374.71</v>
      </c>
      <c r="P878" s="3">
        <v>0.09</v>
      </c>
      <c r="Q878" s="3">
        <v>558.16999999999996</v>
      </c>
      <c r="R878" s="3">
        <v>0.13</v>
      </c>
      <c r="S878">
        <v>3</v>
      </c>
      <c r="T878">
        <v>316.39</v>
      </c>
      <c r="U878">
        <v>57</v>
      </c>
      <c r="V878">
        <v>0</v>
      </c>
      <c r="W878">
        <v>335.98</v>
      </c>
      <c r="X878">
        <v>2826.47</v>
      </c>
      <c r="Y878" t="s">
        <v>36</v>
      </c>
      <c r="Z878" s="3">
        <v>858.22</v>
      </c>
      <c r="AA878" t="s">
        <v>47</v>
      </c>
      <c r="AB878" t="s">
        <v>33</v>
      </c>
      <c r="AC878">
        <v>60.2</v>
      </c>
      <c r="AD878" t="s">
        <v>34</v>
      </c>
      <c r="AE878">
        <v>1835.33</v>
      </c>
      <c r="AF878">
        <v>0</v>
      </c>
    </row>
    <row r="879" spans="3:32" x14ac:dyDescent="0.35">
      <c r="C879" s="1">
        <v>43976</v>
      </c>
      <c r="D879" s="2">
        <v>43952</v>
      </c>
      <c r="E879">
        <v>1588</v>
      </c>
      <c r="F879" s="3">
        <v>5608.86</v>
      </c>
      <c r="G879" s="3">
        <v>2150.71</v>
      </c>
      <c r="H879" s="3">
        <v>3458.15</v>
      </c>
      <c r="I879" s="3">
        <v>0.38</v>
      </c>
      <c r="J879">
        <v>0.16</v>
      </c>
      <c r="K879">
        <v>3184.14</v>
      </c>
      <c r="L879" t="s">
        <v>35</v>
      </c>
      <c r="M879">
        <v>653</v>
      </c>
      <c r="N879">
        <v>0.23</v>
      </c>
      <c r="O879" s="3">
        <v>223.14</v>
      </c>
      <c r="P879" s="3">
        <v>0.04</v>
      </c>
      <c r="Q879" s="3">
        <v>535.09</v>
      </c>
      <c r="R879" s="3">
        <v>0.1</v>
      </c>
      <c r="S879">
        <v>6</v>
      </c>
      <c r="T879">
        <v>600.66</v>
      </c>
      <c r="U879">
        <v>69</v>
      </c>
      <c r="V879">
        <v>0</v>
      </c>
      <c r="W879">
        <v>398.53</v>
      </c>
      <c r="X879">
        <v>2137.2199999999998</v>
      </c>
      <c r="Y879" t="s">
        <v>36</v>
      </c>
      <c r="Z879" s="3">
        <v>678.82</v>
      </c>
      <c r="AA879" t="s">
        <v>48</v>
      </c>
      <c r="AB879" t="s">
        <v>44</v>
      </c>
      <c r="AC879">
        <v>73.099999999999994</v>
      </c>
      <c r="AD879" t="s">
        <v>34</v>
      </c>
      <c r="AE879">
        <v>3458.15</v>
      </c>
      <c r="AF879">
        <v>1</v>
      </c>
    </row>
    <row r="880" spans="3:32" x14ac:dyDescent="0.35">
      <c r="C880" s="1">
        <v>43976</v>
      </c>
      <c r="D880" s="2">
        <v>43952</v>
      </c>
      <c r="E880">
        <v>1528</v>
      </c>
      <c r="F880" s="3">
        <v>7407.94</v>
      </c>
      <c r="G880" s="3">
        <v>3827.42</v>
      </c>
      <c r="H880" s="3">
        <v>3580.52</v>
      </c>
      <c r="I880" s="3">
        <v>0.52</v>
      </c>
      <c r="J880">
        <v>0.33</v>
      </c>
      <c r="K880">
        <v>2285.17</v>
      </c>
      <c r="L880" t="s">
        <v>39</v>
      </c>
      <c r="M880">
        <v>665</v>
      </c>
      <c r="N880">
        <v>0.17</v>
      </c>
      <c r="O880" s="3">
        <v>639.83000000000004</v>
      </c>
      <c r="P880" s="3">
        <v>0.09</v>
      </c>
      <c r="Q880" s="3">
        <v>322.43</v>
      </c>
      <c r="R880" s="3">
        <v>0.04</v>
      </c>
      <c r="S880">
        <v>2</v>
      </c>
      <c r="T880">
        <v>1430.18</v>
      </c>
      <c r="U880">
        <v>27</v>
      </c>
      <c r="V880">
        <v>0</v>
      </c>
      <c r="W880">
        <v>948.02</v>
      </c>
      <c r="X880">
        <v>2056.56</v>
      </c>
      <c r="Y880" t="s">
        <v>36</v>
      </c>
      <c r="Z880" s="3">
        <v>1663.48</v>
      </c>
      <c r="AA880" t="s">
        <v>50</v>
      </c>
      <c r="AB880" t="s">
        <v>33</v>
      </c>
      <c r="AC880">
        <v>51.7</v>
      </c>
      <c r="AD880" t="s">
        <v>34</v>
      </c>
      <c r="AE880">
        <v>3580.52</v>
      </c>
      <c r="AF880">
        <v>1</v>
      </c>
    </row>
    <row r="881" spans="3:32" x14ac:dyDescent="0.35">
      <c r="C881" s="1">
        <v>43976</v>
      </c>
      <c r="D881" s="2">
        <v>43952</v>
      </c>
      <c r="E881">
        <v>1811</v>
      </c>
      <c r="F881" s="3">
        <v>2473.08</v>
      </c>
      <c r="G881" s="3">
        <v>2430.52</v>
      </c>
      <c r="H881" s="3">
        <v>42.56</v>
      </c>
      <c r="I881" s="3">
        <v>0.98</v>
      </c>
      <c r="J881">
        <v>0.38</v>
      </c>
      <c r="K881">
        <v>3160.06</v>
      </c>
      <c r="L881" t="s">
        <v>35</v>
      </c>
      <c r="M881">
        <v>615</v>
      </c>
      <c r="N881">
        <v>0.56000000000000005</v>
      </c>
      <c r="O881" s="3">
        <v>381.69</v>
      </c>
      <c r="P881" s="3">
        <v>0.15</v>
      </c>
      <c r="Q881" s="3">
        <v>559.53</v>
      </c>
      <c r="R881" s="3">
        <v>0.23</v>
      </c>
      <c r="S881">
        <v>8</v>
      </c>
      <c r="T881">
        <v>227.19</v>
      </c>
      <c r="U881">
        <v>95</v>
      </c>
      <c r="V881">
        <v>0</v>
      </c>
      <c r="W881">
        <v>619.72</v>
      </c>
      <c r="X881">
        <v>1550.85</v>
      </c>
      <c r="Y881" t="s">
        <v>36</v>
      </c>
      <c r="Z881" s="3">
        <v>1091.69</v>
      </c>
      <c r="AA881" t="s">
        <v>45</v>
      </c>
      <c r="AB881" t="s">
        <v>33</v>
      </c>
      <c r="AC881">
        <v>29.5</v>
      </c>
      <c r="AD881" t="s">
        <v>43</v>
      </c>
      <c r="AE881">
        <v>42.56</v>
      </c>
      <c r="AF881">
        <v>0</v>
      </c>
    </row>
    <row r="882" spans="3:32" x14ac:dyDescent="0.35">
      <c r="C882" s="1">
        <v>43976</v>
      </c>
      <c r="D882" s="2">
        <v>43952</v>
      </c>
      <c r="E882">
        <v>1316</v>
      </c>
      <c r="F882" s="3">
        <v>4729.0200000000004</v>
      </c>
      <c r="G882" s="3">
        <v>4744.34</v>
      </c>
      <c r="H882" s="3">
        <v>-15.32</v>
      </c>
      <c r="I882" s="3">
        <v>1</v>
      </c>
      <c r="J882">
        <v>0.15</v>
      </c>
      <c r="K882">
        <v>2857.35</v>
      </c>
      <c r="L882" t="s">
        <v>35</v>
      </c>
      <c r="M882">
        <v>716</v>
      </c>
      <c r="N882">
        <v>0.13</v>
      </c>
      <c r="O882" s="3">
        <v>175.21</v>
      </c>
      <c r="P882" s="3">
        <v>0.04</v>
      </c>
      <c r="Q882" s="3">
        <v>93.45</v>
      </c>
      <c r="R882" s="3">
        <v>0.02</v>
      </c>
      <c r="S882">
        <v>4</v>
      </c>
      <c r="T882">
        <v>621.91</v>
      </c>
      <c r="U882">
        <v>83</v>
      </c>
      <c r="V882">
        <v>0</v>
      </c>
      <c r="W882">
        <v>420.68</v>
      </c>
      <c r="X882">
        <v>2694.59</v>
      </c>
      <c r="Y882" t="s">
        <v>36</v>
      </c>
      <c r="Z882" s="3">
        <v>300</v>
      </c>
      <c r="AA882" t="s">
        <v>50</v>
      </c>
      <c r="AB882" t="s">
        <v>33</v>
      </c>
      <c r="AC882">
        <v>11.6</v>
      </c>
      <c r="AD882" t="s">
        <v>43</v>
      </c>
      <c r="AE882">
        <v>0</v>
      </c>
      <c r="AF882">
        <v>0</v>
      </c>
    </row>
    <row r="883" spans="3:32" x14ac:dyDescent="0.35">
      <c r="C883" s="1">
        <v>43976</v>
      </c>
      <c r="D883" s="2">
        <v>43952</v>
      </c>
      <c r="E883">
        <v>1164</v>
      </c>
      <c r="F883" s="3">
        <v>4351.16</v>
      </c>
      <c r="G883" s="3">
        <v>2656.02</v>
      </c>
      <c r="H883" s="3">
        <v>1695.14</v>
      </c>
      <c r="I883" s="3">
        <v>0.61</v>
      </c>
      <c r="J883">
        <v>0.21</v>
      </c>
      <c r="K883">
        <v>3659.21</v>
      </c>
      <c r="L883" t="s">
        <v>35</v>
      </c>
      <c r="M883">
        <v>728</v>
      </c>
      <c r="N883">
        <v>0.6</v>
      </c>
      <c r="O883" s="3">
        <v>400.75</v>
      </c>
      <c r="P883" s="3">
        <v>0.09</v>
      </c>
      <c r="Q883" s="3">
        <v>559.34</v>
      </c>
      <c r="R883" s="3">
        <v>0.13</v>
      </c>
      <c r="S883">
        <v>8</v>
      </c>
      <c r="T883">
        <v>22.54</v>
      </c>
      <c r="U883">
        <v>59</v>
      </c>
      <c r="V883">
        <v>1</v>
      </c>
      <c r="W883">
        <v>420.08</v>
      </c>
      <c r="X883">
        <v>2376.71</v>
      </c>
      <c r="Y883" t="s">
        <v>31</v>
      </c>
      <c r="Z883" s="3">
        <v>364.3</v>
      </c>
      <c r="AA883" t="s">
        <v>37</v>
      </c>
      <c r="AB883" t="s">
        <v>33</v>
      </c>
      <c r="AC883">
        <v>28.2</v>
      </c>
      <c r="AD883" t="s">
        <v>43</v>
      </c>
      <c r="AE883">
        <v>1695.14</v>
      </c>
      <c r="AF883">
        <v>0</v>
      </c>
    </row>
    <row r="884" spans="3:32" x14ac:dyDescent="0.35">
      <c r="C884" s="1">
        <v>43976</v>
      </c>
      <c r="D884" s="2">
        <v>43952</v>
      </c>
      <c r="E884">
        <v>1696</v>
      </c>
      <c r="F884" s="3">
        <v>3630.66</v>
      </c>
      <c r="G884" s="3">
        <v>4270.29</v>
      </c>
      <c r="H884" s="3">
        <v>-639.63</v>
      </c>
      <c r="I884" s="3">
        <v>1.18</v>
      </c>
      <c r="J884">
        <v>0.18</v>
      </c>
      <c r="K884">
        <v>2689.16</v>
      </c>
      <c r="L884" t="s">
        <v>35</v>
      </c>
      <c r="M884">
        <v>663</v>
      </c>
      <c r="N884">
        <v>0.25</v>
      </c>
      <c r="O884" s="3">
        <v>861.83</v>
      </c>
      <c r="P884" s="3">
        <v>0.24</v>
      </c>
      <c r="Q884" s="3">
        <v>811.23</v>
      </c>
      <c r="R884" s="3">
        <v>0.22</v>
      </c>
      <c r="S884">
        <v>1</v>
      </c>
      <c r="T884">
        <v>1224.27</v>
      </c>
      <c r="U884">
        <v>30</v>
      </c>
      <c r="V884">
        <v>0</v>
      </c>
      <c r="W884">
        <v>686.64</v>
      </c>
      <c r="X884">
        <v>2087.13</v>
      </c>
      <c r="Y884" t="s">
        <v>36</v>
      </c>
      <c r="Z884" s="3">
        <v>1932.18</v>
      </c>
      <c r="AA884" t="s">
        <v>40</v>
      </c>
      <c r="AB884" t="s">
        <v>33</v>
      </c>
      <c r="AC884">
        <v>48.7</v>
      </c>
      <c r="AD884" t="s">
        <v>34</v>
      </c>
      <c r="AE884">
        <v>0</v>
      </c>
      <c r="AF884">
        <v>0</v>
      </c>
    </row>
    <row r="885" spans="3:32" x14ac:dyDescent="0.35">
      <c r="C885" s="1">
        <v>43976</v>
      </c>
      <c r="D885" s="2">
        <v>43952</v>
      </c>
      <c r="E885">
        <v>1637</v>
      </c>
      <c r="F885" s="3">
        <v>2916.51</v>
      </c>
      <c r="G885" s="3">
        <v>4177.55</v>
      </c>
      <c r="H885" s="3">
        <v>-1261.04</v>
      </c>
      <c r="I885" s="3">
        <v>1.43</v>
      </c>
      <c r="J885">
        <v>0.34</v>
      </c>
      <c r="K885">
        <v>2916.39</v>
      </c>
      <c r="L885" t="s">
        <v>39</v>
      </c>
      <c r="M885">
        <v>693</v>
      </c>
      <c r="N885">
        <v>0.13</v>
      </c>
      <c r="O885" s="3">
        <v>710.41</v>
      </c>
      <c r="P885" s="3">
        <v>0.24</v>
      </c>
      <c r="Q885" s="3">
        <v>519.05999999999995</v>
      </c>
      <c r="R885" s="3">
        <v>0.18</v>
      </c>
      <c r="S885">
        <v>9</v>
      </c>
      <c r="T885">
        <v>1927.13</v>
      </c>
      <c r="U885">
        <v>47</v>
      </c>
      <c r="V885">
        <v>1</v>
      </c>
      <c r="W885">
        <v>367.37</v>
      </c>
      <c r="X885">
        <v>2327.6799999999998</v>
      </c>
      <c r="Y885" t="s">
        <v>36</v>
      </c>
      <c r="Z885" s="3">
        <v>1142.5899999999999</v>
      </c>
      <c r="AA885" t="s">
        <v>40</v>
      </c>
      <c r="AB885" t="s">
        <v>44</v>
      </c>
      <c r="AC885">
        <v>12.5</v>
      </c>
      <c r="AD885" t="s">
        <v>34</v>
      </c>
      <c r="AE885">
        <v>0</v>
      </c>
      <c r="AF885">
        <v>0</v>
      </c>
    </row>
    <row r="886" spans="3:32" x14ac:dyDescent="0.35">
      <c r="C886" s="1">
        <v>43976</v>
      </c>
      <c r="D886" s="2">
        <v>43952</v>
      </c>
      <c r="E886">
        <v>1263</v>
      </c>
      <c r="F886" s="3">
        <v>3525.27</v>
      </c>
      <c r="G886" s="3">
        <v>2470.67</v>
      </c>
      <c r="H886" s="3">
        <v>1054.5999999999999</v>
      </c>
      <c r="I886" s="3">
        <v>0.7</v>
      </c>
      <c r="J886">
        <v>0.13</v>
      </c>
      <c r="K886">
        <v>3189.28</v>
      </c>
      <c r="L886" t="s">
        <v>35</v>
      </c>
      <c r="M886">
        <v>651</v>
      </c>
      <c r="N886">
        <v>0.45</v>
      </c>
      <c r="O886" s="3">
        <v>396.28</v>
      </c>
      <c r="P886" s="3">
        <v>0.11</v>
      </c>
      <c r="Q886" s="3">
        <v>691.77</v>
      </c>
      <c r="R886" s="3">
        <v>0.2</v>
      </c>
      <c r="S886">
        <v>2</v>
      </c>
      <c r="T886">
        <v>1137.2</v>
      </c>
      <c r="U886">
        <v>29</v>
      </c>
      <c r="V886">
        <v>0</v>
      </c>
      <c r="W886">
        <v>405.73</v>
      </c>
      <c r="X886">
        <v>1797.51</v>
      </c>
      <c r="Y886" t="s">
        <v>36</v>
      </c>
      <c r="Z886" s="3">
        <v>1787.33</v>
      </c>
      <c r="AA886" t="s">
        <v>48</v>
      </c>
      <c r="AB886" t="s">
        <v>42</v>
      </c>
      <c r="AC886">
        <v>35.700000000000003</v>
      </c>
      <c r="AD886" t="s">
        <v>34</v>
      </c>
      <c r="AE886">
        <v>1054.5999999999999</v>
      </c>
      <c r="AF886">
        <v>0</v>
      </c>
    </row>
    <row r="887" spans="3:32" x14ac:dyDescent="0.35">
      <c r="C887" s="1">
        <v>43976</v>
      </c>
      <c r="D887" s="2">
        <v>43952</v>
      </c>
      <c r="E887">
        <v>1901</v>
      </c>
      <c r="F887" s="3">
        <v>4156.47</v>
      </c>
      <c r="G887" s="3">
        <v>1722.33</v>
      </c>
      <c r="H887" s="3">
        <v>2434.14</v>
      </c>
      <c r="I887" s="3">
        <v>0.41</v>
      </c>
      <c r="J887">
        <v>0.39</v>
      </c>
      <c r="K887">
        <v>3209.03</v>
      </c>
      <c r="L887" t="s">
        <v>35</v>
      </c>
      <c r="M887">
        <v>778</v>
      </c>
      <c r="N887">
        <v>0.12</v>
      </c>
      <c r="O887" s="3">
        <v>457.74</v>
      </c>
      <c r="P887" s="3">
        <v>0.11</v>
      </c>
      <c r="Q887" s="3">
        <v>669.61</v>
      </c>
      <c r="R887" s="3">
        <v>0.16</v>
      </c>
      <c r="S887">
        <v>5</v>
      </c>
      <c r="T887">
        <v>424.24</v>
      </c>
      <c r="U887">
        <v>46</v>
      </c>
      <c r="V887">
        <v>0</v>
      </c>
      <c r="W887">
        <v>124.61</v>
      </c>
      <c r="X887">
        <v>2925.91</v>
      </c>
      <c r="Y887" t="s">
        <v>36</v>
      </c>
      <c r="Z887" s="3">
        <v>1003.64</v>
      </c>
      <c r="AA887" t="s">
        <v>48</v>
      </c>
      <c r="AB887" t="s">
        <v>44</v>
      </c>
      <c r="AC887">
        <v>99.8</v>
      </c>
      <c r="AD887" t="s">
        <v>38</v>
      </c>
      <c r="AE887">
        <v>2434.14</v>
      </c>
      <c r="AF887">
        <v>0</v>
      </c>
    </row>
    <row r="888" spans="3:32" x14ac:dyDescent="0.35">
      <c r="C888" s="1">
        <v>43976</v>
      </c>
      <c r="D888" s="2">
        <v>43952</v>
      </c>
      <c r="E888">
        <v>1607</v>
      </c>
      <c r="F888" s="3">
        <v>5324.06</v>
      </c>
      <c r="G888" s="3">
        <v>4003.59</v>
      </c>
      <c r="H888" s="3">
        <v>1320.47</v>
      </c>
      <c r="I888" s="3">
        <v>0.75</v>
      </c>
      <c r="J888">
        <v>0.36</v>
      </c>
      <c r="K888">
        <v>2537.7800000000002</v>
      </c>
      <c r="L888" t="s">
        <v>39</v>
      </c>
      <c r="M888">
        <v>721</v>
      </c>
      <c r="N888">
        <v>0.59</v>
      </c>
      <c r="O888" s="3">
        <v>716.59</v>
      </c>
      <c r="P888" s="3">
        <v>0.13</v>
      </c>
      <c r="Q888" s="3">
        <v>0</v>
      </c>
      <c r="R888" s="3">
        <v>0</v>
      </c>
      <c r="S888">
        <v>2</v>
      </c>
      <c r="T888">
        <v>1589.36</v>
      </c>
      <c r="U888">
        <v>42</v>
      </c>
      <c r="V888">
        <v>0</v>
      </c>
      <c r="W888">
        <v>385.69</v>
      </c>
      <c r="X888">
        <v>1301.48</v>
      </c>
      <c r="Y888" t="s">
        <v>36</v>
      </c>
      <c r="Z888" s="3">
        <v>1424.81</v>
      </c>
      <c r="AA888" t="s">
        <v>45</v>
      </c>
      <c r="AB888" t="s">
        <v>33</v>
      </c>
      <c r="AC888">
        <v>86.2</v>
      </c>
      <c r="AD888" t="s">
        <v>43</v>
      </c>
      <c r="AE888">
        <v>1320.47</v>
      </c>
      <c r="AF888">
        <v>0</v>
      </c>
    </row>
    <row r="889" spans="3:32" x14ac:dyDescent="0.35">
      <c r="C889" s="1">
        <v>43976</v>
      </c>
      <c r="D889" s="2">
        <v>43952</v>
      </c>
      <c r="E889">
        <v>1240</v>
      </c>
      <c r="F889" s="3">
        <v>6748.16</v>
      </c>
      <c r="G889" s="3">
        <v>2264.1</v>
      </c>
      <c r="H889" s="3">
        <v>4484.0600000000004</v>
      </c>
      <c r="I889" s="3">
        <v>0.34</v>
      </c>
      <c r="J889">
        <v>0.13</v>
      </c>
      <c r="K889">
        <v>2867.57</v>
      </c>
      <c r="L889" t="s">
        <v>35</v>
      </c>
      <c r="M889">
        <v>622</v>
      </c>
      <c r="N889">
        <v>0.31</v>
      </c>
      <c r="O889" s="3">
        <v>599.46</v>
      </c>
      <c r="P889" s="3">
        <v>0.09</v>
      </c>
      <c r="Q889" s="3">
        <v>349.02</v>
      </c>
      <c r="R889" s="3">
        <v>0.05</v>
      </c>
      <c r="S889">
        <v>2</v>
      </c>
      <c r="T889">
        <v>826.83</v>
      </c>
      <c r="U889">
        <v>78</v>
      </c>
      <c r="V889">
        <v>0</v>
      </c>
      <c r="W889">
        <v>416.16</v>
      </c>
      <c r="X889">
        <v>2437.41</v>
      </c>
      <c r="Y889" t="s">
        <v>36</v>
      </c>
      <c r="Z889" s="3">
        <v>1195.3</v>
      </c>
      <c r="AA889" t="s">
        <v>46</v>
      </c>
      <c r="AB889" t="s">
        <v>42</v>
      </c>
      <c r="AC889">
        <v>49.1</v>
      </c>
      <c r="AD889" t="s">
        <v>34</v>
      </c>
      <c r="AE889">
        <v>4484.0600000000004</v>
      </c>
      <c r="AF889">
        <v>1</v>
      </c>
    </row>
    <row r="890" spans="3:32" x14ac:dyDescent="0.35">
      <c r="C890" s="1">
        <v>43976</v>
      </c>
      <c r="D890" s="2">
        <v>43952</v>
      </c>
      <c r="E890">
        <v>1858</v>
      </c>
      <c r="F890" s="3">
        <v>3967.93</v>
      </c>
      <c r="G890" s="3">
        <v>3930.95</v>
      </c>
      <c r="H890" s="3">
        <v>36.979999999999997</v>
      </c>
      <c r="I890" s="3">
        <v>0.99</v>
      </c>
      <c r="J890">
        <v>0.33</v>
      </c>
      <c r="K890">
        <v>3717.77</v>
      </c>
      <c r="L890" t="s">
        <v>35</v>
      </c>
      <c r="M890">
        <v>703</v>
      </c>
      <c r="N890">
        <v>0.22</v>
      </c>
      <c r="O890" s="3">
        <v>433.48</v>
      </c>
      <c r="P890" s="3">
        <v>0.11</v>
      </c>
      <c r="Q890" s="3">
        <v>533.5</v>
      </c>
      <c r="R890" s="3">
        <v>0.13</v>
      </c>
      <c r="S890">
        <v>8</v>
      </c>
      <c r="T890">
        <v>1197.1199999999999</v>
      </c>
      <c r="U890">
        <v>38</v>
      </c>
      <c r="V890">
        <v>0</v>
      </c>
      <c r="W890">
        <v>933.12</v>
      </c>
      <c r="X890">
        <v>2354.67</v>
      </c>
      <c r="Y890" t="s">
        <v>31</v>
      </c>
      <c r="Z890" s="3">
        <v>1624.31</v>
      </c>
      <c r="AA890" t="s">
        <v>45</v>
      </c>
      <c r="AB890" t="s">
        <v>44</v>
      </c>
      <c r="AC890">
        <v>19.8</v>
      </c>
      <c r="AD890" t="s">
        <v>43</v>
      </c>
      <c r="AE890">
        <v>36.979999999999997</v>
      </c>
      <c r="AF890">
        <v>0</v>
      </c>
    </row>
    <row r="891" spans="3:32" x14ac:dyDescent="0.35">
      <c r="C891" s="1">
        <v>43976</v>
      </c>
      <c r="D891" s="2">
        <v>43952</v>
      </c>
      <c r="E891">
        <v>1973</v>
      </c>
      <c r="F891" s="3">
        <v>5243.49</v>
      </c>
      <c r="G891" s="3">
        <v>3053.65</v>
      </c>
      <c r="H891" s="3">
        <v>2189.84</v>
      </c>
      <c r="I891" s="3">
        <v>0.57999999999999996</v>
      </c>
      <c r="J891">
        <v>0.39</v>
      </c>
      <c r="K891">
        <v>2875.91</v>
      </c>
      <c r="L891" t="s">
        <v>35</v>
      </c>
      <c r="M891">
        <v>687</v>
      </c>
      <c r="N891">
        <v>0.45</v>
      </c>
      <c r="O891" s="3">
        <v>682.81</v>
      </c>
      <c r="P891" s="3">
        <v>0.13</v>
      </c>
      <c r="Q891" s="3">
        <v>435.91</v>
      </c>
      <c r="R891" s="3">
        <v>0.08</v>
      </c>
      <c r="S891">
        <v>4</v>
      </c>
      <c r="T891">
        <v>288.89999999999998</v>
      </c>
      <c r="U891">
        <v>96</v>
      </c>
      <c r="V891">
        <v>0</v>
      </c>
      <c r="W891">
        <v>483.98</v>
      </c>
      <c r="X891">
        <v>1467.65</v>
      </c>
      <c r="Y891" t="s">
        <v>36</v>
      </c>
      <c r="Z891" s="3">
        <v>1602.31</v>
      </c>
      <c r="AA891" t="s">
        <v>46</v>
      </c>
      <c r="AB891" t="s">
        <v>42</v>
      </c>
      <c r="AC891">
        <v>84.1</v>
      </c>
      <c r="AD891" t="s">
        <v>43</v>
      </c>
      <c r="AE891">
        <v>2189.84</v>
      </c>
      <c r="AF891">
        <v>0</v>
      </c>
    </row>
    <row r="892" spans="3:32" x14ac:dyDescent="0.35">
      <c r="C892" s="1">
        <v>43976</v>
      </c>
      <c r="D892" s="2">
        <v>43952</v>
      </c>
      <c r="E892">
        <v>1416</v>
      </c>
      <c r="F892" s="3">
        <v>4194.8</v>
      </c>
      <c r="G892" s="3">
        <v>3032.93</v>
      </c>
      <c r="H892" s="3">
        <v>1161.8699999999999</v>
      </c>
      <c r="I892" s="3">
        <v>0.72</v>
      </c>
      <c r="J892">
        <v>0.08</v>
      </c>
      <c r="K892">
        <v>1981.65</v>
      </c>
      <c r="L892" t="s">
        <v>30</v>
      </c>
      <c r="M892">
        <v>670</v>
      </c>
      <c r="N892">
        <v>0.36</v>
      </c>
      <c r="O892" s="3">
        <v>332.28</v>
      </c>
      <c r="P892" s="3">
        <v>0.08</v>
      </c>
      <c r="Q892" s="3">
        <v>358.07</v>
      </c>
      <c r="R892" s="3">
        <v>0.09</v>
      </c>
      <c r="S892">
        <v>4</v>
      </c>
      <c r="T892">
        <v>1586.8</v>
      </c>
      <c r="U892">
        <v>53</v>
      </c>
      <c r="V892">
        <v>0</v>
      </c>
      <c r="W892">
        <v>641.92999999999995</v>
      </c>
      <c r="X892">
        <v>2897.79</v>
      </c>
      <c r="Y892" t="s">
        <v>36</v>
      </c>
      <c r="Z892" s="3">
        <v>1111.7</v>
      </c>
      <c r="AA892" t="s">
        <v>46</v>
      </c>
      <c r="AB892" t="s">
        <v>33</v>
      </c>
      <c r="AC892">
        <v>4.5</v>
      </c>
      <c r="AD892" t="s">
        <v>34</v>
      </c>
      <c r="AE892">
        <v>1161.8699999999999</v>
      </c>
      <c r="AF892">
        <v>0</v>
      </c>
    </row>
    <row r="893" spans="3:32" x14ac:dyDescent="0.35">
      <c r="C893" s="1">
        <v>43976</v>
      </c>
      <c r="D893" s="2">
        <v>43952</v>
      </c>
      <c r="E893">
        <v>1477</v>
      </c>
      <c r="F893" s="3">
        <v>1932.33</v>
      </c>
      <c r="G893" s="3">
        <v>3059.31</v>
      </c>
      <c r="H893" s="3">
        <v>-1126.98</v>
      </c>
      <c r="I893" s="3">
        <v>1.58</v>
      </c>
      <c r="J893">
        <v>0.3</v>
      </c>
      <c r="K893">
        <v>2764.94</v>
      </c>
      <c r="L893" t="s">
        <v>39</v>
      </c>
      <c r="M893">
        <v>716</v>
      </c>
      <c r="N893">
        <v>0.55000000000000004</v>
      </c>
      <c r="O893" s="3">
        <v>638.65</v>
      </c>
      <c r="P893" s="3">
        <v>0.33</v>
      </c>
      <c r="Q893" s="3">
        <v>632.51</v>
      </c>
      <c r="R893" s="3">
        <v>0.33</v>
      </c>
      <c r="S893">
        <v>6</v>
      </c>
      <c r="T893">
        <v>826.66</v>
      </c>
      <c r="U893">
        <v>89</v>
      </c>
      <c r="V893">
        <v>0</v>
      </c>
      <c r="W893">
        <v>598.04999999999995</v>
      </c>
      <c r="X893">
        <v>2039.09</v>
      </c>
      <c r="Y893" t="s">
        <v>31</v>
      </c>
      <c r="Z893" s="3">
        <v>1190.0899999999999</v>
      </c>
      <c r="AA893" t="s">
        <v>37</v>
      </c>
      <c r="AB893" t="s">
        <v>44</v>
      </c>
      <c r="AC893">
        <v>69.5</v>
      </c>
      <c r="AD893" t="s">
        <v>34</v>
      </c>
      <c r="AE893">
        <v>0</v>
      </c>
      <c r="AF893">
        <v>0</v>
      </c>
    </row>
    <row r="894" spans="3:32" x14ac:dyDescent="0.35">
      <c r="C894" s="1">
        <v>43976</v>
      </c>
      <c r="D894" s="2">
        <v>43952</v>
      </c>
      <c r="E894">
        <v>1423</v>
      </c>
      <c r="F894" s="3">
        <v>1434.02</v>
      </c>
      <c r="G894" s="3">
        <v>2808.08</v>
      </c>
      <c r="H894" s="3">
        <v>-1374.06</v>
      </c>
      <c r="I894" s="3">
        <v>1.96</v>
      </c>
      <c r="J894">
        <v>0.16</v>
      </c>
      <c r="K894">
        <v>2953.07</v>
      </c>
      <c r="L894" t="s">
        <v>35</v>
      </c>
      <c r="M894">
        <v>609</v>
      </c>
      <c r="N894">
        <v>0.14000000000000001</v>
      </c>
      <c r="O894" s="3">
        <v>475.21</v>
      </c>
      <c r="P894" s="3">
        <v>0.33</v>
      </c>
      <c r="Q894" s="3">
        <v>259.06</v>
      </c>
      <c r="R894" s="3">
        <v>0.18</v>
      </c>
      <c r="S894">
        <v>4</v>
      </c>
      <c r="T894">
        <v>1339.73</v>
      </c>
      <c r="U894">
        <v>90</v>
      </c>
      <c r="V894">
        <v>0</v>
      </c>
      <c r="W894">
        <v>716.03</v>
      </c>
      <c r="X894">
        <v>1857.39</v>
      </c>
      <c r="Y894" t="s">
        <v>36</v>
      </c>
      <c r="Z894" s="3">
        <v>1869.73</v>
      </c>
      <c r="AA894" t="s">
        <v>32</v>
      </c>
      <c r="AB894" t="s">
        <v>33</v>
      </c>
      <c r="AC894">
        <v>95.6</v>
      </c>
      <c r="AD894" t="s">
        <v>34</v>
      </c>
      <c r="AE894">
        <v>0</v>
      </c>
      <c r="AF894">
        <v>0</v>
      </c>
    </row>
    <row r="895" spans="3:32" x14ac:dyDescent="0.35">
      <c r="C895" s="1">
        <v>43976</v>
      </c>
      <c r="D895" s="2">
        <v>43952</v>
      </c>
      <c r="E895">
        <v>1337</v>
      </c>
      <c r="F895" s="3">
        <v>1940.34</v>
      </c>
      <c r="G895" s="3">
        <v>4399.1099999999997</v>
      </c>
      <c r="H895" s="3">
        <v>-2458.77</v>
      </c>
      <c r="I895" s="3">
        <v>2.27</v>
      </c>
      <c r="J895">
        <v>0.38</v>
      </c>
      <c r="K895">
        <v>2491.4499999999998</v>
      </c>
      <c r="L895" t="s">
        <v>35</v>
      </c>
      <c r="M895">
        <v>633</v>
      </c>
      <c r="N895">
        <v>0.59</v>
      </c>
      <c r="O895" s="3">
        <v>831.11</v>
      </c>
      <c r="P895" s="3">
        <v>0.43</v>
      </c>
      <c r="Q895" s="3">
        <v>371.32</v>
      </c>
      <c r="R895" s="3">
        <v>0.19</v>
      </c>
      <c r="S895">
        <v>7</v>
      </c>
      <c r="T895">
        <v>1540.28</v>
      </c>
      <c r="U895">
        <v>91</v>
      </c>
      <c r="V895">
        <v>0</v>
      </c>
      <c r="W895">
        <v>325.17</v>
      </c>
      <c r="X895">
        <v>2237.63</v>
      </c>
      <c r="Y895" t="s">
        <v>36</v>
      </c>
      <c r="Z895" s="3">
        <v>1240.29</v>
      </c>
      <c r="AA895" t="s">
        <v>37</v>
      </c>
      <c r="AB895" t="s">
        <v>42</v>
      </c>
      <c r="AC895">
        <v>4.5999999999999996</v>
      </c>
      <c r="AD895" t="s">
        <v>43</v>
      </c>
      <c r="AE895">
        <v>0</v>
      </c>
      <c r="AF895">
        <v>0</v>
      </c>
    </row>
    <row r="896" spans="3:32" x14ac:dyDescent="0.35">
      <c r="C896" s="1">
        <v>43976</v>
      </c>
      <c r="D896" s="2">
        <v>43952</v>
      </c>
      <c r="E896">
        <v>1585</v>
      </c>
      <c r="F896" s="3">
        <v>2416.54</v>
      </c>
      <c r="G896" s="3">
        <v>3593.51</v>
      </c>
      <c r="H896" s="3">
        <v>-1176.97</v>
      </c>
      <c r="I896" s="3">
        <v>1.49</v>
      </c>
      <c r="J896">
        <v>0.31</v>
      </c>
      <c r="K896">
        <v>2950.47</v>
      </c>
      <c r="L896" t="s">
        <v>39</v>
      </c>
      <c r="M896">
        <v>813</v>
      </c>
      <c r="N896">
        <v>0.14000000000000001</v>
      </c>
      <c r="O896" s="3">
        <v>622.13</v>
      </c>
      <c r="P896" s="3">
        <v>0.26</v>
      </c>
      <c r="Q896" s="3">
        <v>664.18</v>
      </c>
      <c r="R896" s="3">
        <v>0.27</v>
      </c>
      <c r="S896">
        <v>9</v>
      </c>
      <c r="T896">
        <v>1144.8</v>
      </c>
      <c r="U896">
        <v>62</v>
      </c>
      <c r="V896">
        <v>0</v>
      </c>
      <c r="W896">
        <v>688.91</v>
      </c>
      <c r="X896">
        <v>1880.83</v>
      </c>
      <c r="Y896" t="s">
        <v>36</v>
      </c>
      <c r="Z896" s="3">
        <v>1496.4</v>
      </c>
      <c r="AA896" t="s">
        <v>48</v>
      </c>
      <c r="AB896" t="s">
        <v>33</v>
      </c>
      <c r="AC896">
        <v>67</v>
      </c>
      <c r="AD896" t="s">
        <v>38</v>
      </c>
      <c r="AE896">
        <v>0</v>
      </c>
      <c r="AF896">
        <v>0</v>
      </c>
    </row>
    <row r="897" spans="3:32" x14ac:dyDescent="0.35">
      <c r="C897" s="1">
        <v>43976</v>
      </c>
      <c r="D897" s="2">
        <v>43952</v>
      </c>
      <c r="E897">
        <v>1343</v>
      </c>
      <c r="F897" s="3">
        <v>5347.98</v>
      </c>
      <c r="G897" s="3">
        <v>3127.12</v>
      </c>
      <c r="H897" s="3">
        <v>2220.86</v>
      </c>
      <c r="I897" s="3">
        <v>0.57999999999999996</v>
      </c>
      <c r="J897">
        <v>0.38</v>
      </c>
      <c r="K897">
        <v>2091.29</v>
      </c>
      <c r="L897" t="s">
        <v>35</v>
      </c>
      <c r="M897">
        <v>686</v>
      </c>
      <c r="N897">
        <v>0.48</v>
      </c>
      <c r="O897" s="3">
        <v>830.49</v>
      </c>
      <c r="P897" s="3">
        <v>0.16</v>
      </c>
      <c r="Q897" s="3">
        <v>121.27</v>
      </c>
      <c r="R897" s="3">
        <v>0.02</v>
      </c>
      <c r="S897">
        <v>2</v>
      </c>
      <c r="T897">
        <v>994.79</v>
      </c>
      <c r="U897">
        <v>68</v>
      </c>
      <c r="V897">
        <v>0</v>
      </c>
      <c r="W897">
        <v>545.33000000000004</v>
      </c>
      <c r="X897">
        <v>3026.19</v>
      </c>
      <c r="Y897" t="s">
        <v>36</v>
      </c>
      <c r="Z897" s="3">
        <v>1135.3499999999999</v>
      </c>
      <c r="AA897" t="s">
        <v>51</v>
      </c>
      <c r="AB897" t="s">
        <v>33</v>
      </c>
      <c r="AC897">
        <v>81.8</v>
      </c>
      <c r="AD897" t="s">
        <v>43</v>
      </c>
      <c r="AE897">
        <v>2220.86</v>
      </c>
      <c r="AF897">
        <v>1</v>
      </c>
    </row>
    <row r="898" spans="3:32" x14ac:dyDescent="0.35">
      <c r="C898" s="1">
        <v>43976</v>
      </c>
      <c r="D898" s="2">
        <v>43952</v>
      </c>
      <c r="E898">
        <v>1261</v>
      </c>
      <c r="F898" s="3">
        <v>4122.67</v>
      </c>
      <c r="G898" s="3">
        <v>4323.12</v>
      </c>
      <c r="H898" s="3">
        <v>-200.45</v>
      </c>
      <c r="I898" s="3">
        <v>1.05</v>
      </c>
      <c r="J898">
        <v>0.06</v>
      </c>
      <c r="K898">
        <v>2857.97</v>
      </c>
      <c r="L898" t="s">
        <v>30</v>
      </c>
      <c r="M898">
        <v>685</v>
      </c>
      <c r="N898">
        <v>0.52</v>
      </c>
      <c r="O898" s="3">
        <v>720.77</v>
      </c>
      <c r="P898" s="3">
        <v>0.17</v>
      </c>
      <c r="Q898" s="3">
        <v>480.23</v>
      </c>
      <c r="R898" s="3">
        <v>0.12</v>
      </c>
      <c r="S898">
        <v>4</v>
      </c>
      <c r="T898">
        <v>541.69000000000005</v>
      </c>
      <c r="U898">
        <v>58</v>
      </c>
      <c r="V898">
        <v>0</v>
      </c>
      <c r="W898">
        <v>688.68</v>
      </c>
      <c r="X898">
        <v>2639.44</v>
      </c>
      <c r="Y898" t="s">
        <v>36</v>
      </c>
      <c r="Z898" s="3">
        <v>720.33</v>
      </c>
      <c r="AA898" t="s">
        <v>48</v>
      </c>
      <c r="AB898" t="s">
        <v>42</v>
      </c>
      <c r="AC898">
        <v>95.7</v>
      </c>
      <c r="AD898" t="s">
        <v>34</v>
      </c>
      <c r="AE898">
        <v>0</v>
      </c>
      <c r="AF898">
        <v>0</v>
      </c>
    </row>
    <row r="899" spans="3:32" x14ac:dyDescent="0.35">
      <c r="C899" s="1">
        <v>43976</v>
      </c>
      <c r="D899" s="2">
        <v>43952</v>
      </c>
      <c r="E899">
        <v>1619</v>
      </c>
      <c r="F899" s="3">
        <v>3910.25</v>
      </c>
      <c r="G899" s="3">
        <v>2312.9499999999998</v>
      </c>
      <c r="H899" s="3">
        <v>1597.3</v>
      </c>
      <c r="I899" s="3">
        <v>0.59</v>
      </c>
      <c r="J899">
        <v>0.31</v>
      </c>
      <c r="K899">
        <v>2256.79</v>
      </c>
      <c r="L899" t="s">
        <v>39</v>
      </c>
      <c r="M899">
        <v>710</v>
      </c>
      <c r="N899">
        <v>0.54</v>
      </c>
      <c r="O899" s="3">
        <v>592.73</v>
      </c>
      <c r="P899" s="3">
        <v>0.15</v>
      </c>
      <c r="Q899" s="3">
        <v>324.49</v>
      </c>
      <c r="R899" s="3">
        <v>0.08</v>
      </c>
      <c r="S899">
        <v>8</v>
      </c>
      <c r="T899">
        <v>1198.1099999999999</v>
      </c>
      <c r="U899">
        <v>91</v>
      </c>
      <c r="V899">
        <v>0</v>
      </c>
      <c r="W899">
        <v>417.42</v>
      </c>
      <c r="X899">
        <v>3314.53</v>
      </c>
      <c r="Y899" t="s">
        <v>36</v>
      </c>
      <c r="Z899" s="3">
        <v>1528.43</v>
      </c>
      <c r="AA899" t="s">
        <v>40</v>
      </c>
      <c r="AB899" t="s">
        <v>33</v>
      </c>
      <c r="AC899">
        <v>76.400000000000006</v>
      </c>
      <c r="AD899" t="s">
        <v>43</v>
      </c>
      <c r="AE899">
        <v>1597.3</v>
      </c>
      <c r="AF899">
        <v>0</v>
      </c>
    </row>
    <row r="900" spans="3:32" x14ac:dyDescent="0.35">
      <c r="C900" s="1">
        <v>43976</v>
      </c>
      <c r="D900" s="2">
        <v>43952</v>
      </c>
      <c r="E900">
        <v>1352</v>
      </c>
      <c r="F900" s="3">
        <v>4561.96</v>
      </c>
      <c r="G900" s="3">
        <v>2382.5100000000002</v>
      </c>
      <c r="H900" s="3">
        <v>2179.4499999999998</v>
      </c>
      <c r="I900" s="3">
        <v>0.52</v>
      </c>
      <c r="J900">
        <v>0.09</v>
      </c>
      <c r="K900">
        <v>3748.59</v>
      </c>
      <c r="L900" t="s">
        <v>30</v>
      </c>
      <c r="M900">
        <v>650</v>
      </c>
      <c r="N900">
        <v>0.19</v>
      </c>
      <c r="O900" s="3">
        <v>258.36</v>
      </c>
      <c r="P900" s="3">
        <v>0.06</v>
      </c>
      <c r="Q900" s="3">
        <v>333.67</v>
      </c>
      <c r="R900" s="3">
        <v>7.0000000000000007E-2</v>
      </c>
      <c r="S900">
        <v>4</v>
      </c>
      <c r="T900">
        <v>1112.19</v>
      </c>
      <c r="U900">
        <v>84</v>
      </c>
      <c r="V900">
        <v>0</v>
      </c>
      <c r="W900">
        <v>727.74</v>
      </c>
      <c r="X900">
        <v>2052.5500000000002</v>
      </c>
      <c r="Y900" t="s">
        <v>31</v>
      </c>
      <c r="Z900" s="3">
        <v>1518.6</v>
      </c>
      <c r="AA900" t="s">
        <v>32</v>
      </c>
      <c r="AB900" t="s">
        <v>42</v>
      </c>
      <c r="AC900">
        <v>95.2</v>
      </c>
      <c r="AD900" t="s">
        <v>34</v>
      </c>
      <c r="AE900">
        <v>2179.4499999999998</v>
      </c>
      <c r="AF900">
        <v>0</v>
      </c>
    </row>
    <row r="901" spans="3:32" x14ac:dyDescent="0.35">
      <c r="C901" s="1">
        <v>43976</v>
      </c>
      <c r="D901" s="2">
        <v>43952</v>
      </c>
      <c r="E901">
        <v>1532</v>
      </c>
      <c r="F901" s="3">
        <v>3578.14</v>
      </c>
      <c r="G901" s="3">
        <v>2769</v>
      </c>
      <c r="H901" s="3">
        <v>809.14</v>
      </c>
      <c r="I901" s="3">
        <v>0.77</v>
      </c>
      <c r="J901">
        <v>0.09</v>
      </c>
      <c r="K901">
        <v>2344.06</v>
      </c>
      <c r="L901" t="s">
        <v>39</v>
      </c>
      <c r="M901">
        <v>591</v>
      </c>
      <c r="N901">
        <v>0.56000000000000005</v>
      </c>
      <c r="O901" s="3">
        <v>406.31</v>
      </c>
      <c r="P901" s="3">
        <v>0.11</v>
      </c>
      <c r="Q901" s="3">
        <v>0</v>
      </c>
      <c r="R901" s="3">
        <v>0</v>
      </c>
      <c r="S901">
        <v>4</v>
      </c>
      <c r="T901">
        <v>622.39</v>
      </c>
      <c r="U901">
        <v>74</v>
      </c>
      <c r="V901">
        <v>0</v>
      </c>
      <c r="W901">
        <v>552.29999999999995</v>
      </c>
      <c r="X901">
        <v>2086.62</v>
      </c>
      <c r="Y901" t="s">
        <v>36</v>
      </c>
      <c r="Z901" s="3">
        <v>1445.13</v>
      </c>
      <c r="AA901" t="s">
        <v>40</v>
      </c>
      <c r="AB901" t="s">
        <v>33</v>
      </c>
      <c r="AC901">
        <v>76.099999999999994</v>
      </c>
      <c r="AD901" t="s">
        <v>43</v>
      </c>
      <c r="AE901">
        <v>809.14</v>
      </c>
      <c r="AF901">
        <v>0</v>
      </c>
    </row>
    <row r="902" spans="3:32" x14ac:dyDescent="0.35">
      <c r="C902" s="1">
        <v>44006</v>
      </c>
      <c r="D902" s="2">
        <v>43983</v>
      </c>
      <c r="E902">
        <v>1234</v>
      </c>
      <c r="F902" s="3">
        <v>3697.31</v>
      </c>
      <c r="G902" s="3">
        <v>3523.56</v>
      </c>
      <c r="H902" s="3">
        <v>173.75</v>
      </c>
      <c r="I902" s="3">
        <v>0.95</v>
      </c>
      <c r="J902">
        <v>0.17</v>
      </c>
      <c r="K902">
        <v>3122.47</v>
      </c>
      <c r="L902" t="s">
        <v>35</v>
      </c>
      <c r="M902">
        <v>743</v>
      </c>
      <c r="N902">
        <v>0.52</v>
      </c>
      <c r="O902" s="3">
        <v>351.55</v>
      </c>
      <c r="P902" s="3">
        <v>0.1</v>
      </c>
      <c r="Q902" s="3">
        <v>247.39</v>
      </c>
      <c r="R902" s="3">
        <v>7.0000000000000007E-2</v>
      </c>
      <c r="S902">
        <v>6</v>
      </c>
      <c r="T902">
        <v>493.09</v>
      </c>
      <c r="U902">
        <v>62</v>
      </c>
      <c r="V902">
        <v>0</v>
      </c>
      <c r="W902">
        <v>516.89</v>
      </c>
      <c r="X902">
        <v>2177</v>
      </c>
      <c r="Y902" t="s">
        <v>36</v>
      </c>
      <c r="Z902" s="3">
        <v>919</v>
      </c>
      <c r="AA902" t="s">
        <v>40</v>
      </c>
      <c r="AB902" t="s">
        <v>44</v>
      </c>
      <c r="AC902">
        <v>90.6</v>
      </c>
      <c r="AD902" t="s">
        <v>43</v>
      </c>
      <c r="AE902">
        <v>173.75</v>
      </c>
      <c r="AF902">
        <v>0</v>
      </c>
    </row>
    <row r="903" spans="3:32" x14ac:dyDescent="0.35">
      <c r="C903" s="1">
        <v>44006</v>
      </c>
      <c r="D903" s="2">
        <v>43983</v>
      </c>
      <c r="E903">
        <v>1355</v>
      </c>
      <c r="F903" s="3">
        <v>4169.75</v>
      </c>
      <c r="G903" s="3">
        <v>3064.38</v>
      </c>
      <c r="H903" s="3">
        <v>1105.3699999999999</v>
      </c>
      <c r="I903" s="3">
        <v>0.73</v>
      </c>
      <c r="J903">
        <v>0.39</v>
      </c>
      <c r="K903">
        <v>3289.28</v>
      </c>
      <c r="L903" t="s">
        <v>35</v>
      </c>
      <c r="M903">
        <v>658</v>
      </c>
      <c r="N903">
        <v>0.24</v>
      </c>
      <c r="O903" s="3">
        <v>633.69000000000005</v>
      </c>
      <c r="P903" s="3">
        <v>0.15</v>
      </c>
      <c r="Q903" s="3">
        <v>759.34</v>
      </c>
      <c r="R903" s="3">
        <v>0.18</v>
      </c>
      <c r="S903">
        <v>8</v>
      </c>
      <c r="T903">
        <v>1040.06</v>
      </c>
      <c r="U903">
        <v>60</v>
      </c>
      <c r="V903">
        <v>0</v>
      </c>
      <c r="W903">
        <v>384.05</v>
      </c>
      <c r="X903">
        <v>3045.44</v>
      </c>
      <c r="Y903" t="s">
        <v>36</v>
      </c>
      <c r="Z903" s="3">
        <v>1556.05</v>
      </c>
      <c r="AA903" t="s">
        <v>37</v>
      </c>
      <c r="AB903" t="s">
        <v>33</v>
      </c>
      <c r="AC903">
        <v>46.4</v>
      </c>
      <c r="AD903" t="s">
        <v>43</v>
      </c>
      <c r="AE903">
        <v>1105.3699999999999</v>
      </c>
      <c r="AF903">
        <v>0</v>
      </c>
    </row>
    <row r="904" spans="3:32" x14ac:dyDescent="0.35">
      <c r="C904" s="1">
        <v>44006</v>
      </c>
      <c r="D904" s="2">
        <v>43983</v>
      </c>
      <c r="E904">
        <v>1250</v>
      </c>
      <c r="F904" s="3">
        <v>3511.52</v>
      </c>
      <c r="G904" s="3">
        <v>3264.87</v>
      </c>
      <c r="H904" s="3">
        <v>246.65</v>
      </c>
      <c r="I904" s="3">
        <v>0.93</v>
      </c>
      <c r="J904">
        <v>0.3</v>
      </c>
      <c r="K904">
        <v>2937.08</v>
      </c>
      <c r="L904" t="s">
        <v>39</v>
      </c>
      <c r="M904">
        <v>665</v>
      </c>
      <c r="N904">
        <v>0.27</v>
      </c>
      <c r="O904" s="3">
        <v>37.479999999999997</v>
      </c>
      <c r="P904" s="3">
        <v>0.01</v>
      </c>
      <c r="Q904" s="3">
        <v>696.03</v>
      </c>
      <c r="R904" s="3">
        <v>0.2</v>
      </c>
      <c r="S904">
        <v>2</v>
      </c>
      <c r="T904">
        <v>1044.6199999999999</v>
      </c>
      <c r="U904">
        <v>22</v>
      </c>
      <c r="V904">
        <v>0</v>
      </c>
      <c r="W904">
        <v>752.48</v>
      </c>
      <c r="X904">
        <v>2461.02</v>
      </c>
      <c r="Y904" t="s">
        <v>31</v>
      </c>
      <c r="Z904" s="3">
        <v>658.9</v>
      </c>
      <c r="AA904" t="s">
        <v>47</v>
      </c>
      <c r="AB904" t="s">
        <v>33</v>
      </c>
      <c r="AC904">
        <v>31.2</v>
      </c>
      <c r="AD904" t="s">
        <v>34</v>
      </c>
      <c r="AE904">
        <v>246.65</v>
      </c>
      <c r="AF904">
        <v>0</v>
      </c>
    </row>
    <row r="905" spans="3:32" x14ac:dyDescent="0.35">
      <c r="C905" s="1">
        <v>44006</v>
      </c>
      <c r="D905" s="2">
        <v>43983</v>
      </c>
      <c r="E905">
        <v>1353</v>
      </c>
      <c r="F905" s="3">
        <v>3861.33</v>
      </c>
      <c r="G905" s="3">
        <v>2315.84</v>
      </c>
      <c r="H905" s="3">
        <v>1545.49</v>
      </c>
      <c r="I905" s="3">
        <v>0.6</v>
      </c>
      <c r="J905">
        <v>0.36</v>
      </c>
      <c r="K905">
        <v>2977.54</v>
      </c>
      <c r="L905" t="s">
        <v>39</v>
      </c>
      <c r="M905">
        <v>677</v>
      </c>
      <c r="N905">
        <v>0.28999999999999998</v>
      </c>
      <c r="O905" s="3">
        <v>434.62</v>
      </c>
      <c r="P905" s="3">
        <v>0.11</v>
      </c>
      <c r="Q905" s="3">
        <v>709.77</v>
      </c>
      <c r="R905" s="3">
        <v>0.18</v>
      </c>
      <c r="S905">
        <v>6</v>
      </c>
      <c r="T905">
        <v>747.03</v>
      </c>
      <c r="U905">
        <v>36</v>
      </c>
      <c r="V905">
        <v>0</v>
      </c>
      <c r="W905">
        <v>846.35</v>
      </c>
      <c r="X905">
        <v>1453.05</v>
      </c>
      <c r="Y905" t="s">
        <v>36</v>
      </c>
      <c r="Z905" s="3">
        <v>803.2</v>
      </c>
      <c r="AA905" t="s">
        <v>32</v>
      </c>
      <c r="AB905" t="s">
        <v>42</v>
      </c>
      <c r="AC905">
        <v>12.7</v>
      </c>
      <c r="AD905" t="s">
        <v>43</v>
      </c>
      <c r="AE905">
        <v>1545.49</v>
      </c>
      <c r="AF905">
        <v>0</v>
      </c>
    </row>
    <row r="906" spans="3:32" x14ac:dyDescent="0.35">
      <c r="C906" s="1">
        <v>44006</v>
      </c>
      <c r="D906" s="2">
        <v>43983</v>
      </c>
      <c r="E906">
        <v>1415</v>
      </c>
      <c r="F906" s="3">
        <v>6821.53</v>
      </c>
      <c r="G906" s="3">
        <v>3505.87</v>
      </c>
      <c r="H906" s="3">
        <v>3315.66</v>
      </c>
      <c r="I906" s="3">
        <v>0.51</v>
      </c>
      <c r="J906">
        <v>0.27</v>
      </c>
      <c r="K906">
        <v>2737.23</v>
      </c>
      <c r="L906" t="s">
        <v>35</v>
      </c>
      <c r="M906">
        <v>653</v>
      </c>
      <c r="N906">
        <v>0.56000000000000005</v>
      </c>
      <c r="O906" s="3">
        <v>237.46</v>
      </c>
      <c r="P906" s="3">
        <v>0.03</v>
      </c>
      <c r="Q906" s="3">
        <v>147.66999999999999</v>
      </c>
      <c r="R906" s="3">
        <v>0.02</v>
      </c>
      <c r="S906">
        <v>8</v>
      </c>
      <c r="T906">
        <v>218.72</v>
      </c>
      <c r="U906">
        <v>22</v>
      </c>
      <c r="V906">
        <v>0</v>
      </c>
      <c r="W906">
        <v>470.28</v>
      </c>
      <c r="X906">
        <v>2322.59</v>
      </c>
      <c r="Y906" t="s">
        <v>36</v>
      </c>
      <c r="Z906" s="3">
        <v>1031.42</v>
      </c>
      <c r="AA906" t="s">
        <v>37</v>
      </c>
      <c r="AB906" t="s">
        <v>33</v>
      </c>
      <c r="AC906">
        <v>25.1</v>
      </c>
      <c r="AD906" t="s">
        <v>34</v>
      </c>
      <c r="AE906">
        <v>3315.66</v>
      </c>
      <c r="AF906">
        <v>1</v>
      </c>
    </row>
    <row r="907" spans="3:32" x14ac:dyDescent="0.35">
      <c r="C907" s="1">
        <v>44006</v>
      </c>
      <c r="D907" s="2">
        <v>43983</v>
      </c>
      <c r="E907">
        <v>1528</v>
      </c>
      <c r="F907" s="3">
        <v>3509.23</v>
      </c>
      <c r="G907" s="3">
        <v>1976.53</v>
      </c>
      <c r="H907" s="3">
        <v>1532.7</v>
      </c>
      <c r="I907" s="3">
        <v>0.56000000000000005</v>
      </c>
      <c r="J907">
        <v>0.18</v>
      </c>
      <c r="K907">
        <v>2721.05</v>
      </c>
      <c r="L907" t="s">
        <v>35</v>
      </c>
      <c r="M907">
        <v>674</v>
      </c>
      <c r="N907">
        <v>0.32</v>
      </c>
      <c r="O907" s="3">
        <v>187.8</v>
      </c>
      <c r="P907" s="3">
        <v>0.05</v>
      </c>
      <c r="Q907" s="3">
        <v>323.02999999999997</v>
      </c>
      <c r="R907" s="3">
        <v>0.09</v>
      </c>
      <c r="S907">
        <v>5</v>
      </c>
      <c r="T907">
        <v>2370.0100000000002</v>
      </c>
      <c r="U907">
        <v>82</v>
      </c>
      <c r="V907">
        <v>0</v>
      </c>
      <c r="W907">
        <v>456.32</v>
      </c>
      <c r="X907">
        <v>2232.27</v>
      </c>
      <c r="Y907" t="s">
        <v>31</v>
      </c>
      <c r="Z907" s="3">
        <v>1676.3</v>
      </c>
      <c r="AA907" t="s">
        <v>51</v>
      </c>
      <c r="AB907" t="s">
        <v>33</v>
      </c>
      <c r="AC907">
        <v>43.4</v>
      </c>
      <c r="AD907" t="s">
        <v>43</v>
      </c>
      <c r="AE907">
        <v>1532.7</v>
      </c>
      <c r="AF907">
        <v>0</v>
      </c>
    </row>
    <row r="908" spans="3:32" x14ac:dyDescent="0.35">
      <c r="C908" s="1">
        <v>44006</v>
      </c>
      <c r="D908" s="2">
        <v>43983</v>
      </c>
      <c r="E908">
        <v>1080</v>
      </c>
      <c r="F908" s="3">
        <v>1118.44</v>
      </c>
      <c r="G908" s="3">
        <v>3639.95</v>
      </c>
      <c r="H908" s="3">
        <v>-2521.5100000000002</v>
      </c>
      <c r="I908" s="3">
        <v>3.25</v>
      </c>
      <c r="J908">
        <v>0.06</v>
      </c>
      <c r="K908">
        <v>2897.2</v>
      </c>
      <c r="L908" t="s">
        <v>35</v>
      </c>
      <c r="M908">
        <v>578</v>
      </c>
      <c r="N908">
        <v>0.25</v>
      </c>
      <c r="O908" s="3">
        <v>732.81</v>
      </c>
      <c r="P908" s="3">
        <v>0.66</v>
      </c>
      <c r="Q908" s="3">
        <v>280.05</v>
      </c>
      <c r="R908" s="3">
        <v>0.25</v>
      </c>
      <c r="S908">
        <v>9</v>
      </c>
      <c r="T908">
        <v>505.15</v>
      </c>
      <c r="U908">
        <v>54</v>
      </c>
      <c r="V908">
        <v>0</v>
      </c>
      <c r="W908">
        <v>722.05</v>
      </c>
      <c r="X908">
        <v>2066.33</v>
      </c>
      <c r="Y908" t="s">
        <v>36</v>
      </c>
      <c r="Z908" s="3">
        <v>1244.01</v>
      </c>
      <c r="AA908" t="s">
        <v>37</v>
      </c>
      <c r="AB908" t="s">
        <v>33</v>
      </c>
      <c r="AC908">
        <v>28</v>
      </c>
      <c r="AD908" t="s">
        <v>34</v>
      </c>
      <c r="AE908">
        <v>0</v>
      </c>
      <c r="AF908">
        <v>0</v>
      </c>
    </row>
    <row r="909" spans="3:32" x14ac:dyDescent="0.35">
      <c r="C909" s="1">
        <v>44006</v>
      </c>
      <c r="D909" s="2">
        <v>43983</v>
      </c>
      <c r="E909">
        <v>1598</v>
      </c>
      <c r="F909" s="3">
        <v>3568.59</v>
      </c>
      <c r="G909" s="3">
        <v>3014.16</v>
      </c>
      <c r="H909" s="3">
        <v>554.42999999999995</v>
      </c>
      <c r="I909" s="3">
        <v>0.84</v>
      </c>
      <c r="J909">
        <v>0.25</v>
      </c>
      <c r="K909">
        <v>2283.25</v>
      </c>
      <c r="L909" t="s">
        <v>39</v>
      </c>
      <c r="M909">
        <v>675</v>
      </c>
      <c r="N909">
        <v>0.35</v>
      </c>
      <c r="O909" s="3">
        <v>767.24</v>
      </c>
      <c r="P909" s="3">
        <v>0.21</v>
      </c>
      <c r="Q909" s="3">
        <v>62.52</v>
      </c>
      <c r="R909" s="3">
        <v>0.02</v>
      </c>
      <c r="S909">
        <v>7</v>
      </c>
      <c r="T909">
        <v>585.73</v>
      </c>
      <c r="U909">
        <v>51</v>
      </c>
      <c r="V909">
        <v>0</v>
      </c>
      <c r="W909">
        <v>479.39</v>
      </c>
      <c r="X909">
        <v>3431.47</v>
      </c>
      <c r="Y909" t="s">
        <v>49</v>
      </c>
      <c r="Z909" s="3">
        <v>922.94</v>
      </c>
      <c r="AA909" t="s">
        <v>45</v>
      </c>
      <c r="AB909" t="s">
        <v>33</v>
      </c>
      <c r="AC909">
        <v>10.6</v>
      </c>
      <c r="AD909" t="s">
        <v>34</v>
      </c>
      <c r="AE909">
        <v>554.42999999999995</v>
      </c>
      <c r="AF909">
        <v>0</v>
      </c>
    </row>
    <row r="910" spans="3:32" x14ac:dyDescent="0.35">
      <c r="C910" s="1">
        <v>44006</v>
      </c>
      <c r="D910" s="2">
        <v>43983</v>
      </c>
      <c r="E910">
        <v>1077</v>
      </c>
      <c r="F910" s="3">
        <v>5203.6099999999997</v>
      </c>
      <c r="G910" s="3">
        <v>2637.75</v>
      </c>
      <c r="H910" s="3">
        <v>2565.86</v>
      </c>
      <c r="I910" s="3">
        <v>0.51</v>
      </c>
      <c r="J910">
        <v>0.08</v>
      </c>
      <c r="K910">
        <v>3089.96</v>
      </c>
      <c r="L910" t="s">
        <v>39</v>
      </c>
      <c r="M910">
        <v>718</v>
      </c>
      <c r="N910">
        <v>0.14000000000000001</v>
      </c>
      <c r="O910" s="3">
        <v>781.06</v>
      </c>
      <c r="P910" s="3">
        <v>0.15</v>
      </c>
      <c r="Q910" s="3">
        <v>0</v>
      </c>
      <c r="R910" s="3">
        <v>0</v>
      </c>
      <c r="S910">
        <v>5</v>
      </c>
      <c r="T910">
        <v>573.41999999999996</v>
      </c>
      <c r="U910">
        <v>53</v>
      </c>
      <c r="V910">
        <v>0</v>
      </c>
      <c r="W910">
        <v>157.75</v>
      </c>
      <c r="X910">
        <v>1721.27</v>
      </c>
      <c r="Y910" t="s">
        <v>36</v>
      </c>
      <c r="Z910" s="3">
        <v>1368.46</v>
      </c>
      <c r="AA910" t="s">
        <v>50</v>
      </c>
      <c r="AB910" t="s">
        <v>33</v>
      </c>
      <c r="AC910">
        <v>73.099999999999994</v>
      </c>
      <c r="AD910" t="s">
        <v>38</v>
      </c>
      <c r="AE910">
        <v>2565.86</v>
      </c>
      <c r="AF910">
        <v>0</v>
      </c>
    </row>
    <row r="911" spans="3:32" x14ac:dyDescent="0.35">
      <c r="C911" s="1">
        <v>44006</v>
      </c>
      <c r="D911" s="2">
        <v>43983</v>
      </c>
      <c r="E911">
        <v>1338</v>
      </c>
      <c r="F911" s="3">
        <v>5453.26</v>
      </c>
      <c r="G911" s="3">
        <v>3040.3</v>
      </c>
      <c r="H911" s="3">
        <v>2412.96</v>
      </c>
      <c r="I911" s="3">
        <v>0.56000000000000005</v>
      </c>
      <c r="J911">
        <v>0.1</v>
      </c>
      <c r="K911">
        <v>3010.68</v>
      </c>
      <c r="L911" t="s">
        <v>30</v>
      </c>
      <c r="M911">
        <v>659</v>
      </c>
      <c r="N911">
        <v>0.47</v>
      </c>
      <c r="O911" s="3">
        <v>484.84</v>
      </c>
      <c r="P911" s="3">
        <v>0.09</v>
      </c>
      <c r="Q911" s="3">
        <v>689.64</v>
      </c>
      <c r="R911" s="3">
        <v>0.13</v>
      </c>
      <c r="S911">
        <v>1</v>
      </c>
      <c r="T911">
        <v>410.77</v>
      </c>
      <c r="U911">
        <v>94</v>
      </c>
      <c r="V911">
        <v>0</v>
      </c>
      <c r="W911">
        <v>575.29</v>
      </c>
      <c r="X911">
        <v>1760.94</v>
      </c>
      <c r="Y911" t="s">
        <v>36</v>
      </c>
      <c r="Z911" s="3">
        <v>1417.92</v>
      </c>
      <c r="AA911" t="s">
        <v>45</v>
      </c>
      <c r="AB911" t="s">
        <v>33</v>
      </c>
      <c r="AC911">
        <v>14.5</v>
      </c>
      <c r="AD911" t="s">
        <v>38</v>
      </c>
      <c r="AE911">
        <v>2412.96</v>
      </c>
      <c r="AF911">
        <v>0</v>
      </c>
    </row>
    <row r="912" spans="3:32" x14ac:dyDescent="0.35">
      <c r="C912" s="1">
        <v>44006</v>
      </c>
      <c r="D912" s="2">
        <v>43983</v>
      </c>
      <c r="E912">
        <v>1831</v>
      </c>
      <c r="F912" s="3">
        <v>4109.68</v>
      </c>
      <c r="G912" s="3">
        <v>3691.78</v>
      </c>
      <c r="H912" s="3">
        <v>417.9</v>
      </c>
      <c r="I912" s="3">
        <v>0.9</v>
      </c>
      <c r="J912">
        <v>0.38</v>
      </c>
      <c r="K912">
        <v>2111.3000000000002</v>
      </c>
      <c r="L912" t="s">
        <v>30</v>
      </c>
      <c r="M912">
        <v>597</v>
      </c>
      <c r="N912">
        <v>0.51</v>
      </c>
      <c r="O912" s="3">
        <v>512.01</v>
      </c>
      <c r="P912" s="3">
        <v>0.12</v>
      </c>
      <c r="Q912" s="3">
        <v>644.16</v>
      </c>
      <c r="R912" s="3">
        <v>0.16</v>
      </c>
      <c r="S912">
        <v>7</v>
      </c>
      <c r="T912">
        <v>1420.79</v>
      </c>
      <c r="U912">
        <v>24</v>
      </c>
      <c r="V912">
        <v>0</v>
      </c>
      <c r="W912">
        <v>681.89</v>
      </c>
      <c r="X912">
        <v>2373.5</v>
      </c>
      <c r="Y912" t="s">
        <v>36</v>
      </c>
      <c r="Z912" s="3">
        <v>1444.73</v>
      </c>
      <c r="AA912" t="s">
        <v>45</v>
      </c>
      <c r="AB912" t="s">
        <v>44</v>
      </c>
      <c r="AC912">
        <v>43.5</v>
      </c>
      <c r="AD912" t="s">
        <v>38</v>
      </c>
      <c r="AE912">
        <v>417.9</v>
      </c>
      <c r="AF912">
        <v>0</v>
      </c>
    </row>
    <row r="913" spans="3:32" x14ac:dyDescent="0.35">
      <c r="C913" s="1">
        <v>44006</v>
      </c>
      <c r="D913" s="2">
        <v>43983</v>
      </c>
      <c r="E913">
        <v>1218</v>
      </c>
      <c r="F913" s="3">
        <v>2127.13</v>
      </c>
      <c r="G913" s="3">
        <v>1598.77</v>
      </c>
      <c r="H913" s="3">
        <v>528.36</v>
      </c>
      <c r="I913" s="3">
        <v>0.75</v>
      </c>
      <c r="J913">
        <v>0.36</v>
      </c>
      <c r="K913">
        <v>2838.25</v>
      </c>
      <c r="L913" t="s">
        <v>35</v>
      </c>
      <c r="M913">
        <v>606</v>
      </c>
      <c r="N913">
        <v>0.21</v>
      </c>
      <c r="O913" s="3">
        <v>503.83</v>
      </c>
      <c r="P913" s="3">
        <v>0.24</v>
      </c>
      <c r="Q913" s="3">
        <v>388.14</v>
      </c>
      <c r="R913" s="3">
        <v>0.18</v>
      </c>
      <c r="S913">
        <v>5</v>
      </c>
      <c r="T913">
        <v>1357.34</v>
      </c>
      <c r="U913">
        <v>66</v>
      </c>
      <c r="V913">
        <v>0</v>
      </c>
      <c r="W913">
        <v>734.39</v>
      </c>
      <c r="X913">
        <v>1765.98</v>
      </c>
      <c r="Y913" t="s">
        <v>36</v>
      </c>
      <c r="Z913" s="3">
        <v>1334.1</v>
      </c>
      <c r="AA913" t="s">
        <v>41</v>
      </c>
      <c r="AB913" t="s">
        <v>33</v>
      </c>
      <c r="AC913">
        <v>5.2</v>
      </c>
      <c r="AD913" t="s">
        <v>34</v>
      </c>
      <c r="AE913">
        <v>528.36</v>
      </c>
      <c r="AF913">
        <v>0</v>
      </c>
    </row>
    <row r="914" spans="3:32" x14ac:dyDescent="0.35">
      <c r="C914" s="1">
        <v>44006</v>
      </c>
      <c r="D914" s="2">
        <v>43983</v>
      </c>
      <c r="E914">
        <v>1449</v>
      </c>
      <c r="F914" s="3">
        <v>2401.46</v>
      </c>
      <c r="G914" s="3">
        <v>2888.16</v>
      </c>
      <c r="H914" s="3">
        <v>-486.7</v>
      </c>
      <c r="I914" s="3">
        <v>1.2</v>
      </c>
      <c r="J914">
        <v>0.35</v>
      </c>
      <c r="K914">
        <v>2382.64</v>
      </c>
      <c r="L914" t="s">
        <v>35</v>
      </c>
      <c r="M914">
        <v>745</v>
      </c>
      <c r="N914">
        <v>0.23</v>
      </c>
      <c r="O914" s="3">
        <v>684.14</v>
      </c>
      <c r="P914" s="3">
        <v>0.28000000000000003</v>
      </c>
      <c r="Q914" s="3">
        <v>105.03</v>
      </c>
      <c r="R914" s="3">
        <v>0.04</v>
      </c>
      <c r="S914">
        <v>9</v>
      </c>
      <c r="T914">
        <v>1731.16</v>
      </c>
      <c r="U914">
        <v>52</v>
      </c>
      <c r="V914">
        <v>1</v>
      </c>
      <c r="W914">
        <v>513.74</v>
      </c>
      <c r="X914">
        <v>1439.96</v>
      </c>
      <c r="Y914" t="s">
        <v>36</v>
      </c>
      <c r="Z914" s="3">
        <v>1580.41</v>
      </c>
      <c r="AA914" t="s">
        <v>46</v>
      </c>
      <c r="AB914" t="s">
        <v>33</v>
      </c>
      <c r="AC914">
        <v>76.099999999999994</v>
      </c>
      <c r="AD914" t="s">
        <v>34</v>
      </c>
      <c r="AE914">
        <v>0</v>
      </c>
      <c r="AF914">
        <v>0</v>
      </c>
    </row>
    <row r="915" spans="3:32" x14ac:dyDescent="0.35">
      <c r="C915" s="1">
        <v>44006</v>
      </c>
      <c r="D915" s="2">
        <v>43983</v>
      </c>
      <c r="E915">
        <v>1677</v>
      </c>
      <c r="F915" s="3">
        <v>3253.54</v>
      </c>
      <c r="G915" s="3">
        <v>2543.71</v>
      </c>
      <c r="H915" s="3">
        <v>709.83</v>
      </c>
      <c r="I915" s="3">
        <v>0.78</v>
      </c>
      <c r="J915">
        <v>0.21</v>
      </c>
      <c r="K915">
        <v>3246.55</v>
      </c>
      <c r="L915" t="s">
        <v>35</v>
      </c>
      <c r="M915">
        <v>665</v>
      </c>
      <c r="N915">
        <v>0.56000000000000005</v>
      </c>
      <c r="O915" s="3">
        <v>103.94</v>
      </c>
      <c r="P915" s="3">
        <v>0.03</v>
      </c>
      <c r="Q915" s="3">
        <v>279.75</v>
      </c>
      <c r="R915" s="3">
        <v>0.09</v>
      </c>
      <c r="S915">
        <v>2</v>
      </c>
      <c r="T915">
        <v>1960.84</v>
      </c>
      <c r="U915">
        <v>27</v>
      </c>
      <c r="V915">
        <v>0</v>
      </c>
      <c r="W915">
        <v>188.63</v>
      </c>
      <c r="X915">
        <v>1978.84</v>
      </c>
      <c r="Y915" t="s">
        <v>49</v>
      </c>
      <c r="Z915" s="3">
        <v>1068.5</v>
      </c>
      <c r="AA915" t="s">
        <v>32</v>
      </c>
      <c r="AB915" t="s">
        <v>44</v>
      </c>
      <c r="AC915">
        <v>29</v>
      </c>
      <c r="AD915" t="s">
        <v>34</v>
      </c>
      <c r="AE915">
        <v>709.83</v>
      </c>
      <c r="AF915">
        <v>0</v>
      </c>
    </row>
    <row r="916" spans="3:32" x14ac:dyDescent="0.35">
      <c r="C916" s="1">
        <v>44006</v>
      </c>
      <c r="D916" s="2">
        <v>43983</v>
      </c>
      <c r="E916">
        <v>1772</v>
      </c>
      <c r="F916" s="3">
        <v>4398.16</v>
      </c>
      <c r="G916" s="3">
        <v>2171.2399999999998</v>
      </c>
      <c r="H916" s="3">
        <v>2226.92</v>
      </c>
      <c r="I916" s="3">
        <v>0.49</v>
      </c>
      <c r="J916">
        <v>0.09</v>
      </c>
      <c r="K916">
        <v>2223.14</v>
      </c>
      <c r="L916" t="s">
        <v>35</v>
      </c>
      <c r="M916">
        <v>738</v>
      </c>
      <c r="N916">
        <v>0.25</v>
      </c>
      <c r="O916" s="3">
        <v>577.78</v>
      </c>
      <c r="P916" s="3">
        <v>0.13</v>
      </c>
      <c r="Q916" s="3">
        <v>256.25</v>
      </c>
      <c r="R916" s="3">
        <v>0.06</v>
      </c>
      <c r="S916">
        <v>2</v>
      </c>
      <c r="T916">
        <v>1943.22</v>
      </c>
      <c r="U916">
        <v>68</v>
      </c>
      <c r="V916">
        <v>0</v>
      </c>
      <c r="W916">
        <v>217.05</v>
      </c>
      <c r="X916">
        <v>2566.9299999999998</v>
      </c>
      <c r="Y916" t="s">
        <v>36</v>
      </c>
      <c r="Z916" s="3">
        <v>1338.46</v>
      </c>
      <c r="AA916" t="s">
        <v>50</v>
      </c>
      <c r="AB916" t="s">
        <v>44</v>
      </c>
      <c r="AC916">
        <v>21.9</v>
      </c>
      <c r="AD916" t="s">
        <v>34</v>
      </c>
      <c r="AE916">
        <v>2226.92</v>
      </c>
      <c r="AF916">
        <v>1</v>
      </c>
    </row>
    <row r="917" spans="3:32" x14ac:dyDescent="0.35">
      <c r="C917" s="1">
        <v>44006</v>
      </c>
      <c r="D917" s="2">
        <v>43983</v>
      </c>
      <c r="E917">
        <v>1068</v>
      </c>
      <c r="F917" s="3">
        <v>2030.17</v>
      </c>
      <c r="G917" s="3">
        <v>3011.2</v>
      </c>
      <c r="H917" s="3">
        <v>-981.03</v>
      </c>
      <c r="I917" s="3">
        <v>1.48</v>
      </c>
      <c r="J917">
        <v>0.33</v>
      </c>
      <c r="K917">
        <v>2429.85</v>
      </c>
      <c r="L917" t="s">
        <v>39</v>
      </c>
      <c r="M917">
        <v>732</v>
      </c>
      <c r="N917">
        <v>0.13</v>
      </c>
      <c r="O917" s="3">
        <v>208.77</v>
      </c>
      <c r="P917" s="3">
        <v>0.1</v>
      </c>
      <c r="Q917" s="3">
        <v>266.76</v>
      </c>
      <c r="R917" s="3">
        <v>0.13</v>
      </c>
      <c r="S917">
        <v>8</v>
      </c>
      <c r="T917">
        <v>1413.98</v>
      </c>
      <c r="U917">
        <v>20</v>
      </c>
      <c r="V917">
        <v>0</v>
      </c>
      <c r="W917">
        <v>574.5</v>
      </c>
      <c r="X917">
        <v>1056.51</v>
      </c>
      <c r="Y917" t="s">
        <v>36</v>
      </c>
      <c r="Z917" s="3">
        <v>737.96</v>
      </c>
      <c r="AA917" t="s">
        <v>45</v>
      </c>
      <c r="AB917" t="s">
        <v>42</v>
      </c>
      <c r="AC917">
        <v>81.3</v>
      </c>
      <c r="AD917" t="s">
        <v>34</v>
      </c>
      <c r="AE917">
        <v>0</v>
      </c>
      <c r="AF917">
        <v>0</v>
      </c>
    </row>
    <row r="918" spans="3:32" x14ac:dyDescent="0.35">
      <c r="C918" s="1">
        <v>44006</v>
      </c>
      <c r="D918" s="2">
        <v>43983</v>
      </c>
      <c r="E918">
        <v>1298</v>
      </c>
      <c r="F918" s="3">
        <v>4226.3900000000003</v>
      </c>
      <c r="G918" s="3">
        <v>2227.67</v>
      </c>
      <c r="H918" s="3">
        <v>1998.72</v>
      </c>
      <c r="I918" s="3">
        <v>0.53</v>
      </c>
      <c r="J918">
        <v>0.23</v>
      </c>
      <c r="K918">
        <v>3095.09</v>
      </c>
      <c r="L918" t="s">
        <v>35</v>
      </c>
      <c r="M918">
        <v>669</v>
      </c>
      <c r="N918">
        <v>0.32</v>
      </c>
      <c r="O918" s="3">
        <v>456.41</v>
      </c>
      <c r="P918" s="3">
        <v>0.11</v>
      </c>
      <c r="Q918" s="3">
        <v>505.93</v>
      </c>
      <c r="R918" s="3">
        <v>0.12</v>
      </c>
      <c r="S918">
        <v>8</v>
      </c>
      <c r="T918">
        <v>603.54999999999995</v>
      </c>
      <c r="U918">
        <v>61</v>
      </c>
      <c r="V918">
        <v>0</v>
      </c>
      <c r="W918">
        <v>404.5</v>
      </c>
      <c r="X918">
        <v>1961</v>
      </c>
      <c r="Y918" t="s">
        <v>36</v>
      </c>
      <c r="Z918" s="3">
        <v>1299.6099999999999</v>
      </c>
      <c r="AA918" t="s">
        <v>47</v>
      </c>
      <c r="AB918" t="s">
        <v>33</v>
      </c>
      <c r="AC918">
        <v>40.6</v>
      </c>
      <c r="AD918" t="s">
        <v>34</v>
      </c>
      <c r="AE918">
        <v>1998.72</v>
      </c>
      <c r="AF918">
        <v>0</v>
      </c>
    </row>
    <row r="919" spans="3:32" x14ac:dyDescent="0.35">
      <c r="C919" s="1">
        <v>44006</v>
      </c>
      <c r="D919" s="2">
        <v>43983</v>
      </c>
      <c r="E919">
        <v>1502</v>
      </c>
      <c r="F919" s="3">
        <v>4617.04</v>
      </c>
      <c r="G919" s="3">
        <v>3659.12</v>
      </c>
      <c r="H919" s="3">
        <v>957.92</v>
      </c>
      <c r="I919" s="3">
        <v>0.79</v>
      </c>
      <c r="J919">
        <v>0.26</v>
      </c>
      <c r="K919">
        <v>2351.0500000000002</v>
      </c>
      <c r="L919" t="s">
        <v>35</v>
      </c>
      <c r="M919">
        <v>761</v>
      </c>
      <c r="N919">
        <v>0.44</v>
      </c>
      <c r="O919" s="3">
        <v>559.62</v>
      </c>
      <c r="P919" s="3">
        <v>0.12</v>
      </c>
      <c r="Q919" s="3">
        <v>421.09</v>
      </c>
      <c r="R919" s="3">
        <v>0.09</v>
      </c>
      <c r="S919">
        <v>1</v>
      </c>
      <c r="T919">
        <v>384.99</v>
      </c>
      <c r="U919">
        <v>30</v>
      </c>
      <c r="V919">
        <v>0</v>
      </c>
      <c r="W919">
        <v>421.17</v>
      </c>
      <c r="X919">
        <v>2818.8</v>
      </c>
      <c r="Y919" t="s">
        <v>36</v>
      </c>
      <c r="Z919" s="3">
        <v>1062.99</v>
      </c>
      <c r="AA919" t="s">
        <v>37</v>
      </c>
      <c r="AB919" t="s">
        <v>33</v>
      </c>
      <c r="AC919">
        <v>62.4</v>
      </c>
      <c r="AD919" t="s">
        <v>43</v>
      </c>
      <c r="AE919">
        <v>957.92</v>
      </c>
      <c r="AF919">
        <v>0</v>
      </c>
    </row>
    <row r="920" spans="3:32" x14ac:dyDescent="0.35">
      <c r="C920" s="1">
        <v>44006</v>
      </c>
      <c r="D920" s="2">
        <v>43983</v>
      </c>
      <c r="E920">
        <v>1079</v>
      </c>
      <c r="F920" s="3">
        <v>3905.77</v>
      </c>
      <c r="G920" s="3">
        <v>2526.37</v>
      </c>
      <c r="H920" s="3">
        <v>1379.4</v>
      </c>
      <c r="I920" s="3">
        <v>0.65</v>
      </c>
      <c r="J920">
        <v>0.17</v>
      </c>
      <c r="K920">
        <v>2404.92</v>
      </c>
      <c r="L920" t="s">
        <v>35</v>
      </c>
      <c r="M920">
        <v>689</v>
      </c>
      <c r="N920">
        <v>0.56999999999999995</v>
      </c>
      <c r="O920" s="3">
        <v>462.02</v>
      </c>
      <c r="P920" s="3">
        <v>0.12</v>
      </c>
      <c r="Q920" s="3">
        <v>268.17</v>
      </c>
      <c r="R920" s="3">
        <v>7.0000000000000007E-2</v>
      </c>
      <c r="S920">
        <v>5</v>
      </c>
      <c r="T920">
        <v>572.37</v>
      </c>
      <c r="U920">
        <v>66</v>
      </c>
      <c r="V920">
        <v>0</v>
      </c>
      <c r="W920">
        <v>377.21</v>
      </c>
      <c r="X920">
        <v>1881.05</v>
      </c>
      <c r="Y920" t="s">
        <v>31</v>
      </c>
      <c r="Z920" s="3">
        <v>644.21</v>
      </c>
      <c r="AA920" t="s">
        <v>32</v>
      </c>
      <c r="AB920" t="s">
        <v>33</v>
      </c>
      <c r="AC920">
        <v>33.9</v>
      </c>
      <c r="AD920" t="s">
        <v>34</v>
      </c>
      <c r="AE920">
        <v>1379.4</v>
      </c>
      <c r="AF920">
        <v>0</v>
      </c>
    </row>
    <row r="921" spans="3:32" x14ac:dyDescent="0.35">
      <c r="C921" s="1">
        <v>44006</v>
      </c>
      <c r="D921" s="2">
        <v>43983</v>
      </c>
      <c r="E921">
        <v>1587</v>
      </c>
      <c r="F921" s="3">
        <v>2655.04</v>
      </c>
      <c r="G921" s="3">
        <v>1722.57</v>
      </c>
      <c r="H921" s="3">
        <v>932.47</v>
      </c>
      <c r="I921" s="3">
        <v>0.65</v>
      </c>
      <c r="J921">
        <v>0.06</v>
      </c>
      <c r="K921">
        <v>3639.39</v>
      </c>
      <c r="L921" t="s">
        <v>35</v>
      </c>
      <c r="M921">
        <v>701</v>
      </c>
      <c r="N921">
        <v>0.33</v>
      </c>
      <c r="O921" s="3">
        <v>371.84</v>
      </c>
      <c r="P921" s="3">
        <v>0.14000000000000001</v>
      </c>
      <c r="Q921" s="3">
        <v>304.85000000000002</v>
      </c>
      <c r="R921" s="3">
        <v>0.11</v>
      </c>
      <c r="S921">
        <v>8</v>
      </c>
      <c r="T921">
        <v>1493.02</v>
      </c>
      <c r="U921">
        <v>22</v>
      </c>
      <c r="V921">
        <v>0</v>
      </c>
      <c r="W921">
        <v>839.63</v>
      </c>
      <c r="X921">
        <v>1821.25</v>
      </c>
      <c r="Y921" t="s">
        <v>49</v>
      </c>
      <c r="Z921" s="3">
        <v>1412.31</v>
      </c>
      <c r="AA921" t="s">
        <v>40</v>
      </c>
      <c r="AB921" t="s">
        <v>33</v>
      </c>
      <c r="AC921">
        <v>4.9000000000000004</v>
      </c>
      <c r="AD921" t="s">
        <v>34</v>
      </c>
      <c r="AE921">
        <v>932.47</v>
      </c>
      <c r="AF921">
        <v>0</v>
      </c>
    </row>
    <row r="922" spans="3:32" x14ac:dyDescent="0.35">
      <c r="C922" s="1">
        <v>44006</v>
      </c>
      <c r="D922" s="2">
        <v>43983</v>
      </c>
      <c r="E922">
        <v>1296</v>
      </c>
      <c r="F922" s="3">
        <v>4976.74</v>
      </c>
      <c r="G922" s="3">
        <v>3818.98</v>
      </c>
      <c r="H922" s="3">
        <v>1157.76</v>
      </c>
      <c r="I922" s="3">
        <v>0.77</v>
      </c>
      <c r="J922">
        <v>0.11</v>
      </c>
      <c r="K922">
        <v>2868.82</v>
      </c>
      <c r="L922" t="s">
        <v>30</v>
      </c>
      <c r="M922">
        <v>763</v>
      </c>
      <c r="N922">
        <v>0.47</v>
      </c>
      <c r="O922" s="3">
        <v>607.54999999999995</v>
      </c>
      <c r="P922" s="3">
        <v>0.12</v>
      </c>
      <c r="Q922" s="3">
        <v>277.49</v>
      </c>
      <c r="R922" s="3">
        <v>0.06</v>
      </c>
      <c r="S922">
        <v>1</v>
      </c>
      <c r="T922">
        <v>691.97</v>
      </c>
      <c r="U922">
        <v>84</v>
      </c>
      <c r="V922">
        <v>0</v>
      </c>
      <c r="W922">
        <v>500.65</v>
      </c>
      <c r="X922">
        <v>2435.0100000000002</v>
      </c>
      <c r="Y922" t="s">
        <v>36</v>
      </c>
      <c r="Z922" s="3">
        <v>1350.82</v>
      </c>
      <c r="AA922" t="s">
        <v>41</v>
      </c>
      <c r="AB922" t="s">
        <v>42</v>
      </c>
      <c r="AC922">
        <v>10.1</v>
      </c>
      <c r="AD922" t="s">
        <v>43</v>
      </c>
      <c r="AE922">
        <v>1157.76</v>
      </c>
      <c r="AF922">
        <v>0</v>
      </c>
    </row>
    <row r="923" spans="3:32" x14ac:dyDescent="0.35">
      <c r="C923" s="1">
        <v>44006</v>
      </c>
      <c r="D923" s="2">
        <v>43983</v>
      </c>
      <c r="E923">
        <v>1016</v>
      </c>
      <c r="F923" s="3">
        <v>3799.28</v>
      </c>
      <c r="G923" s="3">
        <v>2473.61</v>
      </c>
      <c r="H923" s="3">
        <v>1325.67</v>
      </c>
      <c r="I923" s="3">
        <v>0.65</v>
      </c>
      <c r="J923">
        <v>0.09</v>
      </c>
      <c r="K923">
        <v>2564.35</v>
      </c>
      <c r="L923" t="s">
        <v>35</v>
      </c>
      <c r="M923">
        <v>632</v>
      </c>
      <c r="N923">
        <v>0.14000000000000001</v>
      </c>
      <c r="O923" s="3">
        <v>520.33000000000004</v>
      </c>
      <c r="P923" s="3">
        <v>0.14000000000000001</v>
      </c>
      <c r="Q923" s="3">
        <v>586.04</v>
      </c>
      <c r="R923" s="3">
        <v>0.15</v>
      </c>
      <c r="S923">
        <v>6</v>
      </c>
      <c r="T923">
        <v>252.32</v>
      </c>
      <c r="U923">
        <v>76</v>
      </c>
      <c r="V923">
        <v>0</v>
      </c>
      <c r="W923">
        <v>706.2</v>
      </c>
      <c r="X923">
        <v>1578.38</v>
      </c>
      <c r="Y923" t="s">
        <v>36</v>
      </c>
      <c r="Z923" s="3">
        <v>1290.5899999999999</v>
      </c>
      <c r="AA923" t="s">
        <v>37</v>
      </c>
      <c r="AB923" t="s">
        <v>33</v>
      </c>
      <c r="AC923">
        <v>76.8</v>
      </c>
      <c r="AD923" t="s">
        <v>34</v>
      </c>
      <c r="AE923">
        <v>1325.67</v>
      </c>
      <c r="AF923">
        <v>0</v>
      </c>
    </row>
    <row r="924" spans="3:32" x14ac:dyDescent="0.35">
      <c r="C924" s="1">
        <v>44006</v>
      </c>
      <c r="D924" s="2">
        <v>43983</v>
      </c>
      <c r="E924">
        <v>1266</v>
      </c>
      <c r="F924" s="3">
        <v>5459.96</v>
      </c>
      <c r="G924" s="3">
        <v>2733.1</v>
      </c>
      <c r="H924" s="3">
        <v>2726.86</v>
      </c>
      <c r="I924" s="3">
        <v>0.5</v>
      </c>
      <c r="J924">
        <v>0.24</v>
      </c>
      <c r="K924">
        <v>3179.38</v>
      </c>
      <c r="L924" t="s">
        <v>30</v>
      </c>
      <c r="M924">
        <v>660</v>
      </c>
      <c r="N924">
        <v>0.2</v>
      </c>
      <c r="O924" s="3">
        <v>215.13</v>
      </c>
      <c r="P924" s="3">
        <v>0.04</v>
      </c>
      <c r="Q924" s="3">
        <v>4.5999999999999996</v>
      </c>
      <c r="R924" s="3">
        <v>0</v>
      </c>
      <c r="S924">
        <v>5</v>
      </c>
      <c r="T924">
        <v>620.20000000000005</v>
      </c>
      <c r="U924">
        <v>25</v>
      </c>
      <c r="V924">
        <v>0</v>
      </c>
      <c r="W924">
        <v>625.71</v>
      </c>
      <c r="X924">
        <v>2475.2600000000002</v>
      </c>
      <c r="Y924" t="s">
        <v>36</v>
      </c>
      <c r="Z924" s="3">
        <v>1596.37</v>
      </c>
      <c r="AA924" t="s">
        <v>47</v>
      </c>
      <c r="AB924" t="s">
        <v>33</v>
      </c>
      <c r="AC924">
        <v>69.5</v>
      </c>
      <c r="AD924" t="s">
        <v>34</v>
      </c>
      <c r="AE924">
        <v>2726.86</v>
      </c>
      <c r="AF924">
        <v>0</v>
      </c>
    </row>
    <row r="925" spans="3:32" x14ac:dyDescent="0.35">
      <c r="C925" s="1">
        <v>44006</v>
      </c>
      <c r="D925" s="2">
        <v>43983</v>
      </c>
      <c r="E925">
        <v>1248</v>
      </c>
      <c r="F925" s="3">
        <v>2994.11</v>
      </c>
      <c r="G925" s="3">
        <v>2734.32</v>
      </c>
      <c r="H925" s="3">
        <v>259.79000000000002</v>
      </c>
      <c r="I925" s="3">
        <v>0.91</v>
      </c>
      <c r="J925">
        <v>0.12</v>
      </c>
      <c r="K925">
        <v>2282.87</v>
      </c>
      <c r="L925" t="s">
        <v>39</v>
      </c>
      <c r="M925">
        <v>702</v>
      </c>
      <c r="N925">
        <v>0.18</v>
      </c>
      <c r="O925" s="3">
        <v>468.94</v>
      </c>
      <c r="P925" s="3">
        <v>0.16</v>
      </c>
      <c r="Q925" s="3">
        <v>500.98</v>
      </c>
      <c r="R925" s="3">
        <v>0.17</v>
      </c>
      <c r="S925">
        <v>6</v>
      </c>
      <c r="T925">
        <v>1010.67</v>
      </c>
      <c r="U925">
        <v>35</v>
      </c>
      <c r="V925">
        <v>0</v>
      </c>
      <c r="W925">
        <v>611.57000000000005</v>
      </c>
      <c r="X925">
        <v>2826.99</v>
      </c>
      <c r="Y925" t="s">
        <v>36</v>
      </c>
      <c r="Z925" s="3">
        <v>572.12</v>
      </c>
      <c r="AA925" t="s">
        <v>45</v>
      </c>
      <c r="AB925" t="s">
        <v>44</v>
      </c>
      <c r="AC925">
        <v>67.2</v>
      </c>
      <c r="AD925" t="s">
        <v>34</v>
      </c>
      <c r="AE925">
        <v>259.79000000000002</v>
      </c>
      <c r="AF925">
        <v>0</v>
      </c>
    </row>
    <row r="926" spans="3:32" x14ac:dyDescent="0.35">
      <c r="C926" s="1">
        <v>44006</v>
      </c>
      <c r="D926" s="2">
        <v>43983</v>
      </c>
      <c r="E926">
        <v>1406</v>
      </c>
      <c r="F926" s="3">
        <v>3591.17</v>
      </c>
      <c r="G926" s="3">
        <v>3407.08</v>
      </c>
      <c r="H926" s="3">
        <v>184.09</v>
      </c>
      <c r="I926" s="3">
        <v>0.95</v>
      </c>
      <c r="J926">
        <v>0.06</v>
      </c>
      <c r="K926">
        <v>3746.12</v>
      </c>
      <c r="L926" t="s">
        <v>30</v>
      </c>
      <c r="M926">
        <v>791</v>
      </c>
      <c r="N926">
        <v>0.19</v>
      </c>
      <c r="O926" s="3">
        <v>604.19000000000005</v>
      </c>
      <c r="P926" s="3">
        <v>0.17</v>
      </c>
      <c r="Q926" s="3">
        <v>520.39</v>
      </c>
      <c r="R926" s="3">
        <v>0.14000000000000001</v>
      </c>
      <c r="S926">
        <v>7</v>
      </c>
      <c r="T926">
        <v>1598.53</v>
      </c>
      <c r="U926">
        <v>57</v>
      </c>
      <c r="V926">
        <v>0</v>
      </c>
      <c r="W926">
        <v>568.83000000000004</v>
      </c>
      <c r="X926">
        <v>3120.7</v>
      </c>
      <c r="Y926" t="s">
        <v>36</v>
      </c>
      <c r="Z926" s="3">
        <v>505.96</v>
      </c>
      <c r="AA926" t="s">
        <v>51</v>
      </c>
      <c r="AB926" t="s">
        <v>33</v>
      </c>
      <c r="AC926">
        <v>25</v>
      </c>
      <c r="AD926" t="s">
        <v>34</v>
      </c>
      <c r="AE926">
        <v>184.09</v>
      </c>
      <c r="AF926">
        <v>0</v>
      </c>
    </row>
    <row r="927" spans="3:32" x14ac:dyDescent="0.35">
      <c r="C927" s="1">
        <v>44006</v>
      </c>
      <c r="D927" s="2">
        <v>43983</v>
      </c>
      <c r="E927">
        <v>1427</v>
      </c>
      <c r="F927" s="3">
        <v>3768.81</v>
      </c>
      <c r="G927" s="3">
        <v>2952.26</v>
      </c>
      <c r="H927" s="3">
        <v>816.55</v>
      </c>
      <c r="I927" s="3">
        <v>0.78</v>
      </c>
      <c r="J927">
        <v>0.09</v>
      </c>
      <c r="K927">
        <v>2956.19</v>
      </c>
      <c r="L927" t="s">
        <v>35</v>
      </c>
      <c r="M927">
        <v>623</v>
      </c>
      <c r="N927">
        <v>0.55000000000000004</v>
      </c>
      <c r="O927" s="3">
        <v>556.73</v>
      </c>
      <c r="P927" s="3">
        <v>0.15</v>
      </c>
      <c r="Q927" s="3">
        <v>285.7</v>
      </c>
      <c r="R927" s="3">
        <v>0.08</v>
      </c>
      <c r="S927">
        <v>1</v>
      </c>
      <c r="T927">
        <v>839.22</v>
      </c>
      <c r="U927">
        <v>74</v>
      </c>
      <c r="V927">
        <v>0</v>
      </c>
      <c r="W927">
        <v>417.54</v>
      </c>
      <c r="X927">
        <v>2164.27</v>
      </c>
      <c r="Y927" t="s">
        <v>31</v>
      </c>
      <c r="Z927" s="3">
        <v>1304.07</v>
      </c>
      <c r="AA927" t="s">
        <v>45</v>
      </c>
      <c r="AB927" t="s">
        <v>33</v>
      </c>
      <c r="AC927">
        <v>22.9</v>
      </c>
      <c r="AD927" t="s">
        <v>43</v>
      </c>
      <c r="AE927">
        <v>816.55</v>
      </c>
      <c r="AF927">
        <v>0</v>
      </c>
    </row>
    <row r="928" spans="3:32" x14ac:dyDescent="0.35">
      <c r="C928" s="1">
        <v>44006</v>
      </c>
      <c r="D928" s="2">
        <v>43983</v>
      </c>
      <c r="E928">
        <v>1951</v>
      </c>
      <c r="F928" s="3">
        <v>4776.7700000000004</v>
      </c>
      <c r="G928" s="3">
        <v>3320.25</v>
      </c>
      <c r="H928" s="3">
        <v>1456.52</v>
      </c>
      <c r="I928" s="3">
        <v>0.7</v>
      </c>
      <c r="J928">
        <v>0.28000000000000003</v>
      </c>
      <c r="K928">
        <v>2321.48</v>
      </c>
      <c r="L928" t="s">
        <v>30</v>
      </c>
      <c r="M928">
        <v>702</v>
      </c>
      <c r="N928">
        <v>0.49</v>
      </c>
      <c r="O928" s="3">
        <v>700.79</v>
      </c>
      <c r="P928" s="3">
        <v>0.15</v>
      </c>
      <c r="Q928" s="3">
        <v>80.67</v>
      </c>
      <c r="R928" s="3">
        <v>0.02</v>
      </c>
      <c r="S928">
        <v>9</v>
      </c>
      <c r="T928">
        <v>991.12</v>
      </c>
      <c r="U928">
        <v>66</v>
      </c>
      <c r="V928">
        <v>0</v>
      </c>
      <c r="W928">
        <v>606.29999999999995</v>
      </c>
      <c r="X928">
        <v>1000</v>
      </c>
      <c r="Y928" t="s">
        <v>31</v>
      </c>
      <c r="Z928" s="3">
        <v>1763.19</v>
      </c>
      <c r="AA928" t="s">
        <v>46</v>
      </c>
      <c r="AB928" t="s">
        <v>42</v>
      </c>
      <c r="AC928">
        <v>45.5</v>
      </c>
      <c r="AD928" t="s">
        <v>43</v>
      </c>
      <c r="AE928">
        <v>1456.52</v>
      </c>
      <c r="AF928">
        <v>0</v>
      </c>
    </row>
    <row r="929" spans="3:32" x14ac:dyDescent="0.35">
      <c r="C929" s="1">
        <v>44006</v>
      </c>
      <c r="D929" s="2">
        <v>43983</v>
      </c>
      <c r="E929">
        <v>1442</v>
      </c>
      <c r="F929" s="3">
        <v>2903.88</v>
      </c>
      <c r="G929" s="3">
        <v>3335.29</v>
      </c>
      <c r="H929" s="3">
        <v>-431.41</v>
      </c>
      <c r="I929" s="3">
        <v>1.1499999999999999</v>
      </c>
      <c r="J929">
        <v>0.3</v>
      </c>
      <c r="K929">
        <v>3000.81</v>
      </c>
      <c r="L929" t="s">
        <v>39</v>
      </c>
      <c r="M929">
        <v>674</v>
      </c>
      <c r="N929">
        <v>0.56999999999999995</v>
      </c>
      <c r="O929" s="3">
        <v>323.60000000000002</v>
      </c>
      <c r="P929" s="3">
        <v>0.11</v>
      </c>
      <c r="Q929" s="3">
        <v>634.25</v>
      </c>
      <c r="R929" s="3">
        <v>0.22</v>
      </c>
      <c r="S929">
        <v>1</v>
      </c>
      <c r="T929">
        <v>1500.45</v>
      </c>
      <c r="U929">
        <v>64</v>
      </c>
      <c r="V929">
        <v>0</v>
      </c>
      <c r="W929">
        <v>275.58999999999997</v>
      </c>
      <c r="X929">
        <v>2740.17</v>
      </c>
      <c r="Y929" t="s">
        <v>31</v>
      </c>
      <c r="Z929" s="3">
        <v>1165.54</v>
      </c>
      <c r="AA929" t="s">
        <v>47</v>
      </c>
      <c r="AB929" t="s">
        <v>33</v>
      </c>
      <c r="AC929">
        <v>84.6</v>
      </c>
      <c r="AD929" t="s">
        <v>43</v>
      </c>
      <c r="AE929">
        <v>0</v>
      </c>
      <c r="AF929">
        <v>0</v>
      </c>
    </row>
    <row r="930" spans="3:32" x14ac:dyDescent="0.35">
      <c r="C930" s="1">
        <v>44006</v>
      </c>
      <c r="D930" s="2">
        <v>43983</v>
      </c>
      <c r="E930">
        <v>1638</v>
      </c>
      <c r="F930" s="3">
        <v>3997.97</v>
      </c>
      <c r="G930" s="3">
        <v>3632.41</v>
      </c>
      <c r="H930" s="3">
        <v>365.56</v>
      </c>
      <c r="I930" s="3">
        <v>0.91</v>
      </c>
      <c r="J930">
        <v>0.33</v>
      </c>
      <c r="K930">
        <v>3299.65</v>
      </c>
      <c r="L930" t="s">
        <v>35</v>
      </c>
      <c r="M930">
        <v>639</v>
      </c>
      <c r="N930">
        <v>0.16</v>
      </c>
      <c r="O930" s="3">
        <v>518.24</v>
      </c>
      <c r="P930" s="3">
        <v>0.13</v>
      </c>
      <c r="Q930" s="3">
        <v>566.79</v>
      </c>
      <c r="R930" s="3">
        <v>0.14000000000000001</v>
      </c>
      <c r="S930">
        <v>8</v>
      </c>
      <c r="T930">
        <v>217.5</v>
      </c>
      <c r="U930">
        <v>27</v>
      </c>
      <c r="V930">
        <v>1</v>
      </c>
      <c r="W930">
        <v>333.82</v>
      </c>
      <c r="X930">
        <v>2421.35</v>
      </c>
      <c r="Y930" t="s">
        <v>31</v>
      </c>
      <c r="Z930" s="3">
        <v>1128.94</v>
      </c>
      <c r="AA930" t="s">
        <v>48</v>
      </c>
      <c r="AB930" t="s">
        <v>33</v>
      </c>
      <c r="AC930">
        <v>36.799999999999997</v>
      </c>
      <c r="AD930" t="s">
        <v>34</v>
      </c>
      <c r="AE930">
        <v>365.56</v>
      </c>
      <c r="AF930">
        <v>0</v>
      </c>
    </row>
    <row r="931" spans="3:32" x14ac:dyDescent="0.35">
      <c r="C931" s="1">
        <v>44006</v>
      </c>
      <c r="D931" s="2">
        <v>43983</v>
      </c>
      <c r="E931">
        <v>1078</v>
      </c>
      <c r="F931" s="3">
        <v>5640.42</v>
      </c>
      <c r="G931" s="3">
        <v>3730.16</v>
      </c>
      <c r="H931" s="3">
        <v>1910.26</v>
      </c>
      <c r="I931" s="3">
        <v>0.66</v>
      </c>
      <c r="J931">
        <v>0.28000000000000003</v>
      </c>
      <c r="K931">
        <v>3145.3</v>
      </c>
      <c r="L931" t="s">
        <v>35</v>
      </c>
      <c r="M931">
        <v>692</v>
      </c>
      <c r="N931">
        <v>0.28999999999999998</v>
      </c>
      <c r="O931" s="3">
        <v>363.17</v>
      </c>
      <c r="P931" s="3">
        <v>0.06</v>
      </c>
      <c r="Q931" s="3">
        <v>729.6</v>
      </c>
      <c r="R931" s="3">
        <v>0.13</v>
      </c>
      <c r="S931">
        <v>6</v>
      </c>
      <c r="T931">
        <v>1088.8900000000001</v>
      </c>
      <c r="U931">
        <v>36</v>
      </c>
      <c r="V931">
        <v>0</v>
      </c>
      <c r="W931">
        <v>582.11</v>
      </c>
      <c r="X931">
        <v>2198.75</v>
      </c>
      <c r="Y931" t="s">
        <v>36</v>
      </c>
      <c r="Z931" s="3">
        <v>833.25</v>
      </c>
      <c r="AA931" t="s">
        <v>37</v>
      </c>
      <c r="AB931" t="s">
        <v>42</v>
      </c>
      <c r="AC931">
        <v>89.5</v>
      </c>
      <c r="AD931" t="s">
        <v>34</v>
      </c>
      <c r="AE931">
        <v>1910.26</v>
      </c>
      <c r="AF931">
        <v>0</v>
      </c>
    </row>
    <row r="932" spans="3:32" x14ac:dyDescent="0.35">
      <c r="C932" s="1">
        <v>44006</v>
      </c>
      <c r="D932" s="2">
        <v>43983</v>
      </c>
      <c r="E932">
        <v>1928</v>
      </c>
      <c r="F932" s="3">
        <v>3654.53</v>
      </c>
      <c r="G932" s="3">
        <v>2193.02</v>
      </c>
      <c r="H932" s="3">
        <v>1461.51</v>
      </c>
      <c r="I932" s="3">
        <v>0.6</v>
      </c>
      <c r="J932">
        <v>0.13</v>
      </c>
      <c r="K932">
        <v>3017.54</v>
      </c>
      <c r="L932" t="s">
        <v>35</v>
      </c>
      <c r="M932">
        <v>560</v>
      </c>
      <c r="N932">
        <v>0.3</v>
      </c>
      <c r="O932" s="3">
        <v>235.67</v>
      </c>
      <c r="P932" s="3">
        <v>0.06</v>
      </c>
      <c r="Q932" s="3">
        <v>468.23</v>
      </c>
      <c r="R932" s="3">
        <v>0.13</v>
      </c>
      <c r="S932">
        <v>3</v>
      </c>
      <c r="T932">
        <v>1042.3900000000001</v>
      </c>
      <c r="U932">
        <v>53</v>
      </c>
      <c r="V932">
        <v>0</v>
      </c>
      <c r="W932">
        <v>1107.33</v>
      </c>
      <c r="X932">
        <v>3528.84</v>
      </c>
      <c r="Y932" t="s">
        <v>36</v>
      </c>
      <c r="Z932" s="3">
        <v>1652.22</v>
      </c>
      <c r="AA932" t="s">
        <v>50</v>
      </c>
      <c r="AB932" t="s">
        <v>44</v>
      </c>
      <c r="AC932">
        <v>23.5</v>
      </c>
      <c r="AD932" t="s">
        <v>34</v>
      </c>
      <c r="AE932">
        <v>1461.51</v>
      </c>
      <c r="AF932">
        <v>0</v>
      </c>
    </row>
    <row r="933" spans="3:32" x14ac:dyDescent="0.35">
      <c r="C933" s="1">
        <v>44006</v>
      </c>
      <c r="D933" s="2">
        <v>43983</v>
      </c>
      <c r="E933">
        <v>1482</v>
      </c>
      <c r="F933" s="3">
        <v>6901.39</v>
      </c>
      <c r="G933" s="3">
        <v>2022.47</v>
      </c>
      <c r="H933" s="3">
        <v>4878.92</v>
      </c>
      <c r="I933" s="3">
        <v>0.28999999999999998</v>
      </c>
      <c r="J933">
        <v>0.32</v>
      </c>
      <c r="K933">
        <v>1515.55</v>
      </c>
      <c r="L933" t="s">
        <v>39</v>
      </c>
      <c r="M933">
        <v>655</v>
      </c>
      <c r="N933">
        <v>0.44</v>
      </c>
      <c r="O933" s="3">
        <v>314.52999999999997</v>
      </c>
      <c r="P933" s="3">
        <v>0.05</v>
      </c>
      <c r="Q933" s="3">
        <v>241.2</v>
      </c>
      <c r="R933" s="3">
        <v>0.03</v>
      </c>
      <c r="S933">
        <v>6</v>
      </c>
      <c r="T933">
        <v>1146.31</v>
      </c>
      <c r="U933">
        <v>77</v>
      </c>
      <c r="V933">
        <v>0</v>
      </c>
      <c r="W933">
        <v>608.77</v>
      </c>
      <c r="X933">
        <v>2104.4699999999998</v>
      </c>
      <c r="Y933" t="s">
        <v>36</v>
      </c>
      <c r="Z933" s="3">
        <v>1213.82</v>
      </c>
      <c r="AA933" t="s">
        <v>32</v>
      </c>
      <c r="AB933" t="s">
        <v>33</v>
      </c>
      <c r="AC933">
        <v>4.4000000000000004</v>
      </c>
      <c r="AD933" t="s">
        <v>34</v>
      </c>
      <c r="AE933">
        <v>4878.92</v>
      </c>
      <c r="AF933">
        <v>1</v>
      </c>
    </row>
    <row r="934" spans="3:32" x14ac:dyDescent="0.35">
      <c r="C934" s="1">
        <v>44006</v>
      </c>
      <c r="D934" s="2">
        <v>43983</v>
      </c>
      <c r="E934">
        <v>1203</v>
      </c>
      <c r="F934" s="3">
        <v>3319.73</v>
      </c>
      <c r="G934" s="3">
        <v>3580.7</v>
      </c>
      <c r="H934" s="3">
        <v>-260.97000000000003</v>
      </c>
      <c r="I934" s="3">
        <v>1.08</v>
      </c>
      <c r="J934">
        <v>7.0000000000000007E-2</v>
      </c>
      <c r="K934">
        <v>3156.8</v>
      </c>
      <c r="L934" t="s">
        <v>35</v>
      </c>
      <c r="M934">
        <v>699</v>
      </c>
      <c r="N934">
        <v>0.16</v>
      </c>
      <c r="O934" s="3">
        <v>747.57</v>
      </c>
      <c r="P934" s="3">
        <v>0.23</v>
      </c>
      <c r="Q934" s="3">
        <v>436.94</v>
      </c>
      <c r="R934" s="3">
        <v>0.13</v>
      </c>
      <c r="S934">
        <v>4</v>
      </c>
      <c r="T934">
        <v>1090.46</v>
      </c>
      <c r="U934">
        <v>40</v>
      </c>
      <c r="V934">
        <v>0</v>
      </c>
      <c r="W934">
        <v>840.65</v>
      </c>
      <c r="X934">
        <v>2106.79</v>
      </c>
      <c r="Y934" t="s">
        <v>36</v>
      </c>
      <c r="Z934" s="3">
        <v>1258.3900000000001</v>
      </c>
      <c r="AA934" t="s">
        <v>32</v>
      </c>
      <c r="AB934" t="s">
        <v>44</v>
      </c>
      <c r="AC934">
        <v>38.9</v>
      </c>
      <c r="AD934" t="s">
        <v>38</v>
      </c>
      <c r="AE934">
        <v>0</v>
      </c>
      <c r="AF934">
        <v>0</v>
      </c>
    </row>
    <row r="935" spans="3:32" x14ac:dyDescent="0.35">
      <c r="C935" s="1">
        <v>44006</v>
      </c>
      <c r="D935" s="2">
        <v>43983</v>
      </c>
      <c r="E935">
        <v>1848</v>
      </c>
      <c r="F935" s="3">
        <v>3333.37</v>
      </c>
      <c r="G935" s="3">
        <v>2180.6</v>
      </c>
      <c r="H935" s="3">
        <v>1152.77</v>
      </c>
      <c r="I935" s="3">
        <v>0.65</v>
      </c>
      <c r="J935">
        <v>0.39</v>
      </c>
      <c r="K935">
        <v>2037.64</v>
      </c>
      <c r="L935" t="s">
        <v>35</v>
      </c>
      <c r="M935">
        <v>539</v>
      </c>
      <c r="N935">
        <v>0.31</v>
      </c>
      <c r="O935" s="3">
        <v>684.04</v>
      </c>
      <c r="P935" s="3">
        <v>0.21</v>
      </c>
      <c r="Q935" s="3">
        <v>162.15</v>
      </c>
      <c r="R935" s="3">
        <v>0.05</v>
      </c>
      <c r="S935">
        <v>6</v>
      </c>
      <c r="T935">
        <v>1181.1500000000001</v>
      </c>
      <c r="U935">
        <v>64</v>
      </c>
      <c r="V935">
        <v>0</v>
      </c>
      <c r="W935">
        <v>217.87</v>
      </c>
      <c r="X935">
        <v>2597.31</v>
      </c>
      <c r="Y935" t="s">
        <v>36</v>
      </c>
      <c r="Z935" s="3">
        <v>1014.64</v>
      </c>
      <c r="AA935" t="s">
        <v>41</v>
      </c>
      <c r="AB935" t="s">
        <v>33</v>
      </c>
      <c r="AC935">
        <v>79.400000000000006</v>
      </c>
      <c r="AD935" t="s">
        <v>34</v>
      </c>
      <c r="AE935">
        <v>1152.77</v>
      </c>
      <c r="AF935">
        <v>0</v>
      </c>
    </row>
    <row r="936" spans="3:32" x14ac:dyDescent="0.35">
      <c r="C936" s="1">
        <v>44006</v>
      </c>
      <c r="D936" s="2">
        <v>43983</v>
      </c>
      <c r="E936">
        <v>1883</v>
      </c>
      <c r="F936" s="3">
        <v>3317.43</v>
      </c>
      <c r="G936" s="3">
        <v>3371.49</v>
      </c>
      <c r="H936" s="3">
        <v>-54.06</v>
      </c>
      <c r="I936" s="3">
        <v>1.02</v>
      </c>
      <c r="J936">
        <v>0.26</v>
      </c>
      <c r="K936">
        <v>3481.84</v>
      </c>
      <c r="L936" t="s">
        <v>35</v>
      </c>
      <c r="M936">
        <v>702</v>
      </c>
      <c r="N936">
        <v>0.35</v>
      </c>
      <c r="O936" s="3">
        <v>259.13</v>
      </c>
      <c r="P936" s="3">
        <v>0.08</v>
      </c>
      <c r="Q936" s="3">
        <v>793.7</v>
      </c>
      <c r="R936" s="3">
        <v>0.24</v>
      </c>
      <c r="S936">
        <v>1</v>
      </c>
      <c r="T936">
        <v>1083.26</v>
      </c>
      <c r="U936">
        <v>38</v>
      </c>
      <c r="V936">
        <v>0</v>
      </c>
      <c r="W936">
        <v>327.57</v>
      </c>
      <c r="X936">
        <v>2676.4</v>
      </c>
      <c r="Y936" t="s">
        <v>36</v>
      </c>
      <c r="Z936" s="3">
        <v>1134.3</v>
      </c>
      <c r="AA936" t="s">
        <v>47</v>
      </c>
      <c r="AB936" t="s">
        <v>42</v>
      </c>
      <c r="AC936">
        <v>9</v>
      </c>
      <c r="AD936" t="s">
        <v>38</v>
      </c>
      <c r="AE936">
        <v>0</v>
      </c>
      <c r="AF936">
        <v>0</v>
      </c>
    </row>
    <row r="937" spans="3:32" x14ac:dyDescent="0.35">
      <c r="C937" s="1">
        <v>44006</v>
      </c>
      <c r="D937" s="2">
        <v>43983</v>
      </c>
      <c r="E937">
        <v>1507</v>
      </c>
      <c r="F937" s="3">
        <v>5573.58</v>
      </c>
      <c r="G937" s="3">
        <v>2067.3200000000002</v>
      </c>
      <c r="H937" s="3">
        <v>3506.26</v>
      </c>
      <c r="I937" s="3">
        <v>0.37</v>
      </c>
      <c r="J937">
        <v>0.11</v>
      </c>
      <c r="K937">
        <v>2005.75</v>
      </c>
      <c r="L937" t="s">
        <v>30</v>
      </c>
      <c r="M937">
        <v>614</v>
      </c>
      <c r="N937">
        <v>0.2</v>
      </c>
      <c r="O937" s="3">
        <v>625.4</v>
      </c>
      <c r="P937" s="3">
        <v>0.11</v>
      </c>
      <c r="Q937" s="3">
        <v>232.62</v>
      </c>
      <c r="R937" s="3">
        <v>0.04</v>
      </c>
      <c r="S937">
        <v>5</v>
      </c>
      <c r="T937">
        <v>0</v>
      </c>
      <c r="U937">
        <v>36</v>
      </c>
      <c r="V937">
        <v>0</v>
      </c>
      <c r="W937">
        <v>326.48</v>
      </c>
      <c r="X937">
        <v>1630.53</v>
      </c>
      <c r="Y937" t="s">
        <v>31</v>
      </c>
      <c r="Z937" s="3">
        <v>968.16</v>
      </c>
      <c r="AA937" t="s">
        <v>50</v>
      </c>
      <c r="AB937" t="s">
        <v>42</v>
      </c>
      <c r="AC937">
        <v>96.8</v>
      </c>
      <c r="AD937" t="s">
        <v>34</v>
      </c>
      <c r="AE937">
        <v>3506.26</v>
      </c>
      <c r="AF937">
        <v>1</v>
      </c>
    </row>
    <row r="938" spans="3:32" x14ac:dyDescent="0.35">
      <c r="C938" s="1">
        <v>44006</v>
      </c>
      <c r="D938" s="2">
        <v>43983</v>
      </c>
      <c r="E938">
        <v>1170</v>
      </c>
      <c r="F938" s="3">
        <v>5477.33</v>
      </c>
      <c r="G938" s="3">
        <v>3063.83</v>
      </c>
      <c r="H938" s="3">
        <v>2413.5</v>
      </c>
      <c r="I938" s="3">
        <v>0.56000000000000005</v>
      </c>
      <c r="J938">
        <v>0.15</v>
      </c>
      <c r="K938">
        <v>3248.17</v>
      </c>
      <c r="L938" t="s">
        <v>35</v>
      </c>
      <c r="M938">
        <v>712</v>
      </c>
      <c r="N938">
        <v>0.48</v>
      </c>
      <c r="O938" s="3">
        <v>375.21</v>
      </c>
      <c r="P938" s="3">
        <v>7.0000000000000007E-2</v>
      </c>
      <c r="Q938" s="3">
        <v>582.84</v>
      </c>
      <c r="R938" s="3">
        <v>0.11</v>
      </c>
      <c r="S938">
        <v>8</v>
      </c>
      <c r="T938">
        <v>620.45000000000005</v>
      </c>
      <c r="U938">
        <v>72</v>
      </c>
      <c r="V938">
        <v>0</v>
      </c>
      <c r="W938">
        <v>897.68</v>
      </c>
      <c r="X938">
        <v>2998.03</v>
      </c>
      <c r="Y938" t="s">
        <v>31</v>
      </c>
      <c r="Z938" s="3">
        <v>1018</v>
      </c>
      <c r="AA938" t="s">
        <v>32</v>
      </c>
      <c r="AB938" t="s">
        <v>42</v>
      </c>
      <c r="AC938">
        <v>13.5</v>
      </c>
      <c r="AD938" t="s">
        <v>34</v>
      </c>
      <c r="AE938">
        <v>2413.5</v>
      </c>
      <c r="AF938">
        <v>0</v>
      </c>
    </row>
    <row r="939" spans="3:32" x14ac:dyDescent="0.35">
      <c r="C939" s="1">
        <v>44006</v>
      </c>
      <c r="D939" s="2">
        <v>43983</v>
      </c>
      <c r="E939">
        <v>1709</v>
      </c>
      <c r="F939" s="3">
        <v>3590.36</v>
      </c>
      <c r="G939" s="3">
        <v>3109.52</v>
      </c>
      <c r="H939" s="3">
        <v>480.84</v>
      </c>
      <c r="I939" s="3">
        <v>0.87</v>
      </c>
      <c r="J939">
        <v>0.27</v>
      </c>
      <c r="K939">
        <v>3234.53</v>
      </c>
      <c r="L939" t="s">
        <v>39</v>
      </c>
      <c r="M939">
        <v>785</v>
      </c>
      <c r="N939">
        <v>0.3</v>
      </c>
      <c r="O939" s="3">
        <v>496.52</v>
      </c>
      <c r="P939" s="3">
        <v>0.14000000000000001</v>
      </c>
      <c r="Q939" s="3">
        <v>218.33</v>
      </c>
      <c r="R939" s="3">
        <v>0.06</v>
      </c>
      <c r="S939">
        <v>7</v>
      </c>
      <c r="T939">
        <v>1331.47</v>
      </c>
      <c r="U939">
        <v>97</v>
      </c>
      <c r="V939">
        <v>0</v>
      </c>
      <c r="W939">
        <v>0</v>
      </c>
      <c r="X939">
        <v>2192.5100000000002</v>
      </c>
      <c r="Y939" t="s">
        <v>36</v>
      </c>
      <c r="Z939" s="3">
        <v>1275.5899999999999</v>
      </c>
      <c r="AA939" t="s">
        <v>46</v>
      </c>
      <c r="AB939" t="s">
        <v>33</v>
      </c>
      <c r="AC939">
        <v>1.9</v>
      </c>
      <c r="AD939" t="s">
        <v>34</v>
      </c>
      <c r="AE939">
        <v>480.84</v>
      </c>
      <c r="AF939">
        <v>0</v>
      </c>
    </row>
    <row r="940" spans="3:32" x14ac:dyDescent="0.35">
      <c r="C940" s="1">
        <v>44006</v>
      </c>
      <c r="D940" s="2">
        <v>43983</v>
      </c>
      <c r="E940">
        <v>1154</v>
      </c>
      <c r="F940" s="3">
        <v>4587.59</v>
      </c>
      <c r="G940" s="3">
        <v>3315.82</v>
      </c>
      <c r="H940" s="3">
        <v>1271.77</v>
      </c>
      <c r="I940" s="3">
        <v>0.72</v>
      </c>
      <c r="J940">
        <v>0.27</v>
      </c>
      <c r="K940">
        <v>2841.99</v>
      </c>
      <c r="L940" t="s">
        <v>35</v>
      </c>
      <c r="M940">
        <v>615</v>
      </c>
      <c r="N940">
        <v>0.19</v>
      </c>
      <c r="O940" s="3">
        <v>786.35</v>
      </c>
      <c r="P940" s="3">
        <v>0.17</v>
      </c>
      <c r="Q940" s="3">
        <v>703.23</v>
      </c>
      <c r="R940" s="3">
        <v>0.15</v>
      </c>
      <c r="S940">
        <v>1</v>
      </c>
      <c r="T940">
        <v>630.76</v>
      </c>
      <c r="U940">
        <v>70</v>
      </c>
      <c r="V940">
        <v>0</v>
      </c>
      <c r="W940">
        <v>11.55</v>
      </c>
      <c r="X940">
        <v>2305.5</v>
      </c>
      <c r="Y940" t="s">
        <v>49</v>
      </c>
      <c r="Z940" s="3">
        <v>794.47</v>
      </c>
      <c r="AA940" t="s">
        <v>40</v>
      </c>
      <c r="AB940" t="s">
        <v>42</v>
      </c>
      <c r="AC940">
        <v>79.7</v>
      </c>
      <c r="AD940" t="s">
        <v>43</v>
      </c>
      <c r="AE940">
        <v>1271.77</v>
      </c>
      <c r="AF940">
        <v>0</v>
      </c>
    </row>
    <row r="941" spans="3:32" x14ac:dyDescent="0.35">
      <c r="C941" s="1">
        <v>44006</v>
      </c>
      <c r="D941" s="2">
        <v>43983</v>
      </c>
      <c r="E941">
        <v>1580</v>
      </c>
      <c r="F941" s="3">
        <v>4659.76</v>
      </c>
      <c r="G941" s="3">
        <v>3162.29</v>
      </c>
      <c r="H941" s="3">
        <v>1497.47</v>
      </c>
      <c r="I941" s="3">
        <v>0.68</v>
      </c>
      <c r="J941">
        <v>0.12</v>
      </c>
      <c r="K941">
        <v>1787</v>
      </c>
      <c r="L941" t="s">
        <v>35</v>
      </c>
      <c r="M941">
        <v>614</v>
      </c>
      <c r="N941">
        <v>0.51</v>
      </c>
      <c r="O941" s="3">
        <v>419.61</v>
      </c>
      <c r="P941" s="3">
        <v>0.09</v>
      </c>
      <c r="Q941" s="3">
        <v>249.97</v>
      </c>
      <c r="R941" s="3">
        <v>0.05</v>
      </c>
      <c r="S941">
        <v>2</v>
      </c>
      <c r="T941">
        <v>2585.36</v>
      </c>
      <c r="U941">
        <v>20</v>
      </c>
      <c r="V941">
        <v>0</v>
      </c>
      <c r="W941">
        <v>350.43</v>
      </c>
      <c r="X941">
        <v>2249.9899999999998</v>
      </c>
      <c r="Y941" t="s">
        <v>49</v>
      </c>
      <c r="Z941" s="3">
        <v>1093.07</v>
      </c>
      <c r="AA941" t="s">
        <v>46</v>
      </c>
      <c r="AB941" t="s">
        <v>33</v>
      </c>
      <c r="AC941">
        <v>89.1</v>
      </c>
      <c r="AD941" t="s">
        <v>38</v>
      </c>
      <c r="AE941">
        <v>1497.47</v>
      </c>
      <c r="AF941">
        <v>0</v>
      </c>
    </row>
    <row r="942" spans="3:32" x14ac:dyDescent="0.35">
      <c r="C942" s="1">
        <v>44006</v>
      </c>
      <c r="D942" s="2">
        <v>43983</v>
      </c>
      <c r="E942">
        <v>1389</v>
      </c>
      <c r="F942" s="3">
        <v>3491.32</v>
      </c>
      <c r="G942" s="3">
        <v>3861.52</v>
      </c>
      <c r="H942" s="3">
        <v>-370.2</v>
      </c>
      <c r="I942" s="3">
        <v>1.1100000000000001</v>
      </c>
      <c r="J942">
        <v>0.31</v>
      </c>
      <c r="K942">
        <v>2837.67</v>
      </c>
      <c r="L942" t="s">
        <v>39</v>
      </c>
      <c r="M942">
        <v>657</v>
      </c>
      <c r="N942">
        <v>0.23</v>
      </c>
      <c r="O942" s="3">
        <v>675.53</v>
      </c>
      <c r="P942" s="3">
        <v>0.19</v>
      </c>
      <c r="Q942" s="3">
        <v>644.92999999999995</v>
      </c>
      <c r="R942" s="3">
        <v>0.18</v>
      </c>
      <c r="S942">
        <v>9</v>
      </c>
      <c r="T942">
        <v>674.16</v>
      </c>
      <c r="U942">
        <v>91</v>
      </c>
      <c r="V942">
        <v>0</v>
      </c>
      <c r="W942">
        <v>556.85</v>
      </c>
      <c r="X942">
        <v>2129.27</v>
      </c>
      <c r="Y942" t="s">
        <v>36</v>
      </c>
      <c r="Z942" s="3">
        <v>300</v>
      </c>
      <c r="AA942" t="s">
        <v>51</v>
      </c>
      <c r="AB942" t="s">
        <v>33</v>
      </c>
      <c r="AC942">
        <v>43.2</v>
      </c>
      <c r="AD942" t="s">
        <v>43</v>
      </c>
      <c r="AE942">
        <v>0</v>
      </c>
      <c r="AF942">
        <v>0</v>
      </c>
    </row>
    <row r="943" spans="3:32" x14ac:dyDescent="0.35">
      <c r="C943" s="1">
        <v>44006</v>
      </c>
      <c r="D943" s="2">
        <v>43983</v>
      </c>
      <c r="E943">
        <v>1927</v>
      </c>
      <c r="F943" s="3">
        <v>2406.12</v>
      </c>
      <c r="G943" s="3">
        <v>4245.84</v>
      </c>
      <c r="H943" s="3">
        <v>-1839.72</v>
      </c>
      <c r="I943" s="3">
        <v>1.76</v>
      </c>
      <c r="J943">
        <v>0.18</v>
      </c>
      <c r="K943">
        <v>2080.12</v>
      </c>
      <c r="L943" t="s">
        <v>30</v>
      </c>
      <c r="M943">
        <v>661</v>
      </c>
      <c r="N943">
        <v>0.14000000000000001</v>
      </c>
      <c r="O943" s="3">
        <v>704.22</v>
      </c>
      <c r="P943" s="3">
        <v>0.28999999999999998</v>
      </c>
      <c r="Q943" s="3">
        <v>592.87</v>
      </c>
      <c r="R943" s="3">
        <v>0.25</v>
      </c>
      <c r="S943">
        <v>8</v>
      </c>
      <c r="T943">
        <v>770.35</v>
      </c>
      <c r="U943">
        <v>59</v>
      </c>
      <c r="V943">
        <v>0</v>
      </c>
      <c r="W943">
        <v>620.58000000000004</v>
      </c>
      <c r="X943">
        <v>2234.27</v>
      </c>
      <c r="Y943" t="s">
        <v>36</v>
      </c>
      <c r="Z943" s="3">
        <v>1018.76</v>
      </c>
      <c r="AA943" t="s">
        <v>41</v>
      </c>
      <c r="AB943" t="s">
        <v>33</v>
      </c>
      <c r="AC943">
        <v>65.2</v>
      </c>
      <c r="AD943" t="s">
        <v>34</v>
      </c>
      <c r="AE943">
        <v>0</v>
      </c>
      <c r="AF943">
        <v>0</v>
      </c>
    </row>
    <row r="944" spans="3:32" x14ac:dyDescent="0.35">
      <c r="C944" s="1">
        <v>44006</v>
      </c>
      <c r="D944" s="2">
        <v>43983</v>
      </c>
      <c r="E944">
        <v>1497</v>
      </c>
      <c r="F944" s="3">
        <v>4568.68</v>
      </c>
      <c r="G944" s="3">
        <v>2370.7600000000002</v>
      </c>
      <c r="H944" s="3">
        <v>2197.92</v>
      </c>
      <c r="I944" s="3">
        <v>0.52</v>
      </c>
      <c r="J944">
        <v>0.28000000000000003</v>
      </c>
      <c r="K944">
        <v>2226.14</v>
      </c>
      <c r="L944" t="s">
        <v>30</v>
      </c>
      <c r="M944">
        <v>688</v>
      </c>
      <c r="N944">
        <v>0.21</v>
      </c>
      <c r="O944" s="3">
        <v>780.27</v>
      </c>
      <c r="P944" s="3">
        <v>0.17</v>
      </c>
      <c r="Q944" s="3">
        <v>526.41</v>
      </c>
      <c r="R944" s="3">
        <v>0.12</v>
      </c>
      <c r="S944">
        <v>9</v>
      </c>
      <c r="T944">
        <v>1037.98</v>
      </c>
      <c r="U944">
        <v>68</v>
      </c>
      <c r="V944">
        <v>0</v>
      </c>
      <c r="W944">
        <v>494.93</v>
      </c>
      <c r="X944">
        <v>3062.57</v>
      </c>
      <c r="Y944" t="s">
        <v>36</v>
      </c>
      <c r="Z944" s="3">
        <v>1690.15</v>
      </c>
      <c r="AA944" t="s">
        <v>37</v>
      </c>
      <c r="AB944" t="s">
        <v>44</v>
      </c>
      <c r="AC944">
        <v>67.2</v>
      </c>
      <c r="AD944" t="s">
        <v>38</v>
      </c>
      <c r="AE944">
        <v>2197.92</v>
      </c>
      <c r="AF944">
        <v>0</v>
      </c>
    </row>
    <row r="945" spans="3:32" x14ac:dyDescent="0.35">
      <c r="C945" s="1">
        <v>44006</v>
      </c>
      <c r="D945" s="2">
        <v>43983</v>
      </c>
      <c r="E945">
        <v>1801</v>
      </c>
      <c r="F945" s="3">
        <v>5216.2</v>
      </c>
      <c r="G945" s="3">
        <v>2160.1</v>
      </c>
      <c r="H945" s="3">
        <v>3056.1</v>
      </c>
      <c r="I945" s="3">
        <v>0.41</v>
      </c>
      <c r="J945">
        <v>0.32</v>
      </c>
      <c r="K945">
        <v>2570.1999999999998</v>
      </c>
      <c r="L945" t="s">
        <v>35</v>
      </c>
      <c r="M945">
        <v>651</v>
      </c>
      <c r="N945">
        <v>0.14000000000000001</v>
      </c>
      <c r="O945" s="3">
        <v>439.95</v>
      </c>
      <c r="P945" s="3">
        <v>0.08</v>
      </c>
      <c r="Q945" s="3">
        <v>322.63</v>
      </c>
      <c r="R945" s="3">
        <v>0.06</v>
      </c>
      <c r="S945">
        <v>9</v>
      </c>
      <c r="T945">
        <v>0</v>
      </c>
      <c r="U945">
        <v>88</v>
      </c>
      <c r="V945">
        <v>0</v>
      </c>
      <c r="W945">
        <v>226.42</v>
      </c>
      <c r="X945">
        <v>2596.4299999999998</v>
      </c>
      <c r="Y945" t="s">
        <v>36</v>
      </c>
      <c r="Z945" s="3">
        <v>1100.58</v>
      </c>
      <c r="AA945" t="s">
        <v>41</v>
      </c>
      <c r="AB945" t="s">
        <v>42</v>
      </c>
      <c r="AC945">
        <v>38.299999999999997</v>
      </c>
      <c r="AD945" t="s">
        <v>34</v>
      </c>
      <c r="AE945">
        <v>3056.1</v>
      </c>
      <c r="AF945">
        <v>1</v>
      </c>
    </row>
    <row r="946" spans="3:32" x14ac:dyDescent="0.35">
      <c r="C946" s="1">
        <v>44006</v>
      </c>
      <c r="D946" s="2">
        <v>43983</v>
      </c>
      <c r="E946">
        <v>1137</v>
      </c>
      <c r="F946" s="3">
        <v>4089.74</v>
      </c>
      <c r="G946" s="3">
        <v>3465.71</v>
      </c>
      <c r="H946" s="3">
        <v>624.03</v>
      </c>
      <c r="I946" s="3">
        <v>0.85</v>
      </c>
      <c r="J946">
        <v>0.36</v>
      </c>
      <c r="K946">
        <v>3078.5</v>
      </c>
      <c r="L946" t="s">
        <v>30</v>
      </c>
      <c r="M946">
        <v>642</v>
      </c>
      <c r="N946">
        <v>0.34</v>
      </c>
      <c r="O946" s="3">
        <v>472.13</v>
      </c>
      <c r="P946" s="3">
        <v>0.12</v>
      </c>
      <c r="Q946" s="3">
        <v>860.3</v>
      </c>
      <c r="R946" s="3">
        <v>0.21</v>
      </c>
      <c r="S946">
        <v>5</v>
      </c>
      <c r="T946">
        <v>1605.97</v>
      </c>
      <c r="U946">
        <v>52</v>
      </c>
      <c r="V946">
        <v>0</v>
      </c>
      <c r="W946">
        <v>605.67999999999995</v>
      </c>
      <c r="X946">
        <v>2660.39</v>
      </c>
      <c r="Y946" t="s">
        <v>49</v>
      </c>
      <c r="Z946" s="3">
        <v>1054.1400000000001</v>
      </c>
      <c r="AA946" t="s">
        <v>48</v>
      </c>
      <c r="AB946" t="s">
        <v>44</v>
      </c>
      <c r="AC946">
        <v>63.2</v>
      </c>
      <c r="AD946" t="s">
        <v>43</v>
      </c>
      <c r="AE946">
        <v>624.03</v>
      </c>
      <c r="AF946">
        <v>0</v>
      </c>
    </row>
    <row r="947" spans="3:32" x14ac:dyDescent="0.35">
      <c r="C947" s="1">
        <v>44006</v>
      </c>
      <c r="D947" s="2">
        <v>43983</v>
      </c>
      <c r="E947">
        <v>1747</v>
      </c>
      <c r="F947" s="3">
        <v>1876.64</v>
      </c>
      <c r="G947" s="3">
        <v>4276.5</v>
      </c>
      <c r="H947" s="3">
        <v>-2399.86</v>
      </c>
      <c r="I947" s="3">
        <v>2.2799999999999998</v>
      </c>
      <c r="J947">
        <v>0.23</v>
      </c>
      <c r="K947">
        <v>1681.78</v>
      </c>
      <c r="L947" t="s">
        <v>35</v>
      </c>
      <c r="M947">
        <v>716</v>
      </c>
      <c r="N947">
        <v>0.43</v>
      </c>
      <c r="O947" s="3">
        <v>899.33</v>
      </c>
      <c r="P947" s="3">
        <v>0.48</v>
      </c>
      <c r="Q947" s="3">
        <v>313.01</v>
      </c>
      <c r="R947" s="3">
        <v>0.17</v>
      </c>
      <c r="S947">
        <v>6</v>
      </c>
      <c r="T947">
        <v>1077.5899999999999</v>
      </c>
      <c r="U947">
        <v>35</v>
      </c>
      <c r="V947">
        <v>0</v>
      </c>
      <c r="W947">
        <v>670.36</v>
      </c>
      <c r="X947">
        <v>1882.99</v>
      </c>
      <c r="Y947" t="s">
        <v>36</v>
      </c>
      <c r="Z947" s="3">
        <v>1160.24</v>
      </c>
      <c r="AA947" t="s">
        <v>50</v>
      </c>
      <c r="AB947" t="s">
        <v>33</v>
      </c>
      <c r="AC947">
        <v>55.9</v>
      </c>
      <c r="AD947" t="s">
        <v>43</v>
      </c>
      <c r="AE947">
        <v>0</v>
      </c>
      <c r="AF947">
        <v>0</v>
      </c>
    </row>
    <row r="948" spans="3:32" x14ac:dyDescent="0.35">
      <c r="C948" s="1">
        <v>44006</v>
      </c>
      <c r="D948" s="2">
        <v>43983</v>
      </c>
      <c r="E948">
        <v>1418</v>
      </c>
      <c r="F948" s="3">
        <v>4108.74</v>
      </c>
      <c r="G948" s="3">
        <v>2395.7600000000002</v>
      </c>
      <c r="H948" s="3">
        <v>1712.98</v>
      </c>
      <c r="I948" s="3">
        <v>0.57999999999999996</v>
      </c>
      <c r="J948">
        <v>0.33</v>
      </c>
      <c r="K948">
        <v>2648.34</v>
      </c>
      <c r="L948" t="s">
        <v>39</v>
      </c>
      <c r="M948">
        <v>684</v>
      </c>
      <c r="N948">
        <v>0.1</v>
      </c>
      <c r="O948" s="3">
        <v>576.5</v>
      </c>
      <c r="P948" s="3">
        <v>0.14000000000000001</v>
      </c>
      <c r="Q948" s="3">
        <v>222.34</v>
      </c>
      <c r="R948" s="3">
        <v>0.05</v>
      </c>
      <c r="S948">
        <v>3</v>
      </c>
      <c r="T948">
        <v>1440</v>
      </c>
      <c r="U948">
        <v>33</v>
      </c>
      <c r="V948">
        <v>0</v>
      </c>
      <c r="W948">
        <v>577.59</v>
      </c>
      <c r="X948">
        <v>1243.6099999999999</v>
      </c>
      <c r="Y948" t="s">
        <v>36</v>
      </c>
      <c r="Z948" s="3">
        <v>1333.61</v>
      </c>
      <c r="AA948" t="s">
        <v>48</v>
      </c>
      <c r="AB948" t="s">
        <v>33</v>
      </c>
      <c r="AC948">
        <v>26.6</v>
      </c>
      <c r="AD948" t="s">
        <v>43</v>
      </c>
      <c r="AE948">
        <v>1712.98</v>
      </c>
      <c r="AF948">
        <v>0</v>
      </c>
    </row>
    <row r="949" spans="3:32" x14ac:dyDescent="0.35">
      <c r="C949" s="1">
        <v>44006</v>
      </c>
      <c r="D949" s="2">
        <v>43983</v>
      </c>
      <c r="E949">
        <v>1827</v>
      </c>
      <c r="F949" s="3">
        <v>2171.37</v>
      </c>
      <c r="G949" s="3">
        <v>1861.96</v>
      </c>
      <c r="H949" s="3">
        <v>309.41000000000003</v>
      </c>
      <c r="I949" s="3">
        <v>0.86</v>
      </c>
      <c r="J949">
        <v>0.15</v>
      </c>
      <c r="K949">
        <v>3247.58</v>
      </c>
      <c r="L949" t="s">
        <v>30</v>
      </c>
      <c r="M949">
        <v>685</v>
      </c>
      <c r="N949">
        <v>0.13</v>
      </c>
      <c r="O949" s="3">
        <v>478.95</v>
      </c>
      <c r="P949" s="3">
        <v>0.22</v>
      </c>
      <c r="Q949" s="3">
        <v>513.26</v>
      </c>
      <c r="R949" s="3">
        <v>0.24</v>
      </c>
      <c r="S949">
        <v>2</v>
      </c>
      <c r="T949">
        <v>0</v>
      </c>
      <c r="U949">
        <v>20</v>
      </c>
      <c r="V949">
        <v>0</v>
      </c>
      <c r="W949">
        <v>633.72</v>
      </c>
      <c r="X949">
        <v>1665.56</v>
      </c>
      <c r="Y949" t="s">
        <v>36</v>
      </c>
      <c r="Z949" s="3">
        <v>1145.73</v>
      </c>
      <c r="AA949" t="s">
        <v>40</v>
      </c>
      <c r="AB949" t="s">
        <v>33</v>
      </c>
      <c r="AC949">
        <v>90.5</v>
      </c>
      <c r="AD949" t="s">
        <v>43</v>
      </c>
      <c r="AE949">
        <v>309.41000000000003</v>
      </c>
      <c r="AF949">
        <v>0</v>
      </c>
    </row>
    <row r="950" spans="3:32" x14ac:dyDescent="0.35">
      <c r="C950" s="1">
        <v>44006</v>
      </c>
      <c r="D950" s="2">
        <v>43983</v>
      </c>
      <c r="E950">
        <v>1395</v>
      </c>
      <c r="F950" s="3">
        <v>4848.12</v>
      </c>
      <c r="G950" s="3">
        <v>2614.36</v>
      </c>
      <c r="H950" s="3">
        <v>2233.7600000000002</v>
      </c>
      <c r="I950" s="3">
        <v>0.54</v>
      </c>
      <c r="J950">
        <v>0.32</v>
      </c>
      <c r="K950">
        <v>2353.06</v>
      </c>
      <c r="L950" t="s">
        <v>39</v>
      </c>
      <c r="M950">
        <v>683</v>
      </c>
      <c r="N950">
        <v>0.46</v>
      </c>
      <c r="O950" s="3">
        <v>794.75</v>
      </c>
      <c r="P950" s="3">
        <v>0.16</v>
      </c>
      <c r="Q950" s="3">
        <v>168.95</v>
      </c>
      <c r="R950" s="3">
        <v>0.03</v>
      </c>
      <c r="S950">
        <v>3</v>
      </c>
      <c r="T950">
        <v>417.83</v>
      </c>
      <c r="U950">
        <v>99</v>
      </c>
      <c r="V950">
        <v>0</v>
      </c>
      <c r="W950">
        <v>526.53</v>
      </c>
      <c r="X950">
        <v>3205.27</v>
      </c>
      <c r="Y950" t="s">
        <v>36</v>
      </c>
      <c r="Z950" s="3">
        <v>1657.44</v>
      </c>
      <c r="AA950" t="s">
        <v>37</v>
      </c>
      <c r="AB950" t="s">
        <v>33</v>
      </c>
      <c r="AC950">
        <v>77.3</v>
      </c>
      <c r="AD950" t="s">
        <v>34</v>
      </c>
      <c r="AE950">
        <v>2233.7600000000002</v>
      </c>
      <c r="AF950">
        <v>0</v>
      </c>
    </row>
    <row r="951" spans="3:32" x14ac:dyDescent="0.35">
      <c r="C951" s="1">
        <v>44006</v>
      </c>
      <c r="D951" s="2">
        <v>43983</v>
      </c>
      <c r="E951">
        <v>1688</v>
      </c>
      <c r="F951" s="3">
        <v>3398.49</v>
      </c>
      <c r="G951" s="3">
        <v>3196.16</v>
      </c>
      <c r="H951" s="3">
        <v>202.33</v>
      </c>
      <c r="I951" s="3">
        <v>0.94</v>
      </c>
      <c r="J951">
        <v>0.2</v>
      </c>
      <c r="K951">
        <v>3833.5</v>
      </c>
      <c r="L951" t="s">
        <v>30</v>
      </c>
      <c r="M951">
        <v>698</v>
      </c>
      <c r="N951">
        <v>0.37</v>
      </c>
      <c r="O951" s="3">
        <v>828.35</v>
      </c>
      <c r="P951" s="3">
        <v>0.24</v>
      </c>
      <c r="Q951" s="3">
        <v>126.98</v>
      </c>
      <c r="R951" s="3">
        <v>0.04</v>
      </c>
      <c r="S951">
        <v>8</v>
      </c>
      <c r="T951">
        <v>1115.6600000000001</v>
      </c>
      <c r="U951">
        <v>52</v>
      </c>
      <c r="V951">
        <v>0</v>
      </c>
      <c r="W951">
        <v>378.85</v>
      </c>
      <c r="X951">
        <v>2450.75</v>
      </c>
      <c r="Y951" t="s">
        <v>36</v>
      </c>
      <c r="Z951" s="3">
        <v>1450.66</v>
      </c>
      <c r="AA951" t="s">
        <v>48</v>
      </c>
      <c r="AB951" t="s">
        <v>44</v>
      </c>
      <c r="AC951">
        <v>19.600000000000001</v>
      </c>
      <c r="AD951" t="s">
        <v>34</v>
      </c>
      <c r="AE951">
        <v>202.33</v>
      </c>
      <c r="AF951">
        <v>0</v>
      </c>
    </row>
    <row r="952" spans="3:32" x14ac:dyDescent="0.35">
      <c r="C952" s="1">
        <v>44036</v>
      </c>
      <c r="D952" s="2">
        <v>44013</v>
      </c>
      <c r="E952">
        <v>1447</v>
      </c>
      <c r="F952" s="3">
        <v>4726.33</v>
      </c>
      <c r="G952" s="3">
        <v>3948.38</v>
      </c>
      <c r="H952" s="3">
        <v>777.95</v>
      </c>
      <c r="I952" s="3">
        <v>0.84</v>
      </c>
      <c r="J952">
        <v>0.14000000000000001</v>
      </c>
      <c r="K952">
        <v>2539.69</v>
      </c>
      <c r="L952" t="s">
        <v>35</v>
      </c>
      <c r="M952">
        <v>691</v>
      </c>
      <c r="N952">
        <v>0.48</v>
      </c>
      <c r="O952" s="3">
        <v>369.67</v>
      </c>
      <c r="P952" s="3">
        <v>0.08</v>
      </c>
      <c r="Q952" s="3">
        <v>409.83</v>
      </c>
      <c r="R952" s="3">
        <v>0.09</v>
      </c>
      <c r="S952">
        <v>7</v>
      </c>
      <c r="T952">
        <v>1320.35</v>
      </c>
      <c r="U952">
        <v>96</v>
      </c>
      <c r="V952">
        <v>0</v>
      </c>
      <c r="W952">
        <v>478.5</v>
      </c>
      <c r="X952">
        <v>1850.42</v>
      </c>
      <c r="Y952" t="s">
        <v>36</v>
      </c>
      <c r="Z952" s="3">
        <v>929.73</v>
      </c>
      <c r="AA952" t="s">
        <v>41</v>
      </c>
      <c r="AB952" t="s">
        <v>44</v>
      </c>
      <c r="AC952">
        <v>73.7</v>
      </c>
      <c r="AD952" t="s">
        <v>34</v>
      </c>
      <c r="AE952">
        <v>777.95</v>
      </c>
      <c r="AF952">
        <v>0</v>
      </c>
    </row>
    <row r="953" spans="3:32" x14ac:dyDescent="0.35">
      <c r="C953" s="1">
        <v>44036</v>
      </c>
      <c r="D953" s="2">
        <v>44013</v>
      </c>
      <c r="E953">
        <v>1166</v>
      </c>
      <c r="F953" s="3">
        <v>4154.59</v>
      </c>
      <c r="G953" s="3">
        <v>3070.33</v>
      </c>
      <c r="H953" s="3">
        <v>1084.26</v>
      </c>
      <c r="I953" s="3">
        <v>0.74</v>
      </c>
      <c r="J953">
        <v>0.37</v>
      </c>
      <c r="K953">
        <v>3168.63</v>
      </c>
      <c r="L953" t="s">
        <v>30</v>
      </c>
      <c r="M953">
        <v>682</v>
      </c>
      <c r="N953">
        <v>0.35</v>
      </c>
      <c r="O953" s="3">
        <v>634.79</v>
      </c>
      <c r="P953" s="3">
        <v>0.15</v>
      </c>
      <c r="Q953" s="3">
        <v>475.69</v>
      </c>
      <c r="R953" s="3">
        <v>0.11</v>
      </c>
      <c r="S953">
        <v>9</v>
      </c>
      <c r="T953">
        <v>723.56</v>
      </c>
      <c r="U953">
        <v>53</v>
      </c>
      <c r="V953">
        <v>0</v>
      </c>
      <c r="W953">
        <v>563.52</v>
      </c>
      <c r="X953">
        <v>2297.94</v>
      </c>
      <c r="Y953" t="s">
        <v>49</v>
      </c>
      <c r="Z953" s="3">
        <v>2222.8000000000002</v>
      </c>
      <c r="AA953" t="s">
        <v>32</v>
      </c>
      <c r="AB953" t="s">
        <v>33</v>
      </c>
      <c r="AC953">
        <v>93.6</v>
      </c>
      <c r="AD953" t="s">
        <v>38</v>
      </c>
      <c r="AE953">
        <v>1084.26</v>
      </c>
      <c r="AF953">
        <v>0</v>
      </c>
    </row>
    <row r="954" spans="3:32" x14ac:dyDescent="0.35">
      <c r="C954" s="1">
        <v>44036</v>
      </c>
      <c r="D954" s="2">
        <v>44013</v>
      </c>
      <c r="E954">
        <v>1671</v>
      </c>
      <c r="F954" s="3">
        <v>3735.72</v>
      </c>
      <c r="G954" s="3">
        <v>3341.88</v>
      </c>
      <c r="H954" s="3">
        <v>393.84</v>
      </c>
      <c r="I954" s="3">
        <v>0.89</v>
      </c>
      <c r="J954">
        <v>0.23</v>
      </c>
      <c r="K954">
        <v>2812.9</v>
      </c>
      <c r="L954" t="s">
        <v>39</v>
      </c>
      <c r="M954">
        <v>674</v>
      </c>
      <c r="N954">
        <v>0.4</v>
      </c>
      <c r="O954" s="3">
        <v>572.46</v>
      </c>
      <c r="P954" s="3">
        <v>0.15</v>
      </c>
      <c r="Q954" s="3">
        <v>298.72000000000003</v>
      </c>
      <c r="R954" s="3">
        <v>0.08</v>
      </c>
      <c r="S954">
        <v>6</v>
      </c>
      <c r="T954">
        <v>951.49</v>
      </c>
      <c r="U954">
        <v>82</v>
      </c>
      <c r="V954">
        <v>0</v>
      </c>
      <c r="W954">
        <v>310.85000000000002</v>
      </c>
      <c r="X954">
        <v>1917.47</v>
      </c>
      <c r="Y954" t="s">
        <v>36</v>
      </c>
      <c r="Z954" s="3">
        <v>1430.52</v>
      </c>
      <c r="AA954" t="s">
        <v>37</v>
      </c>
      <c r="AB954" t="s">
        <v>33</v>
      </c>
      <c r="AC954">
        <v>90.5</v>
      </c>
      <c r="AD954" t="s">
        <v>34</v>
      </c>
      <c r="AE954">
        <v>393.84</v>
      </c>
      <c r="AF954">
        <v>0</v>
      </c>
    </row>
    <row r="955" spans="3:32" x14ac:dyDescent="0.35">
      <c r="C955" s="1">
        <v>44036</v>
      </c>
      <c r="D955" s="2">
        <v>44013</v>
      </c>
      <c r="E955">
        <v>1370</v>
      </c>
      <c r="F955" s="3">
        <v>4628.51</v>
      </c>
      <c r="G955" s="3">
        <v>2707.27</v>
      </c>
      <c r="H955" s="3">
        <v>1921.24</v>
      </c>
      <c r="I955" s="3">
        <v>0.57999999999999996</v>
      </c>
      <c r="J955">
        <v>0.17</v>
      </c>
      <c r="K955">
        <v>3734.83</v>
      </c>
      <c r="L955" t="s">
        <v>30</v>
      </c>
      <c r="M955">
        <v>661</v>
      </c>
      <c r="N955">
        <v>0.22</v>
      </c>
      <c r="O955" s="3">
        <v>447.31</v>
      </c>
      <c r="P955" s="3">
        <v>0.1</v>
      </c>
      <c r="Q955" s="3">
        <v>585</v>
      </c>
      <c r="R955" s="3">
        <v>0.13</v>
      </c>
      <c r="S955">
        <v>6</v>
      </c>
      <c r="T955">
        <v>246.27</v>
      </c>
      <c r="U955">
        <v>49</v>
      </c>
      <c r="V955">
        <v>0</v>
      </c>
      <c r="W955">
        <v>910.56</v>
      </c>
      <c r="X955">
        <v>2398.46</v>
      </c>
      <c r="Y955" t="s">
        <v>49</v>
      </c>
      <c r="Z955" s="3">
        <v>818.51</v>
      </c>
      <c r="AA955" t="s">
        <v>47</v>
      </c>
      <c r="AB955" t="s">
        <v>33</v>
      </c>
      <c r="AC955">
        <v>61.5</v>
      </c>
      <c r="AD955" t="s">
        <v>34</v>
      </c>
      <c r="AE955">
        <v>1921.24</v>
      </c>
      <c r="AF955">
        <v>0</v>
      </c>
    </row>
    <row r="956" spans="3:32" x14ac:dyDescent="0.35">
      <c r="C956" s="1">
        <v>44036</v>
      </c>
      <c r="D956" s="2">
        <v>44013</v>
      </c>
      <c r="E956">
        <v>1580</v>
      </c>
      <c r="F956" s="3">
        <v>5869.52</v>
      </c>
      <c r="G956" s="3">
        <v>3657.56</v>
      </c>
      <c r="H956" s="3">
        <v>2211.96</v>
      </c>
      <c r="I956" s="3">
        <v>0.62</v>
      </c>
      <c r="J956">
        <v>0.33</v>
      </c>
      <c r="K956">
        <v>2996.28</v>
      </c>
      <c r="L956" t="s">
        <v>35</v>
      </c>
      <c r="M956">
        <v>763</v>
      </c>
      <c r="N956">
        <v>0.12</v>
      </c>
      <c r="O956" s="3">
        <v>604.4</v>
      </c>
      <c r="P956" s="3">
        <v>0.1</v>
      </c>
      <c r="Q956" s="3">
        <v>154.41999999999999</v>
      </c>
      <c r="R956" s="3">
        <v>0.03</v>
      </c>
      <c r="S956">
        <v>6</v>
      </c>
      <c r="T956">
        <v>910.57</v>
      </c>
      <c r="U956">
        <v>38</v>
      </c>
      <c r="V956">
        <v>0</v>
      </c>
      <c r="W956">
        <v>435.45</v>
      </c>
      <c r="X956">
        <v>2560.0300000000002</v>
      </c>
      <c r="Y956" t="s">
        <v>31</v>
      </c>
      <c r="Z956" s="3">
        <v>865.11</v>
      </c>
      <c r="AA956" t="s">
        <v>32</v>
      </c>
      <c r="AB956" t="s">
        <v>44</v>
      </c>
      <c r="AC956">
        <v>45.2</v>
      </c>
      <c r="AD956" t="s">
        <v>43</v>
      </c>
      <c r="AE956">
        <v>2211.96</v>
      </c>
      <c r="AF956">
        <v>0</v>
      </c>
    </row>
    <row r="957" spans="3:32" x14ac:dyDescent="0.35">
      <c r="C957" s="1">
        <v>44036</v>
      </c>
      <c r="D957" s="2">
        <v>44013</v>
      </c>
      <c r="E957">
        <v>1252</v>
      </c>
      <c r="F957" s="3">
        <v>5186.3999999999996</v>
      </c>
      <c r="G957" s="3">
        <v>3313.47</v>
      </c>
      <c r="H957" s="3">
        <v>1872.93</v>
      </c>
      <c r="I957" s="3">
        <v>0.64</v>
      </c>
      <c r="J957">
        <v>0.34</v>
      </c>
      <c r="K957">
        <v>2842.88</v>
      </c>
      <c r="L957" t="s">
        <v>39</v>
      </c>
      <c r="M957">
        <v>633</v>
      </c>
      <c r="N957">
        <v>0.3</v>
      </c>
      <c r="O957" s="3">
        <v>858.02</v>
      </c>
      <c r="P957" s="3">
        <v>0.17</v>
      </c>
      <c r="Q957" s="3">
        <v>844.41</v>
      </c>
      <c r="R957" s="3">
        <v>0.16</v>
      </c>
      <c r="S957">
        <v>5</v>
      </c>
      <c r="T957">
        <v>1407.53</v>
      </c>
      <c r="U957">
        <v>65</v>
      </c>
      <c r="V957">
        <v>0</v>
      </c>
      <c r="W957">
        <v>793.91</v>
      </c>
      <c r="X957">
        <v>2515.5700000000002</v>
      </c>
      <c r="Y957" t="s">
        <v>36</v>
      </c>
      <c r="Z957" s="3">
        <v>1655.58</v>
      </c>
      <c r="AA957" t="s">
        <v>45</v>
      </c>
      <c r="AB957" t="s">
        <v>33</v>
      </c>
      <c r="AC957">
        <v>78.099999999999994</v>
      </c>
      <c r="AD957" t="s">
        <v>38</v>
      </c>
      <c r="AE957">
        <v>1872.93</v>
      </c>
      <c r="AF957">
        <v>0</v>
      </c>
    </row>
    <row r="958" spans="3:32" x14ac:dyDescent="0.35">
      <c r="C958" s="1">
        <v>44036</v>
      </c>
      <c r="D958" s="2">
        <v>44013</v>
      </c>
      <c r="E958">
        <v>1023</v>
      </c>
      <c r="F958" s="3">
        <v>5855.6</v>
      </c>
      <c r="G958" s="3">
        <v>4442.22</v>
      </c>
      <c r="H958" s="3">
        <v>1413.38</v>
      </c>
      <c r="I958" s="3">
        <v>0.76</v>
      </c>
      <c r="J958">
        <v>0.27</v>
      </c>
      <c r="K958">
        <v>2154.2199999999998</v>
      </c>
      <c r="L958" t="s">
        <v>39</v>
      </c>
      <c r="M958">
        <v>656</v>
      </c>
      <c r="N958">
        <v>0.17</v>
      </c>
      <c r="O958" s="3">
        <v>308.5</v>
      </c>
      <c r="P958" s="3">
        <v>0.05</v>
      </c>
      <c r="Q958" s="3">
        <v>48.33</v>
      </c>
      <c r="R958" s="3">
        <v>0.01</v>
      </c>
      <c r="S958">
        <v>3</v>
      </c>
      <c r="T958">
        <v>1645.94</v>
      </c>
      <c r="U958">
        <v>39</v>
      </c>
      <c r="V958">
        <v>0</v>
      </c>
      <c r="W958">
        <v>475.13</v>
      </c>
      <c r="X958">
        <v>2031.58</v>
      </c>
      <c r="Y958" t="s">
        <v>36</v>
      </c>
      <c r="Z958" s="3">
        <v>1580.39</v>
      </c>
      <c r="AA958" t="s">
        <v>40</v>
      </c>
      <c r="AB958" t="s">
        <v>42</v>
      </c>
      <c r="AC958">
        <v>73.599999999999994</v>
      </c>
      <c r="AD958" t="s">
        <v>34</v>
      </c>
      <c r="AE958">
        <v>1413.38</v>
      </c>
      <c r="AF958">
        <v>0</v>
      </c>
    </row>
    <row r="959" spans="3:32" x14ac:dyDescent="0.35">
      <c r="C959" s="1">
        <v>44036</v>
      </c>
      <c r="D959" s="2">
        <v>44013</v>
      </c>
      <c r="E959">
        <v>1468</v>
      </c>
      <c r="F959" s="3">
        <v>4151.57</v>
      </c>
      <c r="G959" s="3">
        <v>4170.8</v>
      </c>
      <c r="H959" s="3">
        <v>-19.23</v>
      </c>
      <c r="I959" s="3">
        <v>1</v>
      </c>
      <c r="J959">
        <v>0.3</v>
      </c>
      <c r="K959">
        <v>2914.36</v>
      </c>
      <c r="L959" t="s">
        <v>35</v>
      </c>
      <c r="M959">
        <v>603</v>
      </c>
      <c r="N959">
        <v>0.53</v>
      </c>
      <c r="O959" s="3">
        <v>752.54</v>
      </c>
      <c r="P959" s="3">
        <v>0.18</v>
      </c>
      <c r="Q959" s="3">
        <v>259.35000000000002</v>
      </c>
      <c r="R959" s="3">
        <v>0.06</v>
      </c>
      <c r="S959">
        <v>5</v>
      </c>
      <c r="T959">
        <v>1336.16</v>
      </c>
      <c r="U959">
        <v>38</v>
      </c>
      <c r="V959">
        <v>0</v>
      </c>
      <c r="W959">
        <v>77.3</v>
      </c>
      <c r="X959">
        <v>3379.82</v>
      </c>
      <c r="Y959" t="s">
        <v>36</v>
      </c>
      <c r="Z959" s="3">
        <v>1871.18</v>
      </c>
      <c r="AA959" t="s">
        <v>45</v>
      </c>
      <c r="AB959" t="s">
        <v>33</v>
      </c>
      <c r="AC959">
        <v>34.4</v>
      </c>
      <c r="AD959" t="s">
        <v>34</v>
      </c>
      <c r="AE959">
        <v>0</v>
      </c>
      <c r="AF959">
        <v>0</v>
      </c>
    </row>
    <row r="960" spans="3:32" x14ac:dyDescent="0.35">
      <c r="C960" s="1">
        <v>44036</v>
      </c>
      <c r="D960" s="2">
        <v>44013</v>
      </c>
      <c r="E960">
        <v>1195</v>
      </c>
      <c r="F960" s="3">
        <v>3120.01</v>
      </c>
      <c r="G960" s="3">
        <v>3692.79</v>
      </c>
      <c r="H960" s="3">
        <v>-572.78</v>
      </c>
      <c r="I960" s="3">
        <v>1.18</v>
      </c>
      <c r="J960">
        <v>0.28999999999999998</v>
      </c>
      <c r="K960">
        <v>2933.23</v>
      </c>
      <c r="L960" t="s">
        <v>39</v>
      </c>
      <c r="M960">
        <v>743</v>
      </c>
      <c r="N960">
        <v>0.32</v>
      </c>
      <c r="O960" s="3">
        <v>185.93</v>
      </c>
      <c r="P960" s="3">
        <v>0.06</v>
      </c>
      <c r="Q960" s="3">
        <v>141.58000000000001</v>
      </c>
      <c r="R960" s="3">
        <v>0.05</v>
      </c>
      <c r="S960">
        <v>4</v>
      </c>
      <c r="T960">
        <v>1245.7</v>
      </c>
      <c r="U960">
        <v>61</v>
      </c>
      <c r="V960">
        <v>0</v>
      </c>
      <c r="W960">
        <v>248.08</v>
      </c>
      <c r="X960">
        <v>3084.23</v>
      </c>
      <c r="Y960" t="s">
        <v>36</v>
      </c>
      <c r="Z960" s="3">
        <v>532</v>
      </c>
      <c r="AA960" t="s">
        <v>41</v>
      </c>
      <c r="AB960" t="s">
        <v>44</v>
      </c>
      <c r="AC960">
        <v>54.6</v>
      </c>
      <c r="AD960" t="s">
        <v>34</v>
      </c>
      <c r="AE960">
        <v>0</v>
      </c>
      <c r="AF960">
        <v>0</v>
      </c>
    </row>
    <row r="961" spans="3:32" x14ac:dyDescent="0.35">
      <c r="C961" s="1">
        <v>44036</v>
      </c>
      <c r="D961" s="2">
        <v>44013</v>
      </c>
      <c r="E961">
        <v>1567</v>
      </c>
      <c r="F961" s="3">
        <v>4887.93</v>
      </c>
      <c r="G961" s="3">
        <v>1865.39</v>
      </c>
      <c r="H961" s="3">
        <v>3022.54</v>
      </c>
      <c r="I961" s="3">
        <v>0.38</v>
      </c>
      <c r="J961">
        <v>0.23</v>
      </c>
      <c r="K961">
        <v>3381.91</v>
      </c>
      <c r="L961" t="s">
        <v>35</v>
      </c>
      <c r="M961">
        <v>731</v>
      </c>
      <c r="N961">
        <v>0.2</v>
      </c>
      <c r="O961" s="3">
        <v>539.24</v>
      </c>
      <c r="P961" s="3">
        <v>0.11</v>
      </c>
      <c r="Q961" s="3">
        <v>0</v>
      </c>
      <c r="R961" s="3">
        <v>0</v>
      </c>
      <c r="S961">
        <v>7</v>
      </c>
      <c r="T961">
        <v>1019.58</v>
      </c>
      <c r="U961">
        <v>22</v>
      </c>
      <c r="V961">
        <v>0</v>
      </c>
      <c r="W961">
        <v>794.47</v>
      </c>
      <c r="X961">
        <v>2100.87</v>
      </c>
      <c r="Y961" t="s">
        <v>49</v>
      </c>
      <c r="Z961" s="3">
        <v>1052.6099999999999</v>
      </c>
      <c r="AA961" t="s">
        <v>50</v>
      </c>
      <c r="AB961" t="s">
        <v>33</v>
      </c>
      <c r="AC961">
        <v>88.6</v>
      </c>
      <c r="AD961" t="s">
        <v>43</v>
      </c>
      <c r="AE961">
        <v>3022.54</v>
      </c>
      <c r="AF961">
        <v>0</v>
      </c>
    </row>
    <row r="962" spans="3:32" x14ac:dyDescent="0.35">
      <c r="C962" s="1">
        <v>44036</v>
      </c>
      <c r="D962" s="2">
        <v>44013</v>
      </c>
      <c r="E962">
        <v>1498</v>
      </c>
      <c r="F962" s="3">
        <v>3713.28</v>
      </c>
      <c r="G962" s="3">
        <v>2164</v>
      </c>
      <c r="H962" s="3">
        <v>1549.28</v>
      </c>
      <c r="I962" s="3">
        <v>0.57999999999999996</v>
      </c>
      <c r="J962">
        <v>0.4</v>
      </c>
      <c r="K962">
        <v>2578.9699999999998</v>
      </c>
      <c r="L962" t="s">
        <v>39</v>
      </c>
      <c r="M962">
        <v>760</v>
      </c>
      <c r="N962">
        <v>0.44</v>
      </c>
      <c r="O962" s="3">
        <v>360.98</v>
      </c>
      <c r="P962" s="3">
        <v>0.1</v>
      </c>
      <c r="Q962" s="3">
        <v>490.62</v>
      </c>
      <c r="R962" s="3">
        <v>0.13</v>
      </c>
      <c r="S962">
        <v>1</v>
      </c>
      <c r="T962">
        <v>363.74</v>
      </c>
      <c r="U962">
        <v>66</v>
      </c>
      <c r="V962">
        <v>0</v>
      </c>
      <c r="W962">
        <v>922.4</v>
      </c>
      <c r="X962">
        <v>1814.41</v>
      </c>
      <c r="Y962" t="s">
        <v>36</v>
      </c>
      <c r="Z962" s="3">
        <v>1029.98</v>
      </c>
      <c r="AA962" t="s">
        <v>51</v>
      </c>
      <c r="AB962" t="s">
        <v>33</v>
      </c>
      <c r="AC962">
        <v>23.3</v>
      </c>
      <c r="AD962" t="s">
        <v>34</v>
      </c>
      <c r="AE962">
        <v>1549.28</v>
      </c>
      <c r="AF962">
        <v>0</v>
      </c>
    </row>
    <row r="963" spans="3:32" x14ac:dyDescent="0.35">
      <c r="C963" s="1">
        <v>44036</v>
      </c>
      <c r="D963" s="2">
        <v>44013</v>
      </c>
      <c r="E963">
        <v>1081</v>
      </c>
      <c r="F963" s="3">
        <v>4446.8100000000004</v>
      </c>
      <c r="G963" s="3">
        <v>3056.6</v>
      </c>
      <c r="H963" s="3">
        <v>1390.21</v>
      </c>
      <c r="I963" s="3">
        <v>0.69</v>
      </c>
      <c r="J963">
        <v>0.05</v>
      </c>
      <c r="K963">
        <v>3764.88</v>
      </c>
      <c r="L963" t="s">
        <v>30</v>
      </c>
      <c r="M963">
        <v>660</v>
      </c>
      <c r="N963">
        <v>0.22</v>
      </c>
      <c r="O963" s="3">
        <v>321.73</v>
      </c>
      <c r="P963" s="3">
        <v>7.0000000000000007E-2</v>
      </c>
      <c r="Q963" s="3">
        <v>308.04000000000002</v>
      </c>
      <c r="R963" s="3">
        <v>7.0000000000000007E-2</v>
      </c>
      <c r="S963">
        <v>6</v>
      </c>
      <c r="T963">
        <v>1459.97</v>
      </c>
      <c r="U963">
        <v>31</v>
      </c>
      <c r="V963">
        <v>0</v>
      </c>
      <c r="W963">
        <v>393.67</v>
      </c>
      <c r="X963">
        <v>2393.44</v>
      </c>
      <c r="Y963" t="s">
        <v>36</v>
      </c>
      <c r="Z963" s="3">
        <v>1608.21</v>
      </c>
      <c r="AA963" t="s">
        <v>48</v>
      </c>
      <c r="AB963" t="s">
        <v>33</v>
      </c>
      <c r="AC963">
        <v>94.5</v>
      </c>
      <c r="AD963" t="s">
        <v>38</v>
      </c>
      <c r="AE963">
        <v>1390.21</v>
      </c>
      <c r="AF963">
        <v>0</v>
      </c>
    </row>
    <row r="964" spans="3:32" x14ac:dyDescent="0.35">
      <c r="C964" s="1">
        <v>44036</v>
      </c>
      <c r="D964" s="2">
        <v>44013</v>
      </c>
      <c r="E964">
        <v>1581</v>
      </c>
      <c r="F964" s="3">
        <v>5302.86</v>
      </c>
      <c r="G964" s="3">
        <v>3549.05</v>
      </c>
      <c r="H964" s="3">
        <v>1753.81</v>
      </c>
      <c r="I964" s="3">
        <v>0.67</v>
      </c>
      <c r="J964">
        <v>0.32</v>
      </c>
      <c r="K964">
        <v>3035.51</v>
      </c>
      <c r="L964" t="s">
        <v>35</v>
      </c>
      <c r="M964">
        <v>650</v>
      </c>
      <c r="N964">
        <v>0.22</v>
      </c>
      <c r="O964" s="3">
        <v>774.29</v>
      </c>
      <c r="P964" s="3">
        <v>0.15</v>
      </c>
      <c r="Q964" s="3">
        <v>45.19</v>
      </c>
      <c r="R964" s="3">
        <v>0.01</v>
      </c>
      <c r="S964">
        <v>9</v>
      </c>
      <c r="T964">
        <v>954.31</v>
      </c>
      <c r="U964">
        <v>90</v>
      </c>
      <c r="V964">
        <v>0</v>
      </c>
      <c r="W964">
        <v>91.94</v>
      </c>
      <c r="X964">
        <v>2842.66</v>
      </c>
      <c r="Y964" t="s">
        <v>36</v>
      </c>
      <c r="Z964" s="3">
        <v>2227.1999999999998</v>
      </c>
      <c r="AA964" t="s">
        <v>45</v>
      </c>
      <c r="AB964" t="s">
        <v>33</v>
      </c>
      <c r="AC964">
        <v>50.3</v>
      </c>
      <c r="AD964" t="s">
        <v>34</v>
      </c>
      <c r="AE964">
        <v>1753.81</v>
      </c>
      <c r="AF964">
        <v>0</v>
      </c>
    </row>
    <row r="965" spans="3:32" x14ac:dyDescent="0.35">
      <c r="C965" s="1">
        <v>44036</v>
      </c>
      <c r="D965" s="2">
        <v>44013</v>
      </c>
      <c r="E965">
        <v>1111</v>
      </c>
      <c r="F965" s="3">
        <v>2817.23</v>
      </c>
      <c r="G965" s="3">
        <v>3131.74</v>
      </c>
      <c r="H965" s="3">
        <v>-314.51</v>
      </c>
      <c r="I965" s="3">
        <v>1.1100000000000001</v>
      </c>
      <c r="J965">
        <v>0.34</v>
      </c>
      <c r="K965">
        <v>2647.89</v>
      </c>
      <c r="L965" t="s">
        <v>35</v>
      </c>
      <c r="M965">
        <v>642</v>
      </c>
      <c r="N965">
        <v>0.48</v>
      </c>
      <c r="O965" s="3">
        <v>621.54999999999995</v>
      </c>
      <c r="P965" s="3">
        <v>0.22</v>
      </c>
      <c r="Q965" s="3">
        <v>537.89</v>
      </c>
      <c r="R965" s="3">
        <v>0.19</v>
      </c>
      <c r="S965">
        <v>5</v>
      </c>
      <c r="T965">
        <v>922.11</v>
      </c>
      <c r="U965">
        <v>72</v>
      </c>
      <c r="V965">
        <v>0</v>
      </c>
      <c r="W965">
        <v>662.08</v>
      </c>
      <c r="X965">
        <v>1537.95</v>
      </c>
      <c r="Y965" t="s">
        <v>36</v>
      </c>
      <c r="Z965" s="3">
        <v>796</v>
      </c>
      <c r="AA965" t="s">
        <v>51</v>
      </c>
      <c r="AB965" t="s">
        <v>33</v>
      </c>
      <c r="AC965">
        <v>37</v>
      </c>
      <c r="AD965" t="s">
        <v>43</v>
      </c>
      <c r="AE965">
        <v>0</v>
      </c>
      <c r="AF965">
        <v>0</v>
      </c>
    </row>
    <row r="966" spans="3:32" x14ac:dyDescent="0.35">
      <c r="C966" s="1">
        <v>44036</v>
      </c>
      <c r="D966" s="2">
        <v>44013</v>
      </c>
      <c r="E966">
        <v>1083</v>
      </c>
      <c r="F966" s="3">
        <v>5397.7</v>
      </c>
      <c r="G966" s="3">
        <v>3323.68</v>
      </c>
      <c r="H966" s="3">
        <v>2074.02</v>
      </c>
      <c r="I966" s="3">
        <v>0.62</v>
      </c>
      <c r="J966">
        <v>0.28999999999999998</v>
      </c>
      <c r="K966">
        <v>3070.43</v>
      </c>
      <c r="L966" t="s">
        <v>35</v>
      </c>
      <c r="M966">
        <v>767</v>
      </c>
      <c r="N966">
        <v>0.26</v>
      </c>
      <c r="O966" s="3">
        <v>383.68</v>
      </c>
      <c r="P966" s="3">
        <v>7.0000000000000007E-2</v>
      </c>
      <c r="Q966" s="3">
        <v>651.95000000000005</v>
      </c>
      <c r="R966" s="3">
        <v>0.12</v>
      </c>
      <c r="S966">
        <v>5</v>
      </c>
      <c r="T966">
        <v>608.80999999999995</v>
      </c>
      <c r="U966">
        <v>83</v>
      </c>
      <c r="V966">
        <v>0</v>
      </c>
      <c r="W966">
        <v>90.37</v>
      </c>
      <c r="X966">
        <v>3020.04</v>
      </c>
      <c r="Y966" t="s">
        <v>49</v>
      </c>
      <c r="Z966" s="3">
        <v>1131.24</v>
      </c>
      <c r="AA966" t="s">
        <v>48</v>
      </c>
      <c r="AB966" t="s">
        <v>33</v>
      </c>
      <c r="AC966">
        <v>74.900000000000006</v>
      </c>
      <c r="AD966" t="s">
        <v>43</v>
      </c>
      <c r="AE966">
        <v>2074.02</v>
      </c>
      <c r="AF966">
        <v>0</v>
      </c>
    </row>
    <row r="967" spans="3:32" x14ac:dyDescent="0.35">
      <c r="C967" s="1">
        <v>44036</v>
      </c>
      <c r="D967" s="2">
        <v>44013</v>
      </c>
      <c r="E967">
        <v>1500</v>
      </c>
      <c r="F967" s="3">
        <v>5221.04</v>
      </c>
      <c r="G967" s="3">
        <v>2290.23</v>
      </c>
      <c r="H967" s="3">
        <v>2930.81</v>
      </c>
      <c r="I967" s="3">
        <v>0.44</v>
      </c>
      <c r="J967">
        <v>0.28999999999999998</v>
      </c>
      <c r="K967">
        <v>2843.18</v>
      </c>
      <c r="L967" t="s">
        <v>35</v>
      </c>
      <c r="M967">
        <v>747</v>
      </c>
      <c r="N967">
        <v>0.32</v>
      </c>
      <c r="O967" s="3">
        <v>302.95</v>
      </c>
      <c r="P967" s="3">
        <v>0.06</v>
      </c>
      <c r="Q967" s="3">
        <v>345.1</v>
      </c>
      <c r="R967" s="3">
        <v>7.0000000000000007E-2</v>
      </c>
      <c r="S967">
        <v>1</v>
      </c>
      <c r="T967">
        <v>1237.23</v>
      </c>
      <c r="U967">
        <v>71</v>
      </c>
      <c r="V967">
        <v>0</v>
      </c>
      <c r="W967">
        <v>530.03</v>
      </c>
      <c r="X967">
        <v>2675.11</v>
      </c>
      <c r="Y967" t="s">
        <v>36</v>
      </c>
      <c r="Z967" s="3">
        <v>867.16</v>
      </c>
      <c r="AA967" t="s">
        <v>45</v>
      </c>
      <c r="AB967" t="s">
        <v>33</v>
      </c>
      <c r="AC967">
        <v>5.9</v>
      </c>
      <c r="AD967" t="s">
        <v>38</v>
      </c>
      <c r="AE967">
        <v>2930.81</v>
      </c>
      <c r="AF967">
        <v>1</v>
      </c>
    </row>
    <row r="968" spans="3:32" x14ac:dyDescent="0.35">
      <c r="C968" s="1">
        <v>44036</v>
      </c>
      <c r="D968" s="2">
        <v>44013</v>
      </c>
      <c r="E968">
        <v>1946</v>
      </c>
      <c r="F968" s="3">
        <v>3297.15</v>
      </c>
      <c r="G968" s="3">
        <v>2774.64</v>
      </c>
      <c r="H968" s="3">
        <v>522.51</v>
      </c>
      <c r="I968" s="3">
        <v>0.84</v>
      </c>
      <c r="J968">
        <v>0.1</v>
      </c>
      <c r="K968">
        <v>2770.25</v>
      </c>
      <c r="L968" t="s">
        <v>35</v>
      </c>
      <c r="M968">
        <v>763</v>
      </c>
      <c r="N968">
        <v>0.54</v>
      </c>
      <c r="O968" s="3">
        <v>336.07</v>
      </c>
      <c r="P968" s="3">
        <v>0.1</v>
      </c>
      <c r="Q968" s="3">
        <v>681.8</v>
      </c>
      <c r="R968" s="3">
        <v>0.21</v>
      </c>
      <c r="S968">
        <v>8</v>
      </c>
      <c r="T968">
        <v>282.13</v>
      </c>
      <c r="U968">
        <v>25</v>
      </c>
      <c r="V968">
        <v>0</v>
      </c>
      <c r="W968">
        <v>676.79</v>
      </c>
      <c r="X968">
        <v>1065.44</v>
      </c>
      <c r="Y968" t="s">
        <v>49</v>
      </c>
      <c r="Z968" s="3">
        <v>1186.18</v>
      </c>
      <c r="AA968" t="s">
        <v>46</v>
      </c>
      <c r="AB968" t="s">
        <v>44</v>
      </c>
      <c r="AC968">
        <v>2.5</v>
      </c>
      <c r="AD968" t="s">
        <v>43</v>
      </c>
      <c r="AE968">
        <v>522.51</v>
      </c>
      <c r="AF968">
        <v>0</v>
      </c>
    </row>
    <row r="969" spans="3:32" x14ac:dyDescent="0.35">
      <c r="C969" s="1">
        <v>44036</v>
      </c>
      <c r="D969" s="2">
        <v>44013</v>
      </c>
      <c r="E969">
        <v>1248</v>
      </c>
      <c r="F969" s="3">
        <v>4010.68</v>
      </c>
      <c r="G969" s="3">
        <v>2836.56</v>
      </c>
      <c r="H969" s="3">
        <v>1174.1199999999999</v>
      </c>
      <c r="I969" s="3">
        <v>0.71</v>
      </c>
      <c r="J969">
        <v>0.37</v>
      </c>
      <c r="K969">
        <v>2560.79</v>
      </c>
      <c r="L969" t="s">
        <v>35</v>
      </c>
      <c r="M969">
        <v>723</v>
      </c>
      <c r="N969">
        <v>0.56999999999999995</v>
      </c>
      <c r="O969" s="3">
        <v>196.92</v>
      </c>
      <c r="P969" s="3">
        <v>0.05</v>
      </c>
      <c r="Q969" s="3">
        <v>0</v>
      </c>
      <c r="R969" s="3">
        <v>0</v>
      </c>
      <c r="S969">
        <v>2</v>
      </c>
      <c r="T969">
        <v>309.70999999999998</v>
      </c>
      <c r="U969">
        <v>54</v>
      </c>
      <c r="V969">
        <v>0</v>
      </c>
      <c r="W969">
        <v>521.11</v>
      </c>
      <c r="X969">
        <v>2819.13</v>
      </c>
      <c r="Y969" t="s">
        <v>36</v>
      </c>
      <c r="Z969" s="3">
        <v>896.4</v>
      </c>
      <c r="AA969" t="s">
        <v>50</v>
      </c>
      <c r="AB969" t="s">
        <v>33</v>
      </c>
      <c r="AC969">
        <v>20.5</v>
      </c>
      <c r="AD969" t="s">
        <v>34</v>
      </c>
      <c r="AE969">
        <v>1174.1199999999999</v>
      </c>
      <c r="AF969">
        <v>0</v>
      </c>
    </row>
    <row r="970" spans="3:32" x14ac:dyDescent="0.35">
      <c r="C970" s="1">
        <v>44036</v>
      </c>
      <c r="D970" s="2">
        <v>44013</v>
      </c>
      <c r="E970">
        <v>1108</v>
      </c>
      <c r="F970" s="3">
        <v>5735.6</v>
      </c>
      <c r="G970" s="3">
        <v>2579.09</v>
      </c>
      <c r="H970" s="3">
        <v>3156.51</v>
      </c>
      <c r="I970" s="3">
        <v>0.45</v>
      </c>
      <c r="J970">
        <v>0.31</v>
      </c>
      <c r="K970">
        <v>2028.29</v>
      </c>
      <c r="L970" t="s">
        <v>35</v>
      </c>
      <c r="M970">
        <v>639</v>
      </c>
      <c r="N970">
        <v>0.16</v>
      </c>
      <c r="O970" s="3">
        <v>495.69</v>
      </c>
      <c r="P970" s="3">
        <v>0.09</v>
      </c>
      <c r="Q970" s="3">
        <v>394.19</v>
      </c>
      <c r="R970" s="3">
        <v>7.0000000000000007E-2</v>
      </c>
      <c r="S970">
        <v>3</v>
      </c>
      <c r="T970">
        <v>354.63</v>
      </c>
      <c r="U970">
        <v>24</v>
      </c>
      <c r="V970">
        <v>0</v>
      </c>
      <c r="W970">
        <v>589.82000000000005</v>
      </c>
      <c r="X970">
        <v>1953.59</v>
      </c>
      <c r="Y970" t="s">
        <v>31</v>
      </c>
      <c r="Z970" s="3">
        <v>1698.23</v>
      </c>
      <c r="AA970" t="s">
        <v>32</v>
      </c>
      <c r="AB970" t="s">
        <v>33</v>
      </c>
      <c r="AC970">
        <v>93.9</v>
      </c>
      <c r="AD970" t="s">
        <v>38</v>
      </c>
      <c r="AE970">
        <v>3156.51</v>
      </c>
      <c r="AF970">
        <v>1</v>
      </c>
    </row>
    <row r="971" spans="3:32" x14ac:dyDescent="0.35">
      <c r="C971" s="1">
        <v>44036</v>
      </c>
      <c r="D971" s="2">
        <v>44013</v>
      </c>
      <c r="E971">
        <v>1775</v>
      </c>
      <c r="F971" s="3">
        <v>4107</v>
      </c>
      <c r="G971" s="3">
        <v>2575.75</v>
      </c>
      <c r="H971" s="3">
        <v>1531.25</v>
      </c>
      <c r="I971" s="3">
        <v>0.63</v>
      </c>
      <c r="J971">
        <v>0.16</v>
      </c>
      <c r="K971">
        <v>3011.21</v>
      </c>
      <c r="L971" t="s">
        <v>35</v>
      </c>
      <c r="M971">
        <v>563</v>
      </c>
      <c r="N971">
        <v>0.5</v>
      </c>
      <c r="O971" s="3">
        <v>705.39</v>
      </c>
      <c r="P971" s="3">
        <v>0.17</v>
      </c>
      <c r="Q971" s="3">
        <v>482.41</v>
      </c>
      <c r="R971" s="3">
        <v>0.12</v>
      </c>
      <c r="S971">
        <v>1</v>
      </c>
      <c r="T971">
        <v>0</v>
      </c>
      <c r="U971">
        <v>97</v>
      </c>
      <c r="V971">
        <v>0</v>
      </c>
      <c r="W971">
        <v>475.52</v>
      </c>
      <c r="X971">
        <v>3147.18</v>
      </c>
      <c r="Y971" t="s">
        <v>36</v>
      </c>
      <c r="Z971" s="3">
        <v>1019.72</v>
      </c>
      <c r="AA971" t="s">
        <v>46</v>
      </c>
      <c r="AB971" t="s">
        <v>42</v>
      </c>
      <c r="AC971">
        <v>27.9</v>
      </c>
      <c r="AD971" t="s">
        <v>43</v>
      </c>
      <c r="AE971">
        <v>1531.25</v>
      </c>
      <c r="AF971">
        <v>0</v>
      </c>
    </row>
    <row r="972" spans="3:32" x14ac:dyDescent="0.35">
      <c r="C972" s="1">
        <v>44036</v>
      </c>
      <c r="D972" s="2">
        <v>44013</v>
      </c>
      <c r="E972">
        <v>1603</v>
      </c>
      <c r="F972" s="3">
        <v>2400.71</v>
      </c>
      <c r="G972" s="3">
        <v>4244.68</v>
      </c>
      <c r="H972" s="3">
        <v>-1843.97</v>
      </c>
      <c r="I972" s="3">
        <v>1.77</v>
      </c>
      <c r="J972">
        <v>0.28999999999999998</v>
      </c>
      <c r="K972">
        <v>2498.9299999999998</v>
      </c>
      <c r="L972" t="s">
        <v>39</v>
      </c>
      <c r="M972">
        <v>667</v>
      </c>
      <c r="N972">
        <v>0.19</v>
      </c>
      <c r="O972" s="3">
        <v>499.06</v>
      </c>
      <c r="P972" s="3">
        <v>0.21</v>
      </c>
      <c r="Q972" s="3">
        <v>492.07</v>
      </c>
      <c r="R972" s="3">
        <v>0.2</v>
      </c>
      <c r="S972">
        <v>2</v>
      </c>
      <c r="T972">
        <v>1104.8599999999999</v>
      </c>
      <c r="U972">
        <v>25</v>
      </c>
      <c r="V972">
        <v>0</v>
      </c>
      <c r="W972">
        <v>658.15</v>
      </c>
      <c r="X972">
        <v>2678.93</v>
      </c>
      <c r="Y972" t="s">
        <v>36</v>
      </c>
      <c r="Z972" s="3">
        <v>735.25</v>
      </c>
      <c r="AA972" t="s">
        <v>40</v>
      </c>
      <c r="AB972" t="s">
        <v>33</v>
      </c>
      <c r="AC972">
        <v>65.099999999999994</v>
      </c>
      <c r="AD972" t="s">
        <v>38</v>
      </c>
      <c r="AE972">
        <v>0</v>
      </c>
      <c r="AF972">
        <v>0</v>
      </c>
    </row>
    <row r="973" spans="3:32" x14ac:dyDescent="0.35">
      <c r="C973" s="1">
        <v>44036</v>
      </c>
      <c r="D973" s="2">
        <v>44013</v>
      </c>
      <c r="E973">
        <v>1149</v>
      </c>
      <c r="F973" s="3">
        <v>4349.92</v>
      </c>
      <c r="G973" s="3">
        <v>3149.43</v>
      </c>
      <c r="H973" s="3">
        <v>1200.49</v>
      </c>
      <c r="I973" s="3">
        <v>0.72</v>
      </c>
      <c r="J973">
        <v>0.09</v>
      </c>
      <c r="K973">
        <v>2777.84</v>
      </c>
      <c r="L973" t="s">
        <v>35</v>
      </c>
      <c r="M973">
        <v>690</v>
      </c>
      <c r="N973">
        <v>0.36</v>
      </c>
      <c r="O973" s="3">
        <v>565.70000000000005</v>
      </c>
      <c r="P973" s="3">
        <v>0.13</v>
      </c>
      <c r="Q973" s="3">
        <v>451.06</v>
      </c>
      <c r="R973" s="3">
        <v>0.1</v>
      </c>
      <c r="S973">
        <v>9</v>
      </c>
      <c r="T973">
        <v>574.29999999999995</v>
      </c>
      <c r="U973">
        <v>84</v>
      </c>
      <c r="V973">
        <v>0</v>
      </c>
      <c r="W973">
        <v>207.32</v>
      </c>
      <c r="X973">
        <v>3214.16</v>
      </c>
      <c r="Y973" t="s">
        <v>36</v>
      </c>
      <c r="Z973" s="3">
        <v>1057.1400000000001</v>
      </c>
      <c r="AA973" t="s">
        <v>47</v>
      </c>
      <c r="AB973" t="s">
        <v>33</v>
      </c>
      <c r="AC973">
        <v>38.700000000000003</v>
      </c>
      <c r="AD973" t="s">
        <v>43</v>
      </c>
      <c r="AE973">
        <v>1200.49</v>
      </c>
      <c r="AF973">
        <v>0</v>
      </c>
    </row>
    <row r="974" spans="3:32" x14ac:dyDescent="0.35">
      <c r="C974" s="1">
        <v>44036</v>
      </c>
      <c r="D974" s="2">
        <v>44013</v>
      </c>
      <c r="E974">
        <v>1374</v>
      </c>
      <c r="F974" s="3">
        <v>3516.53</v>
      </c>
      <c r="G974" s="3">
        <v>3281.42</v>
      </c>
      <c r="H974" s="3">
        <v>235.11</v>
      </c>
      <c r="I974" s="3">
        <v>0.93</v>
      </c>
      <c r="J974">
        <v>0.26</v>
      </c>
      <c r="K974">
        <v>3032.61</v>
      </c>
      <c r="L974" t="s">
        <v>30</v>
      </c>
      <c r="M974">
        <v>767</v>
      </c>
      <c r="N974">
        <v>0.22</v>
      </c>
      <c r="O974" s="3">
        <v>356.14</v>
      </c>
      <c r="P974" s="3">
        <v>0.1</v>
      </c>
      <c r="Q974" s="3">
        <v>86.15</v>
      </c>
      <c r="R974" s="3">
        <v>0.02</v>
      </c>
      <c r="S974">
        <v>8</v>
      </c>
      <c r="T974">
        <v>916.55</v>
      </c>
      <c r="U974">
        <v>85</v>
      </c>
      <c r="V974">
        <v>0</v>
      </c>
      <c r="W974">
        <v>901.44</v>
      </c>
      <c r="X974">
        <v>2597.83</v>
      </c>
      <c r="Y974" t="s">
        <v>36</v>
      </c>
      <c r="Z974" s="3">
        <v>1357.67</v>
      </c>
      <c r="AA974" t="s">
        <v>48</v>
      </c>
      <c r="AB974" t="s">
        <v>33</v>
      </c>
      <c r="AC974">
        <v>27.9</v>
      </c>
      <c r="AD974" t="s">
        <v>34</v>
      </c>
      <c r="AE974">
        <v>235.11</v>
      </c>
      <c r="AF974">
        <v>0</v>
      </c>
    </row>
    <row r="975" spans="3:32" x14ac:dyDescent="0.35">
      <c r="C975" s="1">
        <v>44036</v>
      </c>
      <c r="D975" s="2">
        <v>44013</v>
      </c>
      <c r="E975">
        <v>1483</v>
      </c>
      <c r="F975" s="3">
        <v>3482.22</v>
      </c>
      <c r="G975" s="3">
        <v>2832.86</v>
      </c>
      <c r="H975" s="3">
        <v>649.36</v>
      </c>
      <c r="I975" s="3">
        <v>0.81</v>
      </c>
      <c r="J975">
        <v>0.25</v>
      </c>
      <c r="K975">
        <v>2457.7600000000002</v>
      </c>
      <c r="L975" t="s">
        <v>35</v>
      </c>
      <c r="M975">
        <v>686</v>
      </c>
      <c r="N975">
        <v>0.52</v>
      </c>
      <c r="O975" s="3">
        <v>148.16</v>
      </c>
      <c r="P975" s="3">
        <v>0.04</v>
      </c>
      <c r="Q975" s="3">
        <v>431.34</v>
      </c>
      <c r="R975" s="3">
        <v>0.12</v>
      </c>
      <c r="S975">
        <v>9</v>
      </c>
      <c r="T975">
        <v>1400.76</v>
      </c>
      <c r="U975">
        <v>49</v>
      </c>
      <c r="V975">
        <v>0</v>
      </c>
      <c r="W975">
        <v>655.05999999999995</v>
      </c>
      <c r="X975">
        <v>2840.04</v>
      </c>
      <c r="Y975" t="s">
        <v>36</v>
      </c>
      <c r="Z975" s="3">
        <v>1126.44</v>
      </c>
      <c r="AA975" t="s">
        <v>51</v>
      </c>
      <c r="AB975" t="s">
        <v>33</v>
      </c>
      <c r="AC975">
        <v>70.2</v>
      </c>
      <c r="AD975" t="s">
        <v>38</v>
      </c>
      <c r="AE975">
        <v>649.36</v>
      </c>
      <c r="AF975">
        <v>0</v>
      </c>
    </row>
    <row r="976" spans="3:32" x14ac:dyDescent="0.35">
      <c r="C976" s="1">
        <v>44036</v>
      </c>
      <c r="D976" s="2">
        <v>44013</v>
      </c>
      <c r="E976">
        <v>1702</v>
      </c>
      <c r="F976" s="3">
        <v>4292.3500000000004</v>
      </c>
      <c r="G976" s="3">
        <v>3461.31</v>
      </c>
      <c r="H976" s="3">
        <v>831.04</v>
      </c>
      <c r="I976" s="3">
        <v>0.81</v>
      </c>
      <c r="J976">
        <v>0.38</v>
      </c>
      <c r="K976">
        <v>3077.51</v>
      </c>
      <c r="L976" t="s">
        <v>35</v>
      </c>
      <c r="M976">
        <v>601</v>
      </c>
      <c r="N976">
        <v>0.12</v>
      </c>
      <c r="O976" s="3">
        <v>422.51</v>
      </c>
      <c r="P976" s="3">
        <v>0.1</v>
      </c>
      <c r="Q976" s="3">
        <v>104.94</v>
      </c>
      <c r="R976" s="3">
        <v>0.02</v>
      </c>
      <c r="S976">
        <v>5</v>
      </c>
      <c r="T976">
        <v>1319.1</v>
      </c>
      <c r="U976">
        <v>23</v>
      </c>
      <c r="V976">
        <v>0</v>
      </c>
      <c r="W976">
        <v>632.6</v>
      </c>
      <c r="X976">
        <v>2885.59</v>
      </c>
      <c r="Y976" t="s">
        <v>49</v>
      </c>
      <c r="Z976" s="3">
        <v>1068.0999999999999</v>
      </c>
      <c r="AA976" t="s">
        <v>46</v>
      </c>
      <c r="AB976" t="s">
        <v>44</v>
      </c>
      <c r="AC976">
        <v>89.2</v>
      </c>
      <c r="AD976" t="s">
        <v>34</v>
      </c>
      <c r="AE976">
        <v>831.04</v>
      </c>
      <c r="AF976">
        <v>0</v>
      </c>
    </row>
    <row r="977" spans="3:32" x14ac:dyDescent="0.35">
      <c r="C977" s="1">
        <v>44036</v>
      </c>
      <c r="D977" s="2">
        <v>44013</v>
      </c>
      <c r="E977">
        <v>1915</v>
      </c>
      <c r="F977" s="3">
        <v>5199.63</v>
      </c>
      <c r="G977" s="3">
        <v>4234.5600000000004</v>
      </c>
      <c r="H977" s="3">
        <v>965.07</v>
      </c>
      <c r="I977" s="3">
        <v>0.81</v>
      </c>
      <c r="J977">
        <v>0.17</v>
      </c>
      <c r="K977">
        <v>2862.02</v>
      </c>
      <c r="L977" t="s">
        <v>30</v>
      </c>
      <c r="M977">
        <v>622</v>
      </c>
      <c r="N977">
        <v>0.3</v>
      </c>
      <c r="O977" s="3">
        <v>545.97</v>
      </c>
      <c r="P977" s="3">
        <v>0.11</v>
      </c>
      <c r="Q977" s="3">
        <v>0</v>
      </c>
      <c r="R977" s="3">
        <v>0</v>
      </c>
      <c r="S977">
        <v>2</v>
      </c>
      <c r="T977">
        <v>1503.33</v>
      </c>
      <c r="U977">
        <v>57</v>
      </c>
      <c r="V977">
        <v>0</v>
      </c>
      <c r="W977">
        <v>561.73</v>
      </c>
      <c r="X977">
        <v>3291.13</v>
      </c>
      <c r="Y977" t="s">
        <v>36</v>
      </c>
      <c r="Z977" s="3">
        <v>367.82</v>
      </c>
      <c r="AA977" t="s">
        <v>41</v>
      </c>
      <c r="AB977" t="s">
        <v>42</v>
      </c>
      <c r="AC977">
        <v>8.5</v>
      </c>
      <c r="AD977" t="s">
        <v>34</v>
      </c>
      <c r="AE977">
        <v>965.07</v>
      </c>
      <c r="AF977">
        <v>0</v>
      </c>
    </row>
    <row r="978" spans="3:32" x14ac:dyDescent="0.35">
      <c r="C978" s="1">
        <v>44036</v>
      </c>
      <c r="D978" s="2">
        <v>44013</v>
      </c>
      <c r="E978">
        <v>1448</v>
      </c>
      <c r="F978" s="3">
        <v>2489.96</v>
      </c>
      <c r="G978" s="3">
        <v>2501.3200000000002</v>
      </c>
      <c r="H978" s="3">
        <v>-11.36</v>
      </c>
      <c r="I978" s="3">
        <v>1</v>
      </c>
      <c r="J978">
        <v>0.1</v>
      </c>
      <c r="K978">
        <v>3124.68</v>
      </c>
      <c r="L978" t="s">
        <v>35</v>
      </c>
      <c r="M978">
        <v>684</v>
      </c>
      <c r="N978">
        <v>0.23</v>
      </c>
      <c r="O978" s="3">
        <v>275.86</v>
      </c>
      <c r="P978" s="3">
        <v>0.11</v>
      </c>
      <c r="Q978" s="3">
        <v>337.93</v>
      </c>
      <c r="R978" s="3">
        <v>0.14000000000000001</v>
      </c>
      <c r="S978">
        <v>2</v>
      </c>
      <c r="T978">
        <v>162.63999999999999</v>
      </c>
      <c r="U978">
        <v>93</v>
      </c>
      <c r="V978">
        <v>0</v>
      </c>
      <c r="W978">
        <v>249.32</v>
      </c>
      <c r="X978">
        <v>2671.5</v>
      </c>
      <c r="Y978" t="s">
        <v>36</v>
      </c>
      <c r="Z978" s="3">
        <v>1490.2</v>
      </c>
      <c r="AA978" t="s">
        <v>37</v>
      </c>
      <c r="AB978" t="s">
        <v>33</v>
      </c>
      <c r="AC978">
        <v>81</v>
      </c>
      <c r="AD978" t="s">
        <v>43</v>
      </c>
      <c r="AE978">
        <v>0</v>
      </c>
      <c r="AF978">
        <v>0</v>
      </c>
    </row>
    <row r="979" spans="3:32" x14ac:dyDescent="0.35">
      <c r="C979" s="1">
        <v>44036</v>
      </c>
      <c r="D979" s="2">
        <v>44013</v>
      </c>
      <c r="E979">
        <v>1150</v>
      </c>
      <c r="F979" s="3">
        <v>4465.17</v>
      </c>
      <c r="G979" s="3">
        <v>601.26</v>
      </c>
      <c r="H979" s="3">
        <v>3863.91</v>
      </c>
      <c r="I979" s="3">
        <v>0.13</v>
      </c>
      <c r="J979">
        <v>0.25</v>
      </c>
      <c r="K979">
        <v>2550.48</v>
      </c>
      <c r="L979" t="s">
        <v>35</v>
      </c>
      <c r="M979">
        <v>724</v>
      </c>
      <c r="N979">
        <v>0.13</v>
      </c>
      <c r="O979" s="3">
        <v>509.12</v>
      </c>
      <c r="P979" s="3">
        <v>0.11</v>
      </c>
      <c r="Q979" s="3">
        <v>432.76</v>
      </c>
      <c r="R979" s="3">
        <v>0.1</v>
      </c>
      <c r="S979">
        <v>2</v>
      </c>
      <c r="T979">
        <v>1381.88</v>
      </c>
      <c r="U979">
        <v>58</v>
      </c>
      <c r="V979">
        <v>0</v>
      </c>
      <c r="W979">
        <v>447.67</v>
      </c>
      <c r="X979">
        <v>2185.7600000000002</v>
      </c>
      <c r="Y979" t="s">
        <v>36</v>
      </c>
      <c r="Z979" s="3">
        <v>1637.94</v>
      </c>
      <c r="AA979" t="s">
        <v>47</v>
      </c>
      <c r="AB979" t="s">
        <v>33</v>
      </c>
      <c r="AC979">
        <v>51.1</v>
      </c>
      <c r="AD979" t="s">
        <v>34</v>
      </c>
      <c r="AE979">
        <v>3863.91</v>
      </c>
      <c r="AF979">
        <v>1</v>
      </c>
    </row>
    <row r="980" spans="3:32" x14ac:dyDescent="0.35">
      <c r="C980" s="1">
        <v>44036</v>
      </c>
      <c r="D980" s="2">
        <v>44013</v>
      </c>
      <c r="E980">
        <v>1585</v>
      </c>
      <c r="F980" s="3">
        <v>4290.08</v>
      </c>
      <c r="G980" s="3">
        <v>2377.9299999999998</v>
      </c>
      <c r="H980" s="3">
        <v>1912.15</v>
      </c>
      <c r="I980" s="3">
        <v>0.55000000000000004</v>
      </c>
      <c r="J980">
        <v>0.26</v>
      </c>
      <c r="K980">
        <v>2392</v>
      </c>
      <c r="L980" t="s">
        <v>35</v>
      </c>
      <c r="M980">
        <v>629</v>
      </c>
      <c r="N980">
        <v>0.49</v>
      </c>
      <c r="O980" s="3">
        <v>544.02</v>
      </c>
      <c r="P980" s="3">
        <v>0.13</v>
      </c>
      <c r="Q980" s="3">
        <v>384.6</v>
      </c>
      <c r="R980" s="3">
        <v>0.09</v>
      </c>
      <c r="S980">
        <v>7</v>
      </c>
      <c r="T980">
        <v>1513.32</v>
      </c>
      <c r="U980">
        <v>99</v>
      </c>
      <c r="V980">
        <v>0</v>
      </c>
      <c r="W980">
        <v>509.14</v>
      </c>
      <c r="X980">
        <v>1336.85</v>
      </c>
      <c r="Y980" t="s">
        <v>36</v>
      </c>
      <c r="Z980" s="3">
        <v>335.26</v>
      </c>
      <c r="AA980" t="s">
        <v>46</v>
      </c>
      <c r="AB980" t="s">
        <v>33</v>
      </c>
      <c r="AC980">
        <v>39.200000000000003</v>
      </c>
      <c r="AD980" t="s">
        <v>34</v>
      </c>
      <c r="AE980">
        <v>1912.15</v>
      </c>
      <c r="AF980">
        <v>0</v>
      </c>
    </row>
    <row r="981" spans="3:32" x14ac:dyDescent="0.35">
      <c r="C981" s="1">
        <v>44036</v>
      </c>
      <c r="D981" s="2">
        <v>44013</v>
      </c>
      <c r="E981">
        <v>1568</v>
      </c>
      <c r="F981" s="3">
        <v>3900.79</v>
      </c>
      <c r="G981" s="3">
        <v>2234.91</v>
      </c>
      <c r="H981" s="3">
        <v>1665.88</v>
      </c>
      <c r="I981" s="3">
        <v>0.56999999999999995</v>
      </c>
      <c r="J981">
        <v>0.38</v>
      </c>
      <c r="K981">
        <v>2803.2</v>
      </c>
      <c r="L981" t="s">
        <v>35</v>
      </c>
      <c r="M981">
        <v>716</v>
      </c>
      <c r="N981">
        <v>0.13</v>
      </c>
      <c r="O981" s="3">
        <v>532.41999999999996</v>
      </c>
      <c r="P981" s="3">
        <v>0.14000000000000001</v>
      </c>
      <c r="Q981" s="3">
        <v>783.78</v>
      </c>
      <c r="R981" s="3">
        <v>0.2</v>
      </c>
      <c r="S981">
        <v>1</v>
      </c>
      <c r="T981">
        <v>402.51</v>
      </c>
      <c r="U981">
        <v>38</v>
      </c>
      <c r="V981">
        <v>0</v>
      </c>
      <c r="W981">
        <v>491.3</v>
      </c>
      <c r="X981">
        <v>1270.7</v>
      </c>
      <c r="Y981" t="s">
        <v>36</v>
      </c>
      <c r="Z981" s="3">
        <v>1344.26</v>
      </c>
      <c r="AA981" t="s">
        <v>47</v>
      </c>
      <c r="AB981" t="s">
        <v>42</v>
      </c>
      <c r="AC981">
        <v>23.8</v>
      </c>
      <c r="AD981" t="s">
        <v>43</v>
      </c>
      <c r="AE981">
        <v>1665.88</v>
      </c>
      <c r="AF981">
        <v>0</v>
      </c>
    </row>
    <row r="982" spans="3:32" x14ac:dyDescent="0.35">
      <c r="C982" s="1">
        <v>44036</v>
      </c>
      <c r="D982" s="2">
        <v>44013</v>
      </c>
      <c r="E982">
        <v>1781</v>
      </c>
      <c r="F982" s="3">
        <v>4176.0600000000004</v>
      </c>
      <c r="G982" s="3">
        <v>3504.28</v>
      </c>
      <c r="H982" s="3">
        <v>671.78</v>
      </c>
      <c r="I982" s="3">
        <v>0.84</v>
      </c>
      <c r="J982">
        <v>7.0000000000000007E-2</v>
      </c>
      <c r="K982">
        <v>2409.61</v>
      </c>
      <c r="L982" t="s">
        <v>39</v>
      </c>
      <c r="M982">
        <v>701</v>
      </c>
      <c r="N982">
        <v>0.5</v>
      </c>
      <c r="O982" s="3">
        <v>283.92</v>
      </c>
      <c r="P982" s="3">
        <v>7.0000000000000007E-2</v>
      </c>
      <c r="Q982" s="3">
        <v>585.04</v>
      </c>
      <c r="R982" s="3">
        <v>0.14000000000000001</v>
      </c>
      <c r="S982">
        <v>5</v>
      </c>
      <c r="T982">
        <v>68.290000000000006</v>
      </c>
      <c r="U982">
        <v>47</v>
      </c>
      <c r="V982">
        <v>0</v>
      </c>
      <c r="W982">
        <v>246.48</v>
      </c>
      <c r="X982">
        <v>1775.58</v>
      </c>
      <c r="Y982" t="s">
        <v>31</v>
      </c>
      <c r="Z982" s="3">
        <v>2600.2600000000002</v>
      </c>
      <c r="AA982" t="s">
        <v>41</v>
      </c>
      <c r="AB982" t="s">
        <v>33</v>
      </c>
      <c r="AC982">
        <v>54.8</v>
      </c>
      <c r="AD982" t="s">
        <v>38</v>
      </c>
      <c r="AE982">
        <v>671.78</v>
      </c>
      <c r="AF982">
        <v>0</v>
      </c>
    </row>
    <row r="983" spans="3:32" x14ac:dyDescent="0.35">
      <c r="C983" s="1">
        <v>44036</v>
      </c>
      <c r="D983" s="2">
        <v>44013</v>
      </c>
      <c r="E983">
        <v>1351</v>
      </c>
      <c r="F983" s="3">
        <v>2512.08</v>
      </c>
      <c r="G983" s="3">
        <v>2048.98</v>
      </c>
      <c r="H983" s="3">
        <v>463.1</v>
      </c>
      <c r="I983" s="3">
        <v>0.82</v>
      </c>
      <c r="J983">
        <v>0.34</v>
      </c>
      <c r="K983">
        <v>2973.19</v>
      </c>
      <c r="L983" t="s">
        <v>35</v>
      </c>
      <c r="M983">
        <v>775</v>
      </c>
      <c r="N983">
        <v>0.54</v>
      </c>
      <c r="O983" s="3">
        <v>430.51</v>
      </c>
      <c r="P983" s="3">
        <v>0.17</v>
      </c>
      <c r="Q983" s="3">
        <v>428.27</v>
      </c>
      <c r="R983" s="3">
        <v>0.17</v>
      </c>
      <c r="S983">
        <v>4</v>
      </c>
      <c r="T983">
        <v>1438.22</v>
      </c>
      <c r="U983">
        <v>85</v>
      </c>
      <c r="V983">
        <v>0</v>
      </c>
      <c r="W983">
        <v>206.03</v>
      </c>
      <c r="X983">
        <v>2618.06</v>
      </c>
      <c r="Y983" t="s">
        <v>49</v>
      </c>
      <c r="Z983" s="3">
        <v>1973.01</v>
      </c>
      <c r="AA983" t="s">
        <v>32</v>
      </c>
      <c r="AB983" t="s">
        <v>42</v>
      </c>
      <c r="AC983">
        <v>69.2</v>
      </c>
      <c r="AD983" t="s">
        <v>34</v>
      </c>
      <c r="AE983">
        <v>463.1</v>
      </c>
      <c r="AF983">
        <v>0</v>
      </c>
    </row>
    <row r="984" spans="3:32" x14ac:dyDescent="0.35">
      <c r="C984" s="1">
        <v>44036</v>
      </c>
      <c r="D984" s="2">
        <v>44013</v>
      </c>
      <c r="E984">
        <v>1803</v>
      </c>
      <c r="F984" s="3">
        <v>3395.53</v>
      </c>
      <c r="G984" s="3">
        <v>4296.04</v>
      </c>
      <c r="H984" s="3">
        <v>-900.51</v>
      </c>
      <c r="I984" s="3">
        <v>1.27</v>
      </c>
      <c r="J984">
        <v>0.09</v>
      </c>
      <c r="K984">
        <v>3317.84</v>
      </c>
      <c r="L984" t="s">
        <v>35</v>
      </c>
      <c r="M984">
        <v>734</v>
      </c>
      <c r="N984">
        <v>0.36</v>
      </c>
      <c r="O984" s="3">
        <v>731.32</v>
      </c>
      <c r="P984" s="3">
        <v>0.22</v>
      </c>
      <c r="Q984" s="3">
        <v>663.91</v>
      </c>
      <c r="R984" s="3">
        <v>0.2</v>
      </c>
      <c r="S984">
        <v>3</v>
      </c>
      <c r="T984">
        <v>1020.78</v>
      </c>
      <c r="U984">
        <v>66</v>
      </c>
      <c r="V984">
        <v>0</v>
      </c>
      <c r="W984">
        <v>350.91</v>
      </c>
      <c r="X984">
        <v>2171.5</v>
      </c>
      <c r="Y984" t="s">
        <v>36</v>
      </c>
      <c r="Z984" s="3">
        <v>622.98</v>
      </c>
      <c r="AA984" t="s">
        <v>41</v>
      </c>
      <c r="AB984" t="s">
        <v>33</v>
      </c>
      <c r="AC984">
        <v>63</v>
      </c>
      <c r="AD984" t="s">
        <v>43</v>
      </c>
      <c r="AE984">
        <v>0</v>
      </c>
      <c r="AF984">
        <v>0</v>
      </c>
    </row>
    <row r="985" spans="3:32" x14ac:dyDescent="0.35">
      <c r="C985" s="1">
        <v>44036</v>
      </c>
      <c r="D985" s="2">
        <v>44013</v>
      </c>
      <c r="E985">
        <v>1936</v>
      </c>
      <c r="F985" s="3">
        <v>4296.91</v>
      </c>
      <c r="G985" s="3">
        <v>3992.8</v>
      </c>
      <c r="H985" s="3">
        <v>304.11</v>
      </c>
      <c r="I985" s="3">
        <v>0.93</v>
      </c>
      <c r="J985">
        <v>0.28000000000000003</v>
      </c>
      <c r="K985">
        <v>1763.57</v>
      </c>
      <c r="L985" t="s">
        <v>35</v>
      </c>
      <c r="M985">
        <v>684</v>
      </c>
      <c r="N985">
        <v>0.57999999999999996</v>
      </c>
      <c r="O985" s="3">
        <v>534.15</v>
      </c>
      <c r="P985" s="3">
        <v>0.12</v>
      </c>
      <c r="Q985" s="3">
        <v>30.56</v>
      </c>
      <c r="R985" s="3">
        <v>0.01</v>
      </c>
      <c r="S985">
        <v>8</v>
      </c>
      <c r="T985">
        <v>1217.01</v>
      </c>
      <c r="U985">
        <v>99</v>
      </c>
      <c r="V985">
        <v>0</v>
      </c>
      <c r="W985">
        <v>354.82</v>
      </c>
      <c r="X985">
        <v>2506.34</v>
      </c>
      <c r="Y985" t="s">
        <v>36</v>
      </c>
      <c r="Z985" s="3">
        <v>1810.51</v>
      </c>
      <c r="AA985" t="s">
        <v>32</v>
      </c>
      <c r="AB985" t="s">
        <v>33</v>
      </c>
      <c r="AC985">
        <v>84.1</v>
      </c>
      <c r="AD985" t="s">
        <v>43</v>
      </c>
      <c r="AE985">
        <v>304.11</v>
      </c>
      <c r="AF985">
        <v>0</v>
      </c>
    </row>
    <row r="986" spans="3:32" x14ac:dyDescent="0.35">
      <c r="C986" s="1">
        <v>44036</v>
      </c>
      <c r="D986" s="2">
        <v>44013</v>
      </c>
      <c r="E986">
        <v>1959</v>
      </c>
      <c r="F986" s="3">
        <v>5271.82</v>
      </c>
      <c r="G986" s="3">
        <v>3449.8</v>
      </c>
      <c r="H986" s="3">
        <v>1822.02</v>
      </c>
      <c r="I986" s="3">
        <v>0.65</v>
      </c>
      <c r="J986">
        <v>0.09</v>
      </c>
      <c r="K986">
        <v>2450.9699999999998</v>
      </c>
      <c r="L986" t="s">
        <v>35</v>
      </c>
      <c r="M986">
        <v>612</v>
      </c>
      <c r="N986">
        <v>0.51</v>
      </c>
      <c r="O986" s="3">
        <v>454.57</v>
      </c>
      <c r="P986" s="3">
        <v>0.09</v>
      </c>
      <c r="Q986" s="3">
        <v>336.75</v>
      </c>
      <c r="R986" s="3">
        <v>0.06</v>
      </c>
      <c r="S986">
        <v>9</v>
      </c>
      <c r="T986">
        <v>101.13</v>
      </c>
      <c r="U986">
        <v>23</v>
      </c>
      <c r="V986">
        <v>0</v>
      </c>
      <c r="W986">
        <v>353.62</v>
      </c>
      <c r="X986">
        <v>3226.04</v>
      </c>
      <c r="Y986" t="s">
        <v>36</v>
      </c>
      <c r="Z986" s="3">
        <v>1106.8</v>
      </c>
      <c r="AA986" t="s">
        <v>47</v>
      </c>
      <c r="AB986" t="s">
        <v>33</v>
      </c>
      <c r="AC986">
        <v>87.7</v>
      </c>
      <c r="AD986" t="s">
        <v>34</v>
      </c>
      <c r="AE986">
        <v>1822.02</v>
      </c>
      <c r="AF986">
        <v>0</v>
      </c>
    </row>
    <row r="987" spans="3:32" x14ac:dyDescent="0.35">
      <c r="C987" s="1">
        <v>44036</v>
      </c>
      <c r="D987" s="2">
        <v>44013</v>
      </c>
      <c r="E987">
        <v>1286</v>
      </c>
      <c r="F987" s="3">
        <v>5032.97</v>
      </c>
      <c r="G987" s="3">
        <v>764.47</v>
      </c>
      <c r="H987" s="3">
        <v>4268.5</v>
      </c>
      <c r="I987" s="3">
        <v>0.15</v>
      </c>
      <c r="J987">
        <v>0.1</v>
      </c>
      <c r="K987">
        <v>2845.81</v>
      </c>
      <c r="L987" t="s">
        <v>39</v>
      </c>
      <c r="M987">
        <v>747</v>
      </c>
      <c r="N987">
        <v>0.52</v>
      </c>
      <c r="O987" s="3">
        <v>610.65</v>
      </c>
      <c r="P987" s="3">
        <v>0.12</v>
      </c>
      <c r="Q987" s="3">
        <v>286.54000000000002</v>
      </c>
      <c r="R987" s="3">
        <v>0.06</v>
      </c>
      <c r="S987">
        <v>3</v>
      </c>
      <c r="T987">
        <v>1361.3</v>
      </c>
      <c r="U987">
        <v>91</v>
      </c>
      <c r="V987">
        <v>0</v>
      </c>
      <c r="W987">
        <v>347.4</v>
      </c>
      <c r="X987">
        <v>1560.92</v>
      </c>
      <c r="Y987" t="s">
        <v>36</v>
      </c>
      <c r="Z987" s="3">
        <v>1350.73</v>
      </c>
      <c r="AA987" t="s">
        <v>48</v>
      </c>
      <c r="AB987" t="s">
        <v>42</v>
      </c>
      <c r="AC987">
        <v>29.3</v>
      </c>
      <c r="AD987" t="s">
        <v>43</v>
      </c>
      <c r="AE987">
        <v>4268.5</v>
      </c>
      <c r="AF987">
        <v>1</v>
      </c>
    </row>
    <row r="988" spans="3:32" x14ac:dyDescent="0.35">
      <c r="C988" s="1">
        <v>44036</v>
      </c>
      <c r="D988" s="2">
        <v>44013</v>
      </c>
      <c r="E988">
        <v>1949</v>
      </c>
      <c r="F988" s="3">
        <v>6014.58</v>
      </c>
      <c r="G988" s="3">
        <v>2156.62</v>
      </c>
      <c r="H988" s="3">
        <v>3857.96</v>
      </c>
      <c r="I988" s="3">
        <v>0.36</v>
      </c>
      <c r="J988">
        <v>0.19</v>
      </c>
      <c r="K988">
        <v>1926.4</v>
      </c>
      <c r="L988" t="s">
        <v>35</v>
      </c>
      <c r="M988">
        <v>730</v>
      </c>
      <c r="N988">
        <v>0.13</v>
      </c>
      <c r="O988" s="3">
        <v>226.59</v>
      </c>
      <c r="P988" s="3">
        <v>0.04</v>
      </c>
      <c r="Q988" s="3">
        <v>318.33</v>
      </c>
      <c r="R988" s="3">
        <v>0.05</v>
      </c>
      <c r="S988">
        <v>4</v>
      </c>
      <c r="T988">
        <v>845.92</v>
      </c>
      <c r="U988">
        <v>43</v>
      </c>
      <c r="V988">
        <v>0</v>
      </c>
      <c r="W988">
        <v>353.94</v>
      </c>
      <c r="X988">
        <v>3317.12</v>
      </c>
      <c r="Y988" t="s">
        <v>36</v>
      </c>
      <c r="Z988" s="3">
        <v>1046.03</v>
      </c>
      <c r="AA988" t="s">
        <v>48</v>
      </c>
      <c r="AB988" t="s">
        <v>33</v>
      </c>
      <c r="AC988">
        <v>64</v>
      </c>
      <c r="AD988" t="s">
        <v>34</v>
      </c>
      <c r="AE988">
        <v>3857.96</v>
      </c>
      <c r="AF988">
        <v>1</v>
      </c>
    </row>
    <row r="989" spans="3:32" x14ac:dyDescent="0.35">
      <c r="C989" s="1">
        <v>44036</v>
      </c>
      <c r="D989" s="2">
        <v>44013</v>
      </c>
      <c r="E989">
        <v>1685</v>
      </c>
      <c r="F989" s="3">
        <v>4044.55</v>
      </c>
      <c r="G989" s="3">
        <v>2092.14</v>
      </c>
      <c r="H989" s="3">
        <v>1952.41</v>
      </c>
      <c r="I989" s="3">
        <v>0.52</v>
      </c>
      <c r="J989">
        <v>0.3</v>
      </c>
      <c r="K989">
        <v>3915.19</v>
      </c>
      <c r="L989" t="s">
        <v>35</v>
      </c>
      <c r="M989">
        <v>733</v>
      </c>
      <c r="N989">
        <v>0.28000000000000003</v>
      </c>
      <c r="O989" s="3">
        <v>635.05999999999995</v>
      </c>
      <c r="P989" s="3">
        <v>0.16</v>
      </c>
      <c r="Q989" s="3">
        <v>887.61</v>
      </c>
      <c r="R989" s="3">
        <v>0.22</v>
      </c>
      <c r="S989">
        <v>5</v>
      </c>
      <c r="T989">
        <v>1001.45</v>
      </c>
      <c r="U989">
        <v>80</v>
      </c>
      <c r="V989">
        <v>0</v>
      </c>
      <c r="W989">
        <v>851.84</v>
      </c>
      <c r="X989">
        <v>2380.4299999999998</v>
      </c>
      <c r="Y989" t="s">
        <v>31</v>
      </c>
      <c r="Z989" s="3">
        <v>1406.48</v>
      </c>
      <c r="AA989" t="s">
        <v>47</v>
      </c>
      <c r="AB989" t="s">
        <v>33</v>
      </c>
      <c r="AC989">
        <v>48.3</v>
      </c>
      <c r="AD989" t="s">
        <v>34</v>
      </c>
      <c r="AE989">
        <v>1952.41</v>
      </c>
      <c r="AF989">
        <v>0</v>
      </c>
    </row>
    <row r="990" spans="3:32" x14ac:dyDescent="0.35">
      <c r="C990" s="1">
        <v>44036</v>
      </c>
      <c r="D990" s="2">
        <v>44013</v>
      </c>
      <c r="E990">
        <v>1977</v>
      </c>
      <c r="F990" s="3">
        <v>3416.77</v>
      </c>
      <c r="G990" s="3">
        <v>1657.71</v>
      </c>
      <c r="H990" s="3">
        <v>1759.06</v>
      </c>
      <c r="I990" s="3">
        <v>0.49</v>
      </c>
      <c r="J990">
        <v>0.39</v>
      </c>
      <c r="K990">
        <v>2732.74</v>
      </c>
      <c r="L990" t="s">
        <v>39</v>
      </c>
      <c r="M990">
        <v>646</v>
      </c>
      <c r="N990">
        <v>0.44</v>
      </c>
      <c r="O990" s="3">
        <v>683.93</v>
      </c>
      <c r="P990" s="3">
        <v>0.2</v>
      </c>
      <c r="Q990" s="3">
        <v>355.08</v>
      </c>
      <c r="R990" s="3">
        <v>0.1</v>
      </c>
      <c r="S990">
        <v>2</v>
      </c>
      <c r="T990">
        <v>981.95</v>
      </c>
      <c r="U990">
        <v>59</v>
      </c>
      <c r="V990">
        <v>0</v>
      </c>
      <c r="W990">
        <v>514.99</v>
      </c>
      <c r="X990">
        <v>1696.89</v>
      </c>
      <c r="Y990" t="s">
        <v>36</v>
      </c>
      <c r="Z990" s="3">
        <v>776.69</v>
      </c>
      <c r="AA990" t="s">
        <v>32</v>
      </c>
      <c r="AB990" t="s">
        <v>33</v>
      </c>
      <c r="AC990">
        <v>55.2</v>
      </c>
      <c r="AD990" t="s">
        <v>43</v>
      </c>
      <c r="AE990">
        <v>1759.06</v>
      </c>
      <c r="AF990">
        <v>0</v>
      </c>
    </row>
    <row r="991" spans="3:32" x14ac:dyDescent="0.35">
      <c r="C991" s="1">
        <v>44036</v>
      </c>
      <c r="D991" s="2">
        <v>44013</v>
      </c>
      <c r="E991">
        <v>1894</v>
      </c>
      <c r="F991" s="3">
        <v>4149.28</v>
      </c>
      <c r="G991" s="3">
        <v>3650.56</v>
      </c>
      <c r="H991" s="3">
        <v>498.72</v>
      </c>
      <c r="I991" s="3">
        <v>0.88</v>
      </c>
      <c r="J991">
        <v>0.22</v>
      </c>
      <c r="K991">
        <v>2296.33</v>
      </c>
      <c r="L991" t="s">
        <v>35</v>
      </c>
      <c r="M991">
        <v>707</v>
      </c>
      <c r="N991">
        <v>0.16</v>
      </c>
      <c r="O991" s="3">
        <v>799.45</v>
      </c>
      <c r="P991" s="3">
        <v>0.19</v>
      </c>
      <c r="Q991" s="3">
        <v>585.32000000000005</v>
      </c>
      <c r="R991" s="3">
        <v>0.14000000000000001</v>
      </c>
      <c r="S991">
        <v>9</v>
      </c>
      <c r="T991">
        <v>1436.62</v>
      </c>
      <c r="U991">
        <v>89</v>
      </c>
      <c r="V991">
        <v>0</v>
      </c>
      <c r="W991">
        <v>499.07</v>
      </c>
      <c r="X991">
        <v>1960.73</v>
      </c>
      <c r="Y991" t="s">
        <v>36</v>
      </c>
      <c r="Z991" s="3">
        <v>1245.96</v>
      </c>
      <c r="AA991" t="s">
        <v>47</v>
      </c>
      <c r="AB991" t="s">
        <v>42</v>
      </c>
      <c r="AC991">
        <v>9.9</v>
      </c>
      <c r="AD991" t="s">
        <v>34</v>
      </c>
      <c r="AE991">
        <v>498.72</v>
      </c>
      <c r="AF991">
        <v>0</v>
      </c>
    </row>
    <row r="992" spans="3:32" x14ac:dyDescent="0.35">
      <c r="C992" s="1">
        <v>44036</v>
      </c>
      <c r="D992" s="2">
        <v>44013</v>
      </c>
      <c r="E992">
        <v>1170</v>
      </c>
      <c r="F992" s="3">
        <v>3521.84</v>
      </c>
      <c r="G992" s="3">
        <v>3783.64</v>
      </c>
      <c r="H992" s="3">
        <v>-261.8</v>
      </c>
      <c r="I992" s="3">
        <v>1.07</v>
      </c>
      <c r="J992">
        <v>0.3</v>
      </c>
      <c r="K992">
        <v>2766.43</v>
      </c>
      <c r="L992" t="s">
        <v>35</v>
      </c>
      <c r="M992">
        <v>670</v>
      </c>
      <c r="N992">
        <v>0.42</v>
      </c>
      <c r="O992" s="3">
        <v>724.14</v>
      </c>
      <c r="P992" s="3">
        <v>0.21</v>
      </c>
      <c r="Q992" s="3">
        <v>128.71</v>
      </c>
      <c r="R992" s="3">
        <v>0.04</v>
      </c>
      <c r="S992">
        <v>9</v>
      </c>
      <c r="T992">
        <v>1660.34</v>
      </c>
      <c r="U992">
        <v>34</v>
      </c>
      <c r="V992">
        <v>0</v>
      </c>
      <c r="W992">
        <v>494.68</v>
      </c>
      <c r="X992">
        <v>2287.14</v>
      </c>
      <c r="Y992" t="s">
        <v>36</v>
      </c>
      <c r="Z992" s="3">
        <v>1297.1500000000001</v>
      </c>
      <c r="AA992" t="s">
        <v>32</v>
      </c>
      <c r="AB992" t="s">
        <v>44</v>
      </c>
      <c r="AC992">
        <v>63.3</v>
      </c>
      <c r="AD992" t="s">
        <v>43</v>
      </c>
      <c r="AE992">
        <v>0</v>
      </c>
      <c r="AF992">
        <v>0</v>
      </c>
    </row>
    <row r="993" spans="3:32" x14ac:dyDescent="0.35">
      <c r="C993" s="1">
        <v>44036</v>
      </c>
      <c r="D993" s="2">
        <v>44013</v>
      </c>
      <c r="E993">
        <v>1404</v>
      </c>
      <c r="F993" s="3">
        <v>2532.15</v>
      </c>
      <c r="G993" s="3">
        <v>3592.7</v>
      </c>
      <c r="H993" s="3">
        <v>-1060.55</v>
      </c>
      <c r="I993" s="3">
        <v>1.42</v>
      </c>
      <c r="J993">
        <v>0.22</v>
      </c>
      <c r="K993">
        <v>2413.89</v>
      </c>
      <c r="L993" t="s">
        <v>35</v>
      </c>
      <c r="M993">
        <v>696</v>
      </c>
      <c r="N993">
        <v>0.49</v>
      </c>
      <c r="O993" s="3">
        <v>849.92</v>
      </c>
      <c r="P993" s="3">
        <v>0.34</v>
      </c>
      <c r="Q993" s="3">
        <v>521.17999999999995</v>
      </c>
      <c r="R993" s="3">
        <v>0.21</v>
      </c>
      <c r="S993">
        <v>5</v>
      </c>
      <c r="T993">
        <v>2187.52</v>
      </c>
      <c r="U993">
        <v>26</v>
      </c>
      <c r="V993">
        <v>0</v>
      </c>
      <c r="W993">
        <v>319.52</v>
      </c>
      <c r="X993">
        <v>1519.82</v>
      </c>
      <c r="Y993" t="s">
        <v>49</v>
      </c>
      <c r="Z993" s="3">
        <v>995.72</v>
      </c>
      <c r="AA993" t="s">
        <v>41</v>
      </c>
      <c r="AB993" t="s">
        <v>44</v>
      </c>
      <c r="AC993">
        <v>84.2</v>
      </c>
      <c r="AD993" t="s">
        <v>34</v>
      </c>
      <c r="AE993">
        <v>0</v>
      </c>
      <c r="AF993">
        <v>0</v>
      </c>
    </row>
    <row r="994" spans="3:32" x14ac:dyDescent="0.35">
      <c r="C994" s="1">
        <v>44036</v>
      </c>
      <c r="D994" s="2">
        <v>44013</v>
      </c>
      <c r="E994">
        <v>1146</v>
      </c>
      <c r="F994" s="3">
        <v>4345.8900000000003</v>
      </c>
      <c r="G994" s="3">
        <v>1641.88</v>
      </c>
      <c r="H994" s="3">
        <v>2704.01</v>
      </c>
      <c r="I994" s="3">
        <v>0.38</v>
      </c>
      <c r="J994">
        <v>0.11</v>
      </c>
      <c r="K994">
        <v>2895.24</v>
      </c>
      <c r="L994" t="s">
        <v>35</v>
      </c>
      <c r="M994">
        <v>700</v>
      </c>
      <c r="N994">
        <v>0.31</v>
      </c>
      <c r="O994" s="3">
        <v>377.95</v>
      </c>
      <c r="P994" s="3">
        <v>0.09</v>
      </c>
      <c r="Q994" s="3">
        <v>452.38</v>
      </c>
      <c r="R994" s="3">
        <v>0.1</v>
      </c>
      <c r="S994">
        <v>9</v>
      </c>
      <c r="T994">
        <v>1010.3</v>
      </c>
      <c r="U994">
        <v>96</v>
      </c>
      <c r="V994">
        <v>0</v>
      </c>
      <c r="W994">
        <v>598.01</v>
      </c>
      <c r="X994">
        <v>1171.1600000000001</v>
      </c>
      <c r="Y994" t="s">
        <v>36</v>
      </c>
      <c r="Z994" s="3">
        <v>2002.68</v>
      </c>
      <c r="AA994" t="s">
        <v>45</v>
      </c>
      <c r="AB994" t="s">
        <v>33</v>
      </c>
      <c r="AC994">
        <v>7.8</v>
      </c>
      <c r="AD994" t="s">
        <v>43</v>
      </c>
      <c r="AE994">
        <v>2704.01</v>
      </c>
      <c r="AF994">
        <v>0</v>
      </c>
    </row>
    <row r="995" spans="3:32" x14ac:dyDescent="0.35">
      <c r="C995" s="1">
        <v>44036</v>
      </c>
      <c r="D995" s="2">
        <v>44013</v>
      </c>
      <c r="E995">
        <v>1859</v>
      </c>
      <c r="F995" s="3">
        <v>3910.61</v>
      </c>
      <c r="G995" s="3">
        <v>3453.1</v>
      </c>
      <c r="H995" s="3">
        <v>457.51</v>
      </c>
      <c r="I995" s="3">
        <v>0.88</v>
      </c>
      <c r="J995">
        <v>0.39</v>
      </c>
      <c r="K995">
        <v>2853.33</v>
      </c>
      <c r="L995" t="s">
        <v>35</v>
      </c>
      <c r="M995">
        <v>704</v>
      </c>
      <c r="N995">
        <v>0.21</v>
      </c>
      <c r="O995" s="3">
        <v>441.82</v>
      </c>
      <c r="P995" s="3">
        <v>0.11</v>
      </c>
      <c r="Q995" s="3">
        <v>66.77</v>
      </c>
      <c r="R995" s="3">
        <v>0.02</v>
      </c>
      <c r="S995">
        <v>2</v>
      </c>
      <c r="T995">
        <v>1193.46</v>
      </c>
      <c r="U995">
        <v>27</v>
      </c>
      <c r="V995">
        <v>0</v>
      </c>
      <c r="W995">
        <v>222.51</v>
      </c>
      <c r="X995">
        <v>2211.4299999999998</v>
      </c>
      <c r="Y995" t="s">
        <v>36</v>
      </c>
      <c r="Z995" s="3">
        <v>463.73</v>
      </c>
      <c r="AA995" t="s">
        <v>47</v>
      </c>
      <c r="AB995" t="s">
        <v>33</v>
      </c>
      <c r="AC995">
        <v>48.8</v>
      </c>
      <c r="AD995" t="s">
        <v>34</v>
      </c>
      <c r="AE995">
        <v>457.51</v>
      </c>
      <c r="AF995">
        <v>0</v>
      </c>
    </row>
    <row r="996" spans="3:32" x14ac:dyDescent="0.35">
      <c r="C996" s="1">
        <v>44036</v>
      </c>
      <c r="D996" s="2">
        <v>44013</v>
      </c>
      <c r="E996">
        <v>1655</v>
      </c>
      <c r="F996" s="3">
        <v>4286.0200000000004</v>
      </c>
      <c r="G996" s="3">
        <v>2758.84</v>
      </c>
      <c r="H996" s="3">
        <v>1527.18</v>
      </c>
      <c r="I996" s="3">
        <v>0.64</v>
      </c>
      <c r="J996">
        <v>0.33</v>
      </c>
      <c r="K996">
        <v>2035.48</v>
      </c>
      <c r="L996" t="s">
        <v>35</v>
      </c>
      <c r="M996">
        <v>620</v>
      </c>
      <c r="N996">
        <v>0.47</v>
      </c>
      <c r="O996" s="3">
        <v>598.79999999999995</v>
      </c>
      <c r="P996" s="3">
        <v>0.14000000000000001</v>
      </c>
      <c r="Q996" s="3">
        <v>628.88</v>
      </c>
      <c r="R996" s="3">
        <v>0.15</v>
      </c>
      <c r="S996">
        <v>3</v>
      </c>
      <c r="T996">
        <v>1215.8499999999999</v>
      </c>
      <c r="U996">
        <v>57</v>
      </c>
      <c r="V996">
        <v>0</v>
      </c>
      <c r="W996">
        <v>414.96</v>
      </c>
      <c r="X996">
        <v>1269.6400000000001</v>
      </c>
      <c r="Y996" t="s">
        <v>36</v>
      </c>
      <c r="Z996" s="3">
        <v>430.56</v>
      </c>
      <c r="AA996" t="s">
        <v>51</v>
      </c>
      <c r="AB996" t="s">
        <v>33</v>
      </c>
      <c r="AC996">
        <v>22.1</v>
      </c>
      <c r="AD996" t="s">
        <v>38</v>
      </c>
      <c r="AE996">
        <v>1527.18</v>
      </c>
      <c r="AF996">
        <v>0</v>
      </c>
    </row>
    <row r="997" spans="3:32" x14ac:dyDescent="0.35">
      <c r="C997" s="1">
        <v>44036</v>
      </c>
      <c r="D997" s="2">
        <v>44013</v>
      </c>
      <c r="E997">
        <v>1851</v>
      </c>
      <c r="F997" s="3">
        <v>3742.1</v>
      </c>
      <c r="G997" s="3">
        <v>3083.87</v>
      </c>
      <c r="H997" s="3">
        <v>658.23</v>
      </c>
      <c r="I997" s="3">
        <v>0.82</v>
      </c>
      <c r="J997">
        <v>0.33</v>
      </c>
      <c r="K997">
        <v>2886.5</v>
      </c>
      <c r="L997" t="s">
        <v>35</v>
      </c>
      <c r="M997">
        <v>720</v>
      </c>
      <c r="N997">
        <v>0.59</v>
      </c>
      <c r="O997" s="3">
        <v>427.68</v>
      </c>
      <c r="P997" s="3">
        <v>0.11</v>
      </c>
      <c r="Q997" s="3">
        <v>872.32</v>
      </c>
      <c r="R997" s="3">
        <v>0.23</v>
      </c>
      <c r="S997">
        <v>5</v>
      </c>
      <c r="T997">
        <v>1118.76</v>
      </c>
      <c r="U997">
        <v>75</v>
      </c>
      <c r="V997">
        <v>0</v>
      </c>
      <c r="W997">
        <v>278.08999999999997</v>
      </c>
      <c r="X997">
        <v>2981.98</v>
      </c>
      <c r="Y997" t="s">
        <v>36</v>
      </c>
      <c r="Z997" s="3">
        <v>655.71</v>
      </c>
      <c r="AA997" t="s">
        <v>37</v>
      </c>
      <c r="AB997" t="s">
        <v>42</v>
      </c>
      <c r="AC997">
        <v>97</v>
      </c>
      <c r="AD997" t="s">
        <v>43</v>
      </c>
      <c r="AE997">
        <v>658.23</v>
      </c>
      <c r="AF997">
        <v>0</v>
      </c>
    </row>
    <row r="998" spans="3:32" x14ac:dyDescent="0.35">
      <c r="C998" s="1">
        <v>44036</v>
      </c>
      <c r="D998" s="2">
        <v>44013</v>
      </c>
      <c r="E998">
        <v>1592</v>
      </c>
      <c r="F998" s="3">
        <v>4239.4799999999996</v>
      </c>
      <c r="G998" s="3">
        <v>2694.98</v>
      </c>
      <c r="H998" s="3">
        <v>1544.5</v>
      </c>
      <c r="I998" s="3">
        <v>0.64</v>
      </c>
      <c r="J998">
        <v>0.25</v>
      </c>
      <c r="K998">
        <v>3893.65</v>
      </c>
      <c r="L998" t="s">
        <v>35</v>
      </c>
      <c r="M998">
        <v>629</v>
      </c>
      <c r="N998">
        <v>0.19</v>
      </c>
      <c r="O998" s="3">
        <v>651.54</v>
      </c>
      <c r="P998" s="3">
        <v>0.15</v>
      </c>
      <c r="Q998" s="3">
        <v>492.66</v>
      </c>
      <c r="R998" s="3">
        <v>0.12</v>
      </c>
      <c r="S998">
        <v>6</v>
      </c>
      <c r="T998">
        <v>649.91999999999996</v>
      </c>
      <c r="U998">
        <v>96</v>
      </c>
      <c r="V998">
        <v>0</v>
      </c>
      <c r="W998">
        <v>643.53</v>
      </c>
      <c r="X998">
        <v>2241.09</v>
      </c>
      <c r="Y998" t="s">
        <v>36</v>
      </c>
      <c r="Z998" s="3">
        <v>1327.77</v>
      </c>
      <c r="AA998" t="s">
        <v>51</v>
      </c>
      <c r="AB998" t="s">
        <v>44</v>
      </c>
      <c r="AC998">
        <v>5.0999999999999996</v>
      </c>
      <c r="AD998" t="s">
        <v>38</v>
      </c>
      <c r="AE998">
        <v>1544.5</v>
      </c>
      <c r="AF998">
        <v>0</v>
      </c>
    </row>
    <row r="999" spans="3:32" x14ac:dyDescent="0.35">
      <c r="C999" s="1">
        <v>44036</v>
      </c>
      <c r="D999" s="2">
        <v>44013</v>
      </c>
      <c r="E999">
        <v>1001</v>
      </c>
      <c r="F999" s="3">
        <v>3542.3</v>
      </c>
      <c r="G999" s="3">
        <v>2119.4699999999998</v>
      </c>
      <c r="H999" s="3">
        <v>1422.83</v>
      </c>
      <c r="I999" s="3">
        <v>0.6</v>
      </c>
      <c r="J999">
        <v>0.16</v>
      </c>
      <c r="K999">
        <v>2765.1</v>
      </c>
      <c r="L999" t="s">
        <v>35</v>
      </c>
      <c r="M999">
        <v>755</v>
      </c>
      <c r="N999">
        <v>0.19</v>
      </c>
      <c r="O999" s="3">
        <v>722.67</v>
      </c>
      <c r="P999" s="3">
        <v>0.2</v>
      </c>
      <c r="Q999" s="3">
        <v>156.72999999999999</v>
      </c>
      <c r="R999" s="3">
        <v>0.04</v>
      </c>
      <c r="S999">
        <v>9</v>
      </c>
      <c r="T999">
        <v>1793.11</v>
      </c>
      <c r="U999">
        <v>74</v>
      </c>
      <c r="V999">
        <v>0</v>
      </c>
      <c r="W999">
        <v>424.14</v>
      </c>
      <c r="X999">
        <v>1312.69</v>
      </c>
      <c r="Y999" t="s">
        <v>31</v>
      </c>
      <c r="Z999" s="3">
        <v>1880.87</v>
      </c>
      <c r="AA999" t="s">
        <v>32</v>
      </c>
      <c r="AB999" t="s">
        <v>33</v>
      </c>
      <c r="AC999">
        <v>72.3</v>
      </c>
      <c r="AD999" t="s">
        <v>34</v>
      </c>
      <c r="AE999">
        <v>1422.83</v>
      </c>
      <c r="AF999">
        <v>0</v>
      </c>
    </row>
    <row r="1000" spans="3:32" x14ac:dyDescent="0.35">
      <c r="C1000" s="1">
        <v>44036</v>
      </c>
      <c r="D1000" s="2">
        <v>44013</v>
      </c>
      <c r="E1000">
        <v>1409</v>
      </c>
      <c r="F1000" s="3">
        <v>4088.89</v>
      </c>
      <c r="G1000" s="3">
        <v>1871.65</v>
      </c>
      <c r="H1000" s="3">
        <v>2217.2399999999998</v>
      </c>
      <c r="I1000" s="3">
        <v>0.46</v>
      </c>
      <c r="J1000">
        <v>0.39</v>
      </c>
      <c r="K1000">
        <v>3200.46</v>
      </c>
      <c r="L1000" t="s">
        <v>35</v>
      </c>
      <c r="M1000">
        <v>711</v>
      </c>
      <c r="N1000">
        <v>0.34</v>
      </c>
      <c r="O1000" s="3">
        <v>284.75</v>
      </c>
      <c r="P1000" s="3">
        <v>7.0000000000000007E-2</v>
      </c>
      <c r="Q1000" s="3">
        <v>402.34</v>
      </c>
      <c r="R1000" s="3">
        <v>0.1</v>
      </c>
      <c r="S1000">
        <v>7</v>
      </c>
      <c r="T1000">
        <v>172.62</v>
      </c>
      <c r="U1000">
        <v>42</v>
      </c>
      <c r="V1000">
        <v>0</v>
      </c>
      <c r="W1000">
        <v>375.04</v>
      </c>
      <c r="X1000">
        <v>2557.64</v>
      </c>
      <c r="Y1000" t="s">
        <v>31</v>
      </c>
      <c r="Z1000" s="3">
        <v>1096.9000000000001</v>
      </c>
      <c r="AA1000" t="s">
        <v>46</v>
      </c>
      <c r="AB1000" t="s">
        <v>33</v>
      </c>
      <c r="AC1000">
        <v>2.7</v>
      </c>
      <c r="AD1000" t="s">
        <v>43</v>
      </c>
      <c r="AE1000">
        <v>2217.2399999999998</v>
      </c>
      <c r="AF1000">
        <v>0</v>
      </c>
    </row>
    <row r="1001" spans="3:32" x14ac:dyDescent="0.35">
      <c r="C1001" s="1">
        <v>44036</v>
      </c>
      <c r="D1001" s="2">
        <v>44013</v>
      </c>
      <c r="E1001">
        <v>1446</v>
      </c>
      <c r="F1001" s="3">
        <v>4757.04</v>
      </c>
      <c r="G1001" s="3">
        <v>4022.08</v>
      </c>
      <c r="H1001" s="3">
        <v>734.96</v>
      </c>
      <c r="I1001" s="3">
        <v>0.85</v>
      </c>
      <c r="J1001">
        <v>0.24</v>
      </c>
      <c r="K1001">
        <v>2490.21</v>
      </c>
      <c r="L1001" t="s">
        <v>30</v>
      </c>
      <c r="M1001">
        <v>601</v>
      </c>
      <c r="N1001">
        <v>0.53</v>
      </c>
      <c r="O1001" s="3">
        <v>376.17</v>
      </c>
      <c r="P1001" s="3">
        <v>0.08</v>
      </c>
      <c r="Q1001" s="3">
        <v>90.01</v>
      </c>
      <c r="R1001" s="3">
        <v>0.02</v>
      </c>
      <c r="S1001">
        <v>3</v>
      </c>
      <c r="T1001">
        <v>977.01</v>
      </c>
      <c r="U1001">
        <v>92</v>
      </c>
      <c r="V1001">
        <v>0</v>
      </c>
      <c r="W1001">
        <v>404.84</v>
      </c>
      <c r="X1001">
        <v>1431.37</v>
      </c>
      <c r="Y1001" t="s">
        <v>36</v>
      </c>
      <c r="Z1001" s="3">
        <v>1220.8599999999999</v>
      </c>
      <c r="AA1001" t="s">
        <v>50</v>
      </c>
      <c r="AB1001" t="s">
        <v>33</v>
      </c>
      <c r="AC1001">
        <v>83.4</v>
      </c>
      <c r="AD1001" t="s">
        <v>43</v>
      </c>
      <c r="AE1001">
        <v>734.96</v>
      </c>
      <c r="AF1001">
        <v>0</v>
      </c>
    </row>
    <row r="1002" spans="3:32" x14ac:dyDescent="0.35">
      <c r="C1002" s="1">
        <v>44066</v>
      </c>
      <c r="D1002" s="2">
        <v>44044</v>
      </c>
      <c r="E1002">
        <v>1347</v>
      </c>
      <c r="F1002" s="3">
        <v>2911.22</v>
      </c>
      <c r="G1002" s="3">
        <v>1886.67</v>
      </c>
      <c r="H1002" s="3">
        <v>1024.55</v>
      </c>
      <c r="I1002" s="3">
        <v>0.65</v>
      </c>
      <c r="J1002">
        <v>0.17</v>
      </c>
      <c r="K1002">
        <v>2330.65</v>
      </c>
      <c r="L1002" t="s">
        <v>35</v>
      </c>
      <c r="M1002">
        <v>631</v>
      </c>
      <c r="N1002">
        <v>0.52</v>
      </c>
      <c r="O1002" s="3">
        <v>448.13</v>
      </c>
      <c r="P1002" s="3">
        <v>0.15</v>
      </c>
      <c r="Q1002" s="3">
        <v>112.31</v>
      </c>
      <c r="R1002" s="3">
        <v>0.04</v>
      </c>
      <c r="S1002">
        <v>7</v>
      </c>
      <c r="T1002">
        <v>1431.26</v>
      </c>
      <c r="U1002">
        <v>35</v>
      </c>
      <c r="V1002">
        <v>0</v>
      </c>
      <c r="W1002">
        <v>755.99</v>
      </c>
      <c r="X1002">
        <v>1737.44</v>
      </c>
      <c r="Y1002" t="s">
        <v>36</v>
      </c>
      <c r="Z1002" s="3">
        <v>1501.13</v>
      </c>
      <c r="AA1002" t="s">
        <v>32</v>
      </c>
      <c r="AB1002" t="s">
        <v>42</v>
      </c>
      <c r="AC1002">
        <v>43.5</v>
      </c>
      <c r="AD1002" t="s">
        <v>38</v>
      </c>
      <c r="AE1002">
        <v>1024.55</v>
      </c>
      <c r="AF1002">
        <v>0</v>
      </c>
    </row>
    <row r="1003" spans="3:32" x14ac:dyDescent="0.35">
      <c r="C1003" s="1">
        <v>44066</v>
      </c>
      <c r="D1003" s="2">
        <v>44044</v>
      </c>
      <c r="E1003">
        <v>1694</v>
      </c>
      <c r="F1003" s="3">
        <v>5530.99</v>
      </c>
      <c r="G1003" s="3">
        <v>996.21</v>
      </c>
      <c r="H1003" s="3">
        <v>4534.78</v>
      </c>
      <c r="I1003" s="3">
        <v>0.18</v>
      </c>
      <c r="J1003">
        <v>0.26</v>
      </c>
      <c r="K1003">
        <v>1673.99</v>
      </c>
      <c r="L1003" t="s">
        <v>30</v>
      </c>
      <c r="M1003">
        <v>668</v>
      </c>
      <c r="N1003">
        <v>0.1</v>
      </c>
      <c r="O1003" s="3">
        <v>563.79</v>
      </c>
      <c r="P1003" s="3">
        <v>0.1</v>
      </c>
      <c r="Q1003" s="3">
        <v>597.11</v>
      </c>
      <c r="R1003" s="3">
        <v>0.11</v>
      </c>
      <c r="S1003">
        <v>6</v>
      </c>
      <c r="T1003">
        <v>1304.4100000000001</v>
      </c>
      <c r="U1003">
        <v>50</v>
      </c>
      <c r="V1003">
        <v>0</v>
      </c>
      <c r="W1003">
        <v>437.43</v>
      </c>
      <c r="X1003">
        <v>1887.29</v>
      </c>
      <c r="Y1003" t="s">
        <v>36</v>
      </c>
      <c r="Z1003" s="3">
        <v>1249.45</v>
      </c>
      <c r="AA1003" t="s">
        <v>45</v>
      </c>
      <c r="AB1003" t="s">
        <v>42</v>
      </c>
      <c r="AC1003">
        <v>69.7</v>
      </c>
      <c r="AD1003" t="s">
        <v>38</v>
      </c>
      <c r="AE1003">
        <v>4534.78</v>
      </c>
      <c r="AF1003">
        <v>1</v>
      </c>
    </row>
    <row r="1004" spans="3:32" x14ac:dyDescent="0.35">
      <c r="C1004" s="1">
        <v>44066</v>
      </c>
      <c r="D1004" s="2">
        <v>44044</v>
      </c>
      <c r="E1004">
        <v>1224</v>
      </c>
      <c r="F1004" s="3">
        <v>2829.98</v>
      </c>
      <c r="G1004" s="3">
        <v>2944.6</v>
      </c>
      <c r="H1004" s="3">
        <v>-114.62</v>
      </c>
      <c r="I1004" s="3">
        <v>1.04</v>
      </c>
      <c r="J1004">
        <v>0.28999999999999998</v>
      </c>
      <c r="K1004">
        <v>3228.37</v>
      </c>
      <c r="L1004" t="s">
        <v>30</v>
      </c>
      <c r="M1004">
        <v>695</v>
      </c>
      <c r="N1004">
        <v>0.41</v>
      </c>
      <c r="O1004" s="3">
        <v>558.19000000000005</v>
      </c>
      <c r="P1004" s="3">
        <v>0.2</v>
      </c>
      <c r="Q1004" s="3">
        <v>254.35</v>
      </c>
      <c r="R1004" s="3">
        <v>0.09</v>
      </c>
      <c r="S1004">
        <v>7</v>
      </c>
      <c r="T1004">
        <v>808.29</v>
      </c>
      <c r="U1004">
        <v>52</v>
      </c>
      <c r="V1004">
        <v>0</v>
      </c>
      <c r="W1004">
        <v>534.4</v>
      </c>
      <c r="X1004">
        <v>1254.8800000000001</v>
      </c>
      <c r="Y1004" t="s">
        <v>36</v>
      </c>
      <c r="Z1004" s="3">
        <v>1527.49</v>
      </c>
      <c r="AA1004" t="s">
        <v>50</v>
      </c>
      <c r="AB1004" t="s">
        <v>33</v>
      </c>
      <c r="AC1004">
        <v>56.4</v>
      </c>
      <c r="AD1004" t="s">
        <v>43</v>
      </c>
      <c r="AE1004">
        <v>0</v>
      </c>
      <c r="AF1004">
        <v>0</v>
      </c>
    </row>
    <row r="1005" spans="3:32" x14ac:dyDescent="0.35">
      <c r="C1005" s="1">
        <v>44066</v>
      </c>
      <c r="D1005" s="2">
        <v>44044</v>
      </c>
      <c r="E1005">
        <v>1849</v>
      </c>
      <c r="F1005" s="3">
        <v>4985.68</v>
      </c>
      <c r="G1005" s="3">
        <v>3857.51</v>
      </c>
      <c r="H1005" s="3">
        <v>1128.17</v>
      </c>
      <c r="I1005" s="3">
        <v>0.77</v>
      </c>
      <c r="J1005">
        <v>0.35</v>
      </c>
      <c r="K1005">
        <v>2972.64</v>
      </c>
      <c r="L1005" t="s">
        <v>35</v>
      </c>
      <c r="M1005">
        <v>779</v>
      </c>
      <c r="N1005">
        <v>0.22</v>
      </c>
      <c r="O1005" s="3">
        <v>476.72</v>
      </c>
      <c r="P1005" s="3">
        <v>0.1</v>
      </c>
      <c r="Q1005" s="3">
        <v>712.01</v>
      </c>
      <c r="R1005" s="3">
        <v>0.14000000000000001</v>
      </c>
      <c r="S1005">
        <v>3</v>
      </c>
      <c r="T1005">
        <v>866.14</v>
      </c>
      <c r="U1005">
        <v>60</v>
      </c>
      <c r="V1005">
        <v>0</v>
      </c>
      <c r="W1005">
        <v>550.23</v>
      </c>
      <c r="X1005">
        <v>2524.21</v>
      </c>
      <c r="Y1005" t="s">
        <v>36</v>
      </c>
      <c r="Z1005" s="3">
        <v>872.95</v>
      </c>
      <c r="AA1005" t="s">
        <v>46</v>
      </c>
      <c r="AB1005" t="s">
        <v>44</v>
      </c>
      <c r="AC1005">
        <v>55.3</v>
      </c>
      <c r="AD1005" t="s">
        <v>43</v>
      </c>
      <c r="AE1005">
        <v>1128.17</v>
      </c>
      <c r="AF1005">
        <v>0</v>
      </c>
    </row>
    <row r="1006" spans="3:32" x14ac:dyDescent="0.35">
      <c r="C1006" s="1">
        <v>44066</v>
      </c>
      <c r="D1006" s="2">
        <v>44044</v>
      </c>
      <c r="E1006">
        <v>1392</v>
      </c>
      <c r="F1006" s="3">
        <v>2646.33</v>
      </c>
      <c r="G1006" s="3">
        <v>2649.57</v>
      </c>
      <c r="H1006" s="3">
        <v>-3.24</v>
      </c>
      <c r="I1006" s="3">
        <v>1</v>
      </c>
      <c r="J1006">
        <v>7.0000000000000007E-2</v>
      </c>
      <c r="K1006">
        <v>3068.22</v>
      </c>
      <c r="L1006" t="s">
        <v>35</v>
      </c>
      <c r="M1006">
        <v>757</v>
      </c>
      <c r="N1006">
        <v>0.26</v>
      </c>
      <c r="O1006" s="3">
        <v>537.53</v>
      </c>
      <c r="P1006" s="3">
        <v>0.2</v>
      </c>
      <c r="Q1006" s="3">
        <v>395.3</v>
      </c>
      <c r="R1006" s="3">
        <v>0.15</v>
      </c>
      <c r="S1006">
        <v>4</v>
      </c>
      <c r="T1006">
        <v>789.02</v>
      </c>
      <c r="U1006">
        <v>34</v>
      </c>
      <c r="V1006">
        <v>0</v>
      </c>
      <c r="W1006">
        <v>624.87</v>
      </c>
      <c r="X1006">
        <v>2621.33</v>
      </c>
      <c r="Y1006" t="s">
        <v>36</v>
      </c>
      <c r="Z1006" s="3">
        <v>1364.64</v>
      </c>
      <c r="AA1006" t="s">
        <v>37</v>
      </c>
      <c r="AB1006" t="s">
        <v>33</v>
      </c>
      <c r="AC1006">
        <v>68.7</v>
      </c>
      <c r="AD1006" t="s">
        <v>43</v>
      </c>
      <c r="AE1006">
        <v>0</v>
      </c>
      <c r="AF1006">
        <v>0</v>
      </c>
    </row>
    <row r="1007" spans="3:32" x14ac:dyDescent="0.35">
      <c r="C1007" s="1">
        <v>44066</v>
      </c>
      <c r="D1007" s="2">
        <v>44044</v>
      </c>
      <c r="E1007">
        <v>1306</v>
      </c>
      <c r="F1007" s="3">
        <v>2162.0500000000002</v>
      </c>
      <c r="G1007" s="3">
        <v>4840.09</v>
      </c>
      <c r="H1007" s="3">
        <v>-2678.04</v>
      </c>
      <c r="I1007" s="3">
        <v>2.2400000000000002</v>
      </c>
      <c r="J1007">
        <v>0.3</v>
      </c>
      <c r="K1007">
        <v>3477.9</v>
      </c>
      <c r="L1007" t="s">
        <v>39</v>
      </c>
      <c r="M1007">
        <v>626</v>
      </c>
      <c r="N1007">
        <v>0.4</v>
      </c>
      <c r="O1007" s="3">
        <v>501.73</v>
      </c>
      <c r="P1007" s="3">
        <v>0.23</v>
      </c>
      <c r="Q1007" s="3">
        <v>641.28</v>
      </c>
      <c r="R1007" s="3">
        <v>0.3</v>
      </c>
      <c r="S1007">
        <v>2</v>
      </c>
      <c r="T1007">
        <v>171.64</v>
      </c>
      <c r="U1007">
        <v>67</v>
      </c>
      <c r="V1007">
        <v>0</v>
      </c>
      <c r="W1007">
        <v>700.72</v>
      </c>
      <c r="X1007">
        <v>2861.31</v>
      </c>
      <c r="Y1007" t="s">
        <v>36</v>
      </c>
      <c r="Z1007" s="3">
        <v>1345.29</v>
      </c>
      <c r="AA1007" t="s">
        <v>40</v>
      </c>
      <c r="AB1007" t="s">
        <v>33</v>
      </c>
      <c r="AC1007">
        <v>63.2</v>
      </c>
      <c r="AD1007" t="s">
        <v>38</v>
      </c>
      <c r="AE1007">
        <v>0</v>
      </c>
      <c r="AF1007">
        <v>0</v>
      </c>
    </row>
    <row r="1008" spans="3:32" x14ac:dyDescent="0.35">
      <c r="C1008" s="1">
        <v>44066</v>
      </c>
      <c r="D1008" s="2">
        <v>44044</v>
      </c>
      <c r="E1008">
        <v>1545</v>
      </c>
      <c r="F1008" s="3">
        <v>4132.7299999999996</v>
      </c>
      <c r="G1008" s="3">
        <v>3577.41</v>
      </c>
      <c r="H1008" s="3">
        <v>555.32000000000005</v>
      </c>
      <c r="I1008" s="3">
        <v>0.87</v>
      </c>
      <c r="J1008">
        <v>0.38</v>
      </c>
      <c r="K1008">
        <v>1934.72</v>
      </c>
      <c r="L1008" t="s">
        <v>30</v>
      </c>
      <c r="M1008">
        <v>727</v>
      </c>
      <c r="N1008">
        <v>0.14000000000000001</v>
      </c>
      <c r="O1008" s="3">
        <v>840.14</v>
      </c>
      <c r="P1008" s="3">
        <v>0.2</v>
      </c>
      <c r="Q1008" s="3">
        <v>0</v>
      </c>
      <c r="R1008" s="3">
        <v>0</v>
      </c>
      <c r="S1008">
        <v>5</v>
      </c>
      <c r="T1008">
        <v>175.87</v>
      </c>
      <c r="U1008">
        <v>25</v>
      </c>
      <c r="V1008">
        <v>0</v>
      </c>
      <c r="W1008">
        <v>651.80999999999995</v>
      </c>
      <c r="X1008">
        <v>1960.84</v>
      </c>
      <c r="Y1008" t="s">
        <v>49</v>
      </c>
      <c r="Z1008" s="3">
        <v>1303.56</v>
      </c>
      <c r="AA1008" t="s">
        <v>40</v>
      </c>
      <c r="AB1008" t="s">
        <v>33</v>
      </c>
      <c r="AC1008">
        <v>46.3</v>
      </c>
      <c r="AD1008" t="s">
        <v>34</v>
      </c>
      <c r="AE1008">
        <v>555.32000000000005</v>
      </c>
      <c r="AF1008">
        <v>0</v>
      </c>
    </row>
    <row r="1009" spans="3:32" x14ac:dyDescent="0.35">
      <c r="C1009" s="1">
        <v>44066</v>
      </c>
      <c r="D1009" s="2">
        <v>44044</v>
      </c>
      <c r="E1009">
        <v>1495</v>
      </c>
      <c r="F1009" s="3">
        <v>3221.83</v>
      </c>
      <c r="G1009" s="3">
        <v>3821.01</v>
      </c>
      <c r="H1009" s="3">
        <v>-599.17999999999995</v>
      </c>
      <c r="I1009" s="3">
        <v>1.19</v>
      </c>
      <c r="J1009">
        <v>0.21</v>
      </c>
      <c r="K1009">
        <v>2761.45</v>
      </c>
      <c r="L1009" t="s">
        <v>35</v>
      </c>
      <c r="M1009">
        <v>709</v>
      </c>
      <c r="N1009">
        <v>0.51</v>
      </c>
      <c r="O1009" s="3">
        <v>889.38</v>
      </c>
      <c r="P1009" s="3">
        <v>0.28000000000000003</v>
      </c>
      <c r="Q1009" s="3">
        <v>724.75</v>
      </c>
      <c r="R1009" s="3">
        <v>0.22</v>
      </c>
      <c r="S1009">
        <v>4</v>
      </c>
      <c r="T1009">
        <v>460.71</v>
      </c>
      <c r="U1009">
        <v>96</v>
      </c>
      <c r="V1009">
        <v>0</v>
      </c>
      <c r="W1009">
        <v>505.17</v>
      </c>
      <c r="X1009">
        <v>2157.5100000000002</v>
      </c>
      <c r="Y1009" t="s">
        <v>36</v>
      </c>
      <c r="Z1009" s="3">
        <v>1416.99</v>
      </c>
      <c r="AA1009" t="s">
        <v>51</v>
      </c>
      <c r="AB1009" t="s">
        <v>33</v>
      </c>
      <c r="AC1009">
        <v>94.6</v>
      </c>
      <c r="AD1009" t="s">
        <v>43</v>
      </c>
      <c r="AE1009">
        <v>0</v>
      </c>
      <c r="AF1009">
        <v>0</v>
      </c>
    </row>
    <row r="1010" spans="3:32" x14ac:dyDescent="0.35">
      <c r="C1010" s="1">
        <v>44066</v>
      </c>
      <c r="D1010" s="2">
        <v>44044</v>
      </c>
      <c r="E1010">
        <v>1152</v>
      </c>
      <c r="F1010" s="3">
        <v>4785.53</v>
      </c>
      <c r="G1010" s="3">
        <v>3284.21</v>
      </c>
      <c r="H1010" s="3">
        <v>1501.32</v>
      </c>
      <c r="I1010" s="3">
        <v>0.69</v>
      </c>
      <c r="J1010">
        <v>0.3</v>
      </c>
      <c r="K1010">
        <v>2856.58</v>
      </c>
      <c r="L1010" t="s">
        <v>39</v>
      </c>
      <c r="M1010">
        <v>734</v>
      </c>
      <c r="N1010">
        <v>0.41</v>
      </c>
      <c r="O1010" s="3">
        <v>989.86</v>
      </c>
      <c r="P1010" s="3">
        <v>0.21</v>
      </c>
      <c r="Q1010" s="3">
        <v>274.79000000000002</v>
      </c>
      <c r="R1010" s="3">
        <v>0.06</v>
      </c>
      <c r="S1010">
        <v>7</v>
      </c>
      <c r="T1010">
        <v>473.07</v>
      </c>
      <c r="U1010">
        <v>59</v>
      </c>
      <c r="V1010">
        <v>0</v>
      </c>
      <c r="W1010">
        <v>647.04999999999995</v>
      </c>
      <c r="X1010">
        <v>2306.0700000000002</v>
      </c>
      <c r="Y1010" t="s">
        <v>36</v>
      </c>
      <c r="Z1010" s="3">
        <v>933.53</v>
      </c>
      <c r="AA1010" t="s">
        <v>37</v>
      </c>
      <c r="AB1010" t="s">
        <v>33</v>
      </c>
      <c r="AC1010">
        <v>31.1</v>
      </c>
      <c r="AD1010" t="s">
        <v>43</v>
      </c>
      <c r="AE1010">
        <v>1501.32</v>
      </c>
      <c r="AF1010">
        <v>0</v>
      </c>
    </row>
    <row r="1011" spans="3:32" x14ac:dyDescent="0.35">
      <c r="C1011" s="1">
        <v>44066</v>
      </c>
      <c r="D1011" s="2">
        <v>44044</v>
      </c>
      <c r="E1011">
        <v>1750</v>
      </c>
      <c r="F1011" s="3">
        <v>5058.33</v>
      </c>
      <c r="G1011" s="3">
        <v>3795.83</v>
      </c>
      <c r="H1011" s="3">
        <v>1262.5</v>
      </c>
      <c r="I1011" s="3">
        <v>0.75</v>
      </c>
      <c r="J1011">
        <v>0.25</v>
      </c>
      <c r="K1011">
        <v>2227.7600000000002</v>
      </c>
      <c r="L1011" t="s">
        <v>35</v>
      </c>
      <c r="M1011">
        <v>614</v>
      </c>
      <c r="N1011">
        <v>0.23</v>
      </c>
      <c r="O1011" s="3">
        <v>510.6</v>
      </c>
      <c r="P1011" s="3">
        <v>0.1</v>
      </c>
      <c r="Q1011" s="3">
        <v>320.79000000000002</v>
      </c>
      <c r="R1011" s="3">
        <v>0.06</v>
      </c>
      <c r="S1011">
        <v>9</v>
      </c>
      <c r="T1011">
        <v>985.35</v>
      </c>
      <c r="U1011">
        <v>64</v>
      </c>
      <c r="V1011">
        <v>0</v>
      </c>
      <c r="W1011">
        <v>501.6</v>
      </c>
      <c r="X1011">
        <v>2632.08</v>
      </c>
      <c r="Y1011" t="s">
        <v>36</v>
      </c>
      <c r="Z1011" s="3">
        <v>1203.52</v>
      </c>
      <c r="AA1011" t="s">
        <v>46</v>
      </c>
      <c r="AB1011" t="s">
        <v>42</v>
      </c>
      <c r="AC1011">
        <v>95.2</v>
      </c>
      <c r="AD1011" t="s">
        <v>34</v>
      </c>
      <c r="AE1011">
        <v>1262.5</v>
      </c>
      <c r="AF1011">
        <v>0</v>
      </c>
    </row>
    <row r="1012" spans="3:32" x14ac:dyDescent="0.35">
      <c r="C1012" s="1">
        <v>44066</v>
      </c>
      <c r="D1012" s="2">
        <v>44044</v>
      </c>
      <c r="E1012">
        <v>1383</v>
      </c>
      <c r="F1012" s="3">
        <v>4367.91</v>
      </c>
      <c r="G1012" s="3">
        <v>3580.67</v>
      </c>
      <c r="H1012" s="3">
        <v>787.24</v>
      </c>
      <c r="I1012" s="3">
        <v>0.82</v>
      </c>
      <c r="J1012">
        <v>0.27</v>
      </c>
      <c r="K1012">
        <v>3009.42</v>
      </c>
      <c r="L1012" t="s">
        <v>39</v>
      </c>
      <c r="M1012">
        <v>700</v>
      </c>
      <c r="N1012">
        <v>0.17</v>
      </c>
      <c r="O1012" s="3">
        <v>757.07</v>
      </c>
      <c r="P1012" s="3">
        <v>0.17</v>
      </c>
      <c r="Q1012" s="3">
        <v>936.11</v>
      </c>
      <c r="R1012" s="3">
        <v>0.21</v>
      </c>
      <c r="S1012">
        <v>3</v>
      </c>
      <c r="T1012">
        <v>795.62</v>
      </c>
      <c r="U1012">
        <v>49</v>
      </c>
      <c r="V1012">
        <v>0</v>
      </c>
      <c r="W1012">
        <v>260.14999999999998</v>
      </c>
      <c r="X1012">
        <v>3310.91</v>
      </c>
      <c r="Y1012" t="s">
        <v>36</v>
      </c>
      <c r="Z1012" s="3">
        <v>1540.8</v>
      </c>
      <c r="AA1012" t="s">
        <v>48</v>
      </c>
      <c r="AB1012" t="s">
        <v>42</v>
      </c>
      <c r="AC1012">
        <v>60.6</v>
      </c>
      <c r="AD1012" t="s">
        <v>34</v>
      </c>
      <c r="AE1012">
        <v>787.24</v>
      </c>
      <c r="AF1012">
        <v>0</v>
      </c>
    </row>
    <row r="1013" spans="3:32" x14ac:dyDescent="0.35">
      <c r="C1013" s="1">
        <v>44066</v>
      </c>
      <c r="D1013" s="2">
        <v>44044</v>
      </c>
      <c r="E1013">
        <v>1511</v>
      </c>
      <c r="F1013" s="3">
        <v>4999.71</v>
      </c>
      <c r="G1013" s="3">
        <v>2924.79</v>
      </c>
      <c r="H1013" s="3">
        <v>2074.92</v>
      </c>
      <c r="I1013" s="3">
        <v>0.57999999999999996</v>
      </c>
      <c r="J1013">
        <v>0.14000000000000001</v>
      </c>
      <c r="K1013">
        <v>1617.47</v>
      </c>
      <c r="L1013" t="s">
        <v>35</v>
      </c>
      <c r="M1013">
        <v>735</v>
      </c>
      <c r="N1013">
        <v>0.34</v>
      </c>
      <c r="O1013" s="3">
        <v>664.56</v>
      </c>
      <c r="P1013" s="3">
        <v>0.13</v>
      </c>
      <c r="Q1013" s="3">
        <v>217.69</v>
      </c>
      <c r="R1013" s="3">
        <v>0.04</v>
      </c>
      <c r="S1013">
        <v>3</v>
      </c>
      <c r="T1013">
        <v>2015.76</v>
      </c>
      <c r="U1013">
        <v>28</v>
      </c>
      <c r="V1013">
        <v>0</v>
      </c>
      <c r="W1013">
        <v>346.9</v>
      </c>
      <c r="X1013">
        <v>2016.75</v>
      </c>
      <c r="Y1013" t="s">
        <v>36</v>
      </c>
      <c r="Z1013" s="3">
        <v>1117.56</v>
      </c>
      <c r="AA1013" t="s">
        <v>40</v>
      </c>
      <c r="AB1013" t="s">
        <v>33</v>
      </c>
      <c r="AC1013">
        <v>44.9</v>
      </c>
      <c r="AD1013" t="s">
        <v>43</v>
      </c>
      <c r="AE1013">
        <v>2074.92</v>
      </c>
      <c r="AF1013">
        <v>1</v>
      </c>
    </row>
    <row r="1014" spans="3:32" x14ac:dyDescent="0.35">
      <c r="C1014" s="1">
        <v>44066</v>
      </c>
      <c r="D1014" s="2">
        <v>44044</v>
      </c>
      <c r="E1014">
        <v>1544</v>
      </c>
      <c r="F1014" s="3">
        <v>1850.88</v>
      </c>
      <c r="G1014" s="3">
        <v>1967.28</v>
      </c>
      <c r="H1014" s="3">
        <v>-116.4</v>
      </c>
      <c r="I1014" s="3">
        <v>1.06</v>
      </c>
      <c r="J1014">
        <v>0.37</v>
      </c>
      <c r="K1014">
        <v>2701.57</v>
      </c>
      <c r="L1014" t="s">
        <v>30</v>
      </c>
      <c r="M1014">
        <v>677</v>
      </c>
      <c r="N1014">
        <v>0.48</v>
      </c>
      <c r="O1014" s="3">
        <v>267.7</v>
      </c>
      <c r="P1014" s="3">
        <v>0.14000000000000001</v>
      </c>
      <c r="Q1014" s="3">
        <v>424.46</v>
      </c>
      <c r="R1014" s="3">
        <v>0.23</v>
      </c>
      <c r="S1014">
        <v>8</v>
      </c>
      <c r="T1014">
        <v>1471.79</v>
      </c>
      <c r="U1014">
        <v>34</v>
      </c>
      <c r="V1014">
        <v>0</v>
      </c>
      <c r="W1014">
        <v>210.36</v>
      </c>
      <c r="X1014">
        <v>2398.98</v>
      </c>
      <c r="Y1014" t="s">
        <v>31</v>
      </c>
      <c r="Z1014" s="3">
        <v>978.4</v>
      </c>
      <c r="AA1014" t="s">
        <v>45</v>
      </c>
      <c r="AB1014" t="s">
        <v>33</v>
      </c>
      <c r="AC1014">
        <v>7.6</v>
      </c>
      <c r="AD1014" t="s">
        <v>34</v>
      </c>
      <c r="AE1014">
        <v>0</v>
      </c>
      <c r="AF1014">
        <v>0</v>
      </c>
    </row>
    <row r="1015" spans="3:32" x14ac:dyDescent="0.35">
      <c r="C1015" s="1">
        <v>44066</v>
      </c>
      <c r="D1015" s="2">
        <v>44044</v>
      </c>
      <c r="E1015">
        <v>1329</v>
      </c>
      <c r="F1015" s="3">
        <v>3091.95</v>
      </c>
      <c r="G1015" s="3">
        <v>2254.94</v>
      </c>
      <c r="H1015" s="3">
        <v>837.01</v>
      </c>
      <c r="I1015" s="3">
        <v>0.73</v>
      </c>
      <c r="J1015">
        <v>0.35</v>
      </c>
      <c r="K1015">
        <v>3522.89</v>
      </c>
      <c r="L1015" t="s">
        <v>35</v>
      </c>
      <c r="M1015">
        <v>617</v>
      </c>
      <c r="N1015">
        <v>0.14000000000000001</v>
      </c>
      <c r="O1015" s="3">
        <v>498.08</v>
      </c>
      <c r="P1015" s="3">
        <v>0.16</v>
      </c>
      <c r="Q1015" s="3">
        <v>416.48</v>
      </c>
      <c r="R1015" s="3">
        <v>0.13</v>
      </c>
      <c r="S1015">
        <v>5</v>
      </c>
      <c r="T1015">
        <v>1099.45</v>
      </c>
      <c r="U1015">
        <v>68</v>
      </c>
      <c r="V1015">
        <v>0</v>
      </c>
      <c r="W1015">
        <v>415.27</v>
      </c>
      <c r="X1015">
        <v>1866.79</v>
      </c>
      <c r="Y1015" t="s">
        <v>49</v>
      </c>
      <c r="Z1015" s="3">
        <v>641.13</v>
      </c>
      <c r="AA1015" t="s">
        <v>51</v>
      </c>
      <c r="AB1015" t="s">
        <v>33</v>
      </c>
      <c r="AC1015">
        <v>85.6</v>
      </c>
      <c r="AD1015" t="s">
        <v>43</v>
      </c>
      <c r="AE1015">
        <v>837.01</v>
      </c>
      <c r="AF1015">
        <v>0</v>
      </c>
    </row>
    <row r="1016" spans="3:32" x14ac:dyDescent="0.35">
      <c r="C1016" s="1">
        <v>44066</v>
      </c>
      <c r="D1016" s="2">
        <v>44044</v>
      </c>
      <c r="E1016">
        <v>1320</v>
      </c>
      <c r="F1016" s="3">
        <v>2819.15</v>
      </c>
      <c r="G1016" s="3">
        <v>2695.53</v>
      </c>
      <c r="H1016" s="3">
        <v>123.62</v>
      </c>
      <c r="I1016" s="3">
        <v>0.96</v>
      </c>
      <c r="J1016">
        <v>0.3</v>
      </c>
      <c r="K1016">
        <v>2501.11</v>
      </c>
      <c r="L1016" t="s">
        <v>35</v>
      </c>
      <c r="M1016">
        <v>598</v>
      </c>
      <c r="N1016">
        <v>0.19</v>
      </c>
      <c r="O1016" s="3">
        <v>366.2</v>
      </c>
      <c r="P1016" s="3">
        <v>0.13</v>
      </c>
      <c r="Q1016" s="3">
        <v>0</v>
      </c>
      <c r="R1016" s="3">
        <v>0</v>
      </c>
      <c r="S1016">
        <v>7</v>
      </c>
      <c r="T1016">
        <v>950.99</v>
      </c>
      <c r="U1016">
        <v>93</v>
      </c>
      <c r="V1016">
        <v>0</v>
      </c>
      <c r="W1016">
        <v>488.25</v>
      </c>
      <c r="X1016">
        <v>2670.41</v>
      </c>
      <c r="Y1016" t="s">
        <v>31</v>
      </c>
      <c r="Z1016" s="3">
        <v>1246.98</v>
      </c>
      <c r="AA1016" t="s">
        <v>41</v>
      </c>
      <c r="AB1016" t="s">
        <v>33</v>
      </c>
      <c r="AC1016">
        <v>14.3</v>
      </c>
      <c r="AD1016" t="s">
        <v>43</v>
      </c>
      <c r="AE1016">
        <v>123.62</v>
      </c>
      <c r="AF1016">
        <v>0</v>
      </c>
    </row>
    <row r="1017" spans="3:32" x14ac:dyDescent="0.35">
      <c r="C1017" s="1">
        <v>44066</v>
      </c>
      <c r="D1017" s="2">
        <v>44044</v>
      </c>
      <c r="E1017">
        <v>1707</v>
      </c>
      <c r="F1017" s="3">
        <v>1333.75</v>
      </c>
      <c r="G1017" s="3">
        <v>2384.17</v>
      </c>
      <c r="H1017" s="3">
        <v>-1050.42</v>
      </c>
      <c r="I1017" s="3">
        <v>1.79</v>
      </c>
      <c r="J1017">
        <v>0.33</v>
      </c>
      <c r="K1017">
        <v>2679.81</v>
      </c>
      <c r="L1017" t="s">
        <v>35</v>
      </c>
      <c r="M1017">
        <v>650</v>
      </c>
      <c r="N1017">
        <v>0.43</v>
      </c>
      <c r="O1017" s="3">
        <v>613.30999999999995</v>
      </c>
      <c r="P1017" s="3">
        <v>0.46</v>
      </c>
      <c r="Q1017" s="3">
        <v>827.64</v>
      </c>
      <c r="R1017" s="3">
        <v>0.62</v>
      </c>
      <c r="S1017">
        <v>4</v>
      </c>
      <c r="T1017">
        <v>510.91</v>
      </c>
      <c r="U1017">
        <v>56</v>
      </c>
      <c r="V1017">
        <v>0</v>
      </c>
      <c r="W1017">
        <v>553.55999999999995</v>
      </c>
      <c r="X1017">
        <v>2186.12</v>
      </c>
      <c r="Y1017" t="s">
        <v>36</v>
      </c>
      <c r="Z1017" s="3">
        <v>2016.96</v>
      </c>
      <c r="AA1017" t="s">
        <v>37</v>
      </c>
      <c r="AB1017" t="s">
        <v>44</v>
      </c>
      <c r="AC1017">
        <v>2.8</v>
      </c>
      <c r="AD1017" t="s">
        <v>34</v>
      </c>
      <c r="AE1017">
        <v>0</v>
      </c>
      <c r="AF1017">
        <v>0</v>
      </c>
    </row>
    <row r="1018" spans="3:32" x14ac:dyDescent="0.35">
      <c r="C1018" s="1">
        <v>44066</v>
      </c>
      <c r="D1018" s="2">
        <v>44044</v>
      </c>
      <c r="E1018">
        <v>1171</v>
      </c>
      <c r="F1018" s="3">
        <v>2854.93</v>
      </c>
      <c r="G1018" s="3">
        <v>2346.8200000000002</v>
      </c>
      <c r="H1018" s="3">
        <v>508.11</v>
      </c>
      <c r="I1018" s="3">
        <v>0.82</v>
      </c>
      <c r="J1018">
        <v>0.08</v>
      </c>
      <c r="K1018">
        <v>3227.5</v>
      </c>
      <c r="L1018" t="s">
        <v>35</v>
      </c>
      <c r="M1018">
        <v>702</v>
      </c>
      <c r="N1018">
        <v>0.3</v>
      </c>
      <c r="O1018" s="3">
        <v>570.15</v>
      </c>
      <c r="P1018" s="3">
        <v>0.2</v>
      </c>
      <c r="Q1018" s="3">
        <v>613.62</v>
      </c>
      <c r="R1018" s="3">
        <v>0.21</v>
      </c>
      <c r="S1018">
        <v>3</v>
      </c>
      <c r="T1018">
        <v>1621.22</v>
      </c>
      <c r="U1018">
        <v>32</v>
      </c>
      <c r="V1018">
        <v>0</v>
      </c>
      <c r="W1018">
        <v>692.42</v>
      </c>
      <c r="X1018">
        <v>1866.95</v>
      </c>
      <c r="Y1018" t="s">
        <v>36</v>
      </c>
      <c r="Z1018" s="3">
        <v>1072.27</v>
      </c>
      <c r="AA1018" t="s">
        <v>40</v>
      </c>
      <c r="AB1018" t="s">
        <v>44</v>
      </c>
      <c r="AC1018">
        <v>80.5</v>
      </c>
      <c r="AD1018" t="s">
        <v>43</v>
      </c>
      <c r="AE1018">
        <v>508.11</v>
      </c>
      <c r="AF1018">
        <v>0</v>
      </c>
    </row>
    <row r="1019" spans="3:32" x14ac:dyDescent="0.35">
      <c r="C1019" s="1">
        <v>44066</v>
      </c>
      <c r="D1019" s="2">
        <v>44044</v>
      </c>
      <c r="E1019">
        <v>1029</v>
      </c>
      <c r="F1019" s="3">
        <v>6619.89</v>
      </c>
      <c r="G1019" s="3">
        <v>3812.53</v>
      </c>
      <c r="H1019" s="3">
        <v>2807.36</v>
      </c>
      <c r="I1019" s="3">
        <v>0.57999999999999996</v>
      </c>
      <c r="J1019">
        <v>0.05</v>
      </c>
      <c r="K1019">
        <v>2364.64</v>
      </c>
      <c r="L1019" t="s">
        <v>35</v>
      </c>
      <c r="M1019">
        <v>722</v>
      </c>
      <c r="N1019">
        <v>0.32</v>
      </c>
      <c r="O1019" s="3">
        <v>514.94000000000005</v>
      </c>
      <c r="P1019" s="3">
        <v>0.08</v>
      </c>
      <c r="Q1019" s="3">
        <v>111.35</v>
      </c>
      <c r="R1019" s="3">
        <v>0.02</v>
      </c>
      <c r="S1019">
        <v>9</v>
      </c>
      <c r="T1019">
        <v>1346.38</v>
      </c>
      <c r="U1019">
        <v>82</v>
      </c>
      <c r="V1019">
        <v>0</v>
      </c>
      <c r="W1019">
        <v>496</v>
      </c>
      <c r="X1019">
        <v>1881.06</v>
      </c>
      <c r="Y1019" t="s">
        <v>36</v>
      </c>
      <c r="Z1019" s="3">
        <v>1111.1400000000001</v>
      </c>
      <c r="AA1019" t="s">
        <v>48</v>
      </c>
      <c r="AB1019" t="s">
        <v>33</v>
      </c>
      <c r="AC1019">
        <v>46.8</v>
      </c>
      <c r="AD1019" t="s">
        <v>34</v>
      </c>
      <c r="AE1019">
        <v>2807.36</v>
      </c>
      <c r="AF1019">
        <v>1</v>
      </c>
    </row>
    <row r="1020" spans="3:32" x14ac:dyDescent="0.35">
      <c r="C1020" s="1">
        <v>44066</v>
      </c>
      <c r="D1020" s="2">
        <v>44044</v>
      </c>
      <c r="E1020">
        <v>1934</v>
      </c>
      <c r="F1020" s="3">
        <v>4430.2</v>
      </c>
      <c r="G1020" s="3">
        <v>3398.7</v>
      </c>
      <c r="H1020" s="3">
        <v>1031.5</v>
      </c>
      <c r="I1020" s="3">
        <v>0.77</v>
      </c>
      <c r="J1020">
        <v>0.22</v>
      </c>
      <c r="K1020">
        <v>2466.19</v>
      </c>
      <c r="L1020" t="s">
        <v>39</v>
      </c>
      <c r="M1020">
        <v>657</v>
      </c>
      <c r="N1020">
        <v>0.1</v>
      </c>
      <c r="O1020" s="3">
        <v>483.05</v>
      </c>
      <c r="P1020" s="3">
        <v>0.11</v>
      </c>
      <c r="Q1020" s="3">
        <v>326.83999999999997</v>
      </c>
      <c r="R1020" s="3">
        <v>7.0000000000000007E-2</v>
      </c>
      <c r="S1020">
        <v>1</v>
      </c>
      <c r="T1020">
        <v>1563.43</v>
      </c>
      <c r="U1020">
        <v>99</v>
      </c>
      <c r="V1020">
        <v>0</v>
      </c>
      <c r="W1020">
        <v>304.14</v>
      </c>
      <c r="X1020">
        <v>2316.9499999999998</v>
      </c>
      <c r="Y1020" t="s">
        <v>36</v>
      </c>
      <c r="Z1020" s="3">
        <v>1843.11</v>
      </c>
      <c r="AA1020" t="s">
        <v>37</v>
      </c>
      <c r="AB1020" t="s">
        <v>33</v>
      </c>
      <c r="AC1020">
        <v>36.5</v>
      </c>
      <c r="AD1020" t="s">
        <v>38</v>
      </c>
      <c r="AE1020">
        <v>1031.5</v>
      </c>
      <c r="AF1020">
        <v>0</v>
      </c>
    </row>
    <row r="1021" spans="3:32" x14ac:dyDescent="0.35">
      <c r="C1021" s="1">
        <v>44066</v>
      </c>
      <c r="D1021" s="2">
        <v>44044</v>
      </c>
      <c r="E1021">
        <v>1006</v>
      </c>
      <c r="F1021" s="3">
        <v>4101.8500000000004</v>
      </c>
      <c r="G1021" s="3">
        <v>2935.32</v>
      </c>
      <c r="H1021" s="3">
        <v>1166.53</v>
      </c>
      <c r="I1021" s="3">
        <v>0.72</v>
      </c>
      <c r="J1021">
        <v>0.38</v>
      </c>
      <c r="K1021">
        <v>3409.86</v>
      </c>
      <c r="L1021" t="s">
        <v>39</v>
      </c>
      <c r="M1021">
        <v>608</v>
      </c>
      <c r="N1021">
        <v>0.11</v>
      </c>
      <c r="O1021" s="3">
        <v>176.22</v>
      </c>
      <c r="P1021" s="3">
        <v>0.04</v>
      </c>
      <c r="Q1021" s="3">
        <v>650.36</v>
      </c>
      <c r="R1021" s="3">
        <v>0.16</v>
      </c>
      <c r="S1021">
        <v>4</v>
      </c>
      <c r="T1021">
        <v>950</v>
      </c>
      <c r="U1021">
        <v>41</v>
      </c>
      <c r="V1021">
        <v>0</v>
      </c>
      <c r="W1021">
        <v>233.47</v>
      </c>
      <c r="X1021">
        <v>1900.1</v>
      </c>
      <c r="Y1021" t="s">
        <v>49</v>
      </c>
      <c r="Z1021" s="3">
        <v>1257.4100000000001</v>
      </c>
      <c r="AA1021" t="s">
        <v>40</v>
      </c>
      <c r="AB1021" t="s">
        <v>33</v>
      </c>
      <c r="AC1021">
        <v>8.6999999999999993</v>
      </c>
      <c r="AD1021" t="s">
        <v>34</v>
      </c>
      <c r="AE1021">
        <v>1166.53</v>
      </c>
      <c r="AF1021">
        <v>0</v>
      </c>
    </row>
    <row r="1022" spans="3:32" x14ac:dyDescent="0.35">
      <c r="C1022" s="1">
        <v>44066</v>
      </c>
      <c r="D1022" s="2">
        <v>44044</v>
      </c>
      <c r="E1022">
        <v>1579</v>
      </c>
      <c r="F1022" s="3">
        <v>3906.18</v>
      </c>
      <c r="G1022" s="3">
        <v>3308.35</v>
      </c>
      <c r="H1022" s="3">
        <v>597.83000000000004</v>
      </c>
      <c r="I1022" s="3">
        <v>0.85</v>
      </c>
      <c r="J1022">
        <v>0.2</v>
      </c>
      <c r="K1022">
        <v>2544.63</v>
      </c>
      <c r="L1022" t="s">
        <v>30</v>
      </c>
      <c r="M1022">
        <v>766</v>
      </c>
      <c r="N1022">
        <v>0.3</v>
      </c>
      <c r="O1022" s="3">
        <v>711.36</v>
      </c>
      <c r="P1022" s="3">
        <v>0.18</v>
      </c>
      <c r="Q1022" s="3">
        <v>257.62</v>
      </c>
      <c r="R1022" s="3">
        <v>7.0000000000000007E-2</v>
      </c>
      <c r="S1022">
        <v>1</v>
      </c>
      <c r="T1022">
        <v>334.25</v>
      </c>
      <c r="U1022">
        <v>48</v>
      </c>
      <c r="V1022">
        <v>0</v>
      </c>
      <c r="W1022">
        <v>575.33000000000004</v>
      </c>
      <c r="X1022">
        <v>2369.4499999999998</v>
      </c>
      <c r="Y1022" t="s">
        <v>36</v>
      </c>
      <c r="Z1022" s="3">
        <v>1175.32</v>
      </c>
      <c r="AA1022" t="s">
        <v>32</v>
      </c>
      <c r="AB1022" t="s">
        <v>33</v>
      </c>
      <c r="AC1022">
        <v>98.3</v>
      </c>
      <c r="AD1022" t="s">
        <v>34</v>
      </c>
      <c r="AE1022">
        <v>597.83000000000004</v>
      </c>
      <c r="AF1022">
        <v>0</v>
      </c>
    </row>
    <row r="1023" spans="3:32" x14ac:dyDescent="0.35">
      <c r="C1023" s="1">
        <v>44066</v>
      </c>
      <c r="D1023" s="2">
        <v>44044</v>
      </c>
      <c r="E1023">
        <v>1581</v>
      </c>
      <c r="F1023" s="3">
        <v>4849.8500000000004</v>
      </c>
      <c r="G1023" s="3">
        <v>4137.07</v>
      </c>
      <c r="H1023" s="3">
        <v>712.78</v>
      </c>
      <c r="I1023" s="3">
        <v>0.85</v>
      </c>
      <c r="J1023">
        <v>0.1</v>
      </c>
      <c r="K1023">
        <v>2689.41</v>
      </c>
      <c r="L1023" t="s">
        <v>35</v>
      </c>
      <c r="M1023">
        <v>658</v>
      </c>
      <c r="N1023">
        <v>0.14000000000000001</v>
      </c>
      <c r="O1023" s="3">
        <v>657.53</v>
      </c>
      <c r="P1023" s="3">
        <v>0.14000000000000001</v>
      </c>
      <c r="Q1023" s="3">
        <v>202.42</v>
      </c>
      <c r="R1023" s="3">
        <v>0.04</v>
      </c>
      <c r="S1023">
        <v>3</v>
      </c>
      <c r="T1023">
        <v>339.49</v>
      </c>
      <c r="U1023">
        <v>88</v>
      </c>
      <c r="V1023">
        <v>0</v>
      </c>
      <c r="W1023">
        <v>615.28</v>
      </c>
      <c r="X1023">
        <v>2157.9899999999998</v>
      </c>
      <c r="Y1023" t="s">
        <v>36</v>
      </c>
      <c r="Z1023" s="3">
        <v>868.58</v>
      </c>
      <c r="AA1023" t="s">
        <v>51</v>
      </c>
      <c r="AB1023" t="s">
        <v>33</v>
      </c>
      <c r="AC1023">
        <v>34.200000000000003</v>
      </c>
      <c r="AD1023" t="s">
        <v>43</v>
      </c>
      <c r="AE1023">
        <v>712.78</v>
      </c>
      <c r="AF1023">
        <v>0</v>
      </c>
    </row>
    <row r="1024" spans="3:32" x14ac:dyDescent="0.35">
      <c r="C1024" s="1">
        <v>44066</v>
      </c>
      <c r="D1024" s="2">
        <v>44044</v>
      </c>
      <c r="E1024">
        <v>1029</v>
      </c>
      <c r="F1024" s="3">
        <v>6190.05</v>
      </c>
      <c r="G1024" s="3">
        <v>2737.46</v>
      </c>
      <c r="H1024" s="3">
        <v>3452.59</v>
      </c>
      <c r="I1024" s="3">
        <v>0.44</v>
      </c>
      <c r="J1024">
        <v>0.14000000000000001</v>
      </c>
      <c r="K1024">
        <v>2822.84</v>
      </c>
      <c r="L1024" t="s">
        <v>35</v>
      </c>
      <c r="M1024">
        <v>659</v>
      </c>
      <c r="N1024">
        <v>0.26</v>
      </c>
      <c r="O1024" s="3">
        <v>655.51</v>
      </c>
      <c r="P1024" s="3">
        <v>0.11</v>
      </c>
      <c r="Q1024" s="3">
        <v>500.58</v>
      </c>
      <c r="R1024" s="3">
        <v>0.08</v>
      </c>
      <c r="S1024">
        <v>1</v>
      </c>
      <c r="T1024">
        <v>1542.02</v>
      </c>
      <c r="U1024">
        <v>69</v>
      </c>
      <c r="V1024">
        <v>0</v>
      </c>
      <c r="W1024">
        <v>535.72</v>
      </c>
      <c r="X1024">
        <v>2663.23</v>
      </c>
      <c r="Y1024" t="s">
        <v>36</v>
      </c>
      <c r="Z1024" s="3">
        <v>1074.8900000000001</v>
      </c>
      <c r="AA1024" t="s">
        <v>32</v>
      </c>
      <c r="AB1024" t="s">
        <v>42</v>
      </c>
      <c r="AC1024">
        <v>35.5</v>
      </c>
      <c r="AD1024" t="s">
        <v>34</v>
      </c>
      <c r="AE1024">
        <v>3452.59</v>
      </c>
      <c r="AF1024">
        <v>1</v>
      </c>
    </row>
    <row r="1025" spans="3:32" x14ac:dyDescent="0.35">
      <c r="C1025" s="1">
        <v>44066</v>
      </c>
      <c r="D1025" s="2">
        <v>44044</v>
      </c>
      <c r="E1025">
        <v>1588</v>
      </c>
      <c r="F1025" s="3">
        <v>3458.98</v>
      </c>
      <c r="G1025" s="3">
        <v>1763.83</v>
      </c>
      <c r="H1025" s="3">
        <v>1695.15</v>
      </c>
      <c r="I1025" s="3">
        <v>0.51</v>
      </c>
      <c r="J1025">
        <v>0.28999999999999998</v>
      </c>
      <c r="K1025">
        <v>2779.44</v>
      </c>
      <c r="L1025" t="s">
        <v>35</v>
      </c>
      <c r="M1025">
        <v>695</v>
      </c>
      <c r="N1025">
        <v>0.59</v>
      </c>
      <c r="O1025" s="3">
        <v>402.35</v>
      </c>
      <c r="P1025" s="3">
        <v>0.12</v>
      </c>
      <c r="Q1025" s="3">
        <v>328.88</v>
      </c>
      <c r="R1025" s="3">
        <v>0.1</v>
      </c>
      <c r="S1025">
        <v>3</v>
      </c>
      <c r="T1025">
        <v>1116.19</v>
      </c>
      <c r="U1025">
        <v>46</v>
      </c>
      <c r="V1025">
        <v>0</v>
      </c>
      <c r="W1025">
        <v>525.11</v>
      </c>
      <c r="X1025">
        <v>1841.82</v>
      </c>
      <c r="Y1025" t="s">
        <v>36</v>
      </c>
      <c r="Z1025" s="3">
        <v>1271.23</v>
      </c>
      <c r="AA1025" t="s">
        <v>37</v>
      </c>
      <c r="AB1025" t="s">
        <v>33</v>
      </c>
      <c r="AC1025">
        <v>95.5</v>
      </c>
      <c r="AD1025" t="s">
        <v>34</v>
      </c>
      <c r="AE1025">
        <v>1695.15</v>
      </c>
      <c r="AF1025">
        <v>0</v>
      </c>
    </row>
    <row r="1026" spans="3:32" x14ac:dyDescent="0.35">
      <c r="C1026" s="1">
        <v>44066</v>
      </c>
      <c r="D1026" s="2">
        <v>44044</v>
      </c>
      <c r="E1026">
        <v>1530</v>
      </c>
      <c r="F1026" s="3">
        <v>3287.25</v>
      </c>
      <c r="G1026" s="3">
        <v>2931.26</v>
      </c>
      <c r="H1026" s="3">
        <v>355.99</v>
      </c>
      <c r="I1026" s="3">
        <v>0.89</v>
      </c>
      <c r="J1026">
        <v>0.19</v>
      </c>
      <c r="K1026">
        <v>3031.49</v>
      </c>
      <c r="L1026" t="s">
        <v>30</v>
      </c>
      <c r="M1026">
        <v>646</v>
      </c>
      <c r="N1026">
        <v>0.27</v>
      </c>
      <c r="O1026" s="3">
        <v>359.77</v>
      </c>
      <c r="P1026" s="3">
        <v>0.11</v>
      </c>
      <c r="Q1026" s="3">
        <v>473.27</v>
      </c>
      <c r="R1026" s="3">
        <v>0.14000000000000001</v>
      </c>
      <c r="S1026">
        <v>8</v>
      </c>
      <c r="T1026">
        <v>1771.83</v>
      </c>
      <c r="U1026">
        <v>80</v>
      </c>
      <c r="V1026">
        <v>0</v>
      </c>
      <c r="W1026">
        <v>553.74</v>
      </c>
      <c r="X1026">
        <v>2543.09</v>
      </c>
      <c r="Y1026" t="s">
        <v>36</v>
      </c>
      <c r="Z1026" s="3">
        <v>879.83</v>
      </c>
      <c r="AA1026" t="s">
        <v>50</v>
      </c>
      <c r="AB1026" t="s">
        <v>42</v>
      </c>
      <c r="AC1026">
        <v>4.5999999999999996</v>
      </c>
      <c r="AD1026" t="s">
        <v>34</v>
      </c>
      <c r="AE1026">
        <v>355.99</v>
      </c>
      <c r="AF1026">
        <v>0</v>
      </c>
    </row>
    <row r="1027" spans="3:32" x14ac:dyDescent="0.35">
      <c r="C1027" s="1">
        <v>44066</v>
      </c>
      <c r="D1027" s="2">
        <v>44044</v>
      </c>
      <c r="E1027">
        <v>1210</v>
      </c>
      <c r="F1027" s="3">
        <v>2984.02</v>
      </c>
      <c r="G1027" s="3">
        <v>2365.1</v>
      </c>
      <c r="H1027" s="3">
        <v>618.91999999999996</v>
      </c>
      <c r="I1027" s="3">
        <v>0.79</v>
      </c>
      <c r="J1027">
        <v>0.35</v>
      </c>
      <c r="K1027">
        <v>3415.25</v>
      </c>
      <c r="L1027" t="s">
        <v>35</v>
      </c>
      <c r="M1027">
        <v>682</v>
      </c>
      <c r="N1027">
        <v>0.3</v>
      </c>
      <c r="O1027" s="3">
        <v>368.01</v>
      </c>
      <c r="P1027" s="3">
        <v>0.12</v>
      </c>
      <c r="Q1027" s="3">
        <v>897.58</v>
      </c>
      <c r="R1027" s="3">
        <v>0.3</v>
      </c>
      <c r="S1027">
        <v>5</v>
      </c>
      <c r="T1027">
        <v>334.28</v>
      </c>
      <c r="U1027">
        <v>86</v>
      </c>
      <c r="V1027">
        <v>0</v>
      </c>
      <c r="W1027">
        <v>390.63</v>
      </c>
      <c r="X1027">
        <v>3153.16</v>
      </c>
      <c r="Y1027" t="s">
        <v>31</v>
      </c>
      <c r="Z1027" s="3">
        <v>2041.51</v>
      </c>
      <c r="AA1027" t="s">
        <v>46</v>
      </c>
      <c r="AB1027" t="s">
        <v>33</v>
      </c>
      <c r="AC1027">
        <v>12.2</v>
      </c>
      <c r="AD1027" t="s">
        <v>34</v>
      </c>
      <c r="AE1027">
        <v>618.91999999999996</v>
      </c>
      <c r="AF1027">
        <v>0</v>
      </c>
    </row>
    <row r="1028" spans="3:32" x14ac:dyDescent="0.35">
      <c r="C1028" s="1">
        <v>44066</v>
      </c>
      <c r="D1028" s="2">
        <v>44044</v>
      </c>
      <c r="E1028">
        <v>1450</v>
      </c>
      <c r="F1028" s="3">
        <v>4847.53</v>
      </c>
      <c r="G1028" s="3">
        <v>2112.6799999999998</v>
      </c>
      <c r="H1028" s="3">
        <v>2734.85</v>
      </c>
      <c r="I1028" s="3">
        <v>0.44</v>
      </c>
      <c r="J1028">
        <v>0.27</v>
      </c>
      <c r="K1028">
        <v>3475.64</v>
      </c>
      <c r="L1028" t="s">
        <v>35</v>
      </c>
      <c r="M1028">
        <v>599</v>
      </c>
      <c r="N1028">
        <v>0.27</v>
      </c>
      <c r="O1028" s="3">
        <v>786.34</v>
      </c>
      <c r="P1028" s="3">
        <v>0.16</v>
      </c>
      <c r="Q1028" s="3">
        <v>15.05</v>
      </c>
      <c r="R1028" s="3">
        <v>0</v>
      </c>
      <c r="S1028">
        <v>5</v>
      </c>
      <c r="T1028">
        <v>855.35</v>
      </c>
      <c r="U1028">
        <v>26</v>
      </c>
      <c r="V1028">
        <v>0</v>
      </c>
      <c r="W1028">
        <v>319.31</v>
      </c>
      <c r="X1028">
        <v>2766.37</v>
      </c>
      <c r="Y1028" t="s">
        <v>36</v>
      </c>
      <c r="Z1028" s="3">
        <v>956.5</v>
      </c>
      <c r="AA1028" t="s">
        <v>50</v>
      </c>
      <c r="AB1028" t="s">
        <v>33</v>
      </c>
      <c r="AC1028">
        <v>29.8</v>
      </c>
      <c r="AD1028" t="s">
        <v>43</v>
      </c>
      <c r="AE1028">
        <v>2734.85</v>
      </c>
      <c r="AF1028">
        <v>0</v>
      </c>
    </row>
    <row r="1029" spans="3:32" x14ac:dyDescent="0.35">
      <c r="C1029" s="1">
        <v>44066</v>
      </c>
      <c r="D1029" s="2">
        <v>44044</v>
      </c>
      <c r="E1029">
        <v>1389</v>
      </c>
      <c r="F1029" s="3">
        <v>4090.73</v>
      </c>
      <c r="G1029" s="3">
        <v>3021.5</v>
      </c>
      <c r="H1029" s="3">
        <v>1069.23</v>
      </c>
      <c r="I1029" s="3">
        <v>0.74</v>
      </c>
      <c r="J1029">
        <v>0.37</v>
      </c>
      <c r="K1029">
        <v>3065.44</v>
      </c>
      <c r="L1029" t="s">
        <v>35</v>
      </c>
      <c r="M1029">
        <v>721</v>
      </c>
      <c r="N1029">
        <v>0.2</v>
      </c>
      <c r="O1029" s="3">
        <v>483.43</v>
      </c>
      <c r="P1029" s="3">
        <v>0.12</v>
      </c>
      <c r="Q1029" s="3">
        <v>319.32</v>
      </c>
      <c r="R1029" s="3">
        <v>0.08</v>
      </c>
      <c r="S1029">
        <v>2</v>
      </c>
      <c r="T1029">
        <v>812.75</v>
      </c>
      <c r="U1029">
        <v>20</v>
      </c>
      <c r="V1029">
        <v>0</v>
      </c>
      <c r="W1029">
        <v>217.34</v>
      </c>
      <c r="X1029">
        <v>1579.18</v>
      </c>
      <c r="Y1029" t="s">
        <v>36</v>
      </c>
      <c r="Z1029" s="3">
        <v>1275.52</v>
      </c>
      <c r="AA1029" t="s">
        <v>40</v>
      </c>
      <c r="AB1029" t="s">
        <v>42</v>
      </c>
      <c r="AC1029">
        <v>28.4</v>
      </c>
      <c r="AD1029" t="s">
        <v>43</v>
      </c>
      <c r="AE1029">
        <v>1069.23</v>
      </c>
      <c r="AF1029">
        <v>0</v>
      </c>
    </row>
    <row r="1030" spans="3:32" x14ac:dyDescent="0.35">
      <c r="C1030" s="1">
        <v>44066</v>
      </c>
      <c r="D1030" s="2">
        <v>44044</v>
      </c>
      <c r="E1030">
        <v>1713</v>
      </c>
      <c r="F1030" s="3">
        <v>4390.5200000000004</v>
      </c>
      <c r="G1030" s="3">
        <v>2432.35</v>
      </c>
      <c r="H1030" s="3">
        <v>1958.17</v>
      </c>
      <c r="I1030" s="3">
        <v>0.55000000000000004</v>
      </c>
      <c r="J1030">
        <v>0.35</v>
      </c>
      <c r="K1030">
        <v>3043.7</v>
      </c>
      <c r="L1030" t="s">
        <v>39</v>
      </c>
      <c r="M1030">
        <v>675</v>
      </c>
      <c r="N1030">
        <v>0.59</v>
      </c>
      <c r="O1030" s="3">
        <v>526.76</v>
      </c>
      <c r="P1030" s="3">
        <v>0.12</v>
      </c>
      <c r="Q1030" s="3">
        <v>602.44000000000005</v>
      </c>
      <c r="R1030" s="3">
        <v>0.14000000000000001</v>
      </c>
      <c r="S1030">
        <v>4</v>
      </c>
      <c r="T1030">
        <v>921.14</v>
      </c>
      <c r="U1030">
        <v>77</v>
      </c>
      <c r="V1030">
        <v>0</v>
      </c>
      <c r="W1030">
        <v>651.46</v>
      </c>
      <c r="X1030">
        <v>2447.35</v>
      </c>
      <c r="Y1030" t="s">
        <v>49</v>
      </c>
      <c r="Z1030" s="3">
        <v>1921.79</v>
      </c>
      <c r="AA1030" t="s">
        <v>37</v>
      </c>
      <c r="AB1030" t="s">
        <v>33</v>
      </c>
      <c r="AC1030">
        <v>2.7</v>
      </c>
      <c r="AD1030" t="s">
        <v>38</v>
      </c>
      <c r="AE1030">
        <v>1958.17</v>
      </c>
      <c r="AF1030">
        <v>0</v>
      </c>
    </row>
    <row r="1031" spans="3:32" x14ac:dyDescent="0.35">
      <c r="C1031" s="1">
        <v>44066</v>
      </c>
      <c r="D1031" s="2">
        <v>44044</v>
      </c>
      <c r="E1031">
        <v>1772</v>
      </c>
      <c r="F1031" s="3">
        <v>4044.47</v>
      </c>
      <c r="G1031" s="3">
        <v>2076.4899999999998</v>
      </c>
      <c r="H1031" s="3">
        <v>1967.98</v>
      </c>
      <c r="I1031" s="3">
        <v>0.51</v>
      </c>
      <c r="J1031">
        <v>0.22</v>
      </c>
      <c r="K1031">
        <v>2375.21</v>
      </c>
      <c r="L1031" t="s">
        <v>35</v>
      </c>
      <c r="M1031">
        <v>740</v>
      </c>
      <c r="N1031">
        <v>0.12</v>
      </c>
      <c r="O1031" s="3">
        <v>413.36</v>
      </c>
      <c r="P1031" s="3">
        <v>0.1</v>
      </c>
      <c r="Q1031" s="3">
        <v>20.9</v>
      </c>
      <c r="R1031" s="3">
        <v>0.01</v>
      </c>
      <c r="S1031">
        <v>8</v>
      </c>
      <c r="T1031">
        <v>1162.56</v>
      </c>
      <c r="U1031">
        <v>39</v>
      </c>
      <c r="V1031">
        <v>0</v>
      </c>
      <c r="W1031">
        <v>317.81</v>
      </c>
      <c r="X1031">
        <v>1753.23</v>
      </c>
      <c r="Y1031" t="s">
        <v>36</v>
      </c>
      <c r="Z1031" s="3">
        <v>1094.21</v>
      </c>
      <c r="AA1031" t="s">
        <v>46</v>
      </c>
      <c r="AB1031" t="s">
        <v>42</v>
      </c>
      <c r="AC1031">
        <v>43.3</v>
      </c>
      <c r="AD1031" t="s">
        <v>34</v>
      </c>
      <c r="AE1031">
        <v>1967.98</v>
      </c>
      <c r="AF1031">
        <v>0</v>
      </c>
    </row>
    <row r="1032" spans="3:32" x14ac:dyDescent="0.35">
      <c r="C1032" s="1">
        <v>44066</v>
      </c>
      <c r="D1032" s="2">
        <v>44044</v>
      </c>
      <c r="E1032">
        <v>1758</v>
      </c>
      <c r="F1032" s="3">
        <v>3102.43</v>
      </c>
      <c r="G1032" s="3">
        <v>3282.15</v>
      </c>
      <c r="H1032" s="3">
        <v>-179.72</v>
      </c>
      <c r="I1032" s="3">
        <v>1.06</v>
      </c>
      <c r="J1032">
        <v>0.17</v>
      </c>
      <c r="K1032">
        <v>3321.94</v>
      </c>
      <c r="L1032" t="s">
        <v>30</v>
      </c>
      <c r="M1032">
        <v>694</v>
      </c>
      <c r="N1032">
        <v>0.19</v>
      </c>
      <c r="O1032" s="3">
        <v>499.21</v>
      </c>
      <c r="P1032" s="3">
        <v>0.16</v>
      </c>
      <c r="Q1032" s="3">
        <v>464.43</v>
      </c>
      <c r="R1032" s="3">
        <v>0.15</v>
      </c>
      <c r="S1032">
        <v>5</v>
      </c>
      <c r="T1032">
        <v>210.15</v>
      </c>
      <c r="U1032">
        <v>48</v>
      </c>
      <c r="V1032">
        <v>0</v>
      </c>
      <c r="W1032">
        <v>373.02</v>
      </c>
      <c r="X1032">
        <v>2765.77</v>
      </c>
      <c r="Y1032" t="s">
        <v>36</v>
      </c>
      <c r="Z1032" s="3">
        <v>902.95</v>
      </c>
      <c r="AA1032" t="s">
        <v>37</v>
      </c>
      <c r="AB1032" t="s">
        <v>33</v>
      </c>
      <c r="AC1032">
        <v>16.5</v>
      </c>
      <c r="AD1032" t="s">
        <v>38</v>
      </c>
      <c r="AE1032">
        <v>0</v>
      </c>
      <c r="AF1032">
        <v>0</v>
      </c>
    </row>
    <row r="1033" spans="3:32" x14ac:dyDescent="0.35">
      <c r="C1033" s="1">
        <v>44066</v>
      </c>
      <c r="D1033" s="2">
        <v>44044</v>
      </c>
      <c r="E1033">
        <v>1628</v>
      </c>
      <c r="F1033" s="3">
        <v>3609</v>
      </c>
      <c r="G1033" s="3">
        <v>3712.21</v>
      </c>
      <c r="H1033" s="3">
        <v>-103.21</v>
      </c>
      <c r="I1033" s="3">
        <v>1.03</v>
      </c>
      <c r="J1033">
        <v>0.1</v>
      </c>
      <c r="K1033">
        <v>3060.24</v>
      </c>
      <c r="L1033" t="s">
        <v>30</v>
      </c>
      <c r="M1033">
        <v>689</v>
      </c>
      <c r="N1033">
        <v>0.44</v>
      </c>
      <c r="O1033" s="3">
        <v>407.94</v>
      </c>
      <c r="P1033" s="3">
        <v>0.11</v>
      </c>
      <c r="Q1033" s="3">
        <v>660.45</v>
      </c>
      <c r="R1033" s="3">
        <v>0.18</v>
      </c>
      <c r="S1033">
        <v>5</v>
      </c>
      <c r="T1033">
        <v>1152.52</v>
      </c>
      <c r="U1033">
        <v>25</v>
      </c>
      <c r="V1033">
        <v>0</v>
      </c>
      <c r="W1033">
        <v>511.41</v>
      </c>
      <c r="X1033">
        <v>1787.56</v>
      </c>
      <c r="Y1033" t="s">
        <v>36</v>
      </c>
      <c r="Z1033" s="3">
        <v>1298.06</v>
      </c>
      <c r="AA1033" t="s">
        <v>40</v>
      </c>
      <c r="AB1033" t="s">
        <v>33</v>
      </c>
      <c r="AC1033">
        <v>3.9</v>
      </c>
      <c r="AD1033" t="s">
        <v>34</v>
      </c>
      <c r="AE1033">
        <v>0</v>
      </c>
      <c r="AF1033">
        <v>0</v>
      </c>
    </row>
    <row r="1034" spans="3:32" x14ac:dyDescent="0.35">
      <c r="C1034" s="1">
        <v>44066</v>
      </c>
      <c r="D1034" s="2">
        <v>44044</v>
      </c>
      <c r="E1034">
        <v>1050</v>
      </c>
      <c r="F1034" s="3">
        <v>4968.79</v>
      </c>
      <c r="G1034" s="3">
        <v>2489.33</v>
      </c>
      <c r="H1034" s="3">
        <v>2479.46</v>
      </c>
      <c r="I1034" s="3">
        <v>0.5</v>
      </c>
      <c r="J1034">
        <v>0.31</v>
      </c>
      <c r="K1034">
        <v>2163.1799999999998</v>
      </c>
      <c r="L1034" t="s">
        <v>35</v>
      </c>
      <c r="M1034">
        <v>720</v>
      </c>
      <c r="N1034">
        <v>0.17</v>
      </c>
      <c r="O1034" s="3">
        <v>544.89</v>
      </c>
      <c r="P1034" s="3">
        <v>0.11</v>
      </c>
      <c r="Q1034" s="3">
        <v>762.92</v>
      </c>
      <c r="R1034" s="3">
        <v>0.15</v>
      </c>
      <c r="S1034">
        <v>3</v>
      </c>
      <c r="T1034">
        <v>1604.43</v>
      </c>
      <c r="U1034">
        <v>69</v>
      </c>
      <c r="V1034">
        <v>0</v>
      </c>
      <c r="W1034">
        <v>496.38</v>
      </c>
      <c r="X1034">
        <v>1287.3900000000001</v>
      </c>
      <c r="Y1034" t="s">
        <v>36</v>
      </c>
      <c r="Z1034" s="3">
        <v>769.21</v>
      </c>
      <c r="AA1034" t="s">
        <v>45</v>
      </c>
      <c r="AB1034" t="s">
        <v>42</v>
      </c>
      <c r="AC1034">
        <v>84.6</v>
      </c>
      <c r="AD1034" t="s">
        <v>43</v>
      </c>
      <c r="AE1034">
        <v>2479.46</v>
      </c>
      <c r="AF1034">
        <v>1</v>
      </c>
    </row>
    <row r="1035" spans="3:32" x14ac:dyDescent="0.35">
      <c r="C1035" s="1">
        <v>44066</v>
      </c>
      <c r="D1035" s="2">
        <v>44044</v>
      </c>
      <c r="E1035">
        <v>1319</v>
      </c>
      <c r="F1035" s="3">
        <v>4463.12</v>
      </c>
      <c r="G1035" s="3">
        <v>3352.59</v>
      </c>
      <c r="H1035" s="3">
        <v>1110.53</v>
      </c>
      <c r="I1035" s="3">
        <v>0.75</v>
      </c>
      <c r="J1035">
        <v>0.27</v>
      </c>
      <c r="K1035">
        <v>2790.5</v>
      </c>
      <c r="L1035" t="s">
        <v>35</v>
      </c>
      <c r="M1035">
        <v>680</v>
      </c>
      <c r="N1035">
        <v>0.16</v>
      </c>
      <c r="O1035" s="3">
        <v>363.01</v>
      </c>
      <c r="P1035" s="3">
        <v>0.08</v>
      </c>
      <c r="Q1035" s="3">
        <v>510.04</v>
      </c>
      <c r="R1035" s="3">
        <v>0.11</v>
      </c>
      <c r="S1035">
        <v>2</v>
      </c>
      <c r="T1035">
        <v>891.79</v>
      </c>
      <c r="U1035">
        <v>82</v>
      </c>
      <c r="V1035">
        <v>0</v>
      </c>
      <c r="W1035">
        <v>560.57000000000005</v>
      </c>
      <c r="X1035">
        <v>2589.9499999999998</v>
      </c>
      <c r="Y1035" t="s">
        <v>31</v>
      </c>
      <c r="Z1035" s="3">
        <v>1522.59</v>
      </c>
      <c r="AA1035" t="s">
        <v>51</v>
      </c>
      <c r="AB1035" t="s">
        <v>33</v>
      </c>
      <c r="AC1035">
        <v>50.8</v>
      </c>
      <c r="AD1035" t="s">
        <v>43</v>
      </c>
      <c r="AE1035">
        <v>1110.53</v>
      </c>
      <c r="AF1035">
        <v>0</v>
      </c>
    </row>
    <row r="1036" spans="3:32" x14ac:dyDescent="0.35">
      <c r="C1036" s="1">
        <v>44066</v>
      </c>
      <c r="D1036" s="2">
        <v>44044</v>
      </c>
      <c r="E1036">
        <v>1835</v>
      </c>
      <c r="F1036" s="3">
        <v>3770.87</v>
      </c>
      <c r="G1036" s="3">
        <v>3825.93</v>
      </c>
      <c r="H1036" s="3">
        <v>-55.06</v>
      </c>
      <c r="I1036" s="3">
        <v>1.01</v>
      </c>
      <c r="J1036">
        <v>0.18</v>
      </c>
      <c r="K1036">
        <v>2491.64</v>
      </c>
      <c r="L1036" t="s">
        <v>39</v>
      </c>
      <c r="M1036">
        <v>672</v>
      </c>
      <c r="N1036">
        <v>0.35</v>
      </c>
      <c r="O1036" s="3">
        <v>495.92</v>
      </c>
      <c r="P1036" s="3">
        <v>0.13</v>
      </c>
      <c r="Q1036" s="3">
        <v>527.84</v>
      </c>
      <c r="R1036" s="3">
        <v>0.14000000000000001</v>
      </c>
      <c r="S1036">
        <v>6</v>
      </c>
      <c r="T1036">
        <v>989.76</v>
      </c>
      <c r="U1036">
        <v>69</v>
      </c>
      <c r="V1036">
        <v>0</v>
      </c>
      <c r="W1036">
        <v>243.91</v>
      </c>
      <c r="X1036">
        <v>2067.94</v>
      </c>
      <c r="Y1036" t="s">
        <v>36</v>
      </c>
      <c r="Z1036" s="3">
        <v>1580.48</v>
      </c>
      <c r="AA1036" t="s">
        <v>48</v>
      </c>
      <c r="AB1036" t="s">
        <v>33</v>
      </c>
      <c r="AC1036">
        <v>45.5</v>
      </c>
      <c r="AD1036" t="s">
        <v>34</v>
      </c>
      <c r="AE1036">
        <v>0</v>
      </c>
      <c r="AF1036">
        <v>0</v>
      </c>
    </row>
    <row r="1037" spans="3:32" x14ac:dyDescent="0.35">
      <c r="C1037" s="1">
        <v>44066</v>
      </c>
      <c r="D1037" s="2">
        <v>44044</v>
      </c>
      <c r="E1037">
        <v>1710</v>
      </c>
      <c r="F1037" s="3">
        <v>5668.35</v>
      </c>
      <c r="G1037" s="3">
        <v>1713.75</v>
      </c>
      <c r="H1037" s="3">
        <v>3954.6</v>
      </c>
      <c r="I1037" s="3">
        <v>0.3</v>
      </c>
      <c r="J1037">
        <v>0.27</v>
      </c>
      <c r="K1037">
        <v>2643.96</v>
      </c>
      <c r="L1037" t="s">
        <v>35</v>
      </c>
      <c r="M1037">
        <v>659</v>
      </c>
      <c r="N1037">
        <v>0.28999999999999998</v>
      </c>
      <c r="O1037" s="3">
        <v>602.39</v>
      </c>
      <c r="P1037" s="3">
        <v>0.11</v>
      </c>
      <c r="Q1037" s="3">
        <v>529.73</v>
      </c>
      <c r="R1037" s="3">
        <v>0.09</v>
      </c>
      <c r="S1037">
        <v>5</v>
      </c>
      <c r="T1037">
        <v>394.05</v>
      </c>
      <c r="U1037">
        <v>49</v>
      </c>
      <c r="V1037">
        <v>0</v>
      </c>
      <c r="W1037">
        <v>372.73</v>
      </c>
      <c r="X1037">
        <v>3735.23</v>
      </c>
      <c r="Y1037" t="s">
        <v>31</v>
      </c>
      <c r="Z1037" s="3">
        <v>1543.15</v>
      </c>
      <c r="AA1037" t="s">
        <v>46</v>
      </c>
      <c r="AB1037" t="s">
        <v>33</v>
      </c>
      <c r="AC1037">
        <v>12</v>
      </c>
      <c r="AD1037" t="s">
        <v>34</v>
      </c>
      <c r="AE1037">
        <v>3954.6</v>
      </c>
      <c r="AF1037">
        <v>1</v>
      </c>
    </row>
    <row r="1038" spans="3:32" x14ac:dyDescent="0.35">
      <c r="C1038" s="1">
        <v>44066</v>
      </c>
      <c r="D1038" s="2">
        <v>44044</v>
      </c>
      <c r="E1038">
        <v>1976</v>
      </c>
      <c r="F1038" s="3">
        <v>5965.66</v>
      </c>
      <c r="G1038" s="3">
        <v>2403.9299999999998</v>
      </c>
      <c r="H1038" s="3">
        <v>3561.73</v>
      </c>
      <c r="I1038" s="3">
        <v>0.4</v>
      </c>
      <c r="J1038">
        <v>0.13</v>
      </c>
      <c r="K1038">
        <v>2411.5700000000002</v>
      </c>
      <c r="L1038" t="s">
        <v>35</v>
      </c>
      <c r="M1038">
        <v>687</v>
      </c>
      <c r="N1038">
        <v>0.5</v>
      </c>
      <c r="O1038" s="3">
        <v>510.88</v>
      </c>
      <c r="P1038" s="3">
        <v>0.09</v>
      </c>
      <c r="Q1038" s="3">
        <v>448.86</v>
      </c>
      <c r="R1038" s="3">
        <v>0.08</v>
      </c>
      <c r="S1038">
        <v>9</v>
      </c>
      <c r="T1038">
        <v>1312.68</v>
      </c>
      <c r="U1038">
        <v>55</v>
      </c>
      <c r="V1038">
        <v>0</v>
      </c>
      <c r="W1038">
        <v>316.27999999999997</v>
      </c>
      <c r="X1038">
        <v>3327.72</v>
      </c>
      <c r="Y1038" t="s">
        <v>36</v>
      </c>
      <c r="Z1038" s="3">
        <v>1309</v>
      </c>
      <c r="AA1038" t="s">
        <v>32</v>
      </c>
      <c r="AB1038" t="s">
        <v>33</v>
      </c>
      <c r="AC1038">
        <v>61.5</v>
      </c>
      <c r="AD1038" t="s">
        <v>34</v>
      </c>
      <c r="AE1038">
        <v>3561.73</v>
      </c>
      <c r="AF1038">
        <v>1</v>
      </c>
    </row>
    <row r="1039" spans="3:32" x14ac:dyDescent="0.35">
      <c r="C1039" s="1">
        <v>44066</v>
      </c>
      <c r="D1039" s="2">
        <v>44044</v>
      </c>
      <c r="E1039">
        <v>1399</v>
      </c>
      <c r="F1039" s="3">
        <v>3317.78</v>
      </c>
      <c r="G1039" s="3">
        <v>2602.6</v>
      </c>
      <c r="H1039" s="3">
        <v>715.18</v>
      </c>
      <c r="I1039" s="3">
        <v>0.78</v>
      </c>
      <c r="J1039">
        <v>0.2</v>
      </c>
      <c r="K1039">
        <v>3113.63</v>
      </c>
      <c r="L1039" t="s">
        <v>35</v>
      </c>
      <c r="M1039">
        <v>664</v>
      </c>
      <c r="N1039">
        <v>0.22</v>
      </c>
      <c r="O1039" s="3">
        <v>771.67</v>
      </c>
      <c r="P1039" s="3">
        <v>0.23</v>
      </c>
      <c r="Q1039" s="3">
        <v>0</v>
      </c>
      <c r="R1039" s="3">
        <v>0</v>
      </c>
      <c r="S1039">
        <v>9</v>
      </c>
      <c r="T1039">
        <v>1376.96</v>
      </c>
      <c r="U1039">
        <v>59</v>
      </c>
      <c r="V1039">
        <v>1</v>
      </c>
      <c r="W1039">
        <v>397.4</v>
      </c>
      <c r="X1039">
        <v>2164.8200000000002</v>
      </c>
      <c r="Y1039" t="s">
        <v>36</v>
      </c>
      <c r="Z1039" s="3">
        <v>1824.75</v>
      </c>
      <c r="AA1039" t="s">
        <v>45</v>
      </c>
      <c r="AB1039" t="s">
        <v>33</v>
      </c>
      <c r="AC1039">
        <v>66.099999999999994</v>
      </c>
      <c r="AD1039" t="s">
        <v>34</v>
      </c>
      <c r="AE1039">
        <v>715.18</v>
      </c>
      <c r="AF1039">
        <v>0</v>
      </c>
    </row>
    <row r="1040" spans="3:32" x14ac:dyDescent="0.35">
      <c r="C1040" s="1">
        <v>44066</v>
      </c>
      <c r="D1040" s="2">
        <v>44044</v>
      </c>
      <c r="E1040">
        <v>1334</v>
      </c>
      <c r="F1040" s="3">
        <v>1244.83</v>
      </c>
      <c r="G1040" s="3">
        <v>2212</v>
      </c>
      <c r="H1040" s="3">
        <v>-967.17</v>
      </c>
      <c r="I1040" s="3">
        <v>1.78</v>
      </c>
      <c r="J1040">
        <v>0.35</v>
      </c>
      <c r="K1040">
        <v>2508.27</v>
      </c>
      <c r="L1040" t="s">
        <v>30</v>
      </c>
      <c r="M1040">
        <v>682</v>
      </c>
      <c r="N1040">
        <v>0.36</v>
      </c>
      <c r="O1040" s="3">
        <v>426.04</v>
      </c>
      <c r="P1040" s="3">
        <v>0.34</v>
      </c>
      <c r="Q1040" s="3">
        <v>399.7</v>
      </c>
      <c r="R1040" s="3">
        <v>0.32</v>
      </c>
      <c r="S1040">
        <v>5</v>
      </c>
      <c r="T1040">
        <v>876.12</v>
      </c>
      <c r="U1040">
        <v>61</v>
      </c>
      <c r="V1040">
        <v>0</v>
      </c>
      <c r="W1040">
        <v>648.84</v>
      </c>
      <c r="X1040">
        <v>2020.35</v>
      </c>
      <c r="Y1040" t="s">
        <v>36</v>
      </c>
      <c r="Z1040" s="3">
        <v>1114.76</v>
      </c>
      <c r="AA1040" t="s">
        <v>46</v>
      </c>
      <c r="AB1040" t="s">
        <v>44</v>
      </c>
      <c r="AC1040">
        <v>69.900000000000006</v>
      </c>
      <c r="AD1040" t="s">
        <v>38</v>
      </c>
      <c r="AE1040">
        <v>0</v>
      </c>
      <c r="AF1040">
        <v>0</v>
      </c>
    </row>
    <row r="1041" spans="3:32" x14ac:dyDescent="0.35">
      <c r="C1041" s="1">
        <v>44066</v>
      </c>
      <c r="D1041" s="2">
        <v>44044</v>
      </c>
      <c r="E1041">
        <v>1023</v>
      </c>
      <c r="F1041" s="3">
        <v>4894.2299999999996</v>
      </c>
      <c r="G1041" s="3">
        <v>2102.9299999999998</v>
      </c>
      <c r="H1041" s="3">
        <v>2791.3</v>
      </c>
      <c r="I1041" s="3">
        <v>0.43</v>
      </c>
      <c r="J1041">
        <v>0.19</v>
      </c>
      <c r="K1041">
        <v>4137.33</v>
      </c>
      <c r="L1041" t="s">
        <v>35</v>
      </c>
      <c r="M1041">
        <v>668</v>
      </c>
      <c r="N1041">
        <v>0.11</v>
      </c>
      <c r="O1041" s="3">
        <v>772.32</v>
      </c>
      <c r="P1041" s="3">
        <v>0.16</v>
      </c>
      <c r="Q1041" s="3">
        <v>252.11</v>
      </c>
      <c r="R1041" s="3">
        <v>0.05</v>
      </c>
      <c r="S1041">
        <v>7</v>
      </c>
      <c r="T1041">
        <v>1814.43</v>
      </c>
      <c r="U1041">
        <v>60</v>
      </c>
      <c r="V1041">
        <v>0</v>
      </c>
      <c r="W1041">
        <v>652.41999999999996</v>
      </c>
      <c r="X1041">
        <v>1384.22</v>
      </c>
      <c r="Y1041" t="s">
        <v>36</v>
      </c>
      <c r="Z1041" s="3">
        <v>1204.4000000000001</v>
      </c>
      <c r="AA1041" t="s">
        <v>50</v>
      </c>
      <c r="AB1041" t="s">
        <v>33</v>
      </c>
      <c r="AC1041">
        <v>47.4</v>
      </c>
      <c r="AD1041" t="s">
        <v>34</v>
      </c>
      <c r="AE1041">
        <v>2791.3</v>
      </c>
      <c r="AF1041">
        <v>0</v>
      </c>
    </row>
    <row r="1042" spans="3:32" x14ac:dyDescent="0.35">
      <c r="C1042" s="1">
        <v>44066</v>
      </c>
      <c r="D1042" s="2">
        <v>44044</v>
      </c>
      <c r="E1042">
        <v>1075</v>
      </c>
      <c r="F1042" s="3">
        <v>4761.6099999999997</v>
      </c>
      <c r="G1042" s="3">
        <v>3243.26</v>
      </c>
      <c r="H1042" s="3">
        <v>1518.35</v>
      </c>
      <c r="I1042" s="3">
        <v>0.68</v>
      </c>
      <c r="J1042">
        <v>0.13</v>
      </c>
      <c r="K1042">
        <v>3195.2</v>
      </c>
      <c r="L1042" t="s">
        <v>35</v>
      </c>
      <c r="M1042">
        <v>708</v>
      </c>
      <c r="N1042">
        <v>0.16</v>
      </c>
      <c r="O1042" s="3">
        <v>558.53</v>
      </c>
      <c r="P1042" s="3">
        <v>0.12</v>
      </c>
      <c r="Q1042" s="3">
        <v>216.96</v>
      </c>
      <c r="R1042" s="3">
        <v>0.05</v>
      </c>
      <c r="S1042">
        <v>8</v>
      </c>
      <c r="T1042">
        <v>1419.61</v>
      </c>
      <c r="U1042">
        <v>68</v>
      </c>
      <c r="V1042">
        <v>0</v>
      </c>
      <c r="W1042">
        <v>298.76</v>
      </c>
      <c r="X1042">
        <v>3444.71</v>
      </c>
      <c r="Y1042" t="s">
        <v>36</v>
      </c>
      <c r="Z1042" s="3">
        <v>745.5</v>
      </c>
      <c r="AA1042" t="s">
        <v>48</v>
      </c>
      <c r="AB1042" t="s">
        <v>44</v>
      </c>
      <c r="AC1042">
        <v>76.8</v>
      </c>
      <c r="AD1042" t="s">
        <v>34</v>
      </c>
      <c r="AE1042">
        <v>1518.35</v>
      </c>
      <c r="AF1042">
        <v>0</v>
      </c>
    </row>
    <row r="1043" spans="3:32" x14ac:dyDescent="0.35">
      <c r="C1043" s="1">
        <v>44066</v>
      </c>
      <c r="D1043" s="2">
        <v>44044</v>
      </c>
      <c r="E1043">
        <v>1660</v>
      </c>
      <c r="F1043" s="3">
        <v>5423.3</v>
      </c>
      <c r="G1043" s="3">
        <v>1573.17</v>
      </c>
      <c r="H1043" s="3">
        <v>3850.13</v>
      </c>
      <c r="I1043" s="3">
        <v>0.28999999999999998</v>
      </c>
      <c r="J1043">
        <v>0.25</v>
      </c>
      <c r="K1043">
        <v>2987.38</v>
      </c>
      <c r="L1043" t="s">
        <v>39</v>
      </c>
      <c r="M1043">
        <v>616</v>
      </c>
      <c r="N1043">
        <v>0.32</v>
      </c>
      <c r="O1043" s="3">
        <v>812.67</v>
      </c>
      <c r="P1043" s="3">
        <v>0.15</v>
      </c>
      <c r="Q1043" s="3">
        <v>378.59</v>
      </c>
      <c r="R1043" s="3">
        <v>7.0000000000000007E-2</v>
      </c>
      <c r="S1043">
        <v>7</v>
      </c>
      <c r="T1043">
        <v>1348.09</v>
      </c>
      <c r="U1043">
        <v>77</v>
      </c>
      <c r="V1043">
        <v>1</v>
      </c>
      <c r="W1043">
        <v>466.81</v>
      </c>
      <c r="X1043">
        <v>2284.4899999999998</v>
      </c>
      <c r="Y1043" t="s">
        <v>31</v>
      </c>
      <c r="Z1043" s="3">
        <v>1245.95</v>
      </c>
      <c r="AA1043" t="s">
        <v>50</v>
      </c>
      <c r="AB1043" t="s">
        <v>44</v>
      </c>
      <c r="AC1043">
        <v>9.6</v>
      </c>
      <c r="AD1043" t="s">
        <v>43</v>
      </c>
      <c r="AE1043">
        <v>3850.13</v>
      </c>
      <c r="AF1043">
        <v>1</v>
      </c>
    </row>
    <row r="1044" spans="3:32" x14ac:dyDescent="0.35">
      <c r="C1044" s="1">
        <v>44066</v>
      </c>
      <c r="D1044" s="2">
        <v>44044</v>
      </c>
      <c r="E1044">
        <v>1773</v>
      </c>
      <c r="F1044" s="3">
        <v>4223.0600000000004</v>
      </c>
      <c r="G1044" s="3">
        <v>1983.91</v>
      </c>
      <c r="H1044" s="3">
        <v>2239.15</v>
      </c>
      <c r="I1044" s="3">
        <v>0.47</v>
      </c>
      <c r="J1044">
        <v>0.12</v>
      </c>
      <c r="K1044">
        <v>2605.9899999999998</v>
      </c>
      <c r="L1044" t="s">
        <v>39</v>
      </c>
      <c r="M1044">
        <v>701</v>
      </c>
      <c r="N1044">
        <v>0.2</v>
      </c>
      <c r="O1044" s="3">
        <v>255.99</v>
      </c>
      <c r="P1044" s="3">
        <v>0.06</v>
      </c>
      <c r="Q1044" s="3">
        <v>441.63</v>
      </c>
      <c r="R1044" s="3">
        <v>0.1</v>
      </c>
      <c r="S1044">
        <v>6</v>
      </c>
      <c r="T1044">
        <v>1255.52</v>
      </c>
      <c r="U1044">
        <v>91</v>
      </c>
      <c r="V1044">
        <v>0</v>
      </c>
      <c r="W1044">
        <v>676.71</v>
      </c>
      <c r="X1044">
        <v>2196.88</v>
      </c>
      <c r="Y1044" t="s">
        <v>49</v>
      </c>
      <c r="Z1044" s="3">
        <v>2409.17</v>
      </c>
      <c r="AA1044" t="s">
        <v>45</v>
      </c>
      <c r="AB1044" t="s">
        <v>44</v>
      </c>
      <c r="AC1044">
        <v>89.2</v>
      </c>
      <c r="AD1044" t="s">
        <v>34</v>
      </c>
      <c r="AE1044">
        <v>2239.15</v>
      </c>
      <c r="AF1044">
        <v>0</v>
      </c>
    </row>
    <row r="1045" spans="3:32" x14ac:dyDescent="0.35">
      <c r="C1045" s="1">
        <v>44066</v>
      </c>
      <c r="D1045" s="2">
        <v>44044</v>
      </c>
      <c r="E1045">
        <v>1695</v>
      </c>
      <c r="F1045" s="3">
        <v>3533.21</v>
      </c>
      <c r="G1045" s="3">
        <v>2639.74</v>
      </c>
      <c r="H1045" s="3">
        <v>893.47</v>
      </c>
      <c r="I1045" s="3">
        <v>0.75</v>
      </c>
      <c r="J1045">
        <v>0.26</v>
      </c>
      <c r="K1045">
        <v>3156.5</v>
      </c>
      <c r="L1045" t="s">
        <v>39</v>
      </c>
      <c r="M1045">
        <v>731</v>
      </c>
      <c r="N1045">
        <v>0.53</v>
      </c>
      <c r="O1045" s="3">
        <v>387.66</v>
      </c>
      <c r="P1045" s="3">
        <v>0.11</v>
      </c>
      <c r="Q1045" s="3">
        <v>519.38</v>
      </c>
      <c r="R1045" s="3">
        <v>0.15</v>
      </c>
      <c r="S1045">
        <v>5</v>
      </c>
      <c r="T1045">
        <v>1731.88</v>
      </c>
      <c r="U1045">
        <v>62</v>
      </c>
      <c r="V1045">
        <v>0</v>
      </c>
      <c r="W1045">
        <v>486.83</v>
      </c>
      <c r="X1045">
        <v>2470.12</v>
      </c>
      <c r="Y1045" t="s">
        <v>36</v>
      </c>
      <c r="Z1045" s="3">
        <v>2129.3200000000002</v>
      </c>
      <c r="AA1045" t="s">
        <v>46</v>
      </c>
      <c r="AB1045" t="s">
        <v>33</v>
      </c>
      <c r="AC1045">
        <v>86.3</v>
      </c>
      <c r="AD1045" t="s">
        <v>34</v>
      </c>
      <c r="AE1045">
        <v>893.47</v>
      </c>
      <c r="AF1045">
        <v>0</v>
      </c>
    </row>
    <row r="1046" spans="3:32" x14ac:dyDescent="0.35">
      <c r="C1046" s="1">
        <v>44066</v>
      </c>
      <c r="D1046" s="2">
        <v>44044</v>
      </c>
      <c r="E1046">
        <v>1897</v>
      </c>
      <c r="F1046" s="3">
        <v>2583.09</v>
      </c>
      <c r="G1046" s="3">
        <v>2897.54</v>
      </c>
      <c r="H1046" s="3">
        <v>-314.45</v>
      </c>
      <c r="I1046" s="3">
        <v>1.1200000000000001</v>
      </c>
      <c r="J1046">
        <v>0.38</v>
      </c>
      <c r="K1046">
        <v>3668.7</v>
      </c>
      <c r="L1046" t="s">
        <v>39</v>
      </c>
      <c r="M1046">
        <v>687</v>
      </c>
      <c r="N1046">
        <v>0.55000000000000004</v>
      </c>
      <c r="O1046" s="3">
        <v>300.89999999999998</v>
      </c>
      <c r="P1046" s="3">
        <v>0.12</v>
      </c>
      <c r="Q1046" s="3">
        <v>368.93</v>
      </c>
      <c r="R1046" s="3">
        <v>0.14000000000000001</v>
      </c>
      <c r="S1046">
        <v>9</v>
      </c>
      <c r="T1046">
        <v>1476.93</v>
      </c>
      <c r="U1046">
        <v>62</v>
      </c>
      <c r="V1046">
        <v>0</v>
      </c>
      <c r="W1046">
        <v>268.33</v>
      </c>
      <c r="X1046">
        <v>1299.22</v>
      </c>
      <c r="Y1046" t="s">
        <v>49</v>
      </c>
      <c r="Z1046" s="3">
        <v>1594.95</v>
      </c>
      <c r="AA1046" t="s">
        <v>46</v>
      </c>
      <c r="AB1046" t="s">
        <v>44</v>
      </c>
      <c r="AC1046">
        <v>31</v>
      </c>
      <c r="AD1046" t="s">
        <v>43</v>
      </c>
      <c r="AE1046">
        <v>0</v>
      </c>
      <c r="AF1046">
        <v>0</v>
      </c>
    </row>
    <row r="1047" spans="3:32" x14ac:dyDescent="0.35">
      <c r="C1047" s="1">
        <v>44066</v>
      </c>
      <c r="D1047" s="2">
        <v>44044</v>
      </c>
      <c r="E1047">
        <v>1408</v>
      </c>
      <c r="F1047" s="3">
        <v>3402.84</v>
      </c>
      <c r="G1047" s="3">
        <v>3095.39</v>
      </c>
      <c r="H1047" s="3">
        <v>307.45</v>
      </c>
      <c r="I1047" s="3">
        <v>0.91</v>
      </c>
      <c r="J1047">
        <v>0.06</v>
      </c>
      <c r="K1047">
        <v>3036.05</v>
      </c>
      <c r="L1047" t="s">
        <v>35</v>
      </c>
      <c r="M1047">
        <v>689</v>
      </c>
      <c r="N1047">
        <v>0.46</v>
      </c>
      <c r="O1047" s="3">
        <v>461.02</v>
      </c>
      <c r="P1047" s="3">
        <v>0.14000000000000001</v>
      </c>
      <c r="Q1047" s="3">
        <v>667.32</v>
      </c>
      <c r="R1047" s="3">
        <v>0.2</v>
      </c>
      <c r="S1047">
        <v>3</v>
      </c>
      <c r="T1047">
        <v>1516.96</v>
      </c>
      <c r="U1047">
        <v>39</v>
      </c>
      <c r="V1047">
        <v>0</v>
      </c>
      <c r="W1047">
        <v>420.19</v>
      </c>
      <c r="X1047">
        <v>1302.9100000000001</v>
      </c>
      <c r="Y1047" t="s">
        <v>49</v>
      </c>
      <c r="Z1047" s="3">
        <v>785.19</v>
      </c>
      <c r="AA1047" t="s">
        <v>45</v>
      </c>
      <c r="AB1047" t="s">
        <v>33</v>
      </c>
      <c r="AC1047">
        <v>65.3</v>
      </c>
      <c r="AD1047" t="s">
        <v>34</v>
      </c>
      <c r="AE1047">
        <v>307.45</v>
      </c>
      <c r="AF1047">
        <v>0</v>
      </c>
    </row>
    <row r="1048" spans="3:32" x14ac:dyDescent="0.35">
      <c r="C1048" s="1">
        <v>44066</v>
      </c>
      <c r="D1048" s="2">
        <v>44044</v>
      </c>
      <c r="E1048">
        <v>1937</v>
      </c>
      <c r="F1048" s="3">
        <v>5658.78</v>
      </c>
      <c r="G1048" s="3">
        <v>1950.82</v>
      </c>
      <c r="H1048" s="3">
        <v>3707.96</v>
      </c>
      <c r="I1048" s="3">
        <v>0.34</v>
      </c>
      <c r="J1048">
        <v>0.21</v>
      </c>
      <c r="K1048">
        <v>2505.21</v>
      </c>
      <c r="L1048" t="s">
        <v>35</v>
      </c>
      <c r="M1048">
        <v>753</v>
      </c>
      <c r="N1048">
        <v>0.11</v>
      </c>
      <c r="O1048" s="3">
        <v>692.79</v>
      </c>
      <c r="P1048" s="3">
        <v>0.12</v>
      </c>
      <c r="Q1048" s="3">
        <v>602.16</v>
      </c>
      <c r="R1048" s="3">
        <v>0.11</v>
      </c>
      <c r="S1048">
        <v>8</v>
      </c>
      <c r="T1048">
        <v>1480.39</v>
      </c>
      <c r="U1048">
        <v>46</v>
      </c>
      <c r="V1048">
        <v>0</v>
      </c>
      <c r="W1048">
        <v>94.59</v>
      </c>
      <c r="X1048">
        <v>1825.62</v>
      </c>
      <c r="Y1048" t="s">
        <v>36</v>
      </c>
      <c r="Z1048" s="3">
        <v>757.66</v>
      </c>
      <c r="AA1048" t="s">
        <v>40</v>
      </c>
      <c r="AB1048" t="s">
        <v>33</v>
      </c>
      <c r="AC1048">
        <v>45.5</v>
      </c>
      <c r="AD1048" t="s">
        <v>38</v>
      </c>
      <c r="AE1048">
        <v>3707.96</v>
      </c>
      <c r="AF1048">
        <v>1</v>
      </c>
    </row>
    <row r="1049" spans="3:32" x14ac:dyDescent="0.35">
      <c r="C1049" s="1">
        <v>44066</v>
      </c>
      <c r="D1049" s="2">
        <v>44044</v>
      </c>
      <c r="E1049">
        <v>1825</v>
      </c>
      <c r="F1049" s="3">
        <v>3677.49</v>
      </c>
      <c r="G1049" s="3">
        <v>2050.0500000000002</v>
      </c>
      <c r="H1049" s="3">
        <v>1627.44</v>
      </c>
      <c r="I1049" s="3">
        <v>0.56000000000000005</v>
      </c>
      <c r="J1049">
        <v>0.19</v>
      </c>
      <c r="K1049">
        <v>2571.56</v>
      </c>
      <c r="L1049" t="s">
        <v>39</v>
      </c>
      <c r="M1049">
        <v>745</v>
      </c>
      <c r="N1049">
        <v>0.45</v>
      </c>
      <c r="O1049" s="3">
        <v>494.19</v>
      </c>
      <c r="P1049" s="3">
        <v>0.13</v>
      </c>
      <c r="Q1049" s="3">
        <v>476.24</v>
      </c>
      <c r="R1049" s="3">
        <v>0.13</v>
      </c>
      <c r="S1049">
        <v>6</v>
      </c>
      <c r="T1049">
        <v>871.03</v>
      </c>
      <c r="U1049">
        <v>70</v>
      </c>
      <c r="V1049">
        <v>0</v>
      </c>
      <c r="W1049">
        <v>357.31</v>
      </c>
      <c r="X1049">
        <v>3564.66</v>
      </c>
      <c r="Y1049" t="s">
        <v>31</v>
      </c>
      <c r="Z1049" s="3">
        <v>1174.83</v>
      </c>
      <c r="AA1049" t="s">
        <v>47</v>
      </c>
      <c r="AB1049" t="s">
        <v>42</v>
      </c>
      <c r="AC1049">
        <v>85.9</v>
      </c>
      <c r="AD1049" t="s">
        <v>43</v>
      </c>
      <c r="AE1049">
        <v>1627.44</v>
      </c>
      <c r="AF1049">
        <v>0</v>
      </c>
    </row>
    <row r="1050" spans="3:32" x14ac:dyDescent="0.35">
      <c r="C1050" s="1">
        <v>44066</v>
      </c>
      <c r="D1050" s="2">
        <v>44044</v>
      </c>
      <c r="E1050">
        <v>1177</v>
      </c>
      <c r="F1050" s="3">
        <v>2288.9299999999998</v>
      </c>
      <c r="G1050" s="3">
        <v>3113.9</v>
      </c>
      <c r="H1050" s="3">
        <v>-824.97</v>
      </c>
      <c r="I1050" s="3">
        <v>1.36</v>
      </c>
      <c r="J1050">
        <v>0.14000000000000001</v>
      </c>
      <c r="K1050">
        <v>3378.39</v>
      </c>
      <c r="L1050" t="s">
        <v>35</v>
      </c>
      <c r="M1050">
        <v>650</v>
      </c>
      <c r="N1050">
        <v>0.32</v>
      </c>
      <c r="O1050" s="3">
        <v>412.71</v>
      </c>
      <c r="P1050" s="3">
        <v>0.18</v>
      </c>
      <c r="Q1050" s="3">
        <v>629.77</v>
      </c>
      <c r="R1050" s="3">
        <v>0.28000000000000003</v>
      </c>
      <c r="S1050">
        <v>5</v>
      </c>
      <c r="T1050">
        <v>961.66</v>
      </c>
      <c r="U1050">
        <v>54</v>
      </c>
      <c r="V1050">
        <v>0</v>
      </c>
      <c r="W1050">
        <v>518.1</v>
      </c>
      <c r="X1050">
        <v>1930.25</v>
      </c>
      <c r="Y1050" t="s">
        <v>36</v>
      </c>
      <c r="Z1050" s="3">
        <v>2041.58</v>
      </c>
      <c r="AA1050" t="s">
        <v>45</v>
      </c>
      <c r="AB1050" t="s">
        <v>33</v>
      </c>
      <c r="AC1050">
        <v>94.3</v>
      </c>
      <c r="AD1050" t="s">
        <v>34</v>
      </c>
      <c r="AE1050">
        <v>0</v>
      </c>
      <c r="AF1050">
        <v>0</v>
      </c>
    </row>
    <row r="1051" spans="3:32" x14ac:dyDescent="0.35">
      <c r="C1051" s="1">
        <v>44066</v>
      </c>
      <c r="D1051" s="2">
        <v>44044</v>
      </c>
      <c r="E1051">
        <v>1532</v>
      </c>
      <c r="F1051" s="3">
        <v>3330.29</v>
      </c>
      <c r="G1051" s="3">
        <v>3129.31</v>
      </c>
      <c r="H1051" s="3">
        <v>200.98</v>
      </c>
      <c r="I1051" s="3">
        <v>0.94</v>
      </c>
      <c r="J1051">
        <v>0.4</v>
      </c>
      <c r="K1051">
        <v>3624.04</v>
      </c>
      <c r="L1051" t="s">
        <v>35</v>
      </c>
      <c r="M1051">
        <v>685</v>
      </c>
      <c r="N1051">
        <v>0.53</v>
      </c>
      <c r="O1051" s="3">
        <v>511.23</v>
      </c>
      <c r="P1051" s="3">
        <v>0.15</v>
      </c>
      <c r="Q1051" s="3">
        <v>171.1</v>
      </c>
      <c r="R1051" s="3">
        <v>0.05</v>
      </c>
      <c r="S1051">
        <v>3</v>
      </c>
      <c r="T1051">
        <v>1175.0999999999999</v>
      </c>
      <c r="U1051">
        <v>44</v>
      </c>
      <c r="V1051">
        <v>0</v>
      </c>
      <c r="W1051">
        <v>568.51</v>
      </c>
      <c r="X1051">
        <v>2385.59</v>
      </c>
      <c r="Y1051" t="s">
        <v>31</v>
      </c>
      <c r="Z1051" s="3">
        <v>1692.47</v>
      </c>
      <c r="AA1051" t="s">
        <v>40</v>
      </c>
      <c r="AB1051" t="s">
        <v>33</v>
      </c>
      <c r="AC1051">
        <v>28.8</v>
      </c>
      <c r="AD1051" t="s">
        <v>43</v>
      </c>
      <c r="AE1051">
        <v>200.98</v>
      </c>
      <c r="AF1051">
        <v>0</v>
      </c>
    </row>
    <row r="1052" spans="3:32" x14ac:dyDescent="0.35">
      <c r="C1052" s="1">
        <v>44096</v>
      </c>
      <c r="D1052" s="2">
        <v>44075</v>
      </c>
      <c r="E1052">
        <v>1918</v>
      </c>
      <c r="F1052" s="3">
        <v>3972.53</v>
      </c>
      <c r="G1052" s="3">
        <v>2793.73</v>
      </c>
      <c r="H1052" s="3">
        <v>1178.8</v>
      </c>
      <c r="I1052" s="3">
        <v>0.7</v>
      </c>
      <c r="J1052">
        <v>0.22</v>
      </c>
      <c r="K1052">
        <v>2700.51</v>
      </c>
      <c r="L1052" t="s">
        <v>35</v>
      </c>
      <c r="M1052">
        <v>759</v>
      </c>
      <c r="N1052">
        <v>0.44</v>
      </c>
      <c r="O1052" s="3">
        <v>469.72</v>
      </c>
      <c r="P1052" s="3">
        <v>0.12</v>
      </c>
      <c r="Q1052" s="3">
        <v>955.5</v>
      </c>
      <c r="R1052" s="3">
        <v>0.24</v>
      </c>
      <c r="S1052">
        <v>7</v>
      </c>
      <c r="T1052">
        <v>1359.6</v>
      </c>
      <c r="U1052">
        <v>82</v>
      </c>
      <c r="V1052">
        <v>0</v>
      </c>
      <c r="W1052">
        <v>563.79999999999995</v>
      </c>
      <c r="X1052">
        <v>2305.04</v>
      </c>
      <c r="Y1052" t="s">
        <v>49</v>
      </c>
      <c r="Z1052" s="3">
        <v>1187.25</v>
      </c>
      <c r="AA1052" t="s">
        <v>37</v>
      </c>
      <c r="AB1052" t="s">
        <v>42</v>
      </c>
      <c r="AC1052">
        <v>79.7</v>
      </c>
      <c r="AD1052" t="s">
        <v>34</v>
      </c>
      <c r="AE1052">
        <v>1178.8</v>
      </c>
      <c r="AF1052">
        <v>0</v>
      </c>
    </row>
    <row r="1053" spans="3:32" x14ac:dyDescent="0.35">
      <c r="C1053" s="1">
        <v>44096</v>
      </c>
      <c r="D1053" s="2">
        <v>44075</v>
      </c>
      <c r="E1053">
        <v>1230</v>
      </c>
      <c r="F1053" s="3">
        <v>2249</v>
      </c>
      <c r="G1053" s="3">
        <v>4408.99</v>
      </c>
      <c r="H1053" s="3">
        <v>-2159.9899999999998</v>
      </c>
      <c r="I1053" s="3">
        <v>1.96</v>
      </c>
      <c r="J1053">
        <v>0.1</v>
      </c>
      <c r="K1053">
        <v>3479.97</v>
      </c>
      <c r="L1053" t="s">
        <v>30</v>
      </c>
      <c r="M1053">
        <v>681</v>
      </c>
      <c r="N1053">
        <v>0.35</v>
      </c>
      <c r="O1053" s="3">
        <v>832.77</v>
      </c>
      <c r="P1053" s="3">
        <v>0.37</v>
      </c>
      <c r="Q1053" s="3">
        <v>312.27999999999997</v>
      </c>
      <c r="R1053" s="3">
        <v>0.14000000000000001</v>
      </c>
      <c r="S1053">
        <v>4</v>
      </c>
      <c r="T1053">
        <v>1475.67</v>
      </c>
      <c r="U1053">
        <v>73</v>
      </c>
      <c r="V1053">
        <v>0</v>
      </c>
      <c r="W1053">
        <v>226.64</v>
      </c>
      <c r="X1053">
        <v>1547.2</v>
      </c>
      <c r="Y1053" t="s">
        <v>36</v>
      </c>
      <c r="Z1053" s="3">
        <v>1380.6</v>
      </c>
      <c r="AA1053" t="s">
        <v>32</v>
      </c>
      <c r="AB1053" t="s">
        <v>33</v>
      </c>
      <c r="AC1053">
        <v>9.6</v>
      </c>
      <c r="AD1053" t="s">
        <v>34</v>
      </c>
      <c r="AE1053">
        <v>0</v>
      </c>
      <c r="AF1053">
        <v>0</v>
      </c>
    </row>
    <row r="1054" spans="3:32" x14ac:dyDescent="0.35">
      <c r="C1054" s="1">
        <v>44096</v>
      </c>
      <c r="D1054" s="2">
        <v>44075</v>
      </c>
      <c r="E1054">
        <v>1947</v>
      </c>
      <c r="F1054" s="3">
        <v>2249.6999999999998</v>
      </c>
      <c r="G1054" s="3">
        <v>3320.08</v>
      </c>
      <c r="H1054" s="3">
        <v>-1070.3800000000001</v>
      </c>
      <c r="I1054" s="3">
        <v>1.48</v>
      </c>
      <c r="J1054">
        <v>0.36</v>
      </c>
      <c r="K1054">
        <v>2595.9</v>
      </c>
      <c r="L1054" t="s">
        <v>39</v>
      </c>
      <c r="M1054">
        <v>644</v>
      </c>
      <c r="N1054">
        <v>0.45</v>
      </c>
      <c r="O1054" s="3">
        <v>563.4</v>
      </c>
      <c r="P1054" s="3">
        <v>0.25</v>
      </c>
      <c r="Q1054" s="3">
        <v>393.77</v>
      </c>
      <c r="R1054" s="3">
        <v>0.18</v>
      </c>
      <c r="S1054">
        <v>4</v>
      </c>
      <c r="T1054">
        <v>1159.9100000000001</v>
      </c>
      <c r="U1054">
        <v>79</v>
      </c>
      <c r="V1054">
        <v>0</v>
      </c>
      <c r="W1054">
        <v>740.21</v>
      </c>
      <c r="X1054">
        <v>2155.4</v>
      </c>
      <c r="Y1054" t="s">
        <v>31</v>
      </c>
      <c r="Z1054" s="3">
        <v>1587.66</v>
      </c>
      <c r="AA1054" t="s">
        <v>45</v>
      </c>
      <c r="AB1054" t="s">
        <v>42</v>
      </c>
      <c r="AC1054">
        <v>28.4</v>
      </c>
      <c r="AD1054" t="s">
        <v>34</v>
      </c>
      <c r="AE1054">
        <v>0</v>
      </c>
      <c r="AF1054">
        <v>0</v>
      </c>
    </row>
    <row r="1055" spans="3:32" x14ac:dyDescent="0.35">
      <c r="C1055" s="1">
        <v>44096</v>
      </c>
      <c r="D1055" s="2">
        <v>44075</v>
      </c>
      <c r="E1055">
        <v>1770</v>
      </c>
      <c r="F1055" s="3">
        <v>4960.6000000000004</v>
      </c>
      <c r="G1055" s="3">
        <v>3365.61</v>
      </c>
      <c r="H1055" s="3">
        <v>1594.99</v>
      </c>
      <c r="I1055" s="3">
        <v>0.68</v>
      </c>
      <c r="J1055">
        <v>0.3</v>
      </c>
      <c r="K1055">
        <v>3305.15</v>
      </c>
      <c r="L1055" t="s">
        <v>35</v>
      </c>
      <c r="M1055">
        <v>702</v>
      </c>
      <c r="N1055">
        <v>0.1</v>
      </c>
      <c r="O1055" s="3">
        <v>648.79</v>
      </c>
      <c r="P1055" s="3">
        <v>0.13</v>
      </c>
      <c r="Q1055" s="3">
        <v>1084.24</v>
      </c>
      <c r="R1055" s="3">
        <v>0.22</v>
      </c>
      <c r="S1055">
        <v>9</v>
      </c>
      <c r="T1055">
        <v>975.05</v>
      </c>
      <c r="U1055">
        <v>25</v>
      </c>
      <c r="V1055">
        <v>0</v>
      </c>
      <c r="W1055">
        <v>629.38</v>
      </c>
      <c r="X1055">
        <v>2203.4299999999998</v>
      </c>
      <c r="Y1055" t="s">
        <v>36</v>
      </c>
      <c r="Z1055" s="3">
        <v>1697.35</v>
      </c>
      <c r="AA1055" t="s">
        <v>32</v>
      </c>
      <c r="AB1055" t="s">
        <v>42</v>
      </c>
      <c r="AC1055">
        <v>7.7</v>
      </c>
      <c r="AD1055" t="s">
        <v>34</v>
      </c>
      <c r="AE1055">
        <v>1594.99</v>
      </c>
      <c r="AF1055">
        <v>0</v>
      </c>
    </row>
    <row r="1056" spans="3:32" x14ac:dyDescent="0.35">
      <c r="C1056" s="1">
        <v>44096</v>
      </c>
      <c r="D1056" s="2">
        <v>44075</v>
      </c>
      <c r="E1056">
        <v>1031</v>
      </c>
      <c r="F1056" s="3">
        <v>2979.88</v>
      </c>
      <c r="G1056" s="3">
        <v>4356.16</v>
      </c>
      <c r="H1056" s="3">
        <v>-1376.28</v>
      </c>
      <c r="I1056" s="3">
        <v>1.46</v>
      </c>
      <c r="J1056">
        <v>7.0000000000000007E-2</v>
      </c>
      <c r="K1056">
        <v>3101.58</v>
      </c>
      <c r="L1056" t="s">
        <v>35</v>
      </c>
      <c r="M1056">
        <v>700</v>
      </c>
      <c r="N1056">
        <v>0.6</v>
      </c>
      <c r="O1056" s="3">
        <v>295.74</v>
      </c>
      <c r="P1056" s="3">
        <v>0.1</v>
      </c>
      <c r="Q1056" s="3">
        <v>610.97</v>
      </c>
      <c r="R1056" s="3">
        <v>0.21</v>
      </c>
      <c r="S1056">
        <v>7</v>
      </c>
      <c r="T1056">
        <v>1241.42</v>
      </c>
      <c r="U1056">
        <v>78</v>
      </c>
      <c r="V1056">
        <v>0</v>
      </c>
      <c r="W1056">
        <v>509.17</v>
      </c>
      <c r="X1056">
        <v>1723.53</v>
      </c>
      <c r="Y1056" t="s">
        <v>31</v>
      </c>
      <c r="Z1056" s="3">
        <v>1132.24</v>
      </c>
      <c r="AA1056" t="s">
        <v>41</v>
      </c>
      <c r="AB1056" t="s">
        <v>44</v>
      </c>
      <c r="AC1056">
        <v>73.5</v>
      </c>
      <c r="AD1056" t="s">
        <v>38</v>
      </c>
      <c r="AE1056">
        <v>0</v>
      </c>
      <c r="AF1056">
        <v>0</v>
      </c>
    </row>
    <row r="1057" spans="3:32" x14ac:dyDescent="0.35">
      <c r="C1057" s="1">
        <v>44096</v>
      </c>
      <c r="D1057" s="2">
        <v>44075</v>
      </c>
      <c r="E1057">
        <v>1251</v>
      </c>
      <c r="F1057" s="3">
        <v>3451.67</v>
      </c>
      <c r="G1057" s="3">
        <v>2081.86</v>
      </c>
      <c r="H1057" s="3">
        <v>1369.81</v>
      </c>
      <c r="I1057" s="3">
        <v>0.6</v>
      </c>
      <c r="J1057">
        <v>0.34</v>
      </c>
      <c r="K1057">
        <v>2485.6</v>
      </c>
      <c r="L1057" t="s">
        <v>39</v>
      </c>
      <c r="M1057">
        <v>681</v>
      </c>
      <c r="N1057">
        <v>0.22</v>
      </c>
      <c r="O1057" s="3">
        <v>621.69000000000005</v>
      </c>
      <c r="P1057" s="3">
        <v>0.18</v>
      </c>
      <c r="Q1057" s="3">
        <v>144.44</v>
      </c>
      <c r="R1057" s="3">
        <v>0.04</v>
      </c>
      <c r="S1057">
        <v>7</v>
      </c>
      <c r="T1057">
        <v>1385.46</v>
      </c>
      <c r="U1057">
        <v>24</v>
      </c>
      <c r="V1057">
        <v>0</v>
      </c>
      <c r="W1057">
        <v>128.07</v>
      </c>
      <c r="X1057">
        <v>2657.69</v>
      </c>
      <c r="Y1057" t="s">
        <v>36</v>
      </c>
      <c r="Z1057" s="3">
        <v>1715</v>
      </c>
      <c r="AA1057" t="s">
        <v>51</v>
      </c>
      <c r="AB1057" t="s">
        <v>42</v>
      </c>
      <c r="AC1057">
        <v>12.6</v>
      </c>
      <c r="AD1057" t="s">
        <v>38</v>
      </c>
      <c r="AE1057">
        <v>1369.81</v>
      </c>
      <c r="AF1057">
        <v>0</v>
      </c>
    </row>
    <row r="1058" spans="3:32" x14ac:dyDescent="0.35">
      <c r="C1058" s="1">
        <v>44096</v>
      </c>
      <c r="D1058" s="2">
        <v>44075</v>
      </c>
      <c r="E1058">
        <v>1211</v>
      </c>
      <c r="F1058" s="3">
        <v>4312.17</v>
      </c>
      <c r="G1058" s="3">
        <v>2800.36</v>
      </c>
      <c r="H1058" s="3">
        <v>1511.81</v>
      </c>
      <c r="I1058" s="3">
        <v>0.65</v>
      </c>
      <c r="J1058">
        <v>0.35</v>
      </c>
      <c r="K1058">
        <v>2351.69</v>
      </c>
      <c r="L1058" t="s">
        <v>39</v>
      </c>
      <c r="M1058">
        <v>702</v>
      </c>
      <c r="N1058">
        <v>0.28999999999999998</v>
      </c>
      <c r="O1058" s="3">
        <v>517.61</v>
      </c>
      <c r="P1058" s="3">
        <v>0.12</v>
      </c>
      <c r="Q1058" s="3">
        <v>762.36</v>
      </c>
      <c r="R1058" s="3">
        <v>0.18</v>
      </c>
      <c r="S1058">
        <v>6</v>
      </c>
      <c r="T1058">
        <v>857.43</v>
      </c>
      <c r="U1058">
        <v>22</v>
      </c>
      <c r="V1058">
        <v>0</v>
      </c>
      <c r="W1058">
        <v>297.27999999999997</v>
      </c>
      <c r="X1058">
        <v>2388.46</v>
      </c>
      <c r="Y1058" t="s">
        <v>36</v>
      </c>
      <c r="Z1058" s="3">
        <v>1466.19</v>
      </c>
      <c r="AA1058" t="s">
        <v>51</v>
      </c>
      <c r="AB1058" t="s">
        <v>33</v>
      </c>
      <c r="AC1058">
        <v>8.5</v>
      </c>
      <c r="AD1058" t="s">
        <v>34</v>
      </c>
      <c r="AE1058">
        <v>1511.81</v>
      </c>
      <c r="AF1058">
        <v>0</v>
      </c>
    </row>
    <row r="1059" spans="3:32" x14ac:dyDescent="0.35">
      <c r="C1059" s="1">
        <v>44096</v>
      </c>
      <c r="D1059" s="2">
        <v>44075</v>
      </c>
      <c r="E1059">
        <v>1938</v>
      </c>
      <c r="F1059" s="3">
        <v>4161.1000000000004</v>
      </c>
      <c r="G1059" s="3">
        <v>4723.76</v>
      </c>
      <c r="H1059" s="3">
        <v>-562.66</v>
      </c>
      <c r="I1059" s="3">
        <v>1.1399999999999999</v>
      </c>
      <c r="J1059">
        <v>0.24</v>
      </c>
      <c r="K1059">
        <v>2600.89</v>
      </c>
      <c r="L1059" t="s">
        <v>35</v>
      </c>
      <c r="M1059">
        <v>712</v>
      </c>
      <c r="N1059">
        <v>0.21</v>
      </c>
      <c r="O1059" s="3">
        <v>323.51</v>
      </c>
      <c r="P1059" s="3">
        <v>0.08</v>
      </c>
      <c r="Q1059" s="3">
        <v>173.44</v>
      </c>
      <c r="R1059" s="3">
        <v>0.04</v>
      </c>
      <c r="S1059">
        <v>8</v>
      </c>
      <c r="T1059">
        <v>1406.45</v>
      </c>
      <c r="U1059">
        <v>39</v>
      </c>
      <c r="V1059">
        <v>0</v>
      </c>
      <c r="W1059">
        <v>604.79999999999995</v>
      </c>
      <c r="X1059">
        <v>2541.1</v>
      </c>
      <c r="Y1059" t="s">
        <v>31</v>
      </c>
      <c r="Z1059" s="3">
        <v>1146.5999999999999</v>
      </c>
      <c r="AA1059" t="s">
        <v>46</v>
      </c>
      <c r="AB1059" t="s">
        <v>33</v>
      </c>
      <c r="AC1059">
        <v>4.5999999999999996</v>
      </c>
      <c r="AD1059" t="s">
        <v>43</v>
      </c>
      <c r="AE1059">
        <v>0</v>
      </c>
      <c r="AF1059">
        <v>0</v>
      </c>
    </row>
    <row r="1060" spans="3:32" x14ac:dyDescent="0.35">
      <c r="C1060" s="1">
        <v>44096</v>
      </c>
      <c r="D1060" s="2">
        <v>44075</v>
      </c>
      <c r="E1060">
        <v>1097</v>
      </c>
      <c r="F1060" s="3">
        <v>4330.46</v>
      </c>
      <c r="G1060" s="3">
        <v>2068.7800000000002</v>
      </c>
      <c r="H1060" s="3">
        <v>2261.6799999999998</v>
      </c>
      <c r="I1060" s="3">
        <v>0.48</v>
      </c>
      <c r="J1060">
        <v>0.11</v>
      </c>
      <c r="K1060">
        <v>2362.0500000000002</v>
      </c>
      <c r="L1060" t="s">
        <v>35</v>
      </c>
      <c r="M1060">
        <v>711</v>
      </c>
      <c r="N1060">
        <v>0.26</v>
      </c>
      <c r="O1060" s="3">
        <v>828.14</v>
      </c>
      <c r="P1060" s="3">
        <v>0.19</v>
      </c>
      <c r="Q1060" s="3">
        <v>563.4</v>
      </c>
      <c r="R1060" s="3">
        <v>0.13</v>
      </c>
      <c r="S1060">
        <v>7</v>
      </c>
      <c r="T1060">
        <v>70.64</v>
      </c>
      <c r="U1060">
        <v>72</v>
      </c>
      <c r="V1060">
        <v>0</v>
      </c>
      <c r="W1060">
        <v>240.21</v>
      </c>
      <c r="X1060">
        <v>1981.49</v>
      </c>
      <c r="Y1060" t="s">
        <v>36</v>
      </c>
      <c r="Z1060" s="3">
        <v>1622.41</v>
      </c>
      <c r="AA1060" t="s">
        <v>37</v>
      </c>
      <c r="AB1060" t="s">
        <v>33</v>
      </c>
      <c r="AC1060">
        <v>95.5</v>
      </c>
      <c r="AD1060" t="s">
        <v>34</v>
      </c>
      <c r="AE1060">
        <v>2261.6799999999998</v>
      </c>
      <c r="AF1060">
        <v>0</v>
      </c>
    </row>
    <row r="1061" spans="3:32" x14ac:dyDescent="0.35">
      <c r="C1061" s="1">
        <v>44096</v>
      </c>
      <c r="D1061" s="2">
        <v>44075</v>
      </c>
      <c r="E1061">
        <v>1042</v>
      </c>
      <c r="F1061" s="3">
        <v>4711.43</v>
      </c>
      <c r="G1061" s="3">
        <v>3476.18</v>
      </c>
      <c r="H1061" s="3">
        <v>1235.25</v>
      </c>
      <c r="I1061" s="3">
        <v>0.74</v>
      </c>
      <c r="J1061">
        <v>0.28999999999999998</v>
      </c>
      <c r="K1061">
        <v>2797.13</v>
      </c>
      <c r="L1061" t="s">
        <v>35</v>
      </c>
      <c r="M1061">
        <v>685</v>
      </c>
      <c r="N1061">
        <v>0.12</v>
      </c>
      <c r="O1061" s="3">
        <v>399.6</v>
      </c>
      <c r="P1061" s="3">
        <v>0.08</v>
      </c>
      <c r="Q1061" s="3">
        <v>350.11</v>
      </c>
      <c r="R1061" s="3">
        <v>7.0000000000000007E-2</v>
      </c>
      <c r="S1061">
        <v>1</v>
      </c>
      <c r="T1061">
        <v>1290.73</v>
      </c>
      <c r="U1061">
        <v>78</v>
      </c>
      <c r="V1061">
        <v>0</v>
      </c>
      <c r="W1061">
        <v>416.58</v>
      </c>
      <c r="X1061">
        <v>3129.02</v>
      </c>
      <c r="Y1061" t="s">
        <v>36</v>
      </c>
      <c r="Z1061" s="3">
        <v>965.42</v>
      </c>
      <c r="AA1061" t="s">
        <v>32</v>
      </c>
      <c r="AB1061" t="s">
        <v>33</v>
      </c>
      <c r="AC1061">
        <v>88.8</v>
      </c>
      <c r="AD1061" t="s">
        <v>34</v>
      </c>
      <c r="AE1061">
        <v>1235.25</v>
      </c>
      <c r="AF1061">
        <v>0</v>
      </c>
    </row>
    <row r="1062" spans="3:32" x14ac:dyDescent="0.35">
      <c r="C1062" s="1">
        <v>44096</v>
      </c>
      <c r="D1062" s="2">
        <v>44075</v>
      </c>
      <c r="E1062">
        <v>1336</v>
      </c>
      <c r="F1062" s="3">
        <v>5846.22</v>
      </c>
      <c r="G1062" s="3">
        <v>3218.23</v>
      </c>
      <c r="H1062" s="3">
        <v>2627.99</v>
      </c>
      <c r="I1062" s="3">
        <v>0.55000000000000004</v>
      </c>
      <c r="J1062">
        <v>0.32</v>
      </c>
      <c r="K1062">
        <v>3044.42</v>
      </c>
      <c r="L1062" t="s">
        <v>35</v>
      </c>
      <c r="M1062">
        <v>704</v>
      </c>
      <c r="N1062">
        <v>0.43</v>
      </c>
      <c r="O1062" s="3">
        <v>683.44</v>
      </c>
      <c r="P1062" s="3">
        <v>0.12</v>
      </c>
      <c r="Q1062" s="3">
        <v>231.23</v>
      </c>
      <c r="R1062" s="3">
        <v>0.04</v>
      </c>
      <c r="S1062">
        <v>8</v>
      </c>
      <c r="T1062">
        <v>674.59</v>
      </c>
      <c r="U1062">
        <v>84</v>
      </c>
      <c r="V1062">
        <v>0</v>
      </c>
      <c r="W1062">
        <v>601.16</v>
      </c>
      <c r="X1062">
        <v>2431.02</v>
      </c>
      <c r="Y1062" t="s">
        <v>36</v>
      </c>
      <c r="Z1062" s="3">
        <v>785.27</v>
      </c>
      <c r="AA1062" t="s">
        <v>45</v>
      </c>
      <c r="AB1062" t="s">
        <v>44</v>
      </c>
      <c r="AC1062">
        <v>35.5</v>
      </c>
      <c r="AD1062" t="s">
        <v>34</v>
      </c>
      <c r="AE1062">
        <v>2627.99</v>
      </c>
      <c r="AF1062">
        <v>0</v>
      </c>
    </row>
    <row r="1063" spans="3:32" x14ac:dyDescent="0.35">
      <c r="C1063" s="1">
        <v>44096</v>
      </c>
      <c r="D1063" s="2">
        <v>44075</v>
      </c>
      <c r="E1063">
        <v>1280</v>
      </c>
      <c r="F1063" s="3">
        <v>2753.5</v>
      </c>
      <c r="G1063" s="3">
        <v>2620</v>
      </c>
      <c r="H1063" s="3">
        <v>133.5</v>
      </c>
      <c r="I1063" s="3">
        <v>0.95</v>
      </c>
      <c r="J1063">
        <v>0.28999999999999998</v>
      </c>
      <c r="K1063">
        <v>2848.18</v>
      </c>
      <c r="L1063" t="s">
        <v>35</v>
      </c>
      <c r="M1063">
        <v>628</v>
      </c>
      <c r="N1063">
        <v>0.36</v>
      </c>
      <c r="O1063" s="3">
        <v>599.85</v>
      </c>
      <c r="P1063" s="3">
        <v>0.22</v>
      </c>
      <c r="Q1063" s="3">
        <v>513.21</v>
      </c>
      <c r="R1063" s="3">
        <v>0.19</v>
      </c>
      <c r="S1063">
        <v>9</v>
      </c>
      <c r="T1063">
        <v>1817.19</v>
      </c>
      <c r="U1063">
        <v>28</v>
      </c>
      <c r="V1063">
        <v>0</v>
      </c>
      <c r="W1063">
        <v>648.35</v>
      </c>
      <c r="X1063">
        <v>2190.87</v>
      </c>
      <c r="Y1063" t="s">
        <v>31</v>
      </c>
      <c r="Z1063" s="3">
        <v>1151.1600000000001</v>
      </c>
      <c r="AA1063" t="s">
        <v>51</v>
      </c>
      <c r="AB1063" t="s">
        <v>44</v>
      </c>
      <c r="AC1063">
        <v>73.7</v>
      </c>
      <c r="AD1063" t="s">
        <v>34</v>
      </c>
      <c r="AE1063">
        <v>133.5</v>
      </c>
      <c r="AF1063">
        <v>0</v>
      </c>
    </row>
    <row r="1064" spans="3:32" x14ac:dyDescent="0.35">
      <c r="C1064" s="1">
        <v>44096</v>
      </c>
      <c r="D1064" s="2">
        <v>44075</v>
      </c>
      <c r="E1064">
        <v>1727</v>
      </c>
      <c r="F1064" s="3">
        <v>1358.55</v>
      </c>
      <c r="G1064" s="3">
        <v>2365.86</v>
      </c>
      <c r="H1064" s="3">
        <v>-1007.31</v>
      </c>
      <c r="I1064" s="3">
        <v>1.74</v>
      </c>
      <c r="J1064">
        <v>0.34</v>
      </c>
      <c r="K1064">
        <v>3088.37</v>
      </c>
      <c r="L1064" t="s">
        <v>39</v>
      </c>
      <c r="M1064">
        <v>746</v>
      </c>
      <c r="N1064">
        <v>0.2</v>
      </c>
      <c r="O1064" s="3">
        <v>637.49</v>
      </c>
      <c r="P1064" s="3">
        <v>0.47</v>
      </c>
      <c r="Q1064" s="3">
        <v>305.35000000000002</v>
      </c>
      <c r="R1064" s="3">
        <v>0.22</v>
      </c>
      <c r="S1064">
        <v>7</v>
      </c>
      <c r="T1064">
        <v>156.09</v>
      </c>
      <c r="U1064">
        <v>28</v>
      </c>
      <c r="V1064">
        <v>0</v>
      </c>
      <c r="W1064">
        <v>469.6</v>
      </c>
      <c r="X1064">
        <v>1509.22</v>
      </c>
      <c r="Y1064" t="s">
        <v>36</v>
      </c>
      <c r="Z1064" s="3">
        <v>1164.47</v>
      </c>
      <c r="AA1064" t="s">
        <v>45</v>
      </c>
      <c r="AB1064" t="s">
        <v>42</v>
      </c>
      <c r="AC1064">
        <v>58.6</v>
      </c>
      <c r="AD1064" t="s">
        <v>34</v>
      </c>
      <c r="AE1064">
        <v>0</v>
      </c>
      <c r="AF1064">
        <v>0</v>
      </c>
    </row>
    <row r="1065" spans="3:32" x14ac:dyDescent="0.35">
      <c r="C1065" s="1">
        <v>44096</v>
      </c>
      <c r="D1065" s="2">
        <v>44075</v>
      </c>
      <c r="E1065">
        <v>1800</v>
      </c>
      <c r="F1065" s="3">
        <v>5678.52</v>
      </c>
      <c r="G1065" s="3">
        <v>3312.82</v>
      </c>
      <c r="H1065" s="3">
        <v>2365.6999999999998</v>
      </c>
      <c r="I1065" s="3">
        <v>0.57999999999999996</v>
      </c>
      <c r="J1065">
        <v>7.0000000000000007E-2</v>
      </c>
      <c r="K1065">
        <v>2418.67</v>
      </c>
      <c r="L1065" t="s">
        <v>35</v>
      </c>
      <c r="M1065">
        <v>662</v>
      </c>
      <c r="N1065">
        <v>0.12</v>
      </c>
      <c r="O1065" s="3">
        <v>519.34</v>
      </c>
      <c r="P1065" s="3">
        <v>0.09</v>
      </c>
      <c r="Q1065" s="3">
        <v>488.97</v>
      </c>
      <c r="R1065" s="3">
        <v>0.09</v>
      </c>
      <c r="S1065">
        <v>2</v>
      </c>
      <c r="T1065">
        <v>906.1</v>
      </c>
      <c r="U1065">
        <v>60</v>
      </c>
      <c r="V1065">
        <v>0</v>
      </c>
      <c r="W1065">
        <v>114.34</v>
      </c>
      <c r="X1065">
        <v>1495.18</v>
      </c>
      <c r="Y1065" t="s">
        <v>31</v>
      </c>
      <c r="Z1065" s="3">
        <v>1368.04</v>
      </c>
      <c r="AA1065" t="s">
        <v>50</v>
      </c>
      <c r="AB1065" t="s">
        <v>33</v>
      </c>
      <c r="AC1065">
        <v>88.7</v>
      </c>
      <c r="AD1065" t="s">
        <v>34</v>
      </c>
      <c r="AE1065">
        <v>2365.6999999999998</v>
      </c>
      <c r="AF1065">
        <v>0</v>
      </c>
    </row>
    <row r="1066" spans="3:32" x14ac:dyDescent="0.35">
      <c r="C1066" s="1">
        <v>44096</v>
      </c>
      <c r="D1066" s="2">
        <v>44075</v>
      </c>
      <c r="E1066">
        <v>1306</v>
      </c>
      <c r="F1066" s="3">
        <v>5312.17</v>
      </c>
      <c r="G1066" s="3">
        <v>2389.62</v>
      </c>
      <c r="H1066" s="3">
        <v>2922.55</v>
      </c>
      <c r="I1066" s="3">
        <v>0.45</v>
      </c>
      <c r="J1066">
        <v>0.28000000000000003</v>
      </c>
      <c r="K1066">
        <v>2533.9899999999998</v>
      </c>
      <c r="L1066" t="s">
        <v>35</v>
      </c>
      <c r="M1066">
        <v>664</v>
      </c>
      <c r="N1066">
        <v>0.42</v>
      </c>
      <c r="O1066" s="3">
        <v>555.75</v>
      </c>
      <c r="P1066" s="3">
        <v>0.1</v>
      </c>
      <c r="Q1066" s="3">
        <v>791.86</v>
      </c>
      <c r="R1066" s="3">
        <v>0.15</v>
      </c>
      <c r="S1066">
        <v>3</v>
      </c>
      <c r="T1066">
        <v>709.86</v>
      </c>
      <c r="U1066">
        <v>62</v>
      </c>
      <c r="V1066">
        <v>0</v>
      </c>
      <c r="W1066">
        <v>314.24</v>
      </c>
      <c r="X1066">
        <v>3056.14</v>
      </c>
      <c r="Y1066" t="s">
        <v>36</v>
      </c>
      <c r="Z1066" s="3">
        <v>1162.07</v>
      </c>
      <c r="AA1066" t="s">
        <v>46</v>
      </c>
      <c r="AB1066" t="s">
        <v>33</v>
      </c>
      <c r="AC1066">
        <v>5.7</v>
      </c>
      <c r="AD1066" t="s">
        <v>43</v>
      </c>
      <c r="AE1066">
        <v>2922.55</v>
      </c>
      <c r="AF1066">
        <v>1</v>
      </c>
    </row>
    <row r="1067" spans="3:32" x14ac:dyDescent="0.35">
      <c r="C1067" s="1">
        <v>44096</v>
      </c>
      <c r="D1067" s="2">
        <v>44075</v>
      </c>
      <c r="E1067">
        <v>1617</v>
      </c>
      <c r="F1067" s="3">
        <v>3496.23</v>
      </c>
      <c r="G1067" s="3">
        <v>2432.2199999999998</v>
      </c>
      <c r="H1067" s="3">
        <v>1064.01</v>
      </c>
      <c r="I1067" s="3">
        <v>0.7</v>
      </c>
      <c r="J1067">
        <v>0.3</v>
      </c>
      <c r="K1067">
        <v>2910.22</v>
      </c>
      <c r="L1067" t="s">
        <v>35</v>
      </c>
      <c r="M1067">
        <v>630</v>
      </c>
      <c r="N1067">
        <v>0.36</v>
      </c>
      <c r="O1067" s="3">
        <v>967.21</v>
      </c>
      <c r="P1067" s="3">
        <v>0.28000000000000003</v>
      </c>
      <c r="Q1067" s="3">
        <v>490.58</v>
      </c>
      <c r="R1067" s="3">
        <v>0.14000000000000001</v>
      </c>
      <c r="S1067">
        <v>5</v>
      </c>
      <c r="T1067">
        <v>996.5</v>
      </c>
      <c r="U1067">
        <v>52</v>
      </c>
      <c r="V1067">
        <v>0</v>
      </c>
      <c r="W1067">
        <v>668.63</v>
      </c>
      <c r="X1067">
        <v>2302.19</v>
      </c>
      <c r="Y1067" t="s">
        <v>36</v>
      </c>
      <c r="Z1067" s="3">
        <v>946.7</v>
      </c>
      <c r="AA1067" t="s">
        <v>50</v>
      </c>
      <c r="AB1067" t="s">
        <v>33</v>
      </c>
      <c r="AC1067">
        <v>1.1000000000000001</v>
      </c>
      <c r="AD1067" t="s">
        <v>43</v>
      </c>
      <c r="AE1067">
        <v>1064.01</v>
      </c>
      <c r="AF1067">
        <v>0</v>
      </c>
    </row>
    <row r="1068" spans="3:32" x14ac:dyDescent="0.35">
      <c r="C1068" s="1">
        <v>44096</v>
      </c>
      <c r="D1068" s="2">
        <v>44075</v>
      </c>
      <c r="E1068">
        <v>1941</v>
      </c>
      <c r="F1068" s="3">
        <v>3091.21</v>
      </c>
      <c r="G1068" s="3">
        <v>3412.58</v>
      </c>
      <c r="H1068" s="3">
        <v>-321.37</v>
      </c>
      <c r="I1068" s="3">
        <v>1.1000000000000001</v>
      </c>
      <c r="J1068">
        <v>0.27</v>
      </c>
      <c r="K1068">
        <v>2999.49</v>
      </c>
      <c r="L1068" t="s">
        <v>30</v>
      </c>
      <c r="M1068">
        <v>706</v>
      </c>
      <c r="N1068">
        <v>0.51</v>
      </c>
      <c r="O1068" s="3">
        <v>550.27</v>
      </c>
      <c r="P1068" s="3">
        <v>0.18</v>
      </c>
      <c r="Q1068" s="3">
        <v>370.47</v>
      </c>
      <c r="R1068" s="3">
        <v>0.12</v>
      </c>
      <c r="S1068">
        <v>5</v>
      </c>
      <c r="T1068">
        <v>1697.6</v>
      </c>
      <c r="U1068">
        <v>32</v>
      </c>
      <c r="V1068">
        <v>0</v>
      </c>
      <c r="W1068">
        <v>153.41</v>
      </c>
      <c r="X1068">
        <v>2259.64</v>
      </c>
      <c r="Y1068" t="s">
        <v>36</v>
      </c>
      <c r="Z1068" s="3">
        <v>1726.89</v>
      </c>
      <c r="AA1068" t="s">
        <v>47</v>
      </c>
      <c r="AB1068" t="s">
        <v>33</v>
      </c>
      <c r="AC1068">
        <v>49.4</v>
      </c>
      <c r="AD1068" t="s">
        <v>38</v>
      </c>
      <c r="AE1068">
        <v>0</v>
      </c>
      <c r="AF1068">
        <v>0</v>
      </c>
    </row>
    <row r="1069" spans="3:32" x14ac:dyDescent="0.35">
      <c r="C1069" s="1">
        <v>44096</v>
      </c>
      <c r="D1069" s="2">
        <v>44075</v>
      </c>
      <c r="E1069">
        <v>1355</v>
      </c>
      <c r="F1069" s="3">
        <v>4660.54</v>
      </c>
      <c r="G1069" s="3">
        <v>1098.96</v>
      </c>
      <c r="H1069" s="3">
        <v>3561.58</v>
      </c>
      <c r="I1069" s="3">
        <v>0.24</v>
      </c>
      <c r="J1069">
        <v>0.25</v>
      </c>
      <c r="K1069">
        <v>3032.44</v>
      </c>
      <c r="L1069" t="s">
        <v>35</v>
      </c>
      <c r="M1069">
        <v>622</v>
      </c>
      <c r="N1069">
        <v>0.57999999999999996</v>
      </c>
      <c r="O1069" s="3">
        <v>215.86</v>
      </c>
      <c r="P1069" s="3">
        <v>0.05</v>
      </c>
      <c r="Q1069" s="3">
        <v>324.52999999999997</v>
      </c>
      <c r="R1069" s="3">
        <v>7.0000000000000007E-2</v>
      </c>
      <c r="S1069">
        <v>3</v>
      </c>
      <c r="T1069">
        <v>1754.83</v>
      </c>
      <c r="U1069">
        <v>35</v>
      </c>
      <c r="V1069">
        <v>0</v>
      </c>
      <c r="W1069">
        <v>826.63</v>
      </c>
      <c r="X1069">
        <v>1092.0899999999999</v>
      </c>
      <c r="Y1069" t="s">
        <v>31</v>
      </c>
      <c r="Z1069" s="3">
        <v>1437.51</v>
      </c>
      <c r="AA1069" t="s">
        <v>46</v>
      </c>
      <c r="AB1069" t="s">
        <v>42</v>
      </c>
      <c r="AC1069">
        <v>97.4</v>
      </c>
      <c r="AD1069" t="s">
        <v>34</v>
      </c>
      <c r="AE1069">
        <v>3561.58</v>
      </c>
      <c r="AF1069">
        <v>1</v>
      </c>
    </row>
    <row r="1070" spans="3:32" x14ac:dyDescent="0.35">
      <c r="C1070" s="1">
        <v>44096</v>
      </c>
      <c r="D1070" s="2">
        <v>44075</v>
      </c>
      <c r="E1070">
        <v>1963</v>
      </c>
      <c r="F1070" s="3">
        <v>3313.54</v>
      </c>
      <c r="G1070" s="3">
        <v>4702.8100000000004</v>
      </c>
      <c r="H1070" s="3">
        <v>-1389.27</v>
      </c>
      <c r="I1070" s="3">
        <v>1.42</v>
      </c>
      <c r="J1070">
        <v>0.32</v>
      </c>
      <c r="K1070">
        <v>3501.48</v>
      </c>
      <c r="L1070" t="s">
        <v>39</v>
      </c>
      <c r="M1070">
        <v>607</v>
      </c>
      <c r="N1070">
        <v>0.3</v>
      </c>
      <c r="O1070" s="3">
        <v>548.36</v>
      </c>
      <c r="P1070" s="3">
        <v>0.17</v>
      </c>
      <c r="Q1070" s="3">
        <v>0</v>
      </c>
      <c r="R1070" s="3">
        <v>0</v>
      </c>
      <c r="S1070">
        <v>2</v>
      </c>
      <c r="T1070">
        <v>811.46</v>
      </c>
      <c r="U1070">
        <v>82</v>
      </c>
      <c r="V1070">
        <v>0</v>
      </c>
      <c r="W1070">
        <v>798.3</v>
      </c>
      <c r="X1070">
        <v>2482.27</v>
      </c>
      <c r="Y1070" t="s">
        <v>36</v>
      </c>
      <c r="Z1070" s="3">
        <v>720.25</v>
      </c>
      <c r="AA1070" t="s">
        <v>48</v>
      </c>
      <c r="AB1070" t="s">
        <v>44</v>
      </c>
      <c r="AC1070">
        <v>86.5</v>
      </c>
      <c r="AD1070" t="s">
        <v>34</v>
      </c>
      <c r="AE1070">
        <v>0</v>
      </c>
      <c r="AF1070">
        <v>0</v>
      </c>
    </row>
    <row r="1071" spans="3:32" x14ac:dyDescent="0.35">
      <c r="C1071" s="1">
        <v>44096</v>
      </c>
      <c r="D1071" s="2">
        <v>44075</v>
      </c>
      <c r="E1071">
        <v>1801</v>
      </c>
      <c r="F1071" s="3">
        <v>5810.44</v>
      </c>
      <c r="G1071" s="3">
        <v>2797.09</v>
      </c>
      <c r="H1071" s="3">
        <v>3013.35</v>
      </c>
      <c r="I1071" s="3">
        <v>0.48</v>
      </c>
      <c r="J1071">
        <v>0.15</v>
      </c>
      <c r="K1071">
        <v>2946.61</v>
      </c>
      <c r="L1071" t="s">
        <v>35</v>
      </c>
      <c r="M1071">
        <v>668</v>
      </c>
      <c r="N1071">
        <v>0.1</v>
      </c>
      <c r="O1071" s="3">
        <v>684.83</v>
      </c>
      <c r="P1071" s="3">
        <v>0.12</v>
      </c>
      <c r="Q1071" s="3">
        <v>537.30999999999995</v>
      </c>
      <c r="R1071" s="3">
        <v>0.09</v>
      </c>
      <c r="S1071">
        <v>9</v>
      </c>
      <c r="T1071">
        <v>1716.19</v>
      </c>
      <c r="U1071">
        <v>36</v>
      </c>
      <c r="V1071">
        <v>0</v>
      </c>
      <c r="W1071">
        <v>299.10000000000002</v>
      </c>
      <c r="X1071">
        <v>1684.84</v>
      </c>
      <c r="Y1071" t="s">
        <v>49</v>
      </c>
      <c r="Z1071" s="3">
        <v>827.68</v>
      </c>
      <c r="AA1071" t="s">
        <v>37</v>
      </c>
      <c r="AB1071" t="s">
        <v>44</v>
      </c>
      <c r="AC1071">
        <v>55.9</v>
      </c>
      <c r="AD1071" t="s">
        <v>34</v>
      </c>
      <c r="AE1071">
        <v>3013.35</v>
      </c>
      <c r="AF1071">
        <v>1</v>
      </c>
    </row>
    <row r="1072" spans="3:32" x14ac:dyDescent="0.35">
      <c r="C1072" s="1">
        <v>44096</v>
      </c>
      <c r="D1072" s="2">
        <v>44075</v>
      </c>
      <c r="E1072">
        <v>1879</v>
      </c>
      <c r="F1072" s="3">
        <v>3813.81</v>
      </c>
      <c r="G1072" s="3">
        <v>2097.91</v>
      </c>
      <c r="H1072" s="3">
        <v>1715.9</v>
      </c>
      <c r="I1072" s="3">
        <v>0.55000000000000004</v>
      </c>
      <c r="J1072">
        <v>0.27</v>
      </c>
      <c r="K1072">
        <v>2880.1</v>
      </c>
      <c r="L1072" t="s">
        <v>35</v>
      </c>
      <c r="M1072">
        <v>727</v>
      </c>
      <c r="N1072">
        <v>0.55000000000000004</v>
      </c>
      <c r="O1072" s="3">
        <v>583.15</v>
      </c>
      <c r="P1072" s="3">
        <v>0.15</v>
      </c>
      <c r="Q1072" s="3">
        <v>650.96</v>
      </c>
      <c r="R1072" s="3">
        <v>0.17</v>
      </c>
      <c r="S1072">
        <v>1</v>
      </c>
      <c r="T1072">
        <v>596.17999999999995</v>
      </c>
      <c r="U1072">
        <v>99</v>
      </c>
      <c r="V1072">
        <v>0</v>
      </c>
      <c r="W1072">
        <v>123.5</v>
      </c>
      <c r="X1072">
        <v>2872.89</v>
      </c>
      <c r="Y1072" t="s">
        <v>36</v>
      </c>
      <c r="Z1072" s="3">
        <v>1912.27</v>
      </c>
      <c r="AA1072" t="s">
        <v>37</v>
      </c>
      <c r="AB1072" t="s">
        <v>33</v>
      </c>
      <c r="AC1072">
        <v>86.8</v>
      </c>
      <c r="AD1072" t="s">
        <v>34</v>
      </c>
      <c r="AE1072">
        <v>1715.9</v>
      </c>
      <c r="AF1072">
        <v>0</v>
      </c>
    </row>
    <row r="1073" spans="3:32" x14ac:dyDescent="0.35">
      <c r="C1073" s="1">
        <v>44096</v>
      </c>
      <c r="D1073" s="2">
        <v>44075</v>
      </c>
      <c r="E1073">
        <v>1882</v>
      </c>
      <c r="F1073" s="3">
        <v>4641.1899999999996</v>
      </c>
      <c r="G1073" s="3">
        <v>3312.9</v>
      </c>
      <c r="H1073" s="3">
        <v>1328.29</v>
      </c>
      <c r="I1073" s="3">
        <v>0.71</v>
      </c>
      <c r="J1073">
        <v>0.06</v>
      </c>
      <c r="K1073">
        <v>3344.49</v>
      </c>
      <c r="L1073" t="s">
        <v>35</v>
      </c>
      <c r="M1073">
        <v>712</v>
      </c>
      <c r="N1073">
        <v>0.42</v>
      </c>
      <c r="O1073" s="3">
        <v>424.62</v>
      </c>
      <c r="P1073" s="3">
        <v>0.09</v>
      </c>
      <c r="Q1073" s="3">
        <v>375.35</v>
      </c>
      <c r="R1073" s="3">
        <v>0.08</v>
      </c>
      <c r="S1073">
        <v>9</v>
      </c>
      <c r="T1073">
        <v>983.03</v>
      </c>
      <c r="U1073">
        <v>86</v>
      </c>
      <c r="V1073">
        <v>0</v>
      </c>
      <c r="W1073">
        <v>727.34</v>
      </c>
      <c r="X1073">
        <v>1779.59</v>
      </c>
      <c r="Y1073" t="s">
        <v>36</v>
      </c>
      <c r="Z1073" s="3">
        <v>1425.84</v>
      </c>
      <c r="AA1073" t="s">
        <v>37</v>
      </c>
      <c r="AB1073" t="s">
        <v>33</v>
      </c>
      <c r="AC1073">
        <v>2.8</v>
      </c>
      <c r="AD1073" t="s">
        <v>43</v>
      </c>
      <c r="AE1073">
        <v>1328.29</v>
      </c>
      <c r="AF1073">
        <v>0</v>
      </c>
    </row>
    <row r="1074" spans="3:32" x14ac:dyDescent="0.35">
      <c r="C1074" s="1">
        <v>44096</v>
      </c>
      <c r="D1074" s="2">
        <v>44075</v>
      </c>
      <c r="E1074">
        <v>1501</v>
      </c>
      <c r="F1074" s="3">
        <v>4421.8999999999996</v>
      </c>
      <c r="G1074" s="3">
        <v>2458.09</v>
      </c>
      <c r="H1074" s="3">
        <v>1963.81</v>
      </c>
      <c r="I1074" s="3">
        <v>0.56000000000000005</v>
      </c>
      <c r="J1074">
        <v>0.32</v>
      </c>
      <c r="K1074">
        <v>2921.68</v>
      </c>
      <c r="L1074" t="s">
        <v>35</v>
      </c>
      <c r="M1074">
        <v>641</v>
      </c>
      <c r="N1074">
        <v>0.59</v>
      </c>
      <c r="O1074" s="3">
        <v>374.17</v>
      </c>
      <c r="P1074" s="3">
        <v>0.08</v>
      </c>
      <c r="Q1074" s="3">
        <v>194.76</v>
      </c>
      <c r="R1074" s="3">
        <v>0.04</v>
      </c>
      <c r="S1074">
        <v>4</v>
      </c>
      <c r="T1074">
        <v>652.95000000000005</v>
      </c>
      <c r="U1074">
        <v>77</v>
      </c>
      <c r="V1074">
        <v>0</v>
      </c>
      <c r="W1074">
        <v>451.61</v>
      </c>
      <c r="X1074">
        <v>2491.7399999999998</v>
      </c>
      <c r="Y1074" t="s">
        <v>36</v>
      </c>
      <c r="Z1074" s="3">
        <v>340.32</v>
      </c>
      <c r="AA1074" t="s">
        <v>46</v>
      </c>
      <c r="AB1074" t="s">
        <v>33</v>
      </c>
      <c r="AC1074">
        <v>51.3</v>
      </c>
      <c r="AD1074" t="s">
        <v>43</v>
      </c>
      <c r="AE1074">
        <v>1963.81</v>
      </c>
      <c r="AF1074">
        <v>0</v>
      </c>
    </row>
    <row r="1075" spans="3:32" x14ac:dyDescent="0.35">
      <c r="C1075" s="1">
        <v>44096</v>
      </c>
      <c r="D1075" s="2">
        <v>44075</v>
      </c>
      <c r="E1075">
        <v>1256</v>
      </c>
      <c r="F1075" s="3">
        <v>3234.86</v>
      </c>
      <c r="G1075" s="3">
        <v>2922.43</v>
      </c>
      <c r="H1075" s="3">
        <v>312.43</v>
      </c>
      <c r="I1075" s="3">
        <v>0.9</v>
      </c>
      <c r="J1075">
        <v>0.27</v>
      </c>
      <c r="K1075">
        <v>2844.51</v>
      </c>
      <c r="L1075" t="s">
        <v>35</v>
      </c>
      <c r="M1075">
        <v>677</v>
      </c>
      <c r="N1075">
        <v>0.38</v>
      </c>
      <c r="O1075" s="3">
        <v>591.91999999999996</v>
      </c>
      <c r="P1075" s="3">
        <v>0.18</v>
      </c>
      <c r="Q1075" s="3">
        <v>92.52</v>
      </c>
      <c r="R1075" s="3">
        <v>0.03</v>
      </c>
      <c r="S1075">
        <v>6</v>
      </c>
      <c r="T1075">
        <v>527.64</v>
      </c>
      <c r="U1075">
        <v>82</v>
      </c>
      <c r="V1075">
        <v>0</v>
      </c>
      <c r="W1075">
        <v>552.49</v>
      </c>
      <c r="X1075">
        <v>2895.39</v>
      </c>
      <c r="Y1075" t="s">
        <v>36</v>
      </c>
      <c r="Z1075" s="3">
        <v>999.43</v>
      </c>
      <c r="AA1075" t="s">
        <v>47</v>
      </c>
      <c r="AB1075" t="s">
        <v>33</v>
      </c>
      <c r="AC1075">
        <v>66.2</v>
      </c>
      <c r="AD1075" t="s">
        <v>43</v>
      </c>
      <c r="AE1075">
        <v>312.43</v>
      </c>
      <c r="AF1075">
        <v>0</v>
      </c>
    </row>
    <row r="1076" spans="3:32" x14ac:dyDescent="0.35">
      <c r="C1076" s="1">
        <v>44096</v>
      </c>
      <c r="D1076" s="2">
        <v>44075</v>
      </c>
      <c r="E1076">
        <v>1836</v>
      </c>
      <c r="F1076" s="3">
        <v>4199.0200000000004</v>
      </c>
      <c r="G1076" s="3">
        <v>3335.6</v>
      </c>
      <c r="H1076" s="3">
        <v>863.42</v>
      </c>
      <c r="I1076" s="3">
        <v>0.79</v>
      </c>
      <c r="J1076">
        <v>0.21</v>
      </c>
      <c r="K1076">
        <v>2149.25</v>
      </c>
      <c r="L1076" t="s">
        <v>30</v>
      </c>
      <c r="M1076">
        <v>701</v>
      </c>
      <c r="N1076">
        <v>0.52</v>
      </c>
      <c r="O1076" s="3">
        <v>660.4</v>
      </c>
      <c r="P1076" s="3">
        <v>0.16</v>
      </c>
      <c r="Q1076" s="3">
        <v>729.19</v>
      </c>
      <c r="R1076" s="3">
        <v>0.17</v>
      </c>
      <c r="S1076">
        <v>5</v>
      </c>
      <c r="T1076">
        <v>1306.0999999999999</v>
      </c>
      <c r="U1076">
        <v>28</v>
      </c>
      <c r="V1076">
        <v>0</v>
      </c>
      <c r="W1076">
        <v>292.33999999999997</v>
      </c>
      <c r="X1076">
        <v>2327.7800000000002</v>
      </c>
      <c r="Y1076" t="s">
        <v>36</v>
      </c>
      <c r="Z1076" s="3">
        <v>550.84</v>
      </c>
      <c r="AA1076" t="s">
        <v>32</v>
      </c>
      <c r="AB1076" t="s">
        <v>42</v>
      </c>
      <c r="AC1076">
        <v>55.8</v>
      </c>
      <c r="AD1076" t="s">
        <v>43</v>
      </c>
      <c r="AE1076">
        <v>863.42</v>
      </c>
      <c r="AF1076">
        <v>0</v>
      </c>
    </row>
    <row r="1077" spans="3:32" x14ac:dyDescent="0.35">
      <c r="C1077" s="1">
        <v>44096</v>
      </c>
      <c r="D1077" s="2">
        <v>44075</v>
      </c>
      <c r="E1077">
        <v>1555</v>
      </c>
      <c r="F1077" s="3">
        <v>3334.71</v>
      </c>
      <c r="G1077" s="3">
        <v>3269.79</v>
      </c>
      <c r="H1077" s="3">
        <v>64.92</v>
      </c>
      <c r="I1077" s="3">
        <v>0.98</v>
      </c>
      <c r="J1077">
        <v>0.14000000000000001</v>
      </c>
      <c r="K1077">
        <v>3136.32</v>
      </c>
      <c r="L1077" t="s">
        <v>35</v>
      </c>
      <c r="M1077">
        <v>704</v>
      </c>
      <c r="N1077">
        <v>0.4</v>
      </c>
      <c r="O1077" s="3">
        <v>509.32</v>
      </c>
      <c r="P1077" s="3">
        <v>0.15</v>
      </c>
      <c r="Q1077" s="3">
        <v>259.76</v>
      </c>
      <c r="R1077" s="3">
        <v>0.08</v>
      </c>
      <c r="S1077">
        <v>2</v>
      </c>
      <c r="T1077">
        <v>1736.47</v>
      </c>
      <c r="U1077">
        <v>80</v>
      </c>
      <c r="V1077">
        <v>0</v>
      </c>
      <c r="W1077">
        <v>509.19</v>
      </c>
      <c r="X1077">
        <v>2213.4699999999998</v>
      </c>
      <c r="Y1077" t="s">
        <v>31</v>
      </c>
      <c r="Z1077" s="3">
        <v>321.29000000000002</v>
      </c>
      <c r="AA1077" t="s">
        <v>40</v>
      </c>
      <c r="AB1077" t="s">
        <v>44</v>
      </c>
      <c r="AC1077">
        <v>69.8</v>
      </c>
      <c r="AD1077" t="s">
        <v>34</v>
      </c>
      <c r="AE1077">
        <v>64.92</v>
      </c>
      <c r="AF1077">
        <v>0</v>
      </c>
    </row>
    <row r="1078" spans="3:32" x14ac:dyDescent="0.35">
      <c r="C1078" s="1">
        <v>44096</v>
      </c>
      <c r="D1078" s="2">
        <v>44075</v>
      </c>
      <c r="E1078">
        <v>1468</v>
      </c>
      <c r="F1078" s="3">
        <v>5307.88</v>
      </c>
      <c r="G1078" s="3">
        <v>3579.79</v>
      </c>
      <c r="H1078" s="3">
        <v>1728.09</v>
      </c>
      <c r="I1078" s="3">
        <v>0.67</v>
      </c>
      <c r="J1078">
        <v>0.23</v>
      </c>
      <c r="K1078">
        <v>3232.05</v>
      </c>
      <c r="L1078" t="s">
        <v>35</v>
      </c>
      <c r="M1078">
        <v>785</v>
      </c>
      <c r="N1078">
        <v>0.45</v>
      </c>
      <c r="O1078" s="3">
        <v>171.89</v>
      </c>
      <c r="P1078" s="3">
        <v>0.03</v>
      </c>
      <c r="Q1078" s="3">
        <v>408.3</v>
      </c>
      <c r="R1078" s="3">
        <v>0.08</v>
      </c>
      <c r="S1078">
        <v>6</v>
      </c>
      <c r="T1078">
        <v>1042.7</v>
      </c>
      <c r="U1078">
        <v>21</v>
      </c>
      <c r="V1078">
        <v>0</v>
      </c>
      <c r="W1078">
        <v>575.53</v>
      </c>
      <c r="X1078">
        <v>2934.35</v>
      </c>
      <c r="Y1078" t="s">
        <v>31</v>
      </c>
      <c r="Z1078" s="3">
        <v>1288.24</v>
      </c>
      <c r="AA1078" t="s">
        <v>47</v>
      </c>
      <c r="AB1078" t="s">
        <v>33</v>
      </c>
      <c r="AC1078">
        <v>17.399999999999999</v>
      </c>
      <c r="AD1078" t="s">
        <v>43</v>
      </c>
      <c r="AE1078">
        <v>1728.09</v>
      </c>
      <c r="AF1078">
        <v>0</v>
      </c>
    </row>
    <row r="1079" spans="3:32" x14ac:dyDescent="0.35">
      <c r="C1079" s="1">
        <v>44096</v>
      </c>
      <c r="D1079" s="2">
        <v>44075</v>
      </c>
      <c r="E1079">
        <v>1157</v>
      </c>
      <c r="F1079" s="3">
        <v>4009.2</v>
      </c>
      <c r="G1079" s="3">
        <v>2438.27</v>
      </c>
      <c r="H1079" s="3">
        <v>1570.93</v>
      </c>
      <c r="I1079" s="3">
        <v>0.61</v>
      </c>
      <c r="J1079">
        <v>0.1</v>
      </c>
      <c r="K1079">
        <v>2879.08</v>
      </c>
      <c r="L1079" t="s">
        <v>35</v>
      </c>
      <c r="M1079">
        <v>728</v>
      </c>
      <c r="N1079">
        <v>0.49</v>
      </c>
      <c r="O1079" s="3">
        <v>281.58</v>
      </c>
      <c r="P1079" s="3">
        <v>7.0000000000000007E-2</v>
      </c>
      <c r="Q1079" s="3">
        <v>307.60000000000002</v>
      </c>
      <c r="R1079" s="3">
        <v>0.08</v>
      </c>
      <c r="S1079">
        <v>1</v>
      </c>
      <c r="T1079">
        <v>1713.7</v>
      </c>
      <c r="U1079">
        <v>43</v>
      </c>
      <c r="V1079">
        <v>0</v>
      </c>
      <c r="W1079">
        <v>297.52</v>
      </c>
      <c r="X1079">
        <v>2644.73</v>
      </c>
      <c r="Y1079" t="s">
        <v>49</v>
      </c>
      <c r="Z1079" s="3">
        <v>1016.34</v>
      </c>
      <c r="AA1079" t="s">
        <v>48</v>
      </c>
      <c r="AB1079" t="s">
        <v>33</v>
      </c>
      <c r="AC1079">
        <v>76.7</v>
      </c>
      <c r="AD1079" t="s">
        <v>34</v>
      </c>
      <c r="AE1079">
        <v>1570.93</v>
      </c>
      <c r="AF1079">
        <v>0</v>
      </c>
    </row>
    <row r="1080" spans="3:32" x14ac:dyDescent="0.35">
      <c r="C1080" s="1">
        <v>44096</v>
      </c>
      <c r="D1080" s="2">
        <v>44075</v>
      </c>
      <c r="E1080">
        <v>1435</v>
      </c>
      <c r="F1080" s="3">
        <v>4698.3</v>
      </c>
      <c r="G1080" s="3">
        <v>2311.56</v>
      </c>
      <c r="H1080" s="3">
        <v>2386.7399999999998</v>
      </c>
      <c r="I1080" s="3">
        <v>0.49</v>
      </c>
      <c r="J1080">
        <v>0.3</v>
      </c>
      <c r="K1080">
        <v>3428</v>
      </c>
      <c r="L1080" t="s">
        <v>39</v>
      </c>
      <c r="M1080">
        <v>702</v>
      </c>
      <c r="N1080">
        <v>0.37</v>
      </c>
      <c r="O1080" s="3">
        <v>321.82</v>
      </c>
      <c r="P1080" s="3">
        <v>7.0000000000000007E-2</v>
      </c>
      <c r="Q1080" s="3">
        <v>15.84</v>
      </c>
      <c r="R1080" s="3">
        <v>0</v>
      </c>
      <c r="S1080">
        <v>7</v>
      </c>
      <c r="T1080">
        <v>992.37</v>
      </c>
      <c r="U1080">
        <v>38</v>
      </c>
      <c r="V1080">
        <v>1</v>
      </c>
      <c r="W1080">
        <v>608.14</v>
      </c>
      <c r="X1080">
        <v>2206.0100000000002</v>
      </c>
      <c r="Y1080" t="s">
        <v>36</v>
      </c>
      <c r="Z1080" s="3">
        <v>1094.3699999999999</v>
      </c>
      <c r="AA1080" t="s">
        <v>51</v>
      </c>
      <c r="AB1080" t="s">
        <v>33</v>
      </c>
      <c r="AC1080">
        <v>15.8</v>
      </c>
      <c r="AD1080" t="s">
        <v>43</v>
      </c>
      <c r="AE1080">
        <v>2386.7399999999998</v>
      </c>
      <c r="AF1080">
        <v>0</v>
      </c>
    </row>
    <row r="1081" spans="3:32" x14ac:dyDescent="0.35">
      <c r="C1081" s="1">
        <v>44096</v>
      </c>
      <c r="D1081" s="2">
        <v>44075</v>
      </c>
      <c r="E1081">
        <v>1384</v>
      </c>
      <c r="F1081" s="3">
        <v>3441.08</v>
      </c>
      <c r="G1081" s="3">
        <v>2433.06</v>
      </c>
      <c r="H1081" s="3">
        <v>1008.02</v>
      </c>
      <c r="I1081" s="3">
        <v>0.71</v>
      </c>
      <c r="J1081">
        <v>0.12</v>
      </c>
      <c r="K1081">
        <v>2423.31</v>
      </c>
      <c r="L1081" t="s">
        <v>35</v>
      </c>
      <c r="M1081">
        <v>668</v>
      </c>
      <c r="N1081">
        <v>0.11</v>
      </c>
      <c r="O1081" s="3">
        <v>484.03</v>
      </c>
      <c r="P1081" s="3">
        <v>0.14000000000000001</v>
      </c>
      <c r="Q1081" s="3">
        <v>220.58</v>
      </c>
      <c r="R1081" s="3">
        <v>0.06</v>
      </c>
      <c r="S1081">
        <v>5</v>
      </c>
      <c r="T1081">
        <v>1276.51</v>
      </c>
      <c r="U1081">
        <v>22</v>
      </c>
      <c r="V1081">
        <v>0</v>
      </c>
      <c r="W1081">
        <v>193.29</v>
      </c>
      <c r="X1081">
        <v>2597.37</v>
      </c>
      <c r="Y1081" t="s">
        <v>36</v>
      </c>
      <c r="Z1081" s="3">
        <v>1275.9000000000001</v>
      </c>
      <c r="AA1081" t="s">
        <v>51</v>
      </c>
      <c r="AB1081" t="s">
        <v>44</v>
      </c>
      <c r="AC1081">
        <v>90.4</v>
      </c>
      <c r="AD1081" t="s">
        <v>34</v>
      </c>
      <c r="AE1081">
        <v>1008.02</v>
      </c>
      <c r="AF1081">
        <v>0</v>
      </c>
    </row>
    <row r="1082" spans="3:32" x14ac:dyDescent="0.35">
      <c r="C1082" s="1">
        <v>44096</v>
      </c>
      <c r="D1082" s="2">
        <v>44075</v>
      </c>
      <c r="E1082">
        <v>1284</v>
      </c>
      <c r="F1082" s="3">
        <v>4387.46</v>
      </c>
      <c r="G1082" s="3">
        <v>2614</v>
      </c>
      <c r="H1082" s="3">
        <v>1773.46</v>
      </c>
      <c r="I1082" s="3">
        <v>0.6</v>
      </c>
      <c r="J1082">
        <v>0.28999999999999998</v>
      </c>
      <c r="K1082">
        <v>2840.96</v>
      </c>
      <c r="L1082" t="s">
        <v>35</v>
      </c>
      <c r="M1082">
        <v>678</v>
      </c>
      <c r="N1082">
        <v>0.1</v>
      </c>
      <c r="O1082" s="3">
        <v>766.81</v>
      </c>
      <c r="P1082" s="3">
        <v>0.17</v>
      </c>
      <c r="Q1082" s="3">
        <v>484.51</v>
      </c>
      <c r="R1082" s="3">
        <v>0.11</v>
      </c>
      <c r="S1082">
        <v>2</v>
      </c>
      <c r="T1082">
        <v>1459.14</v>
      </c>
      <c r="U1082">
        <v>79</v>
      </c>
      <c r="V1082">
        <v>0</v>
      </c>
      <c r="W1082">
        <v>418.04</v>
      </c>
      <c r="X1082">
        <v>2376.36</v>
      </c>
      <c r="Y1082" t="s">
        <v>36</v>
      </c>
      <c r="Z1082" s="3">
        <v>1227.05</v>
      </c>
      <c r="AA1082" t="s">
        <v>47</v>
      </c>
      <c r="AB1082" t="s">
        <v>33</v>
      </c>
      <c r="AC1082">
        <v>44.4</v>
      </c>
      <c r="AD1082" t="s">
        <v>34</v>
      </c>
      <c r="AE1082">
        <v>1773.46</v>
      </c>
      <c r="AF1082">
        <v>0</v>
      </c>
    </row>
    <row r="1083" spans="3:32" x14ac:dyDescent="0.35">
      <c r="C1083" s="1">
        <v>44096</v>
      </c>
      <c r="D1083" s="2">
        <v>44075</v>
      </c>
      <c r="E1083">
        <v>1566</v>
      </c>
      <c r="F1083" s="3">
        <v>1576</v>
      </c>
      <c r="G1083" s="3">
        <v>3467.34</v>
      </c>
      <c r="H1083" s="3">
        <v>-1891.34</v>
      </c>
      <c r="I1083" s="3">
        <v>2.2000000000000002</v>
      </c>
      <c r="J1083">
        <v>7.0000000000000007E-2</v>
      </c>
      <c r="K1083">
        <v>2840.64</v>
      </c>
      <c r="L1083" t="s">
        <v>35</v>
      </c>
      <c r="M1083">
        <v>637</v>
      </c>
      <c r="N1083">
        <v>0.6</v>
      </c>
      <c r="O1083" s="3">
        <v>406.19</v>
      </c>
      <c r="P1083" s="3">
        <v>0.26</v>
      </c>
      <c r="Q1083" s="3">
        <v>395.14</v>
      </c>
      <c r="R1083" s="3">
        <v>0.25</v>
      </c>
      <c r="S1083">
        <v>5</v>
      </c>
      <c r="T1083">
        <v>1847.37</v>
      </c>
      <c r="U1083">
        <v>94</v>
      </c>
      <c r="V1083">
        <v>1</v>
      </c>
      <c r="W1083">
        <v>516.39</v>
      </c>
      <c r="X1083">
        <v>2749.87</v>
      </c>
      <c r="Y1083" t="s">
        <v>36</v>
      </c>
      <c r="Z1083" s="3">
        <v>1870.47</v>
      </c>
      <c r="AA1083" t="s">
        <v>41</v>
      </c>
      <c r="AB1083" t="s">
        <v>33</v>
      </c>
      <c r="AC1083">
        <v>78.400000000000006</v>
      </c>
      <c r="AD1083" t="s">
        <v>34</v>
      </c>
      <c r="AE1083">
        <v>0</v>
      </c>
      <c r="AF1083">
        <v>0</v>
      </c>
    </row>
    <row r="1084" spans="3:32" x14ac:dyDescent="0.35">
      <c r="C1084" s="1">
        <v>44096</v>
      </c>
      <c r="D1084" s="2">
        <v>44075</v>
      </c>
      <c r="E1084">
        <v>1285</v>
      </c>
      <c r="F1084" s="3">
        <v>3252.32</v>
      </c>
      <c r="G1084" s="3">
        <v>4162.83</v>
      </c>
      <c r="H1084" s="3">
        <v>-910.51</v>
      </c>
      <c r="I1084" s="3">
        <v>1.28</v>
      </c>
      <c r="J1084">
        <v>0.13</v>
      </c>
      <c r="K1084">
        <v>2439.14</v>
      </c>
      <c r="L1084" t="s">
        <v>39</v>
      </c>
      <c r="M1084">
        <v>804</v>
      </c>
      <c r="N1084">
        <v>0.42</v>
      </c>
      <c r="O1084" s="3">
        <v>293.13</v>
      </c>
      <c r="P1084" s="3">
        <v>0.09</v>
      </c>
      <c r="Q1084" s="3">
        <v>423.06</v>
      </c>
      <c r="R1084" s="3">
        <v>0.13</v>
      </c>
      <c r="S1084">
        <v>7</v>
      </c>
      <c r="T1084">
        <v>1022.41</v>
      </c>
      <c r="U1084">
        <v>67</v>
      </c>
      <c r="V1084">
        <v>0</v>
      </c>
      <c r="W1084">
        <v>625.32000000000005</v>
      </c>
      <c r="X1084">
        <v>2060.34</v>
      </c>
      <c r="Y1084" t="s">
        <v>36</v>
      </c>
      <c r="Z1084" s="3">
        <v>854.35</v>
      </c>
      <c r="AA1084" t="s">
        <v>48</v>
      </c>
      <c r="AB1084" t="s">
        <v>42</v>
      </c>
      <c r="AC1084">
        <v>12.8</v>
      </c>
      <c r="AD1084" t="s">
        <v>34</v>
      </c>
      <c r="AE1084">
        <v>0</v>
      </c>
      <c r="AF1084">
        <v>0</v>
      </c>
    </row>
    <row r="1085" spans="3:32" x14ac:dyDescent="0.35">
      <c r="C1085" s="1">
        <v>44096</v>
      </c>
      <c r="D1085" s="2">
        <v>44075</v>
      </c>
      <c r="E1085">
        <v>1661</v>
      </c>
      <c r="F1085" s="3">
        <v>4415.59</v>
      </c>
      <c r="G1085" s="3">
        <v>2429.11</v>
      </c>
      <c r="H1085" s="3">
        <v>1986.48</v>
      </c>
      <c r="I1085" s="3">
        <v>0.55000000000000004</v>
      </c>
      <c r="J1085">
        <v>0.33</v>
      </c>
      <c r="K1085">
        <v>2629.91</v>
      </c>
      <c r="L1085" t="s">
        <v>35</v>
      </c>
      <c r="M1085">
        <v>633</v>
      </c>
      <c r="N1085">
        <v>0.55000000000000004</v>
      </c>
      <c r="O1085" s="3">
        <v>712.41</v>
      </c>
      <c r="P1085" s="3">
        <v>0.16</v>
      </c>
      <c r="Q1085" s="3">
        <v>149.11000000000001</v>
      </c>
      <c r="R1085" s="3">
        <v>0.03</v>
      </c>
      <c r="S1085">
        <v>2</v>
      </c>
      <c r="T1085">
        <v>503.84</v>
      </c>
      <c r="U1085">
        <v>29</v>
      </c>
      <c r="V1085">
        <v>0</v>
      </c>
      <c r="W1085">
        <v>463.52</v>
      </c>
      <c r="X1085">
        <v>2793.27</v>
      </c>
      <c r="Y1085" t="s">
        <v>36</v>
      </c>
      <c r="Z1085" s="3">
        <v>1314.2</v>
      </c>
      <c r="AA1085" t="s">
        <v>48</v>
      </c>
      <c r="AB1085" t="s">
        <v>33</v>
      </c>
      <c r="AC1085">
        <v>55.3</v>
      </c>
      <c r="AD1085" t="s">
        <v>34</v>
      </c>
      <c r="AE1085">
        <v>1986.48</v>
      </c>
      <c r="AF1085">
        <v>0</v>
      </c>
    </row>
    <row r="1086" spans="3:32" x14ac:dyDescent="0.35">
      <c r="C1086" s="1">
        <v>44096</v>
      </c>
      <c r="D1086" s="2">
        <v>44075</v>
      </c>
      <c r="E1086">
        <v>1237</v>
      </c>
      <c r="F1086" s="3">
        <v>3183.88</v>
      </c>
      <c r="G1086" s="3">
        <v>3033.59</v>
      </c>
      <c r="H1086" s="3">
        <v>150.29</v>
      </c>
      <c r="I1086" s="3">
        <v>0.95</v>
      </c>
      <c r="J1086">
        <v>0.1</v>
      </c>
      <c r="K1086">
        <v>2320.71</v>
      </c>
      <c r="L1086" t="s">
        <v>39</v>
      </c>
      <c r="M1086">
        <v>685</v>
      </c>
      <c r="N1086">
        <v>0.37</v>
      </c>
      <c r="O1086" s="3">
        <v>578.86</v>
      </c>
      <c r="P1086" s="3">
        <v>0.18</v>
      </c>
      <c r="Q1086" s="3">
        <v>304.83</v>
      </c>
      <c r="R1086" s="3">
        <v>0.1</v>
      </c>
      <c r="S1086">
        <v>3</v>
      </c>
      <c r="T1086">
        <v>1302.55</v>
      </c>
      <c r="U1086">
        <v>66</v>
      </c>
      <c r="V1086">
        <v>0</v>
      </c>
      <c r="W1086">
        <v>1028.6400000000001</v>
      </c>
      <c r="X1086">
        <v>2902.08</v>
      </c>
      <c r="Y1086" t="s">
        <v>36</v>
      </c>
      <c r="Z1086" s="3">
        <v>1138.1500000000001</v>
      </c>
      <c r="AA1086" t="s">
        <v>40</v>
      </c>
      <c r="AB1086" t="s">
        <v>42</v>
      </c>
      <c r="AC1086">
        <v>66.400000000000006</v>
      </c>
      <c r="AD1086" t="s">
        <v>34</v>
      </c>
      <c r="AE1086">
        <v>150.29</v>
      </c>
      <c r="AF1086">
        <v>0</v>
      </c>
    </row>
    <row r="1087" spans="3:32" x14ac:dyDescent="0.35">
      <c r="C1087" s="1">
        <v>44096</v>
      </c>
      <c r="D1087" s="2">
        <v>44075</v>
      </c>
      <c r="E1087">
        <v>1693</v>
      </c>
      <c r="F1087" s="3">
        <v>3652.81</v>
      </c>
      <c r="G1087" s="3">
        <v>2241.96</v>
      </c>
      <c r="H1087" s="3">
        <v>1410.85</v>
      </c>
      <c r="I1087" s="3">
        <v>0.61</v>
      </c>
      <c r="J1087">
        <v>0.28000000000000003</v>
      </c>
      <c r="K1087">
        <v>2866.02</v>
      </c>
      <c r="L1087" t="s">
        <v>35</v>
      </c>
      <c r="M1087">
        <v>716</v>
      </c>
      <c r="N1087">
        <v>0.54</v>
      </c>
      <c r="O1087" s="3">
        <v>389.56</v>
      </c>
      <c r="P1087" s="3">
        <v>0.11</v>
      </c>
      <c r="Q1087" s="3">
        <v>372.83</v>
      </c>
      <c r="R1087" s="3">
        <v>0.1</v>
      </c>
      <c r="S1087">
        <v>3</v>
      </c>
      <c r="T1087">
        <v>1754.21</v>
      </c>
      <c r="U1087">
        <v>40</v>
      </c>
      <c r="V1087">
        <v>0</v>
      </c>
      <c r="W1087">
        <v>673.19</v>
      </c>
      <c r="X1087">
        <v>2075.77</v>
      </c>
      <c r="Y1087" t="s">
        <v>31</v>
      </c>
      <c r="Z1087" s="3">
        <v>1011.85</v>
      </c>
      <c r="AA1087" t="s">
        <v>40</v>
      </c>
      <c r="AB1087" t="s">
        <v>44</v>
      </c>
      <c r="AC1087">
        <v>15.6</v>
      </c>
      <c r="AD1087" t="s">
        <v>34</v>
      </c>
      <c r="AE1087">
        <v>1410.85</v>
      </c>
      <c r="AF1087">
        <v>0</v>
      </c>
    </row>
    <row r="1088" spans="3:32" x14ac:dyDescent="0.35">
      <c r="C1088" s="1">
        <v>44096</v>
      </c>
      <c r="D1088" s="2">
        <v>44075</v>
      </c>
      <c r="E1088">
        <v>1742</v>
      </c>
      <c r="F1088" s="3">
        <v>4344.08</v>
      </c>
      <c r="G1088" s="3">
        <v>2928.69</v>
      </c>
      <c r="H1088" s="3">
        <v>1415.39</v>
      </c>
      <c r="I1088" s="3">
        <v>0.67</v>
      </c>
      <c r="J1088">
        <v>0.33</v>
      </c>
      <c r="K1088">
        <v>3398.67</v>
      </c>
      <c r="L1088" t="s">
        <v>39</v>
      </c>
      <c r="M1088">
        <v>693</v>
      </c>
      <c r="N1088">
        <v>0.2</v>
      </c>
      <c r="O1088" s="3">
        <v>669.47</v>
      </c>
      <c r="P1088" s="3">
        <v>0.15</v>
      </c>
      <c r="Q1088" s="3">
        <v>102.47</v>
      </c>
      <c r="R1088" s="3">
        <v>0.02</v>
      </c>
      <c r="S1088">
        <v>1</v>
      </c>
      <c r="T1088">
        <v>164.9</v>
      </c>
      <c r="U1088">
        <v>94</v>
      </c>
      <c r="V1088">
        <v>0</v>
      </c>
      <c r="W1088">
        <v>388.6</v>
      </c>
      <c r="X1088">
        <v>1522.24</v>
      </c>
      <c r="Y1088" t="s">
        <v>36</v>
      </c>
      <c r="Z1088" s="3">
        <v>1074.3399999999999</v>
      </c>
      <c r="AA1088" t="s">
        <v>37</v>
      </c>
      <c r="AB1088" t="s">
        <v>33</v>
      </c>
      <c r="AC1088">
        <v>45.3</v>
      </c>
      <c r="AD1088" t="s">
        <v>43</v>
      </c>
      <c r="AE1088">
        <v>1415.39</v>
      </c>
      <c r="AF1088">
        <v>0</v>
      </c>
    </row>
    <row r="1089" spans="3:32" x14ac:dyDescent="0.35">
      <c r="C1089" s="1">
        <v>44096</v>
      </c>
      <c r="D1089" s="2">
        <v>44075</v>
      </c>
      <c r="E1089">
        <v>1655</v>
      </c>
      <c r="F1089" s="3">
        <v>3829.03</v>
      </c>
      <c r="G1089" s="3">
        <v>3488.95</v>
      </c>
      <c r="H1089" s="3">
        <v>340.08</v>
      </c>
      <c r="I1089" s="3">
        <v>0.91</v>
      </c>
      <c r="J1089">
        <v>0.21</v>
      </c>
      <c r="K1089">
        <v>3042.72</v>
      </c>
      <c r="L1089" t="s">
        <v>30</v>
      </c>
      <c r="M1089">
        <v>747</v>
      </c>
      <c r="N1089">
        <v>0.53</v>
      </c>
      <c r="O1089" s="3">
        <v>258.94</v>
      </c>
      <c r="P1089" s="3">
        <v>7.0000000000000007E-2</v>
      </c>
      <c r="Q1089" s="3">
        <v>335.92</v>
      </c>
      <c r="R1089" s="3">
        <v>0.09</v>
      </c>
      <c r="S1089">
        <v>5</v>
      </c>
      <c r="T1089">
        <v>128.65</v>
      </c>
      <c r="U1089">
        <v>51</v>
      </c>
      <c r="V1089">
        <v>0</v>
      </c>
      <c r="W1089">
        <v>83.77</v>
      </c>
      <c r="X1089">
        <v>1744.86</v>
      </c>
      <c r="Y1089" t="s">
        <v>49</v>
      </c>
      <c r="Z1089" s="3">
        <v>959.2</v>
      </c>
      <c r="AA1089" t="s">
        <v>32</v>
      </c>
      <c r="AB1089" t="s">
        <v>33</v>
      </c>
      <c r="AC1089">
        <v>55.9</v>
      </c>
      <c r="AD1089" t="s">
        <v>34</v>
      </c>
      <c r="AE1089">
        <v>340.08</v>
      </c>
      <c r="AF1089">
        <v>0</v>
      </c>
    </row>
    <row r="1090" spans="3:32" x14ac:dyDescent="0.35">
      <c r="C1090" s="1">
        <v>44096</v>
      </c>
      <c r="D1090" s="2">
        <v>44075</v>
      </c>
      <c r="E1090">
        <v>1115</v>
      </c>
      <c r="F1090" s="3">
        <v>4251.6499999999996</v>
      </c>
      <c r="G1090" s="3">
        <v>2278.15</v>
      </c>
      <c r="H1090" s="3">
        <v>1973.5</v>
      </c>
      <c r="I1090" s="3">
        <v>0.54</v>
      </c>
      <c r="J1090">
        <v>0.34</v>
      </c>
      <c r="K1090">
        <v>2934.39</v>
      </c>
      <c r="L1090" t="s">
        <v>30</v>
      </c>
      <c r="M1090">
        <v>652</v>
      </c>
      <c r="N1090">
        <v>0.41</v>
      </c>
      <c r="O1090" s="3">
        <v>225.67</v>
      </c>
      <c r="P1090" s="3">
        <v>0.05</v>
      </c>
      <c r="Q1090" s="3">
        <v>159.53</v>
      </c>
      <c r="R1090" s="3">
        <v>0.04</v>
      </c>
      <c r="S1090">
        <v>2</v>
      </c>
      <c r="T1090">
        <v>999.14</v>
      </c>
      <c r="U1090">
        <v>69</v>
      </c>
      <c r="V1090">
        <v>0</v>
      </c>
      <c r="W1090">
        <v>300.99</v>
      </c>
      <c r="X1090">
        <v>2528.86</v>
      </c>
      <c r="Y1090" t="s">
        <v>36</v>
      </c>
      <c r="Z1090" s="3">
        <v>1278.1300000000001</v>
      </c>
      <c r="AA1090" t="s">
        <v>45</v>
      </c>
      <c r="AB1090" t="s">
        <v>33</v>
      </c>
      <c r="AC1090">
        <v>89.6</v>
      </c>
      <c r="AD1090" t="s">
        <v>34</v>
      </c>
      <c r="AE1090">
        <v>1973.5</v>
      </c>
      <c r="AF1090">
        <v>0</v>
      </c>
    </row>
    <row r="1091" spans="3:32" x14ac:dyDescent="0.35">
      <c r="C1091" s="1">
        <v>44096</v>
      </c>
      <c r="D1091" s="2">
        <v>44075</v>
      </c>
      <c r="E1091">
        <v>1563</v>
      </c>
      <c r="F1091" s="3">
        <v>4467.8500000000004</v>
      </c>
      <c r="G1091" s="3">
        <v>3495.78</v>
      </c>
      <c r="H1091" s="3">
        <v>972.07</v>
      </c>
      <c r="I1091" s="3">
        <v>0.78</v>
      </c>
      <c r="J1091">
        <v>0.24</v>
      </c>
      <c r="K1091">
        <v>2684.26</v>
      </c>
      <c r="L1091" t="s">
        <v>35</v>
      </c>
      <c r="M1091">
        <v>602</v>
      </c>
      <c r="N1091">
        <v>0.27</v>
      </c>
      <c r="O1091" s="3">
        <v>607.77</v>
      </c>
      <c r="P1091" s="3">
        <v>0.14000000000000001</v>
      </c>
      <c r="Q1091" s="3">
        <v>707.03</v>
      </c>
      <c r="R1091" s="3">
        <v>0.16</v>
      </c>
      <c r="S1091">
        <v>1</v>
      </c>
      <c r="T1091">
        <v>846.05</v>
      </c>
      <c r="U1091">
        <v>99</v>
      </c>
      <c r="V1091">
        <v>0</v>
      </c>
      <c r="W1091">
        <v>490.12</v>
      </c>
      <c r="X1091">
        <v>1907.68</v>
      </c>
      <c r="Y1091" t="s">
        <v>49</v>
      </c>
      <c r="Z1091" s="3">
        <v>1571.64</v>
      </c>
      <c r="AA1091" t="s">
        <v>51</v>
      </c>
      <c r="AB1091" t="s">
        <v>33</v>
      </c>
      <c r="AC1091">
        <v>7.9</v>
      </c>
      <c r="AD1091" t="s">
        <v>34</v>
      </c>
      <c r="AE1091">
        <v>972.07</v>
      </c>
      <c r="AF1091">
        <v>0</v>
      </c>
    </row>
    <row r="1092" spans="3:32" x14ac:dyDescent="0.35">
      <c r="C1092" s="1">
        <v>44096</v>
      </c>
      <c r="D1092" s="2">
        <v>44075</v>
      </c>
      <c r="E1092">
        <v>1021</v>
      </c>
      <c r="F1092" s="3">
        <v>2953.33</v>
      </c>
      <c r="G1092" s="3">
        <v>1946.2</v>
      </c>
      <c r="H1092" s="3">
        <v>1007.13</v>
      </c>
      <c r="I1092" s="3">
        <v>0.66</v>
      </c>
      <c r="J1092">
        <v>0.06</v>
      </c>
      <c r="K1092">
        <v>3272.99</v>
      </c>
      <c r="L1092" t="s">
        <v>30</v>
      </c>
      <c r="M1092">
        <v>650</v>
      </c>
      <c r="N1092">
        <v>0.36</v>
      </c>
      <c r="O1092" s="3">
        <v>209.71</v>
      </c>
      <c r="P1092" s="3">
        <v>7.0000000000000007E-2</v>
      </c>
      <c r="Q1092" s="3">
        <v>386.85</v>
      </c>
      <c r="R1092" s="3">
        <v>0.13</v>
      </c>
      <c r="S1092">
        <v>7</v>
      </c>
      <c r="T1092">
        <v>945.26</v>
      </c>
      <c r="U1092">
        <v>59</v>
      </c>
      <c r="V1092">
        <v>0</v>
      </c>
      <c r="W1092">
        <v>206.05</v>
      </c>
      <c r="X1092">
        <v>2477.9299999999998</v>
      </c>
      <c r="Y1092" t="s">
        <v>36</v>
      </c>
      <c r="Z1092" s="3">
        <v>1430.46</v>
      </c>
      <c r="AA1092" t="s">
        <v>41</v>
      </c>
      <c r="AB1092" t="s">
        <v>33</v>
      </c>
      <c r="AC1092">
        <v>37.9</v>
      </c>
      <c r="AD1092" t="s">
        <v>43</v>
      </c>
      <c r="AE1092">
        <v>1007.13</v>
      </c>
      <c r="AF1092">
        <v>0</v>
      </c>
    </row>
    <row r="1093" spans="3:32" x14ac:dyDescent="0.35">
      <c r="C1093" s="1">
        <v>44096</v>
      </c>
      <c r="D1093" s="2">
        <v>44075</v>
      </c>
      <c r="E1093">
        <v>1181</v>
      </c>
      <c r="F1093" s="3">
        <v>3009.56</v>
      </c>
      <c r="G1093" s="3">
        <v>2847.89</v>
      </c>
      <c r="H1093" s="3">
        <v>161.66999999999999</v>
      </c>
      <c r="I1093" s="3">
        <v>0.95</v>
      </c>
      <c r="J1093">
        <v>0.28999999999999998</v>
      </c>
      <c r="K1093">
        <v>3127.71</v>
      </c>
      <c r="L1093" t="s">
        <v>35</v>
      </c>
      <c r="M1093">
        <v>633</v>
      </c>
      <c r="N1093">
        <v>0.45</v>
      </c>
      <c r="O1093" s="3">
        <v>275.56</v>
      </c>
      <c r="P1093" s="3">
        <v>0.09</v>
      </c>
      <c r="Q1093" s="3">
        <v>613.74</v>
      </c>
      <c r="R1093" s="3">
        <v>0.2</v>
      </c>
      <c r="S1093">
        <v>8</v>
      </c>
      <c r="T1093">
        <v>523.55999999999995</v>
      </c>
      <c r="U1093">
        <v>39</v>
      </c>
      <c r="V1093">
        <v>0</v>
      </c>
      <c r="W1093">
        <v>585.08000000000004</v>
      </c>
      <c r="X1093">
        <v>1944.23</v>
      </c>
      <c r="Y1093" t="s">
        <v>31</v>
      </c>
      <c r="Z1093" s="3">
        <v>1400.37</v>
      </c>
      <c r="AA1093" t="s">
        <v>47</v>
      </c>
      <c r="AB1093" t="s">
        <v>42</v>
      </c>
      <c r="AC1093">
        <v>4.9000000000000004</v>
      </c>
      <c r="AD1093" t="s">
        <v>43</v>
      </c>
      <c r="AE1093">
        <v>161.66999999999999</v>
      </c>
      <c r="AF1093">
        <v>0</v>
      </c>
    </row>
    <row r="1094" spans="3:32" x14ac:dyDescent="0.35">
      <c r="C1094" s="1">
        <v>44096</v>
      </c>
      <c r="D1094" s="2">
        <v>44075</v>
      </c>
      <c r="E1094">
        <v>1494</v>
      </c>
      <c r="F1094" s="3">
        <v>4296.24</v>
      </c>
      <c r="G1094" s="3">
        <v>3242.82</v>
      </c>
      <c r="H1094" s="3">
        <v>1053.42</v>
      </c>
      <c r="I1094" s="3">
        <v>0.75</v>
      </c>
      <c r="J1094">
        <v>0.06</v>
      </c>
      <c r="K1094">
        <v>2822.19</v>
      </c>
      <c r="L1094" t="s">
        <v>30</v>
      </c>
      <c r="M1094">
        <v>624</v>
      </c>
      <c r="N1094">
        <v>0.33</v>
      </c>
      <c r="O1094" s="3">
        <v>806.83</v>
      </c>
      <c r="P1094" s="3">
        <v>0.19</v>
      </c>
      <c r="Q1094" s="3">
        <v>265.82</v>
      </c>
      <c r="R1094" s="3">
        <v>0.06</v>
      </c>
      <c r="S1094">
        <v>2</v>
      </c>
      <c r="T1094">
        <v>1208.44</v>
      </c>
      <c r="U1094">
        <v>86</v>
      </c>
      <c r="V1094">
        <v>0</v>
      </c>
      <c r="W1094">
        <v>586.41999999999996</v>
      </c>
      <c r="X1094">
        <v>1587.63</v>
      </c>
      <c r="Y1094" t="s">
        <v>31</v>
      </c>
      <c r="Z1094" s="3">
        <v>421.82</v>
      </c>
      <c r="AA1094" t="s">
        <v>50</v>
      </c>
      <c r="AB1094" t="s">
        <v>33</v>
      </c>
      <c r="AC1094">
        <v>39.6</v>
      </c>
      <c r="AD1094" t="s">
        <v>34</v>
      </c>
      <c r="AE1094">
        <v>1053.42</v>
      </c>
      <c r="AF1094">
        <v>0</v>
      </c>
    </row>
    <row r="1095" spans="3:32" x14ac:dyDescent="0.35">
      <c r="C1095" s="1">
        <v>44096</v>
      </c>
      <c r="D1095" s="2">
        <v>44075</v>
      </c>
      <c r="E1095">
        <v>1295</v>
      </c>
      <c r="F1095" s="3">
        <v>5057.29</v>
      </c>
      <c r="G1095" s="3">
        <v>3549.91</v>
      </c>
      <c r="H1095" s="3">
        <v>1507.38</v>
      </c>
      <c r="I1095" s="3">
        <v>0.7</v>
      </c>
      <c r="J1095">
        <v>0.37</v>
      </c>
      <c r="K1095">
        <v>2770.46</v>
      </c>
      <c r="L1095" t="s">
        <v>35</v>
      </c>
      <c r="M1095">
        <v>690</v>
      </c>
      <c r="N1095">
        <v>0.11</v>
      </c>
      <c r="O1095" s="3">
        <v>0</v>
      </c>
      <c r="P1095" s="3">
        <v>0</v>
      </c>
      <c r="Q1095" s="3">
        <v>436.45</v>
      </c>
      <c r="R1095" s="3">
        <v>0.09</v>
      </c>
      <c r="S1095">
        <v>8</v>
      </c>
      <c r="T1095">
        <v>934.99</v>
      </c>
      <c r="U1095">
        <v>50</v>
      </c>
      <c r="V1095">
        <v>0</v>
      </c>
      <c r="W1095">
        <v>361.84</v>
      </c>
      <c r="X1095">
        <v>1533.41</v>
      </c>
      <c r="Y1095" t="s">
        <v>36</v>
      </c>
      <c r="Z1095" s="3">
        <v>1269.6199999999999</v>
      </c>
      <c r="AA1095" t="s">
        <v>50</v>
      </c>
      <c r="AB1095" t="s">
        <v>42</v>
      </c>
      <c r="AC1095">
        <v>18.7</v>
      </c>
      <c r="AD1095" t="s">
        <v>38</v>
      </c>
      <c r="AE1095">
        <v>1507.38</v>
      </c>
      <c r="AF1095">
        <v>0</v>
      </c>
    </row>
    <row r="1096" spans="3:32" x14ac:dyDescent="0.35">
      <c r="C1096" s="1">
        <v>44096</v>
      </c>
      <c r="D1096" s="2">
        <v>44075</v>
      </c>
      <c r="E1096">
        <v>1501</v>
      </c>
      <c r="F1096" s="3">
        <v>6066.1</v>
      </c>
      <c r="G1096" s="3">
        <v>4571.76</v>
      </c>
      <c r="H1096" s="3">
        <v>1494.34</v>
      </c>
      <c r="I1096" s="3">
        <v>0.75</v>
      </c>
      <c r="J1096">
        <v>0.36</v>
      </c>
      <c r="K1096">
        <v>3087.54</v>
      </c>
      <c r="L1096" t="s">
        <v>35</v>
      </c>
      <c r="M1096">
        <v>670</v>
      </c>
      <c r="N1096">
        <v>0.12</v>
      </c>
      <c r="O1096" s="3">
        <v>690.67</v>
      </c>
      <c r="P1096" s="3">
        <v>0.11</v>
      </c>
      <c r="Q1096" s="3">
        <v>522.01</v>
      </c>
      <c r="R1096" s="3">
        <v>0.09</v>
      </c>
      <c r="S1096">
        <v>3</v>
      </c>
      <c r="T1096">
        <v>638.91999999999996</v>
      </c>
      <c r="U1096">
        <v>51</v>
      </c>
      <c r="V1096">
        <v>0</v>
      </c>
      <c r="W1096">
        <v>748.75</v>
      </c>
      <c r="X1096">
        <v>2416.9899999999998</v>
      </c>
      <c r="Y1096" t="s">
        <v>36</v>
      </c>
      <c r="Z1096" s="3">
        <v>1100.56</v>
      </c>
      <c r="AA1096" t="s">
        <v>51</v>
      </c>
      <c r="AB1096" t="s">
        <v>33</v>
      </c>
      <c r="AC1096">
        <v>42.3</v>
      </c>
      <c r="AD1096" t="s">
        <v>43</v>
      </c>
      <c r="AE1096">
        <v>1494.34</v>
      </c>
      <c r="AF1096">
        <v>0</v>
      </c>
    </row>
    <row r="1097" spans="3:32" x14ac:dyDescent="0.35">
      <c r="C1097" s="1">
        <v>44096</v>
      </c>
      <c r="D1097" s="2">
        <v>44075</v>
      </c>
      <c r="E1097">
        <v>1896</v>
      </c>
      <c r="F1097" s="3">
        <v>3623.36</v>
      </c>
      <c r="G1097" s="3">
        <v>3528.04</v>
      </c>
      <c r="H1097" s="3">
        <v>95.32</v>
      </c>
      <c r="I1097" s="3">
        <v>0.97</v>
      </c>
      <c r="J1097">
        <v>0.38</v>
      </c>
      <c r="K1097">
        <v>2213.4699999999998</v>
      </c>
      <c r="L1097" t="s">
        <v>35</v>
      </c>
      <c r="M1097">
        <v>668</v>
      </c>
      <c r="N1097">
        <v>0.24</v>
      </c>
      <c r="O1097" s="3">
        <v>393.33</v>
      </c>
      <c r="P1097" s="3">
        <v>0.11</v>
      </c>
      <c r="Q1097" s="3">
        <v>579.28</v>
      </c>
      <c r="R1097" s="3">
        <v>0.16</v>
      </c>
      <c r="S1097">
        <v>3</v>
      </c>
      <c r="T1097">
        <v>1738.23</v>
      </c>
      <c r="U1097">
        <v>34</v>
      </c>
      <c r="V1097">
        <v>0</v>
      </c>
      <c r="W1097">
        <v>645.86</v>
      </c>
      <c r="X1097">
        <v>2373.8000000000002</v>
      </c>
      <c r="Y1097" t="s">
        <v>31</v>
      </c>
      <c r="Z1097" s="3">
        <v>977.71</v>
      </c>
      <c r="AA1097" t="s">
        <v>46</v>
      </c>
      <c r="AB1097" t="s">
        <v>33</v>
      </c>
      <c r="AC1097">
        <v>32.799999999999997</v>
      </c>
      <c r="AD1097" t="s">
        <v>34</v>
      </c>
      <c r="AE1097">
        <v>95.32</v>
      </c>
      <c r="AF1097">
        <v>0</v>
      </c>
    </row>
    <row r="1098" spans="3:32" x14ac:dyDescent="0.35">
      <c r="C1098" s="1">
        <v>44096</v>
      </c>
      <c r="D1098" s="2">
        <v>44075</v>
      </c>
      <c r="E1098">
        <v>1237</v>
      </c>
      <c r="F1098" s="3">
        <v>4942.76</v>
      </c>
      <c r="G1098" s="3">
        <v>2125.2800000000002</v>
      </c>
      <c r="H1098" s="3">
        <v>2817.48</v>
      </c>
      <c r="I1098" s="3">
        <v>0.43</v>
      </c>
      <c r="J1098">
        <v>0.25</v>
      </c>
      <c r="K1098">
        <v>3072.48</v>
      </c>
      <c r="L1098" t="s">
        <v>35</v>
      </c>
      <c r="M1098">
        <v>718</v>
      </c>
      <c r="N1098">
        <v>0.55000000000000004</v>
      </c>
      <c r="O1098" s="3">
        <v>381.53</v>
      </c>
      <c r="P1098" s="3">
        <v>0.08</v>
      </c>
      <c r="Q1098" s="3">
        <v>575.14</v>
      </c>
      <c r="R1098" s="3">
        <v>0.12</v>
      </c>
      <c r="S1098">
        <v>6</v>
      </c>
      <c r="T1098">
        <v>1280.06</v>
      </c>
      <c r="U1098">
        <v>78</v>
      </c>
      <c r="V1098">
        <v>0</v>
      </c>
      <c r="W1098">
        <v>568.26</v>
      </c>
      <c r="X1098">
        <v>2819.31</v>
      </c>
      <c r="Y1098" t="s">
        <v>36</v>
      </c>
      <c r="Z1098" s="3">
        <v>1942.2</v>
      </c>
      <c r="AA1098" t="s">
        <v>51</v>
      </c>
      <c r="AB1098" t="s">
        <v>33</v>
      </c>
      <c r="AC1098">
        <v>80.3</v>
      </c>
      <c r="AD1098" t="s">
        <v>38</v>
      </c>
      <c r="AE1098">
        <v>2817.48</v>
      </c>
      <c r="AF1098">
        <v>0</v>
      </c>
    </row>
    <row r="1099" spans="3:32" x14ac:dyDescent="0.35">
      <c r="C1099" s="1">
        <v>44096</v>
      </c>
      <c r="D1099" s="2">
        <v>44075</v>
      </c>
      <c r="E1099">
        <v>1726</v>
      </c>
      <c r="F1099" s="3">
        <v>5189.83</v>
      </c>
      <c r="G1099" s="3">
        <v>3776.52</v>
      </c>
      <c r="H1099" s="3">
        <v>1413.31</v>
      </c>
      <c r="I1099" s="3">
        <v>0.73</v>
      </c>
      <c r="J1099">
        <v>0.39</v>
      </c>
      <c r="K1099">
        <v>3373.01</v>
      </c>
      <c r="L1099" t="s">
        <v>39</v>
      </c>
      <c r="M1099">
        <v>717</v>
      </c>
      <c r="N1099">
        <v>0.17</v>
      </c>
      <c r="O1099" s="3">
        <v>382.35</v>
      </c>
      <c r="P1099" s="3">
        <v>7.0000000000000007E-2</v>
      </c>
      <c r="Q1099" s="3">
        <v>356.08</v>
      </c>
      <c r="R1099" s="3">
        <v>7.0000000000000007E-2</v>
      </c>
      <c r="S1099">
        <v>4</v>
      </c>
      <c r="T1099">
        <v>525.89</v>
      </c>
      <c r="U1099">
        <v>68</v>
      </c>
      <c r="V1099">
        <v>0</v>
      </c>
      <c r="W1099">
        <v>453.29</v>
      </c>
      <c r="X1099">
        <v>2092.46</v>
      </c>
      <c r="Y1099" t="s">
        <v>31</v>
      </c>
      <c r="Z1099" s="3">
        <v>1293.29</v>
      </c>
      <c r="AA1099" t="s">
        <v>32</v>
      </c>
      <c r="AB1099" t="s">
        <v>33</v>
      </c>
      <c r="AC1099">
        <v>23.9</v>
      </c>
      <c r="AD1099" t="s">
        <v>43</v>
      </c>
      <c r="AE1099">
        <v>1413.31</v>
      </c>
      <c r="AF1099">
        <v>0</v>
      </c>
    </row>
    <row r="1100" spans="3:32" x14ac:dyDescent="0.35">
      <c r="C1100" s="1">
        <v>44096</v>
      </c>
      <c r="D1100" s="2">
        <v>44075</v>
      </c>
      <c r="E1100">
        <v>1971</v>
      </c>
      <c r="F1100" s="3">
        <v>4527.09</v>
      </c>
      <c r="G1100" s="3">
        <v>3459.57</v>
      </c>
      <c r="H1100" s="3">
        <v>1067.52</v>
      </c>
      <c r="I1100" s="3">
        <v>0.76</v>
      </c>
      <c r="J1100">
        <v>0.12</v>
      </c>
      <c r="K1100">
        <v>2571.35</v>
      </c>
      <c r="L1100" t="s">
        <v>39</v>
      </c>
      <c r="M1100">
        <v>658</v>
      </c>
      <c r="N1100">
        <v>0.45</v>
      </c>
      <c r="O1100" s="3">
        <v>633.83000000000004</v>
      </c>
      <c r="P1100" s="3">
        <v>0.14000000000000001</v>
      </c>
      <c r="Q1100" s="3">
        <v>884.1</v>
      </c>
      <c r="R1100" s="3">
        <v>0.2</v>
      </c>
      <c r="S1100">
        <v>1</v>
      </c>
      <c r="T1100">
        <v>327.58</v>
      </c>
      <c r="U1100">
        <v>22</v>
      </c>
      <c r="V1100">
        <v>0</v>
      </c>
      <c r="W1100">
        <v>175.03</v>
      </c>
      <c r="X1100">
        <v>1838.21</v>
      </c>
      <c r="Y1100" t="s">
        <v>36</v>
      </c>
      <c r="Z1100" s="3">
        <v>1245.8399999999999</v>
      </c>
      <c r="AA1100" t="s">
        <v>51</v>
      </c>
      <c r="AB1100" t="s">
        <v>33</v>
      </c>
      <c r="AC1100">
        <v>97.5</v>
      </c>
      <c r="AD1100" t="s">
        <v>34</v>
      </c>
      <c r="AE1100">
        <v>1067.52</v>
      </c>
      <c r="AF1100">
        <v>0</v>
      </c>
    </row>
    <row r="1101" spans="3:32" x14ac:dyDescent="0.35">
      <c r="C1101" s="1">
        <v>44096</v>
      </c>
      <c r="D1101" s="2">
        <v>44075</v>
      </c>
      <c r="E1101">
        <v>1384</v>
      </c>
      <c r="F1101" s="3">
        <v>5436.27</v>
      </c>
      <c r="G1101" s="3">
        <v>2985.14</v>
      </c>
      <c r="H1101" s="3">
        <v>2451.13</v>
      </c>
      <c r="I1101" s="3">
        <v>0.55000000000000004</v>
      </c>
      <c r="J1101">
        <v>0.36</v>
      </c>
      <c r="K1101">
        <v>1934.64</v>
      </c>
      <c r="L1101" t="s">
        <v>35</v>
      </c>
      <c r="M1101">
        <v>661</v>
      </c>
      <c r="N1101">
        <v>0.45</v>
      </c>
      <c r="O1101" s="3">
        <v>438.7</v>
      </c>
      <c r="P1101" s="3">
        <v>0.08</v>
      </c>
      <c r="Q1101" s="3">
        <v>409.32</v>
      </c>
      <c r="R1101" s="3">
        <v>0.08</v>
      </c>
      <c r="S1101">
        <v>1</v>
      </c>
      <c r="T1101">
        <v>1264.3599999999999</v>
      </c>
      <c r="U1101">
        <v>93</v>
      </c>
      <c r="V1101">
        <v>0</v>
      </c>
      <c r="W1101">
        <v>601.30999999999995</v>
      </c>
      <c r="X1101">
        <v>2246.11</v>
      </c>
      <c r="Y1101" t="s">
        <v>36</v>
      </c>
      <c r="Z1101" s="3">
        <v>1588.28</v>
      </c>
      <c r="AA1101" t="s">
        <v>47</v>
      </c>
      <c r="AB1101" t="s">
        <v>42</v>
      </c>
      <c r="AC1101">
        <v>83.1</v>
      </c>
      <c r="AD1101" t="s">
        <v>43</v>
      </c>
      <c r="AE1101">
        <v>2451.13</v>
      </c>
      <c r="AF1101">
        <v>1</v>
      </c>
    </row>
    <row r="1102" spans="3:32" x14ac:dyDescent="0.35">
      <c r="C1102" s="1">
        <v>44126</v>
      </c>
      <c r="D1102" s="2">
        <v>44105</v>
      </c>
      <c r="E1102">
        <v>1879</v>
      </c>
      <c r="F1102" s="3">
        <v>5136.8500000000004</v>
      </c>
      <c r="G1102" s="3">
        <v>2474.84</v>
      </c>
      <c r="H1102" s="3">
        <v>2662.01</v>
      </c>
      <c r="I1102" s="3">
        <v>0.48</v>
      </c>
      <c r="J1102">
        <v>0.28000000000000003</v>
      </c>
      <c r="K1102">
        <v>2837.11</v>
      </c>
      <c r="L1102" t="s">
        <v>30</v>
      </c>
      <c r="M1102">
        <v>694</v>
      </c>
      <c r="N1102">
        <v>0.25</v>
      </c>
      <c r="O1102" s="3">
        <v>428.59</v>
      </c>
      <c r="P1102" s="3">
        <v>0.08</v>
      </c>
      <c r="Q1102" s="3">
        <v>529.61</v>
      </c>
      <c r="R1102" s="3">
        <v>0.1</v>
      </c>
      <c r="S1102">
        <v>7</v>
      </c>
      <c r="T1102">
        <v>1045.6099999999999</v>
      </c>
      <c r="U1102">
        <v>64</v>
      </c>
      <c r="V1102">
        <v>0</v>
      </c>
      <c r="W1102">
        <v>435.07</v>
      </c>
      <c r="X1102">
        <v>2900.43</v>
      </c>
      <c r="Y1102" t="s">
        <v>36</v>
      </c>
      <c r="Z1102" s="3">
        <v>943.32</v>
      </c>
      <c r="AA1102" t="s">
        <v>47</v>
      </c>
      <c r="AB1102" t="s">
        <v>42</v>
      </c>
      <c r="AC1102">
        <v>81.400000000000006</v>
      </c>
      <c r="AD1102" t="s">
        <v>34</v>
      </c>
      <c r="AE1102">
        <v>2662.01</v>
      </c>
      <c r="AF1102">
        <v>0</v>
      </c>
    </row>
    <row r="1103" spans="3:32" x14ac:dyDescent="0.35">
      <c r="C1103" s="1">
        <v>44126</v>
      </c>
      <c r="D1103" s="2">
        <v>44105</v>
      </c>
      <c r="E1103">
        <v>1306</v>
      </c>
      <c r="F1103" s="3">
        <v>4108.07</v>
      </c>
      <c r="G1103" s="3">
        <v>2591.19</v>
      </c>
      <c r="H1103" s="3">
        <v>1516.88</v>
      </c>
      <c r="I1103" s="3">
        <v>0.63</v>
      </c>
      <c r="J1103">
        <v>0.2</v>
      </c>
      <c r="K1103">
        <v>3900.31</v>
      </c>
      <c r="L1103" t="s">
        <v>39</v>
      </c>
      <c r="M1103">
        <v>668</v>
      </c>
      <c r="N1103">
        <v>0.1</v>
      </c>
      <c r="O1103" s="3">
        <v>298.17</v>
      </c>
      <c r="P1103" s="3">
        <v>7.0000000000000007E-2</v>
      </c>
      <c r="Q1103" s="3">
        <v>41.32</v>
      </c>
      <c r="R1103" s="3">
        <v>0.01</v>
      </c>
      <c r="S1103">
        <v>2</v>
      </c>
      <c r="T1103">
        <v>669.87</v>
      </c>
      <c r="U1103">
        <v>76</v>
      </c>
      <c r="V1103">
        <v>0</v>
      </c>
      <c r="W1103">
        <v>400.19</v>
      </c>
      <c r="X1103">
        <v>2157.7600000000002</v>
      </c>
      <c r="Y1103" t="s">
        <v>36</v>
      </c>
      <c r="Z1103" s="3">
        <v>1484.8</v>
      </c>
      <c r="AA1103" t="s">
        <v>41</v>
      </c>
      <c r="AB1103" t="s">
        <v>33</v>
      </c>
      <c r="AC1103">
        <v>28.8</v>
      </c>
      <c r="AD1103" t="s">
        <v>43</v>
      </c>
      <c r="AE1103">
        <v>1516.88</v>
      </c>
      <c r="AF1103">
        <v>0</v>
      </c>
    </row>
    <row r="1104" spans="3:32" x14ac:dyDescent="0.35">
      <c r="C1104" s="1">
        <v>44126</v>
      </c>
      <c r="D1104" s="2">
        <v>44105</v>
      </c>
      <c r="E1104">
        <v>1538</v>
      </c>
      <c r="F1104" s="3">
        <v>5275.13</v>
      </c>
      <c r="G1104" s="3">
        <v>2932.46</v>
      </c>
      <c r="H1104" s="3">
        <v>2342.67</v>
      </c>
      <c r="I1104" s="3">
        <v>0.56000000000000005</v>
      </c>
      <c r="J1104">
        <v>0.31</v>
      </c>
      <c r="K1104">
        <v>3945.1</v>
      </c>
      <c r="L1104" t="s">
        <v>35</v>
      </c>
      <c r="M1104">
        <v>661</v>
      </c>
      <c r="N1104">
        <v>0.4</v>
      </c>
      <c r="O1104" s="3">
        <v>743.21</v>
      </c>
      <c r="P1104" s="3">
        <v>0.14000000000000001</v>
      </c>
      <c r="Q1104" s="3">
        <v>264.14999999999998</v>
      </c>
      <c r="R1104" s="3">
        <v>0.05</v>
      </c>
      <c r="S1104">
        <v>9</v>
      </c>
      <c r="T1104">
        <v>766.96</v>
      </c>
      <c r="U1104">
        <v>87</v>
      </c>
      <c r="V1104">
        <v>0</v>
      </c>
      <c r="W1104">
        <v>284.43</v>
      </c>
      <c r="X1104">
        <v>1907.7</v>
      </c>
      <c r="Y1104" t="s">
        <v>36</v>
      </c>
      <c r="Z1104" s="3">
        <v>1290.68</v>
      </c>
      <c r="AA1104" t="s">
        <v>45</v>
      </c>
      <c r="AB1104" t="s">
        <v>33</v>
      </c>
      <c r="AC1104">
        <v>9.8000000000000007</v>
      </c>
      <c r="AD1104" t="s">
        <v>34</v>
      </c>
      <c r="AE1104">
        <v>2342.67</v>
      </c>
      <c r="AF1104">
        <v>0</v>
      </c>
    </row>
    <row r="1105" spans="3:32" x14ac:dyDescent="0.35">
      <c r="C1105" s="1">
        <v>44126</v>
      </c>
      <c r="D1105" s="2">
        <v>44105</v>
      </c>
      <c r="E1105">
        <v>1971</v>
      </c>
      <c r="F1105" s="3">
        <v>3400.45</v>
      </c>
      <c r="G1105" s="3">
        <v>2751.58</v>
      </c>
      <c r="H1105" s="3">
        <v>648.87</v>
      </c>
      <c r="I1105" s="3">
        <v>0.81</v>
      </c>
      <c r="J1105">
        <v>0.28999999999999998</v>
      </c>
      <c r="K1105">
        <v>3033.65</v>
      </c>
      <c r="L1105" t="s">
        <v>35</v>
      </c>
      <c r="M1105">
        <v>767</v>
      </c>
      <c r="N1105">
        <v>0.51</v>
      </c>
      <c r="O1105" s="3">
        <v>374.47</v>
      </c>
      <c r="P1105" s="3">
        <v>0.11</v>
      </c>
      <c r="Q1105" s="3">
        <v>0</v>
      </c>
      <c r="R1105" s="3">
        <v>0</v>
      </c>
      <c r="S1105">
        <v>2</v>
      </c>
      <c r="T1105">
        <v>941.59</v>
      </c>
      <c r="U1105">
        <v>39</v>
      </c>
      <c r="V1105">
        <v>0</v>
      </c>
      <c r="W1105">
        <v>798.83</v>
      </c>
      <c r="X1105">
        <v>2362.15</v>
      </c>
      <c r="Y1105" t="s">
        <v>36</v>
      </c>
      <c r="Z1105" s="3">
        <v>1239.8399999999999</v>
      </c>
      <c r="AA1105" t="s">
        <v>41</v>
      </c>
      <c r="AB1105" t="s">
        <v>42</v>
      </c>
      <c r="AC1105">
        <v>1.7</v>
      </c>
      <c r="AD1105" t="s">
        <v>43</v>
      </c>
      <c r="AE1105">
        <v>648.87</v>
      </c>
      <c r="AF1105">
        <v>0</v>
      </c>
    </row>
    <row r="1106" spans="3:32" x14ac:dyDescent="0.35">
      <c r="C1106" s="1">
        <v>44126</v>
      </c>
      <c r="D1106" s="2">
        <v>44105</v>
      </c>
      <c r="E1106">
        <v>1219</v>
      </c>
      <c r="F1106" s="3">
        <v>3914.16</v>
      </c>
      <c r="G1106" s="3">
        <v>2159.9699999999998</v>
      </c>
      <c r="H1106" s="3">
        <v>1754.19</v>
      </c>
      <c r="I1106" s="3">
        <v>0.55000000000000004</v>
      </c>
      <c r="J1106">
        <v>0.28000000000000003</v>
      </c>
      <c r="K1106">
        <v>2840.27</v>
      </c>
      <c r="L1106" t="s">
        <v>39</v>
      </c>
      <c r="M1106">
        <v>648</v>
      </c>
      <c r="N1106">
        <v>0.37</v>
      </c>
      <c r="O1106" s="3">
        <v>477.05</v>
      </c>
      <c r="P1106" s="3">
        <v>0.12</v>
      </c>
      <c r="Q1106" s="3">
        <v>407.84</v>
      </c>
      <c r="R1106" s="3">
        <v>0.1</v>
      </c>
      <c r="S1106">
        <v>5</v>
      </c>
      <c r="T1106">
        <v>1458.76</v>
      </c>
      <c r="U1106">
        <v>75</v>
      </c>
      <c r="V1106">
        <v>0</v>
      </c>
      <c r="W1106">
        <v>486.96</v>
      </c>
      <c r="X1106">
        <v>2272.1799999999998</v>
      </c>
      <c r="Y1106" t="s">
        <v>36</v>
      </c>
      <c r="Z1106" s="3">
        <v>1344.01</v>
      </c>
      <c r="AA1106" t="s">
        <v>32</v>
      </c>
      <c r="AB1106" t="s">
        <v>33</v>
      </c>
      <c r="AC1106">
        <v>80.3</v>
      </c>
      <c r="AD1106" t="s">
        <v>34</v>
      </c>
      <c r="AE1106">
        <v>1754.19</v>
      </c>
      <c r="AF1106">
        <v>0</v>
      </c>
    </row>
    <row r="1107" spans="3:32" x14ac:dyDescent="0.35">
      <c r="C1107" s="1">
        <v>44126</v>
      </c>
      <c r="D1107" s="2">
        <v>44105</v>
      </c>
      <c r="E1107">
        <v>1718</v>
      </c>
      <c r="F1107" s="3">
        <v>3212.02</v>
      </c>
      <c r="G1107" s="3">
        <v>3857.04</v>
      </c>
      <c r="H1107" s="3">
        <v>-645.02</v>
      </c>
      <c r="I1107" s="3">
        <v>1.2</v>
      </c>
      <c r="J1107">
        <v>0.35</v>
      </c>
      <c r="K1107">
        <v>2961.51</v>
      </c>
      <c r="L1107" t="s">
        <v>30</v>
      </c>
      <c r="M1107">
        <v>663</v>
      </c>
      <c r="N1107">
        <v>0.5</v>
      </c>
      <c r="O1107" s="3">
        <v>497.59</v>
      </c>
      <c r="P1107" s="3">
        <v>0.15</v>
      </c>
      <c r="Q1107" s="3">
        <v>122.72</v>
      </c>
      <c r="R1107" s="3">
        <v>0.04</v>
      </c>
      <c r="S1107">
        <v>1</v>
      </c>
      <c r="T1107">
        <v>864.64</v>
      </c>
      <c r="U1107">
        <v>99</v>
      </c>
      <c r="V1107">
        <v>0</v>
      </c>
      <c r="W1107">
        <v>748.54</v>
      </c>
      <c r="X1107">
        <v>2301.04</v>
      </c>
      <c r="Y1107" t="s">
        <v>36</v>
      </c>
      <c r="Z1107" s="3">
        <v>1396.57</v>
      </c>
      <c r="AA1107" t="s">
        <v>37</v>
      </c>
      <c r="AB1107" t="s">
        <v>33</v>
      </c>
      <c r="AC1107">
        <v>47.3</v>
      </c>
      <c r="AD1107" t="s">
        <v>34</v>
      </c>
      <c r="AE1107">
        <v>0</v>
      </c>
      <c r="AF1107">
        <v>0</v>
      </c>
    </row>
    <row r="1108" spans="3:32" x14ac:dyDescent="0.35">
      <c r="C1108" s="1">
        <v>44126</v>
      </c>
      <c r="D1108" s="2">
        <v>44105</v>
      </c>
      <c r="E1108">
        <v>1180</v>
      </c>
      <c r="F1108" s="3">
        <v>4083.51</v>
      </c>
      <c r="G1108" s="3">
        <v>1994.34</v>
      </c>
      <c r="H1108" s="3">
        <v>2089.17</v>
      </c>
      <c r="I1108" s="3">
        <v>0.49</v>
      </c>
      <c r="J1108">
        <v>7.0000000000000007E-2</v>
      </c>
      <c r="K1108">
        <v>3024.39</v>
      </c>
      <c r="L1108" t="s">
        <v>35</v>
      </c>
      <c r="M1108">
        <v>674</v>
      </c>
      <c r="N1108">
        <v>0.5</v>
      </c>
      <c r="O1108" s="3">
        <v>102.63</v>
      </c>
      <c r="P1108" s="3">
        <v>0.03</v>
      </c>
      <c r="Q1108" s="3">
        <v>809.73</v>
      </c>
      <c r="R1108" s="3">
        <v>0.2</v>
      </c>
      <c r="S1108">
        <v>1</v>
      </c>
      <c r="T1108">
        <v>1321.43</v>
      </c>
      <c r="U1108">
        <v>45</v>
      </c>
      <c r="V1108">
        <v>0</v>
      </c>
      <c r="W1108">
        <v>690.09</v>
      </c>
      <c r="X1108">
        <v>2266.31</v>
      </c>
      <c r="Y1108" t="s">
        <v>36</v>
      </c>
      <c r="Z1108" s="3">
        <v>1685.53</v>
      </c>
      <c r="AA1108" t="s">
        <v>48</v>
      </c>
      <c r="AB1108" t="s">
        <v>33</v>
      </c>
      <c r="AC1108">
        <v>55.2</v>
      </c>
      <c r="AD1108" t="s">
        <v>34</v>
      </c>
      <c r="AE1108">
        <v>2089.17</v>
      </c>
      <c r="AF1108">
        <v>0</v>
      </c>
    </row>
    <row r="1109" spans="3:32" x14ac:dyDescent="0.35">
      <c r="C1109" s="1">
        <v>44126</v>
      </c>
      <c r="D1109" s="2">
        <v>44105</v>
      </c>
      <c r="E1109">
        <v>1083</v>
      </c>
      <c r="F1109" s="3">
        <v>4504.3599999999997</v>
      </c>
      <c r="G1109" s="3">
        <v>3433.1</v>
      </c>
      <c r="H1109" s="3">
        <v>1071.26</v>
      </c>
      <c r="I1109" s="3">
        <v>0.76</v>
      </c>
      <c r="J1109">
        <v>0.28999999999999998</v>
      </c>
      <c r="K1109">
        <v>3309.33</v>
      </c>
      <c r="L1109" t="s">
        <v>35</v>
      </c>
      <c r="M1109">
        <v>643</v>
      </c>
      <c r="N1109">
        <v>0.31</v>
      </c>
      <c r="O1109" s="3">
        <v>673.7</v>
      </c>
      <c r="P1109" s="3">
        <v>0.15</v>
      </c>
      <c r="Q1109" s="3">
        <v>291.43</v>
      </c>
      <c r="R1109" s="3">
        <v>0.06</v>
      </c>
      <c r="S1109">
        <v>5</v>
      </c>
      <c r="T1109">
        <v>1503</v>
      </c>
      <c r="U1109">
        <v>61</v>
      </c>
      <c r="V1109">
        <v>0</v>
      </c>
      <c r="W1109">
        <v>458.21</v>
      </c>
      <c r="X1109">
        <v>1580.99</v>
      </c>
      <c r="Y1109" t="s">
        <v>31</v>
      </c>
      <c r="Z1109" s="3">
        <v>1066.57</v>
      </c>
      <c r="AA1109" t="s">
        <v>47</v>
      </c>
      <c r="AB1109" t="s">
        <v>33</v>
      </c>
      <c r="AC1109">
        <v>28.1</v>
      </c>
      <c r="AD1109" t="s">
        <v>43</v>
      </c>
      <c r="AE1109">
        <v>1071.26</v>
      </c>
      <c r="AF1109">
        <v>0</v>
      </c>
    </row>
    <row r="1110" spans="3:32" x14ac:dyDescent="0.35">
      <c r="C1110" s="1">
        <v>44126</v>
      </c>
      <c r="D1110" s="2">
        <v>44105</v>
      </c>
      <c r="E1110">
        <v>1744</v>
      </c>
      <c r="F1110" s="3">
        <v>3222.12</v>
      </c>
      <c r="G1110" s="3">
        <v>2134.54</v>
      </c>
      <c r="H1110" s="3">
        <v>1087.58</v>
      </c>
      <c r="I1110" s="3">
        <v>0.66</v>
      </c>
      <c r="J1110">
        <v>0.06</v>
      </c>
      <c r="K1110">
        <v>3568.2</v>
      </c>
      <c r="L1110" t="s">
        <v>30</v>
      </c>
      <c r="M1110">
        <v>637</v>
      </c>
      <c r="N1110">
        <v>0.56999999999999995</v>
      </c>
      <c r="O1110" s="3">
        <v>819.75</v>
      </c>
      <c r="P1110" s="3">
        <v>0.25</v>
      </c>
      <c r="Q1110" s="3">
        <v>173.91</v>
      </c>
      <c r="R1110" s="3">
        <v>0.05</v>
      </c>
      <c r="S1110">
        <v>3</v>
      </c>
      <c r="T1110">
        <v>792.02</v>
      </c>
      <c r="U1110">
        <v>46</v>
      </c>
      <c r="V1110">
        <v>0</v>
      </c>
      <c r="W1110">
        <v>451.63</v>
      </c>
      <c r="X1110">
        <v>1913.58</v>
      </c>
      <c r="Y1110" t="s">
        <v>36</v>
      </c>
      <c r="Z1110" s="3">
        <v>933.53</v>
      </c>
      <c r="AA1110" t="s">
        <v>46</v>
      </c>
      <c r="AB1110" t="s">
        <v>33</v>
      </c>
      <c r="AC1110">
        <v>1.8</v>
      </c>
      <c r="AD1110" t="s">
        <v>34</v>
      </c>
      <c r="AE1110">
        <v>1087.58</v>
      </c>
      <c r="AF1110">
        <v>0</v>
      </c>
    </row>
    <row r="1111" spans="3:32" x14ac:dyDescent="0.35">
      <c r="C1111" s="1">
        <v>44126</v>
      </c>
      <c r="D1111" s="2">
        <v>44105</v>
      </c>
      <c r="E1111">
        <v>1216</v>
      </c>
      <c r="F1111" s="3">
        <v>3150.61</v>
      </c>
      <c r="G1111" s="3">
        <v>3013.26</v>
      </c>
      <c r="H1111" s="3">
        <v>137.35</v>
      </c>
      <c r="I1111" s="3">
        <v>0.96</v>
      </c>
      <c r="J1111">
        <v>0.09</v>
      </c>
      <c r="K1111">
        <v>2485.44</v>
      </c>
      <c r="L1111" t="s">
        <v>30</v>
      </c>
      <c r="M1111">
        <v>740</v>
      </c>
      <c r="N1111">
        <v>0.28999999999999998</v>
      </c>
      <c r="O1111" s="3">
        <v>545.09</v>
      </c>
      <c r="P1111" s="3">
        <v>0.17</v>
      </c>
      <c r="Q1111" s="3">
        <v>819.49</v>
      </c>
      <c r="R1111" s="3">
        <v>0.26</v>
      </c>
      <c r="S1111">
        <v>5</v>
      </c>
      <c r="T1111">
        <v>1131.02</v>
      </c>
      <c r="U1111">
        <v>94</v>
      </c>
      <c r="V1111">
        <v>0</v>
      </c>
      <c r="W1111">
        <v>620.79999999999995</v>
      </c>
      <c r="X1111">
        <v>1891.48</v>
      </c>
      <c r="Y1111" t="s">
        <v>36</v>
      </c>
      <c r="Z1111" s="3">
        <v>343.21</v>
      </c>
      <c r="AA1111" t="s">
        <v>50</v>
      </c>
      <c r="AB1111" t="s">
        <v>33</v>
      </c>
      <c r="AC1111">
        <v>80.7</v>
      </c>
      <c r="AD1111" t="s">
        <v>34</v>
      </c>
      <c r="AE1111">
        <v>137.35</v>
      </c>
      <c r="AF1111">
        <v>0</v>
      </c>
    </row>
    <row r="1112" spans="3:32" x14ac:dyDescent="0.35">
      <c r="C1112" s="1">
        <v>44126</v>
      </c>
      <c r="D1112" s="2">
        <v>44105</v>
      </c>
      <c r="E1112">
        <v>1161</v>
      </c>
      <c r="F1112" s="3">
        <v>4616.13</v>
      </c>
      <c r="G1112" s="3">
        <v>4008.41</v>
      </c>
      <c r="H1112" s="3">
        <v>607.72</v>
      </c>
      <c r="I1112" s="3">
        <v>0.87</v>
      </c>
      <c r="J1112">
        <v>0.12</v>
      </c>
      <c r="K1112">
        <v>2844.64</v>
      </c>
      <c r="L1112" t="s">
        <v>35</v>
      </c>
      <c r="M1112">
        <v>679</v>
      </c>
      <c r="N1112">
        <v>0.19</v>
      </c>
      <c r="O1112" s="3">
        <v>498.12</v>
      </c>
      <c r="P1112" s="3">
        <v>0.11</v>
      </c>
      <c r="Q1112" s="3">
        <v>398.73</v>
      </c>
      <c r="R1112" s="3">
        <v>0.09</v>
      </c>
      <c r="S1112">
        <v>4</v>
      </c>
      <c r="T1112">
        <v>0</v>
      </c>
      <c r="U1112">
        <v>25</v>
      </c>
      <c r="V1112">
        <v>1</v>
      </c>
      <c r="W1112">
        <v>468.56</v>
      </c>
      <c r="X1112">
        <v>1866.65</v>
      </c>
      <c r="Y1112" t="s">
        <v>36</v>
      </c>
      <c r="Z1112" s="3">
        <v>1365.73</v>
      </c>
      <c r="AA1112" t="s">
        <v>41</v>
      </c>
      <c r="AB1112" t="s">
        <v>33</v>
      </c>
      <c r="AC1112">
        <v>28.5</v>
      </c>
      <c r="AD1112" t="s">
        <v>38</v>
      </c>
      <c r="AE1112">
        <v>607.72</v>
      </c>
      <c r="AF1112">
        <v>0</v>
      </c>
    </row>
    <row r="1113" spans="3:32" x14ac:dyDescent="0.35">
      <c r="C1113" s="1">
        <v>44126</v>
      </c>
      <c r="D1113" s="2">
        <v>44105</v>
      </c>
      <c r="E1113">
        <v>1828</v>
      </c>
      <c r="F1113" s="3">
        <v>3422.1</v>
      </c>
      <c r="G1113" s="3">
        <v>3495.46</v>
      </c>
      <c r="H1113" s="3">
        <v>-73.36</v>
      </c>
      <c r="I1113" s="3">
        <v>1.02</v>
      </c>
      <c r="J1113">
        <v>0.33</v>
      </c>
      <c r="K1113">
        <v>2732.69</v>
      </c>
      <c r="L1113" t="s">
        <v>35</v>
      </c>
      <c r="M1113">
        <v>650</v>
      </c>
      <c r="N1113">
        <v>0.44</v>
      </c>
      <c r="O1113" s="3">
        <v>326.95</v>
      </c>
      <c r="P1113" s="3">
        <v>0.1</v>
      </c>
      <c r="Q1113" s="3">
        <v>335.2</v>
      </c>
      <c r="R1113" s="3">
        <v>0.1</v>
      </c>
      <c r="S1113">
        <v>4</v>
      </c>
      <c r="T1113">
        <v>1129.31</v>
      </c>
      <c r="U1113">
        <v>70</v>
      </c>
      <c r="V1113">
        <v>0</v>
      </c>
      <c r="W1113">
        <v>440.98</v>
      </c>
      <c r="X1113">
        <v>2810.62</v>
      </c>
      <c r="Y1113" t="s">
        <v>36</v>
      </c>
      <c r="Z1113" s="3">
        <v>1327.58</v>
      </c>
      <c r="AA1113" t="s">
        <v>40</v>
      </c>
      <c r="AB1113" t="s">
        <v>33</v>
      </c>
      <c r="AC1113">
        <v>27.2</v>
      </c>
      <c r="AD1113" t="s">
        <v>34</v>
      </c>
      <c r="AE1113">
        <v>0</v>
      </c>
      <c r="AF1113">
        <v>0</v>
      </c>
    </row>
    <row r="1114" spans="3:32" x14ac:dyDescent="0.35">
      <c r="C1114" s="1">
        <v>44126</v>
      </c>
      <c r="D1114" s="2">
        <v>44105</v>
      </c>
      <c r="E1114">
        <v>1312</v>
      </c>
      <c r="F1114" s="3">
        <v>4395.93</v>
      </c>
      <c r="G1114" s="3">
        <v>3657.93</v>
      </c>
      <c r="H1114" s="3">
        <v>738</v>
      </c>
      <c r="I1114" s="3">
        <v>0.83</v>
      </c>
      <c r="J1114">
        <v>0.35</v>
      </c>
      <c r="K1114">
        <v>2922.25</v>
      </c>
      <c r="L1114" t="s">
        <v>30</v>
      </c>
      <c r="M1114">
        <v>722</v>
      </c>
      <c r="N1114">
        <v>0.52</v>
      </c>
      <c r="O1114" s="3">
        <v>812.37</v>
      </c>
      <c r="P1114" s="3">
        <v>0.18</v>
      </c>
      <c r="Q1114" s="3">
        <v>256.77</v>
      </c>
      <c r="R1114" s="3">
        <v>0.06</v>
      </c>
      <c r="S1114">
        <v>7</v>
      </c>
      <c r="T1114">
        <v>436.64</v>
      </c>
      <c r="U1114">
        <v>46</v>
      </c>
      <c r="V1114">
        <v>0</v>
      </c>
      <c r="W1114">
        <v>485.31</v>
      </c>
      <c r="X1114">
        <v>2115.4499999999998</v>
      </c>
      <c r="Y1114" t="s">
        <v>49</v>
      </c>
      <c r="Z1114" s="3">
        <v>1046.93</v>
      </c>
      <c r="AA1114" t="s">
        <v>37</v>
      </c>
      <c r="AB1114" t="s">
        <v>42</v>
      </c>
      <c r="AC1114">
        <v>78.2</v>
      </c>
      <c r="AD1114" t="s">
        <v>34</v>
      </c>
      <c r="AE1114">
        <v>738</v>
      </c>
      <c r="AF1114">
        <v>0</v>
      </c>
    </row>
    <row r="1115" spans="3:32" x14ac:dyDescent="0.35">
      <c r="C1115" s="1">
        <v>44126</v>
      </c>
      <c r="D1115" s="2">
        <v>44105</v>
      </c>
      <c r="E1115">
        <v>1997</v>
      </c>
      <c r="F1115" s="3">
        <v>4838.62</v>
      </c>
      <c r="G1115" s="3">
        <v>3257.9</v>
      </c>
      <c r="H1115" s="3">
        <v>1580.72</v>
      </c>
      <c r="I1115" s="3">
        <v>0.67</v>
      </c>
      <c r="J1115">
        <v>0.21</v>
      </c>
      <c r="K1115">
        <v>1898.3</v>
      </c>
      <c r="L1115" t="s">
        <v>30</v>
      </c>
      <c r="M1115">
        <v>692</v>
      </c>
      <c r="N1115">
        <v>0.6</v>
      </c>
      <c r="O1115" s="3">
        <v>300.2</v>
      </c>
      <c r="P1115" s="3">
        <v>0.06</v>
      </c>
      <c r="Q1115" s="3">
        <v>397.25</v>
      </c>
      <c r="R1115" s="3">
        <v>0.08</v>
      </c>
      <c r="S1115">
        <v>4</v>
      </c>
      <c r="T1115">
        <v>630.59</v>
      </c>
      <c r="U1115">
        <v>35</v>
      </c>
      <c r="V1115">
        <v>0</v>
      </c>
      <c r="W1115">
        <v>365.11</v>
      </c>
      <c r="X1115">
        <v>2172.16</v>
      </c>
      <c r="Y1115" t="s">
        <v>36</v>
      </c>
      <c r="Z1115" s="3">
        <v>1234.96</v>
      </c>
      <c r="AA1115" t="s">
        <v>48</v>
      </c>
      <c r="AB1115" t="s">
        <v>33</v>
      </c>
      <c r="AC1115">
        <v>52.7</v>
      </c>
      <c r="AD1115" t="s">
        <v>34</v>
      </c>
      <c r="AE1115">
        <v>1580.72</v>
      </c>
      <c r="AF1115">
        <v>0</v>
      </c>
    </row>
    <row r="1116" spans="3:32" x14ac:dyDescent="0.35">
      <c r="C1116" s="1">
        <v>44126</v>
      </c>
      <c r="D1116" s="2">
        <v>44105</v>
      </c>
      <c r="E1116">
        <v>1449</v>
      </c>
      <c r="F1116" s="3">
        <v>3999.61</v>
      </c>
      <c r="G1116" s="3">
        <v>2306.46</v>
      </c>
      <c r="H1116" s="3">
        <v>1693.15</v>
      </c>
      <c r="I1116" s="3">
        <v>0.57999999999999996</v>
      </c>
      <c r="J1116">
        <v>0.19</v>
      </c>
      <c r="K1116">
        <v>1948.06</v>
      </c>
      <c r="L1116" t="s">
        <v>39</v>
      </c>
      <c r="M1116">
        <v>621</v>
      </c>
      <c r="N1116">
        <v>0.33</v>
      </c>
      <c r="O1116" s="3">
        <v>631.91999999999996</v>
      </c>
      <c r="P1116" s="3">
        <v>0.16</v>
      </c>
      <c r="Q1116" s="3">
        <v>302.89</v>
      </c>
      <c r="R1116" s="3">
        <v>0.08</v>
      </c>
      <c r="S1116">
        <v>3</v>
      </c>
      <c r="T1116">
        <v>310.95</v>
      </c>
      <c r="U1116">
        <v>84</v>
      </c>
      <c r="V1116">
        <v>0</v>
      </c>
      <c r="W1116">
        <v>712.33</v>
      </c>
      <c r="X1116">
        <v>1000</v>
      </c>
      <c r="Y1116" t="s">
        <v>36</v>
      </c>
      <c r="Z1116" s="3">
        <v>1439.49</v>
      </c>
      <c r="AA1116" t="s">
        <v>45</v>
      </c>
      <c r="AB1116" t="s">
        <v>33</v>
      </c>
      <c r="AC1116">
        <v>13</v>
      </c>
      <c r="AD1116" t="s">
        <v>34</v>
      </c>
      <c r="AE1116">
        <v>1693.15</v>
      </c>
      <c r="AF1116">
        <v>0</v>
      </c>
    </row>
    <row r="1117" spans="3:32" x14ac:dyDescent="0.35">
      <c r="C1117" s="1">
        <v>44126</v>
      </c>
      <c r="D1117" s="2">
        <v>44105</v>
      </c>
      <c r="E1117">
        <v>1390</v>
      </c>
      <c r="F1117" s="3">
        <v>3334.65</v>
      </c>
      <c r="G1117" s="3">
        <v>3458.14</v>
      </c>
      <c r="H1117" s="3">
        <v>-123.49</v>
      </c>
      <c r="I1117" s="3">
        <v>1.04</v>
      </c>
      <c r="J1117">
        <v>0.24</v>
      </c>
      <c r="K1117">
        <v>2337.13</v>
      </c>
      <c r="L1117" t="s">
        <v>35</v>
      </c>
      <c r="M1117">
        <v>670</v>
      </c>
      <c r="N1117">
        <v>0.39</v>
      </c>
      <c r="O1117" s="3">
        <v>728.05</v>
      </c>
      <c r="P1117" s="3">
        <v>0.22</v>
      </c>
      <c r="Q1117" s="3">
        <v>315.16000000000003</v>
      </c>
      <c r="R1117" s="3">
        <v>0.09</v>
      </c>
      <c r="S1117">
        <v>2</v>
      </c>
      <c r="T1117">
        <v>1069.07</v>
      </c>
      <c r="U1117">
        <v>35</v>
      </c>
      <c r="V1117">
        <v>0</v>
      </c>
      <c r="W1117">
        <v>614</v>
      </c>
      <c r="X1117">
        <v>2037.04</v>
      </c>
      <c r="Y1117" t="s">
        <v>36</v>
      </c>
      <c r="Z1117" s="3">
        <v>1191.96</v>
      </c>
      <c r="AA1117" t="s">
        <v>40</v>
      </c>
      <c r="AB1117" t="s">
        <v>33</v>
      </c>
      <c r="AC1117">
        <v>76.5</v>
      </c>
      <c r="AD1117" t="s">
        <v>34</v>
      </c>
      <c r="AE1117">
        <v>0</v>
      </c>
      <c r="AF1117">
        <v>0</v>
      </c>
    </row>
    <row r="1118" spans="3:32" x14ac:dyDescent="0.35">
      <c r="C1118" s="1">
        <v>44126</v>
      </c>
      <c r="D1118" s="2">
        <v>44105</v>
      </c>
      <c r="E1118">
        <v>1031</v>
      </c>
      <c r="F1118" s="3">
        <v>3731.11</v>
      </c>
      <c r="G1118" s="3">
        <v>1565.67</v>
      </c>
      <c r="H1118" s="3">
        <v>2165.44</v>
      </c>
      <c r="I1118" s="3">
        <v>0.42</v>
      </c>
      <c r="J1118">
        <v>0.21</v>
      </c>
      <c r="K1118">
        <v>3027.27</v>
      </c>
      <c r="L1118" t="s">
        <v>39</v>
      </c>
      <c r="M1118">
        <v>757</v>
      </c>
      <c r="N1118">
        <v>0.43</v>
      </c>
      <c r="O1118" s="3">
        <v>554.80999999999995</v>
      </c>
      <c r="P1118" s="3">
        <v>0.15</v>
      </c>
      <c r="Q1118" s="3">
        <v>292.89999999999998</v>
      </c>
      <c r="R1118" s="3">
        <v>0.08</v>
      </c>
      <c r="S1118">
        <v>9</v>
      </c>
      <c r="T1118">
        <v>1509.93</v>
      </c>
      <c r="U1118">
        <v>38</v>
      </c>
      <c r="V1118">
        <v>0</v>
      </c>
      <c r="W1118">
        <v>370.22</v>
      </c>
      <c r="X1118">
        <v>2945.5</v>
      </c>
      <c r="Y1118" t="s">
        <v>36</v>
      </c>
      <c r="Z1118" s="3">
        <v>839.87</v>
      </c>
      <c r="AA1118" t="s">
        <v>41</v>
      </c>
      <c r="AB1118" t="s">
        <v>44</v>
      </c>
      <c r="AC1118">
        <v>66.099999999999994</v>
      </c>
      <c r="AD1118" t="s">
        <v>34</v>
      </c>
      <c r="AE1118">
        <v>2165.44</v>
      </c>
      <c r="AF1118">
        <v>0</v>
      </c>
    </row>
    <row r="1119" spans="3:32" x14ac:dyDescent="0.35">
      <c r="C1119" s="1">
        <v>44126</v>
      </c>
      <c r="D1119" s="2">
        <v>44105</v>
      </c>
      <c r="E1119">
        <v>1842</v>
      </c>
      <c r="F1119" s="3">
        <v>2384.25</v>
      </c>
      <c r="G1119" s="3">
        <v>3799.43</v>
      </c>
      <c r="H1119" s="3">
        <v>-1415.18</v>
      </c>
      <c r="I1119" s="3">
        <v>1.59</v>
      </c>
      <c r="J1119">
        <v>0.39</v>
      </c>
      <c r="K1119">
        <v>2713.04</v>
      </c>
      <c r="L1119" t="s">
        <v>39</v>
      </c>
      <c r="M1119">
        <v>787</v>
      </c>
      <c r="N1119">
        <v>0.14000000000000001</v>
      </c>
      <c r="O1119" s="3">
        <v>549.54</v>
      </c>
      <c r="P1119" s="3">
        <v>0.23</v>
      </c>
      <c r="Q1119" s="3">
        <v>714.83</v>
      </c>
      <c r="R1119" s="3">
        <v>0.3</v>
      </c>
      <c r="S1119">
        <v>8</v>
      </c>
      <c r="T1119">
        <v>0</v>
      </c>
      <c r="U1119">
        <v>31</v>
      </c>
      <c r="V1119">
        <v>0</v>
      </c>
      <c r="W1119">
        <v>803.81</v>
      </c>
      <c r="X1119">
        <v>2437.9699999999998</v>
      </c>
      <c r="Y1119" t="s">
        <v>36</v>
      </c>
      <c r="Z1119" s="3">
        <v>1393.45</v>
      </c>
      <c r="AA1119" t="s">
        <v>51</v>
      </c>
      <c r="AB1119" t="s">
        <v>33</v>
      </c>
      <c r="AC1119">
        <v>7.3</v>
      </c>
      <c r="AD1119" t="s">
        <v>38</v>
      </c>
      <c r="AE1119">
        <v>0</v>
      </c>
      <c r="AF1119">
        <v>0</v>
      </c>
    </row>
    <row r="1120" spans="3:32" x14ac:dyDescent="0.35">
      <c r="C1120" s="1">
        <v>44126</v>
      </c>
      <c r="D1120" s="2">
        <v>44105</v>
      </c>
      <c r="E1120">
        <v>1097</v>
      </c>
      <c r="F1120" s="3">
        <v>4058.03</v>
      </c>
      <c r="G1120" s="3">
        <v>3926.13</v>
      </c>
      <c r="H1120" s="3">
        <v>131.9</v>
      </c>
      <c r="I1120" s="3">
        <v>0.97</v>
      </c>
      <c r="J1120">
        <v>0.15</v>
      </c>
      <c r="K1120">
        <v>3108.49</v>
      </c>
      <c r="L1120" t="s">
        <v>35</v>
      </c>
      <c r="M1120">
        <v>603</v>
      </c>
      <c r="N1120">
        <v>0.13</v>
      </c>
      <c r="O1120" s="3">
        <v>210.2</v>
      </c>
      <c r="P1120" s="3">
        <v>0.05</v>
      </c>
      <c r="Q1120" s="3">
        <v>16.29</v>
      </c>
      <c r="R1120" s="3">
        <v>0</v>
      </c>
      <c r="S1120">
        <v>6</v>
      </c>
      <c r="T1120">
        <v>1172.3399999999999</v>
      </c>
      <c r="U1120">
        <v>33</v>
      </c>
      <c r="V1120">
        <v>0</v>
      </c>
      <c r="W1120">
        <v>273.95999999999998</v>
      </c>
      <c r="X1120">
        <v>2237.88</v>
      </c>
      <c r="Y1120" t="s">
        <v>36</v>
      </c>
      <c r="Z1120" s="3">
        <v>1484.82</v>
      </c>
      <c r="AA1120" t="s">
        <v>45</v>
      </c>
      <c r="AB1120" t="s">
        <v>33</v>
      </c>
      <c r="AC1120">
        <v>33.799999999999997</v>
      </c>
      <c r="AD1120" t="s">
        <v>38</v>
      </c>
      <c r="AE1120">
        <v>131.9</v>
      </c>
      <c r="AF1120">
        <v>0</v>
      </c>
    </row>
    <row r="1121" spans="3:32" x14ac:dyDescent="0.35">
      <c r="C1121" s="1">
        <v>44126</v>
      </c>
      <c r="D1121" s="2">
        <v>44105</v>
      </c>
      <c r="E1121">
        <v>1321</v>
      </c>
      <c r="F1121" s="3">
        <v>2883.01</v>
      </c>
      <c r="G1121" s="3">
        <v>3746.28</v>
      </c>
      <c r="H1121" s="3">
        <v>-863.27</v>
      </c>
      <c r="I1121" s="3">
        <v>1.3</v>
      </c>
      <c r="J1121">
        <v>0.31</v>
      </c>
      <c r="K1121">
        <v>2227.46</v>
      </c>
      <c r="L1121" t="s">
        <v>35</v>
      </c>
      <c r="M1121">
        <v>741</v>
      </c>
      <c r="N1121">
        <v>0.49</v>
      </c>
      <c r="O1121" s="3">
        <v>848.98</v>
      </c>
      <c r="P1121" s="3">
        <v>0.28999999999999998</v>
      </c>
      <c r="Q1121" s="3">
        <v>0</v>
      </c>
      <c r="R1121" s="3">
        <v>0</v>
      </c>
      <c r="S1121">
        <v>1</v>
      </c>
      <c r="T1121">
        <v>797.17</v>
      </c>
      <c r="U1121">
        <v>71</v>
      </c>
      <c r="V1121">
        <v>0</v>
      </c>
      <c r="W1121">
        <v>501.18</v>
      </c>
      <c r="X1121">
        <v>1000</v>
      </c>
      <c r="Y1121" t="s">
        <v>36</v>
      </c>
      <c r="Z1121" s="3">
        <v>1478.58</v>
      </c>
      <c r="AA1121" t="s">
        <v>46</v>
      </c>
      <c r="AB1121" t="s">
        <v>33</v>
      </c>
      <c r="AC1121">
        <v>48.2</v>
      </c>
      <c r="AD1121" t="s">
        <v>34</v>
      </c>
      <c r="AE1121">
        <v>0</v>
      </c>
      <c r="AF1121">
        <v>0</v>
      </c>
    </row>
    <row r="1122" spans="3:32" x14ac:dyDescent="0.35">
      <c r="C1122" s="1">
        <v>44126</v>
      </c>
      <c r="D1122" s="2">
        <v>44105</v>
      </c>
      <c r="E1122">
        <v>1079</v>
      </c>
      <c r="F1122" s="3">
        <v>3594.22</v>
      </c>
      <c r="G1122" s="3">
        <v>1148.93</v>
      </c>
      <c r="H1122" s="3">
        <v>2445.29</v>
      </c>
      <c r="I1122" s="3">
        <v>0.32</v>
      </c>
      <c r="J1122">
        <v>0.17</v>
      </c>
      <c r="K1122">
        <v>2800.76</v>
      </c>
      <c r="L1122" t="s">
        <v>35</v>
      </c>
      <c r="M1122">
        <v>796</v>
      </c>
      <c r="N1122">
        <v>0.49</v>
      </c>
      <c r="O1122" s="3">
        <v>884.56</v>
      </c>
      <c r="P1122" s="3">
        <v>0.25</v>
      </c>
      <c r="Q1122" s="3">
        <v>499.9</v>
      </c>
      <c r="R1122" s="3">
        <v>0.14000000000000001</v>
      </c>
      <c r="S1122">
        <v>4</v>
      </c>
      <c r="T1122">
        <v>1692.74</v>
      </c>
      <c r="U1122">
        <v>74</v>
      </c>
      <c r="V1122">
        <v>0</v>
      </c>
      <c r="W1122">
        <v>457.41</v>
      </c>
      <c r="X1122">
        <v>2078.56</v>
      </c>
      <c r="Y1122" t="s">
        <v>36</v>
      </c>
      <c r="Z1122" s="3">
        <v>662.75</v>
      </c>
      <c r="AA1122" t="s">
        <v>47</v>
      </c>
      <c r="AB1122" t="s">
        <v>33</v>
      </c>
      <c r="AC1122">
        <v>77.5</v>
      </c>
      <c r="AD1122" t="s">
        <v>43</v>
      </c>
      <c r="AE1122">
        <v>2445.29</v>
      </c>
      <c r="AF1122">
        <v>0</v>
      </c>
    </row>
    <row r="1123" spans="3:32" x14ac:dyDescent="0.35">
      <c r="C1123" s="1">
        <v>44126</v>
      </c>
      <c r="D1123" s="2">
        <v>44105</v>
      </c>
      <c r="E1123">
        <v>1549</v>
      </c>
      <c r="F1123" s="3">
        <v>2584.44</v>
      </c>
      <c r="G1123" s="3">
        <v>2183.64</v>
      </c>
      <c r="H1123" s="3">
        <v>400.8</v>
      </c>
      <c r="I1123" s="3">
        <v>0.84</v>
      </c>
      <c r="J1123">
        <v>0.26</v>
      </c>
      <c r="K1123">
        <v>2172.37</v>
      </c>
      <c r="L1123" t="s">
        <v>35</v>
      </c>
      <c r="M1123">
        <v>685</v>
      </c>
      <c r="N1123">
        <v>0.14000000000000001</v>
      </c>
      <c r="O1123" s="3">
        <v>601.45000000000005</v>
      </c>
      <c r="P1123" s="3">
        <v>0.23</v>
      </c>
      <c r="Q1123" s="3">
        <v>497.73</v>
      </c>
      <c r="R1123" s="3">
        <v>0.19</v>
      </c>
      <c r="S1123">
        <v>1</v>
      </c>
      <c r="T1123">
        <v>1396.67</v>
      </c>
      <c r="U1123">
        <v>32</v>
      </c>
      <c r="V1123">
        <v>0</v>
      </c>
      <c r="W1123">
        <v>787.42</v>
      </c>
      <c r="X1123">
        <v>2668.49</v>
      </c>
      <c r="Y1123" t="s">
        <v>36</v>
      </c>
      <c r="Z1123" s="3">
        <v>1367.94</v>
      </c>
      <c r="AA1123" t="s">
        <v>46</v>
      </c>
      <c r="AB1123" t="s">
        <v>33</v>
      </c>
      <c r="AC1123">
        <v>23.8</v>
      </c>
      <c r="AD1123" t="s">
        <v>34</v>
      </c>
      <c r="AE1123">
        <v>400.8</v>
      </c>
      <c r="AF1123">
        <v>0</v>
      </c>
    </row>
    <row r="1124" spans="3:32" x14ac:dyDescent="0.35">
      <c r="C1124" s="1">
        <v>44126</v>
      </c>
      <c r="D1124" s="2">
        <v>44105</v>
      </c>
      <c r="E1124">
        <v>1053</v>
      </c>
      <c r="F1124" s="3">
        <v>4045.88</v>
      </c>
      <c r="G1124" s="3">
        <v>3721.16</v>
      </c>
      <c r="H1124" s="3">
        <v>324.72000000000003</v>
      </c>
      <c r="I1124" s="3">
        <v>0.92</v>
      </c>
      <c r="J1124">
        <v>0.3</v>
      </c>
      <c r="K1124">
        <v>2552.1799999999998</v>
      </c>
      <c r="L1124" t="s">
        <v>35</v>
      </c>
      <c r="M1124">
        <v>697</v>
      </c>
      <c r="N1124">
        <v>0.19</v>
      </c>
      <c r="O1124" s="3">
        <v>420.88</v>
      </c>
      <c r="P1124" s="3">
        <v>0.1</v>
      </c>
      <c r="Q1124" s="3">
        <v>330.13</v>
      </c>
      <c r="R1124" s="3">
        <v>0.08</v>
      </c>
      <c r="S1124">
        <v>2</v>
      </c>
      <c r="T1124">
        <v>1138.82</v>
      </c>
      <c r="U1124">
        <v>89</v>
      </c>
      <c r="V1124">
        <v>0</v>
      </c>
      <c r="W1124">
        <v>668.2</v>
      </c>
      <c r="X1124">
        <v>1734.18</v>
      </c>
      <c r="Y1124" t="s">
        <v>31</v>
      </c>
      <c r="Z1124" s="3">
        <v>1662.29</v>
      </c>
      <c r="AA1124" t="s">
        <v>45</v>
      </c>
      <c r="AB1124" t="s">
        <v>42</v>
      </c>
      <c r="AC1124">
        <v>51.2</v>
      </c>
      <c r="AD1124" t="s">
        <v>43</v>
      </c>
      <c r="AE1124">
        <v>324.72000000000003</v>
      </c>
      <c r="AF1124">
        <v>0</v>
      </c>
    </row>
    <row r="1125" spans="3:32" x14ac:dyDescent="0.35">
      <c r="C1125" s="1">
        <v>44126</v>
      </c>
      <c r="D1125" s="2">
        <v>44105</v>
      </c>
      <c r="E1125">
        <v>1848</v>
      </c>
      <c r="F1125" s="3">
        <v>4728.2299999999996</v>
      </c>
      <c r="G1125" s="3">
        <v>4006.8</v>
      </c>
      <c r="H1125" s="3">
        <v>721.43</v>
      </c>
      <c r="I1125" s="3">
        <v>0.85</v>
      </c>
      <c r="J1125">
        <v>0.37</v>
      </c>
      <c r="K1125">
        <v>2383.3000000000002</v>
      </c>
      <c r="L1125" t="s">
        <v>35</v>
      </c>
      <c r="M1125">
        <v>690</v>
      </c>
      <c r="N1125">
        <v>0.3</v>
      </c>
      <c r="O1125" s="3">
        <v>365.51</v>
      </c>
      <c r="P1125" s="3">
        <v>0.08</v>
      </c>
      <c r="Q1125" s="3">
        <v>533.39</v>
      </c>
      <c r="R1125" s="3">
        <v>0.11</v>
      </c>
      <c r="S1125">
        <v>7</v>
      </c>
      <c r="T1125">
        <v>1762.08</v>
      </c>
      <c r="U1125">
        <v>49</v>
      </c>
      <c r="V1125">
        <v>0</v>
      </c>
      <c r="W1125">
        <v>349.34</v>
      </c>
      <c r="X1125">
        <v>1436.02</v>
      </c>
      <c r="Y1125" t="s">
        <v>36</v>
      </c>
      <c r="Z1125" s="3">
        <v>1622.56</v>
      </c>
      <c r="AA1125" t="s">
        <v>46</v>
      </c>
      <c r="AB1125" t="s">
        <v>44</v>
      </c>
      <c r="AC1125">
        <v>19.2</v>
      </c>
      <c r="AD1125" t="s">
        <v>34</v>
      </c>
      <c r="AE1125">
        <v>721.43</v>
      </c>
      <c r="AF1125">
        <v>0</v>
      </c>
    </row>
    <row r="1126" spans="3:32" x14ac:dyDescent="0.35">
      <c r="C1126" s="1">
        <v>44126</v>
      </c>
      <c r="D1126" s="2">
        <v>44105</v>
      </c>
      <c r="E1126">
        <v>1960</v>
      </c>
      <c r="F1126" s="3">
        <v>2643.07</v>
      </c>
      <c r="G1126" s="3">
        <v>3492.61</v>
      </c>
      <c r="H1126" s="3">
        <v>-849.54</v>
      </c>
      <c r="I1126" s="3">
        <v>1.32</v>
      </c>
      <c r="J1126">
        <v>0.4</v>
      </c>
      <c r="K1126">
        <v>2962.75</v>
      </c>
      <c r="L1126" t="s">
        <v>35</v>
      </c>
      <c r="M1126">
        <v>709</v>
      </c>
      <c r="N1126">
        <v>0.38</v>
      </c>
      <c r="O1126" s="3">
        <v>392.63</v>
      </c>
      <c r="P1126" s="3">
        <v>0.15</v>
      </c>
      <c r="Q1126" s="3">
        <v>470.28</v>
      </c>
      <c r="R1126" s="3">
        <v>0.18</v>
      </c>
      <c r="S1126">
        <v>1</v>
      </c>
      <c r="T1126">
        <v>905.75</v>
      </c>
      <c r="U1126">
        <v>40</v>
      </c>
      <c r="V1126">
        <v>0</v>
      </c>
      <c r="W1126">
        <v>686.78</v>
      </c>
      <c r="X1126">
        <v>2038.14</v>
      </c>
      <c r="Y1126" t="s">
        <v>49</v>
      </c>
      <c r="Z1126" s="3">
        <v>550.07000000000005</v>
      </c>
      <c r="AA1126" t="s">
        <v>48</v>
      </c>
      <c r="AB1126" t="s">
        <v>33</v>
      </c>
      <c r="AC1126">
        <v>23.7</v>
      </c>
      <c r="AD1126" t="s">
        <v>34</v>
      </c>
      <c r="AE1126">
        <v>0</v>
      </c>
      <c r="AF1126">
        <v>0</v>
      </c>
    </row>
    <row r="1127" spans="3:32" x14ac:dyDescent="0.35">
      <c r="C1127" s="1">
        <v>44126</v>
      </c>
      <c r="D1127" s="2">
        <v>44105</v>
      </c>
      <c r="E1127">
        <v>1231</v>
      </c>
      <c r="F1127" s="3">
        <v>4357.5200000000004</v>
      </c>
      <c r="G1127" s="3">
        <v>3543.86</v>
      </c>
      <c r="H1127" s="3">
        <v>813.66</v>
      </c>
      <c r="I1127" s="3">
        <v>0.81</v>
      </c>
      <c r="J1127">
        <v>0.28000000000000003</v>
      </c>
      <c r="K1127">
        <v>2541.87</v>
      </c>
      <c r="L1127" t="s">
        <v>30</v>
      </c>
      <c r="M1127">
        <v>626</v>
      </c>
      <c r="N1127">
        <v>0.23</v>
      </c>
      <c r="O1127" s="3">
        <v>547.29</v>
      </c>
      <c r="P1127" s="3">
        <v>0.13</v>
      </c>
      <c r="Q1127" s="3">
        <v>492.06</v>
      </c>
      <c r="R1127" s="3">
        <v>0.11</v>
      </c>
      <c r="S1127">
        <v>7</v>
      </c>
      <c r="T1127">
        <v>1179.4000000000001</v>
      </c>
      <c r="U1127">
        <v>42</v>
      </c>
      <c r="V1127">
        <v>0</v>
      </c>
      <c r="W1127">
        <v>578.54999999999995</v>
      </c>
      <c r="X1127">
        <v>1296.92</v>
      </c>
      <c r="Y1127" t="s">
        <v>36</v>
      </c>
      <c r="Z1127" s="3">
        <v>1120.8399999999999</v>
      </c>
      <c r="AA1127" t="s">
        <v>32</v>
      </c>
      <c r="AB1127" t="s">
        <v>33</v>
      </c>
      <c r="AC1127">
        <v>35.299999999999997</v>
      </c>
      <c r="AD1127" t="s">
        <v>34</v>
      </c>
      <c r="AE1127">
        <v>813.66</v>
      </c>
      <c r="AF1127">
        <v>0</v>
      </c>
    </row>
    <row r="1128" spans="3:32" x14ac:dyDescent="0.35">
      <c r="C1128" s="1">
        <v>44126</v>
      </c>
      <c r="D1128" s="2">
        <v>44105</v>
      </c>
      <c r="E1128">
        <v>1907</v>
      </c>
      <c r="F1128" s="3">
        <v>3318.71</v>
      </c>
      <c r="G1128" s="3">
        <v>2329.6799999999998</v>
      </c>
      <c r="H1128" s="3">
        <v>989.03</v>
      </c>
      <c r="I1128" s="3">
        <v>0.7</v>
      </c>
      <c r="J1128">
        <v>0.09</v>
      </c>
      <c r="K1128">
        <v>2790.08</v>
      </c>
      <c r="L1128" t="s">
        <v>39</v>
      </c>
      <c r="M1128">
        <v>707</v>
      </c>
      <c r="N1128">
        <v>0.6</v>
      </c>
      <c r="O1128" s="3">
        <v>407.81</v>
      </c>
      <c r="P1128" s="3">
        <v>0.12</v>
      </c>
      <c r="Q1128" s="3">
        <v>413.09</v>
      </c>
      <c r="R1128" s="3">
        <v>0.12</v>
      </c>
      <c r="S1128">
        <v>2</v>
      </c>
      <c r="T1128">
        <v>850.54</v>
      </c>
      <c r="U1128">
        <v>27</v>
      </c>
      <c r="V1128">
        <v>0</v>
      </c>
      <c r="W1128">
        <v>565.29</v>
      </c>
      <c r="X1128">
        <v>1521.31</v>
      </c>
      <c r="Y1128" t="s">
        <v>36</v>
      </c>
      <c r="Z1128" s="3">
        <v>759.78</v>
      </c>
      <c r="AA1128" t="s">
        <v>48</v>
      </c>
      <c r="AB1128" t="s">
        <v>44</v>
      </c>
      <c r="AC1128">
        <v>72.599999999999994</v>
      </c>
      <c r="AD1128" t="s">
        <v>38</v>
      </c>
      <c r="AE1128">
        <v>989.03</v>
      </c>
      <c r="AF1128">
        <v>0</v>
      </c>
    </row>
    <row r="1129" spans="3:32" x14ac:dyDescent="0.35">
      <c r="C1129" s="1">
        <v>44126</v>
      </c>
      <c r="D1129" s="2">
        <v>44105</v>
      </c>
      <c r="E1129">
        <v>1649</v>
      </c>
      <c r="F1129" s="3">
        <v>1967.67</v>
      </c>
      <c r="G1129" s="3">
        <v>2324.86</v>
      </c>
      <c r="H1129" s="3">
        <v>-357.19</v>
      </c>
      <c r="I1129" s="3">
        <v>1.18</v>
      </c>
      <c r="J1129">
        <v>0.23</v>
      </c>
      <c r="K1129">
        <v>2986.8</v>
      </c>
      <c r="L1129" t="s">
        <v>35</v>
      </c>
      <c r="M1129">
        <v>802</v>
      </c>
      <c r="N1129">
        <v>0.11</v>
      </c>
      <c r="O1129" s="3">
        <v>204.03</v>
      </c>
      <c r="P1129" s="3">
        <v>0.1</v>
      </c>
      <c r="Q1129" s="3">
        <v>600.39</v>
      </c>
      <c r="R1129" s="3">
        <v>0.31</v>
      </c>
      <c r="S1129">
        <v>6</v>
      </c>
      <c r="T1129">
        <v>805.97</v>
      </c>
      <c r="U1129">
        <v>87</v>
      </c>
      <c r="V1129">
        <v>0</v>
      </c>
      <c r="W1129">
        <v>816.44</v>
      </c>
      <c r="X1129">
        <v>2086</v>
      </c>
      <c r="Y1129" t="s">
        <v>36</v>
      </c>
      <c r="Z1129" s="3">
        <v>1943.28</v>
      </c>
      <c r="AA1129" t="s">
        <v>48</v>
      </c>
      <c r="AB1129" t="s">
        <v>42</v>
      </c>
      <c r="AC1129">
        <v>20.6</v>
      </c>
      <c r="AD1129" t="s">
        <v>43</v>
      </c>
      <c r="AE1129">
        <v>0</v>
      </c>
      <c r="AF1129">
        <v>0</v>
      </c>
    </row>
    <row r="1130" spans="3:32" x14ac:dyDescent="0.35">
      <c r="C1130" s="1">
        <v>44126</v>
      </c>
      <c r="D1130" s="2">
        <v>44105</v>
      </c>
      <c r="E1130">
        <v>1151</v>
      </c>
      <c r="F1130" s="3">
        <v>5968.09</v>
      </c>
      <c r="G1130" s="3">
        <v>3212.68</v>
      </c>
      <c r="H1130" s="3">
        <v>2755.41</v>
      </c>
      <c r="I1130" s="3">
        <v>0.54</v>
      </c>
      <c r="J1130">
        <v>0.36</v>
      </c>
      <c r="K1130">
        <v>1981.46</v>
      </c>
      <c r="L1130" t="s">
        <v>35</v>
      </c>
      <c r="M1130">
        <v>628</v>
      </c>
      <c r="N1130">
        <v>0.4</v>
      </c>
      <c r="O1130" s="3">
        <v>445.71</v>
      </c>
      <c r="P1130" s="3">
        <v>7.0000000000000007E-2</v>
      </c>
      <c r="Q1130" s="3">
        <v>75.14</v>
      </c>
      <c r="R1130" s="3">
        <v>0.01</v>
      </c>
      <c r="S1130">
        <v>1</v>
      </c>
      <c r="T1130">
        <v>440.03</v>
      </c>
      <c r="U1130">
        <v>45</v>
      </c>
      <c r="V1130">
        <v>0</v>
      </c>
      <c r="W1130">
        <v>705.98</v>
      </c>
      <c r="X1130">
        <v>1524.53</v>
      </c>
      <c r="Y1130" t="s">
        <v>36</v>
      </c>
      <c r="Z1130" s="3">
        <v>1430.64</v>
      </c>
      <c r="AA1130" t="s">
        <v>51</v>
      </c>
      <c r="AB1130" t="s">
        <v>33</v>
      </c>
      <c r="AC1130">
        <v>64.8</v>
      </c>
      <c r="AD1130" t="s">
        <v>43</v>
      </c>
      <c r="AE1130">
        <v>2755.41</v>
      </c>
      <c r="AF1130">
        <v>1</v>
      </c>
    </row>
    <row r="1131" spans="3:32" x14ac:dyDescent="0.35">
      <c r="C1131" s="1">
        <v>44126</v>
      </c>
      <c r="D1131" s="2">
        <v>44105</v>
      </c>
      <c r="E1131">
        <v>1146</v>
      </c>
      <c r="F1131" s="3">
        <v>3310.43</v>
      </c>
      <c r="G1131" s="3">
        <v>2611.92</v>
      </c>
      <c r="H1131" s="3">
        <v>698.51</v>
      </c>
      <c r="I1131" s="3">
        <v>0.79</v>
      </c>
      <c r="J1131">
        <v>0.3</v>
      </c>
      <c r="K1131">
        <v>2468.87</v>
      </c>
      <c r="L1131" t="s">
        <v>30</v>
      </c>
      <c r="M1131">
        <v>670</v>
      </c>
      <c r="N1131">
        <v>0.32</v>
      </c>
      <c r="O1131" s="3">
        <v>702.11</v>
      </c>
      <c r="P1131" s="3">
        <v>0.21</v>
      </c>
      <c r="Q1131" s="3">
        <v>551.23</v>
      </c>
      <c r="R1131" s="3">
        <v>0.17</v>
      </c>
      <c r="S1131">
        <v>9</v>
      </c>
      <c r="T1131">
        <v>342.59</v>
      </c>
      <c r="U1131">
        <v>62</v>
      </c>
      <c r="V1131">
        <v>0</v>
      </c>
      <c r="W1131">
        <v>287.87</v>
      </c>
      <c r="X1131">
        <v>1988.78</v>
      </c>
      <c r="Y1131" t="s">
        <v>31</v>
      </c>
      <c r="Z1131" s="3">
        <v>1616.7</v>
      </c>
      <c r="AA1131" t="s">
        <v>45</v>
      </c>
      <c r="AB1131" t="s">
        <v>42</v>
      </c>
      <c r="AC1131">
        <v>4.7</v>
      </c>
      <c r="AD1131" t="s">
        <v>43</v>
      </c>
      <c r="AE1131">
        <v>698.51</v>
      </c>
      <c r="AF1131">
        <v>0</v>
      </c>
    </row>
    <row r="1132" spans="3:32" x14ac:dyDescent="0.35">
      <c r="C1132" s="1">
        <v>44126</v>
      </c>
      <c r="D1132" s="2">
        <v>44105</v>
      </c>
      <c r="E1132">
        <v>1212</v>
      </c>
      <c r="F1132" s="3">
        <v>4754.9799999999996</v>
      </c>
      <c r="G1132" s="3">
        <v>2735.61</v>
      </c>
      <c r="H1132" s="3">
        <v>2019.37</v>
      </c>
      <c r="I1132" s="3">
        <v>0.57999999999999996</v>
      </c>
      <c r="J1132">
        <v>0.25</v>
      </c>
      <c r="K1132">
        <v>2969.1</v>
      </c>
      <c r="L1132" t="s">
        <v>35</v>
      </c>
      <c r="M1132">
        <v>633</v>
      </c>
      <c r="N1132">
        <v>0.21</v>
      </c>
      <c r="O1132" s="3">
        <v>666.56</v>
      </c>
      <c r="P1132" s="3">
        <v>0.14000000000000001</v>
      </c>
      <c r="Q1132" s="3">
        <v>477.38</v>
      </c>
      <c r="R1132" s="3">
        <v>0.1</v>
      </c>
      <c r="S1132">
        <v>5</v>
      </c>
      <c r="T1132">
        <v>726</v>
      </c>
      <c r="U1132">
        <v>64</v>
      </c>
      <c r="V1132">
        <v>0</v>
      </c>
      <c r="W1132">
        <v>580.16999999999996</v>
      </c>
      <c r="X1132">
        <v>2177.9899999999998</v>
      </c>
      <c r="Y1132" t="s">
        <v>49</v>
      </c>
      <c r="Z1132" s="3">
        <v>1645.7</v>
      </c>
      <c r="AA1132" t="s">
        <v>40</v>
      </c>
      <c r="AB1132" t="s">
        <v>33</v>
      </c>
      <c r="AC1132">
        <v>18.8</v>
      </c>
      <c r="AD1132" t="s">
        <v>34</v>
      </c>
      <c r="AE1132">
        <v>2019.37</v>
      </c>
      <c r="AF1132">
        <v>0</v>
      </c>
    </row>
    <row r="1133" spans="3:32" x14ac:dyDescent="0.35">
      <c r="C1133" s="1">
        <v>44126</v>
      </c>
      <c r="D1133" s="2">
        <v>44105</v>
      </c>
      <c r="E1133">
        <v>1443</v>
      </c>
      <c r="F1133" s="3">
        <v>4181.71</v>
      </c>
      <c r="G1133" s="3">
        <v>2914.44</v>
      </c>
      <c r="H1133" s="3">
        <v>1267.27</v>
      </c>
      <c r="I1133" s="3">
        <v>0.7</v>
      </c>
      <c r="J1133">
        <v>0.26</v>
      </c>
      <c r="K1133">
        <v>2863.62</v>
      </c>
      <c r="L1133" t="s">
        <v>39</v>
      </c>
      <c r="M1133">
        <v>779</v>
      </c>
      <c r="N1133">
        <v>0.42</v>
      </c>
      <c r="O1133" s="3">
        <v>542.41</v>
      </c>
      <c r="P1133" s="3">
        <v>0.13</v>
      </c>
      <c r="Q1133" s="3">
        <v>573.87</v>
      </c>
      <c r="R1133" s="3">
        <v>0.14000000000000001</v>
      </c>
      <c r="S1133">
        <v>1</v>
      </c>
      <c r="T1133">
        <v>1362.8</v>
      </c>
      <c r="U1133">
        <v>20</v>
      </c>
      <c r="V1133">
        <v>0</v>
      </c>
      <c r="W1133">
        <v>482.59</v>
      </c>
      <c r="X1133">
        <v>2186.17</v>
      </c>
      <c r="Y1133" t="s">
        <v>49</v>
      </c>
      <c r="Z1133" s="3">
        <v>1190.2</v>
      </c>
      <c r="AA1133" t="s">
        <v>48</v>
      </c>
      <c r="AB1133" t="s">
        <v>33</v>
      </c>
      <c r="AC1133">
        <v>31.5</v>
      </c>
      <c r="AD1133" t="s">
        <v>34</v>
      </c>
      <c r="AE1133">
        <v>1267.27</v>
      </c>
      <c r="AF1133">
        <v>0</v>
      </c>
    </row>
    <row r="1134" spans="3:32" x14ac:dyDescent="0.35">
      <c r="C1134" s="1">
        <v>44126</v>
      </c>
      <c r="D1134" s="2">
        <v>44105</v>
      </c>
      <c r="E1134">
        <v>1103</v>
      </c>
      <c r="F1134" s="3">
        <v>4627.55</v>
      </c>
      <c r="G1134" s="3">
        <v>3493.56</v>
      </c>
      <c r="H1134" s="3">
        <v>1133.99</v>
      </c>
      <c r="I1134" s="3">
        <v>0.75</v>
      </c>
      <c r="J1134">
        <v>0.28999999999999998</v>
      </c>
      <c r="K1134">
        <v>2585.87</v>
      </c>
      <c r="L1134" t="s">
        <v>30</v>
      </c>
      <c r="M1134">
        <v>667</v>
      </c>
      <c r="N1134">
        <v>0.57999999999999996</v>
      </c>
      <c r="O1134" s="3">
        <v>701.2</v>
      </c>
      <c r="P1134" s="3">
        <v>0.15</v>
      </c>
      <c r="Q1134" s="3">
        <v>666.92</v>
      </c>
      <c r="R1134" s="3">
        <v>0.14000000000000001</v>
      </c>
      <c r="S1134">
        <v>6</v>
      </c>
      <c r="T1134">
        <v>587.97</v>
      </c>
      <c r="U1134">
        <v>45</v>
      </c>
      <c r="V1134">
        <v>0</v>
      </c>
      <c r="W1134">
        <v>511.37</v>
      </c>
      <c r="X1134">
        <v>2305.7600000000002</v>
      </c>
      <c r="Y1134" t="s">
        <v>31</v>
      </c>
      <c r="Z1134" s="3">
        <v>1276.51</v>
      </c>
      <c r="AA1134" t="s">
        <v>51</v>
      </c>
      <c r="AB1134" t="s">
        <v>33</v>
      </c>
      <c r="AC1134">
        <v>84</v>
      </c>
      <c r="AD1134" t="s">
        <v>34</v>
      </c>
      <c r="AE1134">
        <v>1133.99</v>
      </c>
      <c r="AF1134">
        <v>0</v>
      </c>
    </row>
    <row r="1135" spans="3:32" x14ac:dyDescent="0.35">
      <c r="C1135" s="1">
        <v>44126</v>
      </c>
      <c r="D1135" s="2">
        <v>44105</v>
      </c>
      <c r="E1135">
        <v>1596</v>
      </c>
      <c r="F1135" s="3">
        <v>3861.81</v>
      </c>
      <c r="G1135" s="3">
        <v>2592.12</v>
      </c>
      <c r="H1135" s="3">
        <v>1269.69</v>
      </c>
      <c r="I1135" s="3">
        <v>0.67</v>
      </c>
      <c r="J1135">
        <v>0.28999999999999998</v>
      </c>
      <c r="K1135">
        <v>2372.09</v>
      </c>
      <c r="L1135" t="s">
        <v>35</v>
      </c>
      <c r="M1135">
        <v>668</v>
      </c>
      <c r="N1135">
        <v>0.6</v>
      </c>
      <c r="O1135" s="3">
        <v>233.29</v>
      </c>
      <c r="P1135" s="3">
        <v>0.06</v>
      </c>
      <c r="Q1135" s="3">
        <v>480.43</v>
      </c>
      <c r="R1135" s="3">
        <v>0.12</v>
      </c>
      <c r="S1135">
        <v>4</v>
      </c>
      <c r="T1135">
        <v>1560.98</v>
      </c>
      <c r="U1135">
        <v>57</v>
      </c>
      <c r="V1135">
        <v>0</v>
      </c>
      <c r="W1135">
        <v>586.51</v>
      </c>
      <c r="X1135">
        <v>2156.66</v>
      </c>
      <c r="Y1135" t="s">
        <v>36</v>
      </c>
      <c r="Z1135" s="3">
        <v>842.44</v>
      </c>
      <c r="AA1135" t="s">
        <v>47</v>
      </c>
      <c r="AB1135" t="s">
        <v>42</v>
      </c>
      <c r="AC1135">
        <v>21.1</v>
      </c>
      <c r="AD1135" t="s">
        <v>34</v>
      </c>
      <c r="AE1135">
        <v>1269.69</v>
      </c>
      <c r="AF1135">
        <v>0</v>
      </c>
    </row>
    <row r="1136" spans="3:32" x14ac:dyDescent="0.35">
      <c r="C1136" s="1">
        <v>44126</v>
      </c>
      <c r="D1136" s="2">
        <v>44105</v>
      </c>
      <c r="E1136">
        <v>1553</v>
      </c>
      <c r="F1136" s="3">
        <v>3956.86</v>
      </c>
      <c r="G1136" s="3">
        <v>5605.38</v>
      </c>
      <c r="H1136" s="3">
        <v>-1648.52</v>
      </c>
      <c r="I1136" s="3">
        <v>1.42</v>
      </c>
      <c r="J1136">
        <v>0.16</v>
      </c>
      <c r="K1136">
        <v>2853.64</v>
      </c>
      <c r="L1136" t="s">
        <v>35</v>
      </c>
      <c r="M1136">
        <v>689</v>
      </c>
      <c r="N1136">
        <v>0.28000000000000003</v>
      </c>
      <c r="O1136" s="3">
        <v>493.29</v>
      </c>
      <c r="P1136" s="3">
        <v>0.12</v>
      </c>
      <c r="Q1136" s="3">
        <v>0</v>
      </c>
      <c r="R1136" s="3">
        <v>0</v>
      </c>
      <c r="S1136">
        <v>8</v>
      </c>
      <c r="T1136">
        <v>1291.51</v>
      </c>
      <c r="U1136">
        <v>92</v>
      </c>
      <c r="V1136">
        <v>0</v>
      </c>
      <c r="W1136">
        <v>251.67</v>
      </c>
      <c r="X1136">
        <v>1917.05</v>
      </c>
      <c r="Y1136" t="s">
        <v>31</v>
      </c>
      <c r="Z1136" s="3">
        <v>1434.2</v>
      </c>
      <c r="AA1136" t="s">
        <v>32</v>
      </c>
      <c r="AB1136" t="s">
        <v>33</v>
      </c>
      <c r="AC1136">
        <v>87.9</v>
      </c>
      <c r="AD1136" t="s">
        <v>34</v>
      </c>
      <c r="AE1136">
        <v>0</v>
      </c>
      <c r="AF1136">
        <v>0</v>
      </c>
    </row>
    <row r="1137" spans="3:32" x14ac:dyDescent="0.35">
      <c r="C1137" s="1">
        <v>44126</v>
      </c>
      <c r="D1137" s="2">
        <v>44105</v>
      </c>
      <c r="E1137">
        <v>1402</v>
      </c>
      <c r="F1137" s="3">
        <v>2814.68</v>
      </c>
      <c r="G1137" s="3">
        <v>3476.73</v>
      </c>
      <c r="H1137" s="3">
        <v>-662.05</v>
      </c>
      <c r="I1137" s="3">
        <v>1.24</v>
      </c>
      <c r="J1137">
        <v>0.27</v>
      </c>
      <c r="K1137">
        <v>3102.03</v>
      </c>
      <c r="L1137" t="s">
        <v>39</v>
      </c>
      <c r="M1137">
        <v>712</v>
      </c>
      <c r="N1137">
        <v>0.3</v>
      </c>
      <c r="O1137" s="3">
        <v>619.59</v>
      </c>
      <c r="P1137" s="3">
        <v>0.22</v>
      </c>
      <c r="Q1137" s="3">
        <v>812.31</v>
      </c>
      <c r="R1137" s="3">
        <v>0.28999999999999998</v>
      </c>
      <c r="S1137">
        <v>9</v>
      </c>
      <c r="T1137">
        <v>1060.82</v>
      </c>
      <c r="U1137">
        <v>50</v>
      </c>
      <c r="V1137">
        <v>0</v>
      </c>
      <c r="W1137">
        <v>521.62</v>
      </c>
      <c r="X1137">
        <v>1473.46</v>
      </c>
      <c r="Y1137" t="s">
        <v>36</v>
      </c>
      <c r="Z1137" s="3">
        <v>1138.18</v>
      </c>
      <c r="AA1137" t="s">
        <v>45</v>
      </c>
      <c r="AB1137" t="s">
        <v>33</v>
      </c>
      <c r="AC1137">
        <v>85</v>
      </c>
      <c r="AD1137" t="s">
        <v>34</v>
      </c>
      <c r="AE1137">
        <v>0</v>
      </c>
      <c r="AF1137">
        <v>0</v>
      </c>
    </row>
    <row r="1138" spans="3:32" x14ac:dyDescent="0.35">
      <c r="C1138" s="1">
        <v>44126</v>
      </c>
      <c r="D1138" s="2">
        <v>44105</v>
      </c>
      <c r="E1138">
        <v>1293</v>
      </c>
      <c r="F1138" s="3">
        <v>4088.17</v>
      </c>
      <c r="G1138" s="3">
        <v>3308.43</v>
      </c>
      <c r="H1138" s="3">
        <v>779.74</v>
      </c>
      <c r="I1138" s="3">
        <v>0.81</v>
      </c>
      <c r="J1138">
        <v>0.15</v>
      </c>
      <c r="K1138">
        <v>3603.25</v>
      </c>
      <c r="L1138" t="s">
        <v>39</v>
      </c>
      <c r="M1138">
        <v>609</v>
      </c>
      <c r="N1138">
        <v>0.46</v>
      </c>
      <c r="O1138" s="3">
        <v>431.09</v>
      </c>
      <c r="P1138" s="3">
        <v>0.11</v>
      </c>
      <c r="Q1138" s="3">
        <v>232.17</v>
      </c>
      <c r="R1138" s="3">
        <v>0.06</v>
      </c>
      <c r="S1138">
        <v>6</v>
      </c>
      <c r="T1138">
        <v>408.58</v>
      </c>
      <c r="U1138">
        <v>66</v>
      </c>
      <c r="V1138">
        <v>0</v>
      </c>
      <c r="W1138">
        <v>284.23</v>
      </c>
      <c r="X1138">
        <v>1503.7</v>
      </c>
      <c r="Y1138" t="s">
        <v>36</v>
      </c>
      <c r="Z1138" s="3">
        <v>1686.29</v>
      </c>
      <c r="AA1138" t="s">
        <v>48</v>
      </c>
      <c r="AB1138" t="s">
        <v>33</v>
      </c>
      <c r="AC1138">
        <v>84.3</v>
      </c>
      <c r="AD1138" t="s">
        <v>43</v>
      </c>
      <c r="AE1138">
        <v>779.74</v>
      </c>
      <c r="AF1138">
        <v>0</v>
      </c>
    </row>
    <row r="1139" spans="3:32" x14ac:dyDescent="0.35">
      <c r="C1139" s="1">
        <v>44126</v>
      </c>
      <c r="D1139" s="2">
        <v>44105</v>
      </c>
      <c r="E1139">
        <v>1503</v>
      </c>
      <c r="F1139" s="3">
        <v>4266.37</v>
      </c>
      <c r="G1139" s="3">
        <v>2658.72</v>
      </c>
      <c r="H1139" s="3">
        <v>1607.65</v>
      </c>
      <c r="I1139" s="3">
        <v>0.62</v>
      </c>
      <c r="J1139">
        <v>0.17</v>
      </c>
      <c r="K1139">
        <v>2807.27</v>
      </c>
      <c r="L1139" t="s">
        <v>35</v>
      </c>
      <c r="M1139">
        <v>656</v>
      </c>
      <c r="N1139">
        <v>0.36</v>
      </c>
      <c r="O1139" s="3">
        <v>550.61</v>
      </c>
      <c r="P1139" s="3">
        <v>0.13</v>
      </c>
      <c r="Q1139" s="3">
        <v>514.27</v>
      </c>
      <c r="R1139" s="3">
        <v>0.12</v>
      </c>
      <c r="S1139">
        <v>6</v>
      </c>
      <c r="T1139">
        <v>818.65</v>
      </c>
      <c r="U1139">
        <v>80</v>
      </c>
      <c r="V1139">
        <v>0</v>
      </c>
      <c r="W1139">
        <v>485.97</v>
      </c>
      <c r="X1139">
        <v>2290.0100000000002</v>
      </c>
      <c r="Y1139" t="s">
        <v>36</v>
      </c>
      <c r="Z1139" s="3">
        <v>1194.5899999999999</v>
      </c>
      <c r="AA1139" t="s">
        <v>48</v>
      </c>
      <c r="AB1139" t="s">
        <v>33</v>
      </c>
      <c r="AC1139">
        <v>77</v>
      </c>
      <c r="AD1139" t="s">
        <v>34</v>
      </c>
      <c r="AE1139">
        <v>1607.65</v>
      </c>
      <c r="AF1139">
        <v>0</v>
      </c>
    </row>
    <row r="1140" spans="3:32" x14ac:dyDescent="0.35">
      <c r="C1140" s="1">
        <v>44126</v>
      </c>
      <c r="D1140" s="2">
        <v>44105</v>
      </c>
      <c r="E1140">
        <v>1045</v>
      </c>
      <c r="F1140" s="3">
        <v>3951.81</v>
      </c>
      <c r="G1140" s="3">
        <v>3257.29</v>
      </c>
      <c r="H1140" s="3">
        <v>694.52</v>
      </c>
      <c r="I1140" s="3">
        <v>0.82</v>
      </c>
      <c r="J1140">
        <v>0.36</v>
      </c>
      <c r="K1140">
        <v>1788.06</v>
      </c>
      <c r="L1140" t="s">
        <v>35</v>
      </c>
      <c r="M1140">
        <v>708</v>
      </c>
      <c r="N1140">
        <v>0.41</v>
      </c>
      <c r="O1140" s="3">
        <v>393</v>
      </c>
      <c r="P1140" s="3">
        <v>0.1</v>
      </c>
      <c r="Q1140" s="3">
        <v>67.540000000000006</v>
      </c>
      <c r="R1140" s="3">
        <v>0.02</v>
      </c>
      <c r="S1140">
        <v>7</v>
      </c>
      <c r="T1140">
        <v>1100.02</v>
      </c>
      <c r="U1140">
        <v>71</v>
      </c>
      <c r="V1140">
        <v>0</v>
      </c>
      <c r="W1140">
        <v>293.5</v>
      </c>
      <c r="X1140">
        <v>2767.74</v>
      </c>
      <c r="Y1140" t="s">
        <v>36</v>
      </c>
      <c r="Z1140" s="3">
        <v>867.53</v>
      </c>
      <c r="AA1140" t="s">
        <v>41</v>
      </c>
      <c r="AB1140" t="s">
        <v>33</v>
      </c>
      <c r="AC1140">
        <v>13</v>
      </c>
      <c r="AD1140" t="s">
        <v>38</v>
      </c>
      <c r="AE1140">
        <v>694.52</v>
      </c>
      <c r="AF1140">
        <v>0</v>
      </c>
    </row>
    <row r="1141" spans="3:32" x14ac:dyDescent="0.35">
      <c r="C1141" s="1">
        <v>44126</v>
      </c>
      <c r="D1141" s="2">
        <v>44105</v>
      </c>
      <c r="E1141">
        <v>1649</v>
      </c>
      <c r="F1141" s="3">
        <v>5628.2</v>
      </c>
      <c r="G1141" s="3">
        <v>3138.22</v>
      </c>
      <c r="H1141" s="3">
        <v>2489.98</v>
      </c>
      <c r="I1141" s="3">
        <v>0.56000000000000005</v>
      </c>
      <c r="J1141">
        <v>0.12</v>
      </c>
      <c r="K1141">
        <v>2629.63</v>
      </c>
      <c r="L1141" t="s">
        <v>35</v>
      </c>
      <c r="M1141">
        <v>652</v>
      </c>
      <c r="N1141">
        <v>0.37</v>
      </c>
      <c r="O1141" s="3">
        <v>494.45</v>
      </c>
      <c r="P1141" s="3">
        <v>0.09</v>
      </c>
      <c r="Q1141" s="3">
        <v>104.85</v>
      </c>
      <c r="R1141" s="3">
        <v>0.02</v>
      </c>
      <c r="S1141">
        <v>3</v>
      </c>
      <c r="T1141">
        <v>961.68</v>
      </c>
      <c r="U1141">
        <v>30</v>
      </c>
      <c r="V1141">
        <v>0</v>
      </c>
      <c r="W1141">
        <v>195.16</v>
      </c>
      <c r="X1141">
        <v>2614.2600000000002</v>
      </c>
      <c r="Y1141" t="s">
        <v>49</v>
      </c>
      <c r="Z1141" s="3">
        <v>1279.94</v>
      </c>
      <c r="AA1141" t="s">
        <v>37</v>
      </c>
      <c r="AB1141" t="s">
        <v>42</v>
      </c>
      <c r="AC1141">
        <v>80.5</v>
      </c>
      <c r="AD1141" t="s">
        <v>34</v>
      </c>
      <c r="AE1141">
        <v>2489.98</v>
      </c>
      <c r="AF1141">
        <v>0</v>
      </c>
    </row>
    <row r="1142" spans="3:32" x14ac:dyDescent="0.35">
      <c r="C1142" s="1">
        <v>44126</v>
      </c>
      <c r="D1142" s="2">
        <v>44105</v>
      </c>
      <c r="E1142">
        <v>1915</v>
      </c>
      <c r="F1142" s="3">
        <v>4538.1499999999996</v>
      </c>
      <c r="G1142" s="3">
        <v>3883.63</v>
      </c>
      <c r="H1142" s="3">
        <v>654.52</v>
      </c>
      <c r="I1142" s="3">
        <v>0.86</v>
      </c>
      <c r="J1142">
        <v>0.19</v>
      </c>
      <c r="K1142">
        <v>3095.08</v>
      </c>
      <c r="L1142" t="s">
        <v>39</v>
      </c>
      <c r="M1142">
        <v>633</v>
      </c>
      <c r="N1142">
        <v>0.46</v>
      </c>
      <c r="O1142" s="3">
        <v>144.16999999999999</v>
      </c>
      <c r="P1142" s="3">
        <v>0.03</v>
      </c>
      <c r="Q1142" s="3">
        <v>197.87</v>
      </c>
      <c r="R1142" s="3">
        <v>0.04</v>
      </c>
      <c r="S1142">
        <v>1</v>
      </c>
      <c r="T1142">
        <v>759.11</v>
      </c>
      <c r="U1142">
        <v>61</v>
      </c>
      <c r="V1142">
        <v>0</v>
      </c>
      <c r="W1142">
        <v>549.9</v>
      </c>
      <c r="X1142">
        <v>2476.36</v>
      </c>
      <c r="Y1142" t="s">
        <v>49</v>
      </c>
      <c r="Z1142" s="3">
        <v>1442.51</v>
      </c>
      <c r="AA1142" t="s">
        <v>51</v>
      </c>
      <c r="AB1142" t="s">
        <v>33</v>
      </c>
      <c r="AC1142">
        <v>87</v>
      </c>
      <c r="AD1142" t="s">
        <v>43</v>
      </c>
      <c r="AE1142">
        <v>654.52</v>
      </c>
      <c r="AF1142">
        <v>0</v>
      </c>
    </row>
    <row r="1143" spans="3:32" x14ac:dyDescent="0.35">
      <c r="C1143" s="1">
        <v>44126</v>
      </c>
      <c r="D1143" s="2">
        <v>44105</v>
      </c>
      <c r="E1143">
        <v>1361</v>
      </c>
      <c r="F1143" s="3">
        <v>4021.8</v>
      </c>
      <c r="G1143" s="3">
        <v>3627.67</v>
      </c>
      <c r="H1143" s="3">
        <v>394.13</v>
      </c>
      <c r="I1143" s="3">
        <v>0.9</v>
      </c>
      <c r="J1143">
        <v>0.18</v>
      </c>
      <c r="K1143">
        <v>2354.42</v>
      </c>
      <c r="L1143" t="s">
        <v>30</v>
      </c>
      <c r="M1143">
        <v>680</v>
      </c>
      <c r="N1143">
        <v>0.27</v>
      </c>
      <c r="O1143" s="3">
        <v>626.54999999999995</v>
      </c>
      <c r="P1143" s="3">
        <v>0.16</v>
      </c>
      <c r="Q1143" s="3">
        <v>477.73</v>
      </c>
      <c r="R1143" s="3">
        <v>0.12</v>
      </c>
      <c r="S1143">
        <v>6</v>
      </c>
      <c r="T1143">
        <v>2253.7199999999998</v>
      </c>
      <c r="U1143">
        <v>97</v>
      </c>
      <c r="V1143">
        <v>0</v>
      </c>
      <c r="W1143">
        <v>664.45</v>
      </c>
      <c r="X1143">
        <v>2471.39</v>
      </c>
      <c r="Y1143" t="s">
        <v>31</v>
      </c>
      <c r="Z1143" s="3">
        <v>1139.3</v>
      </c>
      <c r="AA1143" t="s">
        <v>51</v>
      </c>
      <c r="AB1143" t="s">
        <v>33</v>
      </c>
      <c r="AC1143">
        <v>92.1</v>
      </c>
      <c r="AD1143" t="s">
        <v>34</v>
      </c>
      <c r="AE1143">
        <v>394.13</v>
      </c>
      <c r="AF1143">
        <v>0</v>
      </c>
    </row>
    <row r="1144" spans="3:32" x14ac:dyDescent="0.35">
      <c r="C1144" s="1">
        <v>44126</v>
      </c>
      <c r="D1144" s="2">
        <v>44105</v>
      </c>
      <c r="E1144">
        <v>1341</v>
      </c>
      <c r="F1144" s="3">
        <v>3490.11</v>
      </c>
      <c r="G1144" s="3">
        <v>3264.64</v>
      </c>
      <c r="H1144" s="3">
        <v>225.47</v>
      </c>
      <c r="I1144" s="3">
        <v>0.94</v>
      </c>
      <c r="J1144">
        <v>0.11</v>
      </c>
      <c r="K1144">
        <v>2749.1</v>
      </c>
      <c r="L1144" t="s">
        <v>35</v>
      </c>
      <c r="M1144">
        <v>756</v>
      </c>
      <c r="N1144">
        <v>0.28999999999999998</v>
      </c>
      <c r="O1144" s="3">
        <v>465.16</v>
      </c>
      <c r="P1144" s="3">
        <v>0.13</v>
      </c>
      <c r="Q1144" s="3">
        <v>148.78</v>
      </c>
      <c r="R1144" s="3">
        <v>0.04</v>
      </c>
      <c r="S1144">
        <v>5</v>
      </c>
      <c r="T1144">
        <v>364.78</v>
      </c>
      <c r="U1144">
        <v>50</v>
      </c>
      <c r="V1144">
        <v>0</v>
      </c>
      <c r="W1144">
        <v>595.51</v>
      </c>
      <c r="X1144">
        <v>2263.58</v>
      </c>
      <c r="Y1144" t="s">
        <v>31</v>
      </c>
      <c r="Z1144" s="3">
        <v>1105.95</v>
      </c>
      <c r="AA1144" t="s">
        <v>47</v>
      </c>
      <c r="AB1144" t="s">
        <v>42</v>
      </c>
      <c r="AC1144">
        <v>27</v>
      </c>
      <c r="AD1144" t="s">
        <v>34</v>
      </c>
      <c r="AE1144">
        <v>225.47</v>
      </c>
      <c r="AF1144">
        <v>0</v>
      </c>
    </row>
    <row r="1145" spans="3:32" x14ac:dyDescent="0.35">
      <c r="C1145" s="1">
        <v>44126</v>
      </c>
      <c r="D1145" s="2">
        <v>44105</v>
      </c>
      <c r="E1145">
        <v>1218</v>
      </c>
      <c r="F1145" s="3">
        <v>5178.3</v>
      </c>
      <c r="G1145" s="3">
        <v>3616.94</v>
      </c>
      <c r="H1145" s="3">
        <v>1561.36</v>
      </c>
      <c r="I1145" s="3">
        <v>0.7</v>
      </c>
      <c r="J1145">
        <v>0.25</v>
      </c>
      <c r="K1145">
        <v>2578.88</v>
      </c>
      <c r="L1145" t="s">
        <v>35</v>
      </c>
      <c r="M1145">
        <v>592</v>
      </c>
      <c r="N1145">
        <v>0.44</v>
      </c>
      <c r="O1145" s="3">
        <v>444.85</v>
      </c>
      <c r="P1145" s="3">
        <v>0.09</v>
      </c>
      <c r="Q1145" s="3">
        <v>358.61</v>
      </c>
      <c r="R1145" s="3">
        <v>7.0000000000000007E-2</v>
      </c>
      <c r="S1145">
        <v>7</v>
      </c>
      <c r="T1145">
        <v>1614.76</v>
      </c>
      <c r="U1145">
        <v>38</v>
      </c>
      <c r="V1145">
        <v>0</v>
      </c>
      <c r="W1145">
        <v>50.53</v>
      </c>
      <c r="X1145">
        <v>2444.37</v>
      </c>
      <c r="Y1145" t="s">
        <v>31</v>
      </c>
      <c r="Z1145" s="3">
        <v>769.02</v>
      </c>
      <c r="AA1145" t="s">
        <v>45</v>
      </c>
      <c r="AB1145" t="s">
        <v>44</v>
      </c>
      <c r="AC1145">
        <v>61.3</v>
      </c>
      <c r="AD1145" t="s">
        <v>43</v>
      </c>
      <c r="AE1145">
        <v>1561.36</v>
      </c>
      <c r="AF1145">
        <v>0</v>
      </c>
    </row>
    <row r="1146" spans="3:32" x14ac:dyDescent="0.35">
      <c r="C1146" s="1">
        <v>44126</v>
      </c>
      <c r="D1146" s="2">
        <v>44105</v>
      </c>
      <c r="E1146">
        <v>1389</v>
      </c>
      <c r="F1146" s="3">
        <v>2684.49</v>
      </c>
      <c r="G1146" s="3">
        <v>2944.61</v>
      </c>
      <c r="H1146" s="3">
        <v>-260.12</v>
      </c>
      <c r="I1146" s="3">
        <v>1.1000000000000001</v>
      </c>
      <c r="J1146">
        <v>0.05</v>
      </c>
      <c r="K1146">
        <v>3266.41</v>
      </c>
      <c r="L1146" t="s">
        <v>35</v>
      </c>
      <c r="M1146">
        <v>674</v>
      </c>
      <c r="N1146">
        <v>0.41</v>
      </c>
      <c r="O1146" s="3">
        <v>551.49</v>
      </c>
      <c r="P1146" s="3">
        <v>0.21</v>
      </c>
      <c r="Q1146" s="3">
        <v>174.38</v>
      </c>
      <c r="R1146" s="3">
        <v>0.06</v>
      </c>
      <c r="S1146">
        <v>4</v>
      </c>
      <c r="T1146">
        <v>563.36</v>
      </c>
      <c r="U1146">
        <v>38</v>
      </c>
      <c r="V1146">
        <v>0</v>
      </c>
      <c r="W1146">
        <v>384.87</v>
      </c>
      <c r="X1146">
        <v>3327.86</v>
      </c>
      <c r="Y1146" t="s">
        <v>49</v>
      </c>
      <c r="Z1146" s="3">
        <v>610.05999999999995</v>
      </c>
      <c r="AA1146" t="s">
        <v>45</v>
      </c>
      <c r="AB1146" t="s">
        <v>44</v>
      </c>
      <c r="AC1146">
        <v>82.7</v>
      </c>
      <c r="AD1146" t="s">
        <v>43</v>
      </c>
      <c r="AE1146">
        <v>0</v>
      </c>
      <c r="AF1146">
        <v>0</v>
      </c>
    </row>
    <row r="1147" spans="3:32" x14ac:dyDescent="0.35">
      <c r="C1147" s="1">
        <v>44126</v>
      </c>
      <c r="D1147" s="2">
        <v>44105</v>
      </c>
      <c r="E1147">
        <v>1215</v>
      </c>
      <c r="F1147" s="3">
        <v>4266.3</v>
      </c>
      <c r="G1147" s="3">
        <v>3036.63</v>
      </c>
      <c r="H1147" s="3">
        <v>1229.67</v>
      </c>
      <c r="I1147" s="3">
        <v>0.71</v>
      </c>
      <c r="J1147">
        <v>0.1</v>
      </c>
      <c r="K1147">
        <v>3616.63</v>
      </c>
      <c r="L1147" t="s">
        <v>30</v>
      </c>
      <c r="M1147">
        <v>634</v>
      </c>
      <c r="N1147">
        <v>0.41</v>
      </c>
      <c r="O1147" s="3">
        <v>140.33000000000001</v>
      </c>
      <c r="P1147" s="3">
        <v>0.03</v>
      </c>
      <c r="Q1147" s="3">
        <v>94.32</v>
      </c>
      <c r="R1147" s="3">
        <v>0.02</v>
      </c>
      <c r="S1147">
        <v>7</v>
      </c>
      <c r="T1147">
        <v>1396.4</v>
      </c>
      <c r="U1147">
        <v>81</v>
      </c>
      <c r="V1147">
        <v>0</v>
      </c>
      <c r="W1147">
        <v>565.29999999999995</v>
      </c>
      <c r="X1147">
        <v>1501.63</v>
      </c>
      <c r="Y1147" t="s">
        <v>36</v>
      </c>
      <c r="Z1147" s="3">
        <v>1042.6199999999999</v>
      </c>
      <c r="AA1147" t="s">
        <v>32</v>
      </c>
      <c r="AB1147" t="s">
        <v>33</v>
      </c>
      <c r="AC1147">
        <v>53.5</v>
      </c>
      <c r="AD1147" t="s">
        <v>43</v>
      </c>
      <c r="AE1147">
        <v>1229.67</v>
      </c>
      <c r="AF1147">
        <v>0</v>
      </c>
    </row>
    <row r="1148" spans="3:32" x14ac:dyDescent="0.35">
      <c r="C1148" s="1">
        <v>44126</v>
      </c>
      <c r="D1148" s="2">
        <v>44105</v>
      </c>
      <c r="E1148">
        <v>1517</v>
      </c>
      <c r="F1148" s="3">
        <v>4701.1499999999996</v>
      </c>
      <c r="G1148" s="3">
        <v>1944.31</v>
      </c>
      <c r="H1148" s="3">
        <v>2756.84</v>
      </c>
      <c r="I1148" s="3">
        <v>0.41</v>
      </c>
      <c r="J1148">
        <v>0.31</v>
      </c>
      <c r="K1148">
        <v>2446.83</v>
      </c>
      <c r="L1148" t="s">
        <v>39</v>
      </c>
      <c r="M1148">
        <v>665</v>
      </c>
      <c r="N1148">
        <v>0.33</v>
      </c>
      <c r="O1148" s="3">
        <v>307.81</v>
      </c>
      <c r="P1148" s="3">
        <v>7.0000000000000007E-2</v>
      </c>
      <c r="Q1148" s="3">
        <v>306.64</v>
      </c>
      <c r="R1148" s="3">
        <v>7.0000000000000007E-2</v>
      </c>
      <c r="S1148">
        <v>7</v>
      </c>
      <c r="T1148">
        <v>872.25</v>
      </c>
      <c r="U1148">
        <v>29</v>
      </c>
      <c r="V1148">
        <v>0</v>
      </c>
      <c r="W1148">
        <v>429.85</v>
      </c>
      <c r="X1148">
        <v>2213.0500000000002</v>
      </c>
      <c r="Y1148" t="s">
        <v>36</v>
      </c>
      <c r="Z1148" s="3">
        <v>1159.3499999999999</v>
      </c>
      <c r="AA1148" t="s">
        <v>32</v>
      </c>
      <c r="AB1148" t="s">
        <v>33</v>
      </c>
      <c r="AC1148">
        <v>51</v>
      </c>
      <c r="AD1148" t="s">
        <v>34</v>
      </c>
      <c r="AE1148">
        <v>2756.84</v>
      </c>
      <c r="AF1148">
        <v>1</v>
      </c>
    </row>
    <row r="1149" spans="3:32" x14ac:dyDescent="0.35">
      <c r="C1149" s="1">
        <v>44126</v>
      </c>
      <c r="D1149" s="2">
        <v>44105</v>
      </c>
      <c r="E1149">
        <v>1061</v>
      </c>
      <c r="F1149" s="3">
        <v>5662.9</v>
      </c>
      <c r="G1149" s="3">
        <v>3656.95</v>
      </c>
      <c r="H1149" s="3">
        <v>2005.95</v>
      </c>
      <c r="I1149" s="3">
        <v>0.65</v>
      </c>
      <c r="J1149">
        <v>0.28999999999999998</v>
      </c>
      <c r="K1149">
        <v>3156.62</v>
      </c>
      <c r="L1149" t="s">
        <v>39</v>
      </c>
      <c r="M1149">
        <v>757</v>
      </c>
      <c r="N1149">
        <v>0.33</v>
      </c>
      <c r="O1149" s="3">
        <v>560.16999999999996</v>
      </c>
      <c r="P1149" s="3">
        <v>0.1</v>
      </c>
      <c r="Q1149" s="3">
        <v>335.75</v>
      </c>
      <c r="R1149" s="3">
        <v>0.06</v>
      </c>
      <c r="S1149">
        <v>5</v>
      </c>
      <c r="T1149">
        <v>1349.06</v>
      </c>
      <c r="U1149">
        <v>56</v>
      </c>
      <c r="V1149">
        <v>0</v>
      </c>
      <c r="W1149">
        <v>734.8</v>
      </c>
      <c r="X1149">
        <v>2726.2</v>
      </c>
      <c r="Y1149" t="s">
        <v>36</v>
      </c>
      <c r="Z1149" s="3">
        <v>538.41999999999996</v>
      </c>
      <c r="AA1149" t="s">
        <v>40</v>
      </c>
      <c r="AB1149" t="s">
        <v>44</v>
      </c>
      <c r="AC1149">
        <v>70.900000000000006</v>
      </c>
      <c r="AD1149" t="s">
        <v>34</v>
      </c>
      <c r="AE1149">
        <v>2005.95</v>
      </c>
      <c r="AF1149">
        <v>0</v>
      </c>
    </row>
    <row r="1150" spans="3:32" x14ac:dyDescent="0.35">
      <c r="C1150" s="1">
        <v>44126</v>
      </c>
      <c r="D1150" s="2">
        <v>44105</v>
      </c>
      <c r="E1150">
        <v>1200</v>
      </c>
      <c r="F1150" s="3">
        <v>4085.78</v>
      </c>
      <c r="G1150" s="3">
        <v>3541.49</v>
      </c>
      <c r="H1150" s="3">
        <v>544.29</v>
      </c>
      <c r="I1150" s="3">
        <v>0.87</v>
      </c>
      <c r="J1150">
        <v>0.32</v>
      </c>
      <c r="K1150">
        <v>2188.42</v>
      </c>
      <c r="L1150" t="s">
        <v>35</v>
      </c>
      <c r="M1150">
        <v>712</v>
      </c>
      <c r="N1150">
        <v>0.25</v>
      </c>
      <c r="O1150" s="3">
        <v>490.75</v>
      </c>
      <c r="P1150" s="3">
        <v>0.12</v>
      </c>
      <c r="Q1150" s="3">
        <v>285.64999999999998</v>
      </c>
      <c r="R1150" s="3">
        <v>7.0000000000000007E-2</v>
      </c>
      <c r="S1150">
        <v>2</v>
      </c>
      <c r="T1150">
        <v>1061.3800000000001</v>
      </c>
      <c r="U1150">
        <v>79</v>
      </c>
      <c r="V1150">
        <v>0</v>
      </c>
      <c r="W1150">
        <v>763.2</v>
      </c>
      <c r="X1150">
        <v>2569.37</v>
      </c>
      <c r="Y1150" t="s">
        <v>36</v>
      </c>
      <c r="Z1150" s="3">
        <v>1250.68</v>
      </c>
      <c r="AA1150" t="s">
        <v>51</v>
      </c>
      <c r="AB1150" t="s">
        <v>44</v>
      </c>
      <c r="AC1150">
        <v>41.3</v>
      </c>
      <c r="AD1150" t="s">
        <v>43</v>
      </c>
      <c r="AE1150">
        <v>544.29</v>
      </c>
      <c r="AF1150">
        <v>0</v>
      </c>
    </row>
    <row r="1151" spans="3:32" x14ac:dyDescent="0.35">
      <c r="C1151" s="1">
        <v>44126</v>
      </c>
      <c r="D1151" s="2">
        <v>44105</v>
      </c>
      <c r="E1151">
        <v>1737</v>
      </c>
      <c r="F1151" s="3">
        <v>3664.43</v>
      </c>
      <c r="G1151" s="3">
        <v>3876.58</v>
      </c>
      <c r="H1151" s="3">
        <v>-212.15</v>
      </c>
      <c r="I1151" s="3">
        <v>1.06</v>
      </c>
      <c r="J1151">
        <v>0.23</v>
      </c>
      <c r="K1151">
        <v>3302.16</v>
      </c>
      <c r="L1151" t="s">
        <v>35</v>
      </c>
      <c r="M1151">
        <v>661</v>
      </c>
      <c r="N1151">
        <v>0.27</v>
      </c>
      <c r="O1151" s="3">
        <v>1176.8800000000001</v>
      </c>
      <c r="P1151" s="3">
        <v>0.32</v>
      </c>
      <c r="Q1151" s="3">
        <v>0</v>
      </c>
      <c r="R1151" s="3">
        <v>0</v>
      </c>
      <c r="S1151">
        <v>4</v>
      </c>
      <c r="T1151">
        <v>9.65</v>
      </c>
      <c r="U1151">
        <v>77</v>
      </c>
      <c r="V1151">
        <v>0</v>
      </c>
      <c r="W1151">
        <v>428.05</v>
      </c>
      <c r="X1151">
        <v>2168.2800000000002</v>
      </c>
      <c r="Y1151" t="s">
        <v>36</v>
      </c>
      <c r="Z1151" s="3">
        <v>1381.6</v>
      </c>
      <c r="AA1151" t="s">
        <v>37</v>
      </c>
      <c r="AB1151" t="s">
        <v>44</v>
      </c>
      <c r="AC1151">
        <v>64.099999999999994</v>
      </c>
      <c r="AD1151" t="s">
        <v>38</v>
      </c>
      <c r="AE1151">
        <v>0</v>
      </c>
      <c r="AF1151">
        <v>0</v>
      </c>
    </row>
    <row r="1152" spans="3:32" x14ac:dyDescent="0.35">
      <c r="C1152" s="1">
        <v>44156</v>
      </c>
      <c r="D1152" s="2">
        <v>44136</v>
      </c>
      <c r="E1152">
        <v>1057</v>
      </c>
      <c r="F1152" s="3">
        <v>4124.22</v>
      </c>
      <c r="G1152" s="3">
        <v>2712.7</v>
      </c>
      <c r="H1152" s="3">
        <v>1411.52</v>
      </c>
      <c r="I1152" s="3">
        <v>0.66</v>
      </c>
      <c r="J1152">
        <v>0.26</v>
      </c>
      <c r="K1152">
        <v>3029.37</v>
      </c>
      <c r="L1152" t="s">
        <v>35</v>
      </c>
      <c r="M1152">
        <v>706</v>
      </c>
      <c r="N1152">
        <v>0.21</v>
      </c>
      <c r="O1152" s="3">
        <v>308.5</v>
      </c>
      <c r="P1152" s="3">
        <v>7.0000000000000007E-2</v>
      </c>
      <c r="Q1152" s="3">
        <v>258.74</v>
      </c>
      <c r="R1152" s="3">
        <v>0.06</v>
      </c>
      <c r="S1152">
        <v>5</v>
      </c>
      <c r="T1152">
        <v>615.45000000000005</v>
      </c>
      <c r="U1152">
        <v>94</v>
      </c>
      <c r="V1152">
        <v>0</v>
      </c>
      <c r="W1152">
        <v>643.02</v>
      </c>
      <c r="X1152">
        <v>1682.26</v>
      </c>
      <c r="Y1152" t="s">
        <v>36</v>
      </c>
      <c r="Z1152" s="3">
        <v>839.09</v>
      </c>
      <c r="AA1152" t="s">
        <v>45</v>
      </c>
      <c r="AB1152" t="s">
        <v>42</v>
      </c>
      <c r="AC1152">
        <v>78.3</v>
      </c>
      <c r="AD1152" t="s">
        <v>34</v>
      </c>
      <c r="AE1152">
        <v>1411.52</v>
      </c>
      <c r="AF1152">
        <v>0</v>
      </c>
    </row>
    <row r="1153" spans="3:32" x14ac:dyDescent="0.35">
      <c r="C1153" s="1">
        <v>44156</v>
      </c>
      <c r="D1153" s="2">
        <v>44136</v>
      </c>
      <c r="E1153">
        <v>1856</v>
      </c>
      <c r="F1153" s="3">
        <v>3281.77</v>
      </c>
      <c r="G1153" s="3">
        <v>2937.27</v>
      </c>
      <c r="H1153" s="3">
        <v>344.5</v>
      </c>
      <c r="I1153" s="3">
        <v>0.9</v>
      </c>
      <c r="J1153">
        <v>0.09</v>
      </c>
      <c r="K1153">
        <v>2975.45</v>
      </c>
      <c r="L1153" t="s">
        <v>35</v>
      </c>
      <c r="M1153">
        <v>621</v>
      </c>
      <c r="N1153">
        <v>0.22</v>
      </c>
      <c r="O1153" s="3">
        <v>91.88</v>
      </c>
      <c r="P1153" s="3">
        <v>0.03</v>
      </c>
      <c r="Q1153" s="3">
        <v>625.54</v>
      </c>
      <c r="R1153" s="3">
        <v>0.19</v>
      </c>
      <c r="S1153">
        <v>6</v>
      </c>
      <c r="T1153">
        <v>1642.86</v>
      </c>
      <c r="U1153">
        <v>89</v>
      </c>
      <c r="V1153">
        <v>0</v>
      </c>
      <c r="W1153">
        <v>579.78</v>
      </c>
      <c r="X1153">
        <v>2982.26</v>
      </c>
      <c r="Y1153" t="s">
        <v>36</v>
      </c>
      <c r="Z1153" s="3">
        <v>1094.01</v>
      </c>
      <c r="AA1153" t="s">
        <v>40</v>
      </c>
      <c r="AB1153" t="s">
        <v>33</v>
      </c>
      <c r="AC1153">
        <v>40.700000000000003</v>
      </c>
      <c r="AD1153" t="s">
        <v>34</v>
      </c>
      <c r="AE1153">
        <v>344.5</v>
      </c>
      <c r="AF1153">
        <v>0</v>
      </c>
    </row>
    <row r="1154" spans="3:32" x14ac:dyDescent="0.35">
      <c r="C1154" s="1">
        <v>44156</v>
      </c>
      <c r="D1154" s="2">
        <v>44136</v>
      </c>
      <c r="E1154">
        <v>1070</v>
      </c>
      <c r="F1154" s="3">
        <v>5822.68</v>
      </c>
      <c r="G1154" s="3">
        <v>3179.36</v>
      </c>
      <c r="H1154" s="3">
        <v>2643.32</v>
      </c>
      <c r="I1154" s="3">
        <v>0.55000000000000004</v>
      </c>
      <c r="J1154">
        <v>0.21</v>
      </c>
      <c r="K1154">
        <v>3325.13</v>
      </c>
      <c r="L1154" t="s">
        <v>39</v>
      </c>
      <c r="M1154">
        <v>628</v>
      </c>
      <c r="N1154">
        <v>0.2</v>
      </c>
      <c r="O1154" s="3">
        <v>507.93</v>
      </c>
      <c r="P1154" s="3">
        <v>0.09</v>
      </c>
      <c r="Q1154" s="3">
        <v>29.11</v>
      </c>
      <c r="R1154" s="3">
        <v>0</v>
      </c>
      <c r="S1154">
        <v>1</v>
      </c>
      <c r="T1154">
        <v>761.82</v>
      </c>
      <c r="U1154">
        <v>54</v>
      </c>
      <c r="V1154">
        <v>0</v>
      </c>
      <c r="W1154">
        <v>339.71</v>
      </c>
      <c r="X1154">
        <v>1000</v>
      </c>
      <c r="Y1154" t="s">
        <v>36</v>
      </c>
      <c r="Z1154" s="3">
        <v>970.58</v>
      </c>
      <c r="AA1154" t="s">
        <v>48</v>
      </c>
      <c r="AB1154" t="s">
        <v>33</v>
      </c>
      <c r="AC1154">
        <v>93.4</v>
      </c>
      <c r="AD1154" t="s">
        <v>34</v>
      </c>
      <c r="AE1154">
        <v>2643.32</v>
      </c>
      <c r="AF1154">
        <v>0</v>
      </c>
    </row>
    <row r="1155" spans="3:32" x14ac:dyDescent="0.35">
      <c r="C1155" s="1">
        <v>44156</v>
      </c>
      <c r="D1155" s="2">
        <v>44136</v>
      </c>
      <c r="E1155">
        <v>1439</v>
      </c>
      <c r="F1155" s="3">
        <v>4381.57</v>
      </c>
      <c r="G1155" s="3">
        <v>3102.35</v>
      </c>
      <c r="H1155" s="3">
        <v>1279.22</v>
      </c>
      <c r="I1155" s="3">
        <v>0.71</v>
      </c>
      <c r="J1155">
        <v>0.11</v>
      </c>
      <c r="K1155">
        <v>3022.66</v>
      </c>
      <c r="L1155" t="s">
        <v>35</v>
      </c>
      <c r="M1155">
        <v>628</v>
      </c>
      <c r="N1155">
        <v>0.52</v>
      </c>
      <c r="O1155" s="3">
        <v>354.83</v>
      </c>
      <c r="P1155" s="3">
        <v>0.08</v>
      </c>
      <c r="Q1155" s="3">
        <v>456.38</v>
      </c>
      <c r="R1155" s="3">
        <v>0.1</v>
      </c>
      <c r="S1155">
        <v>5</v>
      </c>
      <c r="T1155">
        <v>914.8</v>
      </c>
      <c r="U1155">
        <v>39</v>
      </c>
      <c r="V1155">
        <v>0</v>
      </c>
      <c r="W1155">
        <v>953.03</v>
      </c>
      <c r="X1155">
        <v>1807.13</v>
      </c>
      <c r="Y1155" t="s">
        <v>36</v>
      </c>
      <c r="Z1155" s="3">
        <v>1779.79</v>
      </c>
      <c r="AA1155" t="s">
        <v>37</v>
      </c>
      <c r="AB1155" t="s">
        <v>33</v>
      </c>
      <c r="AC1155">
        <v>76</v>
      </c>
      <c r="AD1155" t="s">
        <v>34</v>
      </c>
      <c r="AE1155">
        <v>1279.22</v>
      </c>
      <c r="AF1155">
        <v>0</v>
      </c>
    </row>
    <row r="1156" spans="3:32" x14ac:dyDescent="0.35">
      <c r="C1156" s="1">
        <v>44156</v>
      </c>
      <c r="D1156" s="2">
        <v>44136</v>
      </c>
      <c r="E1156">
        <v>1778</v>
      </c>
      <c r="F1156" s="3">
        <v>2476.92</v>
      </c>
      <c r="G1156" s="3">
        <v>1869.67</v>
      </c>
      <c r="H1156" s="3">
        <v>607.25</v>
      </c>
      <c r="I1156" s="3">
        <v>0.75</v>
      </c>
      <c r="J1156">
        <v>0.08</v>
      </c>
      <c r="K1156">
        <v>2292.1799999999998</v>
      </c>
      <c r="L1156" t="s">
        <v>30</v>
      </c>
      <c r="M1156">
        <v>598</v>
      </c>
      <c r="N1156">
        <v>0.21</v>
      </c>
      <c r="O1156" s="3">
        <v>587.83000000000004</v>
      </c>
      <c r="P1156" s="3">
        <v>0.24</v>
      </c>
      <c r="Q1156" s="3">
        <v>495.08</v>
      </c>
      <c r="R1156" s="3">
        <v>0.2</v>
      </c>
      <c r="S1156">
        <v>8</v>
      </c>
      <c r="T1156">
        <v>199.86</v>
      </c>
      <c r="U1156">
        <v>86</v>
      </c>
      <c r="V1156">
        <v>0</v>
      </c>
      <c r="W1156">
        <v>158.12</v>
      </c>
      <c r="X1156">
        <v>1593.15</v>
      </c>
      <c r="Y1156" t="s">
        <v>36</v>
      </c>
      <c r="Z1156" s="3">
        <v>1338.36</v>
      </c>
      <c r="AA1156" t="s">
        <v>46</v>
      </c>
      <c r="AB1156" t="s">
        <v>33</v>
      </c>
      <c r="AC1156">
        <v>88.4</v>
      </c>
      <c r="AD1156" t="s">
        <v>43</v>
      </c>
      <c r="AE1156">
        <v>607.25</v>
      </c>
      <c r="AF1156">
        <v>0</v>
      </c>
    </row>
    <row r="1157" spans="3:32" x14ac:dyDescent="0.35">
      <c r="C1157" s="1">
        <v>44156</v>
      </c>
      <c r="D1157" s="2">
        <v>44136</v>
      </c>
      <c r="E1157">
        <v>1945</v>
      </c>
      <c r="F1157" s="3">
        <v>4015.48</v>
      </c>
      <c r="G1157" s="3">
        <v>2304.7199999999998</v>
      </c>
      <c r="H1157" s="3">
        <v>1710.76</v>
      </c>
      <c r="I1157" s="3">
        <v>0.56999999999999995</v>
      </c>
      <c r="J1157">
        <v>0.09</v>
      </c>
      <c r="K1157">
        <v>3023.05</v>
      </c>
      <c r="L1157" t="s">
        <v>35</v>
      </c>
      <c r="M1157">
        <v>580</v>
      </c>
      <c r="N1157">
        <v>0.48</v>
      </c>
      <c r="O1157" s="3">
        <v>725.06</v>
      </c>
      <c r="P1157" s="3">
        <v>0.18</v>
      </c>
      <c r="Q1157" s="3">
        <v>146.85</v>
      </c>
      <c r="R1157" s="3">
        <v>0.04</v>
      </c>
      <c r="S1157">
        <v>2</v>
      </c>
      <c r="T1157">
        <v>130.62</v>
      </c>
      <c r="U1157">
        <v>86</v>
      </c>
      <c r="V1157">
        <v>0</v>
      </c>
      <c r="W1157">
        <v>0</v>
      </c>
      <c r="X1157">
        <v>3905.56</v>
      </c>
      <c r="Y1157" t="s">
        <v>36</v>
      </c>
      <c r="Z1157" s="3">
        <v>1761.48</v>
      </c>
      <c r="AA1157" t="s">
        <v>45</v>
      </c>
      <c r="AB1157" t="s">
        <v>33</v>
      </c>
      <c r="AC1157">
        <v>55.6</v>
      </c>
      <c r="AD1157" t="s">
        <v>34</v>
      </c>
      <c r="AE1157">
        <v>1710.76</v>
      </c>
      <c r="AF1157">
        <v>0</v>
      </c>
    </row>
    <row r="1158" spans="3:32" x14ac:dyDescent="0.35">
      <c r="C1158" s="1">
        <v>44156</v>
      </c>
      <c r="D1158" s="2">
        <v>44136</v>
      </c>
      <c r="E1158">
        <v>1056</v>
      </c>
      <c r="F1158" s="3">
        <v>3301.09</v>
      </c>
      <c r="G1158" s="3">
        <v>1601.81</v>
      </c>
      <c r="H1158" s="3">
        <v>1699.28</v>
      </c>
      <c r="I1158" s="3">
        <v>0.49</v>
      </c>
      <c r="J1158">
        <v>0.26</v>
      </c>
      <c r="K1158">
        <v>3028.42</v>
      </c>
      <c r="L1158" t="s">
        <v>30</v>
      </c>
      <c r="M1158">
        <v>676</v>
      </c>
      <c r="N1158">
        <v>0.3</v>
      </c>
      <c r="O1158" s="3">
        <v>575.11</v>
      </c>
      <c r="P1158" s="3">
        <v>0.17</v>
      </c>
      <c r="Q1158" s="3">
        <v>749.8</v>
      </c>
      <c r="R1158" s="3">
        <v>0.23</v>
      </c>
      <c r="S1158">
        <v>7</v>
      </c>
      <c r="T1158">
        <v>1642.1</v>
      </c>
      <c r="U1158">
        <v>29</v>
      </c>
      <c r="V1158">
        <v>0</v>
      </c>
      <c r="W1158">
        <v>794.03</v>
      </c>
      <c r="X1158">
        <v>1710.12</v>
      </c>
      <c r="Y1158" t="s">
        <v>36</v>
      </c>
      <c r="Z1158" s="3">
        <v>1337.76</v>
      </c>
      <c r="AA1158" t="s">
        <v>46</v>
      </c>
      <c r="AB1158" t="s">
        <v>33</v>
      </c>
      <c r="AC1158">
        <v>13.2</v>
      </c>
      <c r="AD1158" t="s">
        <v>38</v>
      </c>
      <c r="AE1158">
        <v>1699.28</v>
      </c>
      <c r="AF1158">
        <v>0</v>
      </c>
    </row>
    <row r="1159" spans="3:32" x14ac:dyDescent="0.35">
      <c r="C1159" s="1">
        <v>44156</v>
      </c>
      <c r="D1159" s="2">
        <v>44136</v>
      </c>
      <c r="E1159">
        <v>1903</v>
      </c>
      <c r="F1159" s="3">
        <v>3308.17</v>
      </c>
      <c r="G1159" s="3">
        <v>3768.77</v>
      </c>
      <c r="H1159" s="3">
        <v>-460.6</v>
      </c>
      <c r="I1159" s="3">
        <v>1.1399999999999999</v>
      </c>
      <c r="J1159">
        <v>0.11</v>
      </c>
      <c r="K1159">
        <v>3172</v>
      </c>
      <c r="L1159" t="s">
        <v>30</v>
      </c>
      <c r="M1159">
        <v>641</v>
      </c>
      <c r="N1159">
        <v>0.12</v>
      </c>
      <c r="O1159" s="3">
        <v>472.27</v>
      </c>
      <c r="P1159" s="3">
        <v>0.14000000000000001</v>
      </c>
      <c r="Q1159" s="3">
        <v>330.6</v>
      </c>
      <c r="R1159" s="3">
        <v>0.1</v>
      </c>
      <c r="S1159">
        <v>5</v>
      </c>
      <c r="T1159">
        <v>0</v>
      </c>
      <c r="U1159">
        <v>75</v>
      </c>
      <c r="V1159">
        <v>0</v>
      </c>
      <c r="W1159">
        <v>324.89999999999998</v>
      </c>
      <c r="X1159">
        <v>1607.32</v>
      </c>
      <c r="Y1159" t="s">
        <v>36</v>
      </c>
      <c r="Z1159" s="3">
        <v>640.54999999999995</v>
      </c>
      <c r="AA1159" t="s">
        <v>37</v>
      </c>
      <c r="AB1159" t="s">
        <v>42</v>
      </c>
      <c r="AC1159">
        <v>82.2</v>
      </c>
      <c r="AD1159" t="s">
        <v>38</v>
      </c>
      <c r="AE1159">
        <v>0</v>
      </c>
      <c r="AF1159">
        <v>0</v>
      </c>
    </row>
    <row r="1160" spans="3:32" x14ac:dyDescent="0.35">
      <c r="C1160" s="1">
        <v>44156</v>
      </c>
      <c r="D1160" s="2">
        <v>44136</v>
      </c>
      <c r="E1160">
        <v>1385</v>
      </c>
      <c r="F1160" s="3">
        <v>4223.7299999999996</v>
      </c>
      <c r="G1160" s="3">
        <v>2656.71</v>
      </c>
      <c r="H1160" s="3">
        <v>1567.02</v>
      </c>
      <c r="I1160" s="3">
        <v>0.63</v>
      </c>
      <c r="J1160">
        <v>0.38</v>
      </c>
      <c r="K1160">
        <v>2656.97</v>
      </c>
      <c r="L1160" t="s">
        <v>35</v>
      </c>
      <c r="M1160">
        <v>679</v>
      </c>
      <c r="N1160">
        <v>0.28000000000000003</v>
      </c>
      <c r="O1160" s="3">
        <v>702.12</v>
      </c>
      <c r="P1160" s="3">
        <v>0.17</v>
      </c>
      <c r="Q1160" s="3">
        <v>453.14</v>
      </c>
      <c r="R1160" s="3">
        <v>0.11</v>
      </c>
      <c r="S1160">
        <v>3</v>
      </c>
      <c r="T1160">
        <v>272.02</v>
      </c>
      <c r="U1160">
        <v>34</v>
      </c>
      <c r="V1160">
        <v>0</v>
      </c>
      <c r="W1160">
        <v>514.55999999999995</v>
      </c>
      <c r="X1160">
        <v>2872.9</v>
      </c>
      <c r="Y1160" t="s">
        <v>36</v>
      </c>
      <c r="Z1160" s="3">
        <v>593.70000000000005</v>
      </c>
      <c r="AA1160" t="s">
        <v>32</v>
      </c>
      <c r="AB1160" t="s">
        <v>44</v>
      </c>
      <c r="AC1160">
        <v>71.900000000000006</v>
      </c>
      <c r="AD1160" t="s">
        <v>34</v>
      </c>
      <c r="AE1160">
        <v>1567.02</v>
      </c>
      <c r="AF1160">
        <v>0</v>
      </c>
    </row>
    <row r="1161" spans="3:32" x14ac:dyDescent="0.35">
      <c r="C1161" s="1">
        <v>44156</v>
      </c>
      <c r="D1161" s="2">
        <v>44136</v>
      </c>
      <c r="E1161">
        <v>1416</v>
      </c>
      <c r="F1161" s="3">
        <v>4902.58</v>
      </c>
      <c r="G1161" s="3">
        <v>3205.03</v>
      </c>
      <c r="H1161" s="3">
        <v>1697.55</v>
      </c>
      <c r="I1161" s="3">
        <v>0.65</v>
      </c>
      <c r="J1161">
        <v>0.25</v>
      </c>
      <c r="K1161">
        <v>2664.1</v>
      </c>
      <c r="L1161" t="s">
        <v>30</v>
      </c>
      <c r="M1161">
        <v>632</v>
      </c>
      <c r="N1161">
        <v>0.3</v>
      </c>
      <c r="O1161" s="3">
        <v>452.67</v>
      </c>
      <c r="P1161" s="3">
        <v>0.09</v>
      </c>
      <c r="Q1161" s="3">
        <v>574.02</v>
      </c>
      <c r="R1161" s="3">
        <v>0.12</v>
      </c>
      <c r="S1161">
        <v>1</v>
      </c>
      <c r="T1161">
        <v>1178.21</v>
      </c>
      <c r="U1161">
        <v>87</v>
      </c>
      <c r="V1161">
        <v>0</v>
      </c>
      <c r="W1161">
        <v>419.11</v>
      </c>
      <c r="X1161">
        <v>2229.85</v>
      </c>
      <c r="Y1161" t="s">
        <v>36</v>
      </c>
      <c r="Z1161" s="3">
        <v>1540.44</v>
      </c>
      <c r="AA1161" t="s">
        <v>37</v>
      </c>
      <c r="AB1161" t="s">
        <v>44</v>
      </c>
      <c r="AC1161">
        <v>4.2</v>
      </c>
      <c r="AD1161" t="s">
        <v>34</v>
      </c>
      <c r="AE1161">
        <v>1697.55</v>
      </c>
      <c r="AF1161">
        <v>0</v>
      </c>
    </row>
    <row r="1162" spans="3:32" x14ac:dyDescent="0.35">
      <c r="C1162" s="1">
        <v>44156</v>
      </c>
      <c r="D1162" s="2">
        <v>44136</v>
      </c>
      <c r="E1162">
        <v>1099</v>
      </c>
      <c r="F1162" s="3">
        <v>3147.63</v>
      </c>
      <c r="G1162" s="3">
        <v>2919.98</v>
      </c>
      <c r="H1162" s="3">
        <v>227.65</v>
      </c>
      <c r="I1162" s="3">
        <v>0.93</v>
      </c>
      <c r="J1162">
        <v>0.16</v>
      </c>
      <c r="K1162">
        <v>2467.59</v>
      </c>
      <c r="L1162" t="s">
        <v>30</v>
      </c>
      <c r="M1162">
        <v>655</v>
      </c>
      <c r="N1162">
        <v>0.3</v>
      </c>
      <c r="O1162" s="3">
        <v>577.77</v>
      </c>
      <c r="P1162" s="3">
        <v>0.18</v>
      </c>
      <c r="Q1162" s="3">
        <v>660.31</v>
      </c>
      <c r="R1162" s="3">
        <v>0.21</v>
      </c>
      <c r="S1162">
        <v>3</v>
      </c>
      <c r="T1162">
        <v>704.45</v>
      </c>
      <c r="U1162">
        <v>46</v>
      </c>
      <c r="V1162">
        <v>0</v>
      </c>
      <c r="W1162">
        <v>727.47</v>
      </c>
      <c r="X1162">
        <v>2541.13</v>
      </c>
      <c r="Y1162" t="s">
        <v>36</v>
      </c>
      <c r="Z1162" s="3">
        <v>916.59</v>
      </c>
      <c r="AA1162" t="s">
        <v>41</v>
      </c>
      <c r="AB1162" t="s">
        <v>42</v>
      </c>
      <c r="AC1162">
        <v>9.6999999999999993</v>
      </c>
      <c r="AD1162" t="s">
        <v>43</v>
      </c>
      <c r="AE1162">
        <v>227.65</v>
      </c>
      <c r="AF1162">
        <v>0</v>
      </c>
    </row>
    <row r="1163" spans="3:32" x14ac:dyDescent="0.35">
      <c r="C1163" s="1">
        <v>44156</v>
      </c>
      <c r="D1163" s="2">
        <v>44136</v>
      </c>
      <c r="E1163">
        <v>1279</v>
      </c>
      <c r="F1163" s="3">
        <v>3275.27</v>
      </c>
      <c r="G1163" s="3">
        <v>2176.56</v>
      </c>
      <c r="H1163" s="3">
        <v>1098.71</v>
      </c>
      <c r="I1163" s="3">
        <v>0.66</v>
      </c>
      <c r="J1163">
        <v>0.19</v>
      </c>
      <c r="K1163">
        <v>2770.52</v>
      </c>
      <c r="L1163" t="s">
        <v>39</v>
      </c>
      <c r="M1163">
        <v>669</v>
      </c>
      <c r="N1163">
        <v>0.19</v>
      </c>
      <c r="O1163" s="3">
        <v>625.24</v>
      </c>
      <c r="P1163" s="3">
        <v>0.19</v>
      </c>
      <c r="Q1163" s="3">
        <v>422.67</v>
      </c>
      <c r="R1163" s="3">
        <v>0.13</v>
      </c>
      <c r="S1163">
        <v>4</v>
      </c>
      <c r="T1163">
        <v>1227.6600000000001</v>
      </c>
      <c r="U1163">
        <v>78</v>
      </c>
      <c r="V1163">
        <v>0</v>
      </c>
      <c r="W1163">
        <v>326.45999999999998</v>
      </c>
      <c r="X1163">
        <v>1762.62</v>
      </c>
      <c r="Y1163" t="s">
        <v>36</v>
      </c>
      <c r="Z1163" s="3">
        <v>1008.79</v>
      </c>
      <c r="AA1163" t="s">
        <v>37</v>
      </c>
      <c r="AB1163" t="s">
        <v>44</v>
      </c>
      <c r="AC1163">
        <v>55.5</v>
      </c>
      <c r="AD1163" t="s">
        <v>34</v>
      </c>
      <c r="AE1163">
        <v>1098.71</v>
      </c>
      <c r="AF1163">
        <v>0</v>
      </c>
    </row>
    <row r="1164" spans="3:32" x14ac:dyDescent="0.35">
      <c r="C1164" s="1">
        <v>44156</v>
      </c>
      <c r="D1164" s="2">
        <v>44136</v>
      </c>
      <c r="E1164">
        <v>1158</v>
      </c>
      <c r="F1164" s="3">
        <v>5389.36</v>
      </c>
      <c r="G1164" s="3">
        <v>4085.6</v>
      </c>
      <c r="H1164" s="3">
        <v>1303.76</v>
      </c>
      <c r="I1164" s="3">
        <v>0.76</v>
      </c>
      <c r="J1164">
        <v>0.33</v>
      </c>
      <c r="K1164">
        <v>3435.46</v>
      </c>
      <c r="L1164" t="s">
        <v>35</v>
      </c>
      <c r="M1164">
        <v>596</v>
      </c>
      <c r="N1164">
        <v>0.17</v>
      </c>
      <c r="O1164" s="3">
        <v>517.32000000000005</v>
      </c>
      <c r="P1164" s="3">
        <v>0.1</v>
      </c>
      <c r="Q1164" s="3">
        <v>726.77</v>
      </c>
      <c r="R1164" s="3">
        <v>0.13</v>
      </c>
      <c r="S1164">
        <v>8</v>
      </c>
      <c r="T1164">
        <v>0</v>
      </c>
      <c r="U1164">
        <v>67</v>
      </c>
      <c r="V1164">
        <v>0</v>
      </c>
      <c r="W1164">
        <v>532.95000000000005</v>
      </c>
      <c r="X1164">
        <v>2162.79</v>
      </c>
      <c r="Y1164" t="s">
        <v>31</v>
      </c>
      <c r="Z1164" s="3">
        <v>1635.44</v>
      </c>
      <c r="AA1164" t="s">
        <v>41</v>
      </c>
      <c r="AB1164" t="s">
        <v>42</v>
      </c>
      <c r="AC1164">
        <v>71.400000000000006</v>
      </c>
      <c r="AD1164" t="s">
        <v>34</v>
      </c>
      <c r="AE1164">
        <v>1303.76</v>
      </c>
      <c r="AF1164">
        <v>0</v>
      </c>
    </row>
    <row r="1165" spans="3:32" x14ac:dyDescent="0.35">
      <c r="C1165" s="1">
        <v>44156</v>
      </c>
      <c r="D1165" s="2">
        <v>44136</v>
      </c>
      <c r="E1165">
        <v>1842</v>
      </c>
      <c r="F1165" s="3">
        <v>4287.4399999999996</v>
      </c>
      <c r="G1165" s="3">
        <v>2376.6</v>
      </c>
      <c r="H1165" s="3">
        <v>1910.84</v>
      </c>
      <c r="I1165" s="3">
        <v>0.55000000000000004</v>
      </c>
      <c r="J1165">
        <v>0.17</v>
      </c>
      <c r="K1165">
        <v>3017.47</v>
      </c>
      <c r="L1165" t="s">
        <v>35</v>
      </c>
      <c r="M1165">
        <v>647</v>
      </c>
      <c r="N1165">
        <v>0.48</v>
      </c>
      <c r="O1165" s="3">
        <v>714.55</v>
      </c>
      <c r="P1165" s="3">
        <v>0.17</v>
      </c>
      <c r="Q1165" s="3">
        <v>450.86</v>
      </c>
      <c r="R1165" s="3">
        <v>0.11</v>
      </c>
      <c r="S1165">
        <v>3</v>
      </c>
      <c r="T1165">
        <v>1228.69</v>
      </c>
      <c r="U1165">
        <v>74</v>
      </c>
      <c r="V1165">
        <v>0</v>
      </c>
      <c r="W1165">
        <v>535.82000000000005</v>
      </c>
      <c r="X1165">
        <v>2761.19</v>
      </c>
      <c r="Y1165" t="s">
        <v>36</v>
      </c>
      <c r="Z1165" s="3">
        <v>521.25</v>
      </c>
      <c r="AA1165" t="s">
        <v>50</v>
      </c>
      <c r="AB1165" t="s">
        <v>44</v>
      </c>
      <c r="AC1165">
        <v>45.4</v>
      </c>
      <c r="AD1165" t="s">
        <v>43</v>
      </c>
      <c r="AE1165">
        <v>1910.84</v>
      </c>
      <c r="AF1165">
        <v>0</v>
      </c>
    </row>
    <row r="1166" spans="3:32" x14ac:dyDescent="0.35">
      <c r="C1166" s="1">
        <v>44156</v>
      </c>
      <c r="D1166" s="2">
        <v>44136</v>
      </c>
      <c r="E1166">
        <v>1168</v>
      </c>
      <c r="F1166" s="3">
        <v>4091.69</v>
      </c>
      <c r="G1166" s="3">
        <v>1648.23</v>
      </c>
      <c r="H1166" s="3">
        <v>2443.46</v>
      </c>
      <c r="I1166" s="3">
        <v>0.4</v>
      </c>
      <c r="J1166">
        <v>0.35</v>
      </c>
      <c r="K1166">
        <v>2929.75</v>
      </c>
      <c r="L1166" t="s">
        <v>30</v>
      </c>
      <c r="M1166">
        <v>597</v>
      </c>
      <c r="N1166">
        <v>0.5</v>
      </c>
      <c r="O1166" s="3">
        <v>261.83</v>
      </c>
      <c r="P1166" s="3">
        <v>0.06</v>
      </c>
      <c r="Q1166" s="3">
        <v>586.17999999999995</v>
      </c>
      <c r="R1166" s="3">
        <v>0.14000000000000001</v>
      </c>
      <c r="S1166">
        <v>6</v>
      </c>
      <c r="T1166">
        <v>966.08</v>
      </c>
      <c r="U1166">
        <v>62</v>
      </c>
      <c r="V1166">
        <v>0</v>
      </c>
      <c r="W1166">
        <v>481.45</v>
      </c>
      <c r="X1166">
        <v>1602.19</v>
      </c>
      <c r="Y1166" t="s">
        <v>36</v>
      </c>
      <c r="Z1166" s="3">
        <v>1222.95</v>
      </c>
      <c r="AA1166" t="s">
        <v>48</v>
      </c>
      <c r="AB1166" t="s">
        <v>44</v>
      </c>
      <c r="AC1166">
        <v>44.4</v>
      </c>
      <c r="AD1166" t="s">
        <v>34</v>
      </c>
      <c r="AE1166">
        <v>2443.46</v>
      </c>
      <c r="AF1166">
        <v>0</v>
      </c>
    </row>
    <row r="1167" spans="3:32" x14ac:dyDescent="0.35">
      <c r="C1167" s="1">
        <v>44156</v>
      </c>
      <c r="D1167" s="2">
        <v>44136</v>
      </c>
      <c r="E1167">
        <v>1896</v>
      </c>
      <c r="F1167" s="3">
        <v>4605.3100000000004</v>
      </c>
      <c r="G1167" s="3">
        <v>2561.9299999999998</v>
      </c>
      <c r="H1167" s="3">
        <v>2043.38</v>
      </c>
      <c r="I1167" s="3">
        <v>0.56000000000000005</v>
      </c>
      <c r="J1167">
        <v>0.27</v>
      </c>
      <c r="K1167">
        <v>3241.61</v>
      </c>
      <c r="L1167" t="s">
        <v>30</v>
      </c>
      <c r="M1167">
        <v>624</v>
      </c>
      <c r="N1167">
        <v>0.15</v>
      </c>
      <c r="O1167" s="3">
        <v>459.19</v>
      </c>
      <c r="P1167" s="3">
        <v>0.1</v>
      </c>
      <c r="Q1167" s="3">
        <v>253.28</v>
      </c>
      <c r="R1167" s="3">
        <v>0.05</v>
      </c>
      <c r="S1167">
        <v>5</v>
      </c>
      <c r="T1167">
        <v>1463.72</v>
      </c>
      <c r="U1167">
        <v>80</v>
      </c>
      <c r="V1167">
        <v>0</v>
      </c>
      <c r="W1167">
        <v>421.48</v>
      </c>
      <c r="X1167">
        <v>3632.88</v>
      </c>
      <c r="Y1167" t="s">
        <v>36</v>
      </c>
      <c r="Z1167" s="3">
        <v>1657.6</v>
      </c>
      <c r="AA1167" t="s">
        <v>50</v>
      </c>
      <c r="AB1167" t="s">
        <v>33</v>
      </c>
      <c r="AC1167">
        <v>49.5</v>
      </c>
      <c r="AD1167" t="s">
        <v>38</v>
      </c>
      <c r="AE1167">
        <v>2043.38</v>
      </c>
      <c r="AF1167">
        <v>0</v>
      </c>
    </row>
    <row r="1168" spans="3:32" x14ac:dyDescent="0.35">
      <c r="C1168" s="1">
        <v>44156</v>
      </c>
      <c r="D1168" s="2">
        <v>44136</v>
      </c>
      <c r="E1168">
        <v>1914</v>
      </c>
      <c r="F1168" s="3">
        <v>4043.8</v>
      </c>
      <c r="G1168" s="3">
        <v>3624</v>
      </c>
      <c r="H1168" s="3">
        <v>419.8</v>
      </c>
      <c r="I1168" s="3">
        <v>0.9</v>
      </c>
      <c r="J1168">
        <v>0.4</v>
      </c>
      <c r="K1168">
        <v>2058.71</v>
      </c>
      <c r="L1168" t="s">
        <v>35</v>
      </c>
      <c r="M1168">
        <v>669</v>
      </c>
      <c r="N1168">
        <v>0.12</v>
      </c>
      <c r="O1168" s="3">
        <v>454.12</v>
      </c>
      <c r="P1168" s="3">
        <v>0.11</v>
      </c>
      <c r="Q1168" s="3">
        <v>176.46</v>
      </c>
      <c r="R1168" s="3">
        <v>0.04</v>
      </c>
      <c r="S1168">
        <v>6</v>
      </c>
      <c r="T1168">
        <v>1678.9</v>
      </c>
      <c r="U1168">
        <v>95</v>
      </c>
      <c r="V1168">
        <v>0</v>
      </c>
      <c r="W1168">
        <v>487.72</v>
      </c>
      <c r="X1168">
        <v>2803.18</v>
      </c>
      <c r="Y1168" t="s">
        <v>36</v>
      </c>
      <c r="Z1168" s="3">
        <v>1269.57</v>
      </c>
      <c r="AA1168" t="s">
        <v>32</v>
      </c>
      <c r="AB1168" t="s">
        <v>33</v>
      </c>
      <c r="AC1168">
        <v>67.599999999999994</v>
      </c>
      <c r="AD1168" t="s">
        <v>34</v>
      </c>
      <c r="AE1168">
        <v>419.8</v>
      </c>
      <c r="AF1168">
        <v>0</v>
      </c>
    </row>
    <row r="1169" spans="3:32" x14ac:dyDescent="0.35">
      <c r="C1169" s="1">
        <v>44156</v>
      </c>
      <c r="D1169" s="2">
        <v>44136</v>
      </c>
      <c r="E1169">
        <v>1690</v>
      </c>
      <c r="F1169" s="3">
        <v>3286.94</v>
      </c>
      <c r="G1169" s="3">
        <v>3863.16</v>
      </c>
      <c r="H1169" s="3">
        <v>-576.22</v>
      </c>
      <c r="I1169" s="3">
        <v>1.18</v>
      </c>
      <c r="J1169">
        <v>0.4</v>
      </c>
      <c r="K1169">
        <v>3306.71</v>
      </c>
      <c r="L1169" t="s">
        <v>30</v>
      </c>
      <c r="M1169">
        <v>779</v>
      </c>
      <c r="N1169">
        <v>0.31</v>
      </c>
      <c r="O1169" s="3">
        <v>437.4</v>
      </c>
      <c r="P1169" s="3">
        <v>0.13</v>
      </c>
      <c r="Q1169" s="3">
        <v>344.67</v>
      </c>
      <c r="R1169" s="3">
        <v>0.1</v>
      </c>
      <c r="S1169">
        <v>8</v>
      </c>
      <c r="T1169">
        <v>1518.98</v>
      </c>
      <c r="U1169">
        <v>51</v>
      </c>
      <c r="V1169">
        <v>0</v>
      </c>
      <c r="W1169">
        <v>421.16</v>
      </c>
      <c r="X1169">
        <v>1889.4</v>
      </c>
      <c r="Y1169" t="s">
        <v>36</v>
      </c>
      <c r="Z1169" s="3">
        <v>1239.94</v>
      </c>
      <c r="AA1169" t="s">
        <v>37</v>
      </c>
      <c r="AB1169" t="s">
        <v>42</v>
      </c>
      <c r="AC1169">
        <v>78.900000000000006</v>
      </c>
      <c r="AD1169" t="s">
        <v>43</v>
      </c>
      <c r="AE1169">
        <v>0</v>
      </c>
      <c r="AF1169">
        <v>0</v>
      </c>
    </row>
    <row r="1170" spans="3:32" x14ac:dyDescent="0.35">
      <c r="C1170" s="1">
        <v>44156</v>
      </c>
      <c r="D1170" s="2">
        <v>44136</v>
      </c>
      <c r="E1170">
        <v>1425</v>
      </c>
      <c r="F1170" s="3">
        <v>3643.13</v>
      </c>
      <c r="G1170" s="3">
        <v>3477.74</v>
      </c>
      <c r="H1170" s="3">
        <v>165.39</v>
      </c>
      <c r="I1170" s="3">
        <v>0.95</v>
      </c>
      <c r="J1170">
        <v>0.09</v>
      </c>
      <c r="K1170">
        <v>3045.19</v>
      </c>
      <c r="L1170" t="s">
        <v>35</v>
      </c>
      <c r="M1170">
        <v>617</v>
      </c>
      <c r="N1170">
        <v>0.46</v>
      </c>
      <c r="O1170" s="3">
        <v>0</v>
      </c>
      <c r="P1170" s="3">
        <v>0</v>
      </c>
      <c r="Q1170" s="3">
        <v>192.82</v>
      </c>
      <c r="R1170" s="3">
        <v>0.05</v>
      </c>
      <c r="S1170">
        <v>2</v>
      </c>
      <c r="T1170">
        <v>1202.43</v>
      </c>
      <c r="U1170">
        <v>24</v>
      </c>
      <c r="V1170">
        <v>0</v>
      </c>
      <c r="W1170">
        <v>706.59</v>
      </c>
      <c r="X1170">
        <v>2620.5100000000002</v>
      </c>
      <c r="Y1170" t="s">
        <v>36</v>
      </c>
      <c r="Z1170" s="3">
        <v>936.37</v>
      </c>
      <c r="AA1170" t="s">
        <v>37</v>
      </c>
      <c r="AB1170" t="s">
        <v>33</v>
      </c>
      <c r="AC1170">
        <v>83.9</v>
      </c>
      <c r="AD1170" t="s">
        <v>34</v>
      </c>
      <c r="AE1170">
        <v>165.39</v>
      </c>
      <c r="AF1170">
        <v>0</v>
      </c>
    </row>
    <row r="1171" spans="3:32" x14ac:dyDescent="0.35">
      <c r="C1171" s="1">
        <v>44156</v>
      </c>
      <c r="D1171" s="2">
        <v>44136</v>
      </c>
      <c r="E1171">
        <v>1390</v>
      </c>
      <c r="F1171" s="3">
        <v>3205.32</v>
      </c>
      <c r="G1171" s="3">
        <v>2136.44</v>
      </c>
      <c r="H1171" s="3">
        <v>1068.8800000000001</v>
      </c>
      <c r="I1171" s="3">
        <v>0.67</v>
      </c>
      <c r="J1171">
        <v>0.25</v>
      </c>
      <c r="K1171">
        <v>2567.61</v>
      </c>
      <c r="L1171" t="s">
        <v>30</v>
      </c>
      <c r="M1171">
        <v>635</v>
      </c>
      <c r="N1171">
        <v>0.16</v>
      </c>
      <c r="O1171" s="3">
        <v>550.25</v>
      </c>
      <c r="P1171" s="3">
        <v>0.17</v>
      </c>
      <c r="Q1171" s="3">
        <v>745.75</v>
      </c>
      <c r="R1171" s="3">
        <v>0.23</v>
      </c>
      <c r="S1171">
        <v>7</v>
      </c>
      <c r="T1171">
        <v>1229.77</v>
      </c>
      <c r="U1171">
        <v>66</v>
      </c>
      <c r="V1171">
        <v>0</v>
      </c>
      <c r="W1171">
        <v>546.66</v>
      </c>
      <c r="X1171">
        <v>2788.24</v>
      </c>
      <c r="Y1171" t="s">
        <v>31</v>
      </c>
      <c r="Z1171" s="3">
        <v>1271.3900000000001</v>
      </c>
      <c r="AA1171" t="s">
        <v>50</v>
      </c>
      <c r="AB1171" t="s">
        <v>33</v>
      </c>
      <c r="AC1171">
        <v>97.3</v>
      </c>
      <c r="AD1171" t="s">
        <v>43</v>
      </c>
      <c r="AE1171">
        <v>1068.8800000000001</v>
      </c>
      <c r="AF1171">
        <v>0</v>
      </c>
    </row>
    <row r="1172" spans="3:32" x14ac:dyDescent="0.35">
      <c r="C1172" s="1">
        <v>44156</v>
      </c>
      <c r="D1172" s="2">
        <v>44136</v>
      </c>
      <c r="E1172">
        <v>1869</v>
      </c>
      <c r="F1172" s="3">
        <v>5428.81</v>
      </c>
      <c r="G1172" s="3">
        <v>4017.02</v>
      </c>
      <c r="H1172" s="3">
        <v>1411.79</v>
      </c>
      <c r="I1172" s="3">
        <v>0.74</v>
      </c>
      <c r="J1172">
        <v>0.16</v>
      </c>
      <c r="K1172">
        <v>1810.43</v>
      </c>
      <c r="L1172" t="s">
        <v>35</v>
      </c>
      <c r="M1172">
        <v>721</v>
      </c>
      <c r="N1172">
        <v>0.44</v>
      </c>
      <c r="O1172" s="3">
        <v>774.39</v>
      </c>
      <c r="P1172" s="3">
        <v>0.14000000000000001</v>
      </c>
      <c r="Q1172" s="3">
        <v>556.29</v>
      </c>
      <c r="R1172" s="3">
        <v>0.1</v>
      </c>
      <c r="S1172">
        <v>4</v>
      </c>
      <c r="T1172">
        <v>1787.01</v>
      </c>
      <c r="U1172">
        <v>33</v>
      </c>
      <c r="V1172">
        <v>0</v>
      </c>
      <c r="W1172">
        <v>266.19</v>
      </c>
      <c r="X1172">
        <v>1057.8399999999999</v>
      </c>
      <c r="Y1172" t="s">
        <v>36</v>
      </c>
      <c r="Z1172" s="3">
        <v>697.72</v>
      </c>
      <c r="AA1172" t="s">
        <v>50</v>
      </c>
      <c r="AB1172" t="s">
        <v>44</v>
      </c>
      <c r="AC1172">
        <v>21.6</v>
      </c>
      <c r="AD1172" t="s">
        <v>43</v>
      </c>
      <c r="AE1172">
        <v>1411.79</v>
      </c>
      <c r="AF1172">
        <v>0</v>
      </c>
    </row>
    <row r="1173" spans="3:32" x14ac:dyDescent="0.35">
      <c r="C1173" s="1">
        <v>44156</v>
      </c>
      <c r="D1173" s="2">
        <v>44136</v>
      </c>
      <c r="E1173">
        <v>1914</v>
      </c>
      <c r="F1173" s="3">
        <v>2518.54</v>
      </c>
      <c r="G1173" s="3">
        <v>3306.49</v>
      </c>
      <c r="H1173" s="3">
        <v>-787.95</v>
      </c>
      <c r="I1173" s="3">
        <v>1.31</v>
      </c>
      <c r="J1173">
        <v>0.12</v>
      </c>
      <c r="K1173">
        <v>3136.47</v>
      </c>
      <c r="L1173" t="s">
        <v>35</v>
      </c>
      <c r="M1173">
        <v>734</v>
      </c>
      <c r="N1173">
        <v>0.19</v>
      </c>
      <c r="O1173" s="3">
        <v>214.76</v>
      </c>
      <c r="P1173" s="3">
        <v>0.09</v>
      </c>
      <c r="Q1173" s="3">
        <v>535.9</v>
      </c>
      <c r="R1173" s="3">
        <v>0.21</v>
      </c>
      <c r="S1173">
        <v>8</v>
      </c>
      <c r="T1173">
        <v>711.98</v>
      </c>
      <c r="U1173">
        <v>67</v>
      </c>
      <c r="V1173">
        <v>0</v>
      </c>
      <c r="W1173">
        <v>376.9</v>
      </c>
      <c r="X1173">
        <v>3159.36</v>
      </c>
      <c r="Y1173" t="s">
        <v>36</v>
      </c>
      <c r="Z1173" s="3">
        <v>1001.96</v>
      </c>
      <c r="AA1173" t="s">
        <v>32</v>
      </c>
      <c r="AB1173" t="s">
        <v>44</v>
      </c>
      <c r="AC1173">
        <v>7.2</v>
      </c>
      <c r="AD1173" t="s">
        <v>34</v>
      </c>
      <c r="AE1173">
        <v>0</v>
      </c>
      <c r="AF1173">
        <v>0</v>
      </c>
    </row>
    <row r="1174" spans="3:32" x14ac:dyDescent="0.35">
      <c r="C1174" s="1">
        <v>44156</v>
      </c>
      <c r="D1174" s="2">
        <v>44136</v>
      </c>
      <c r="E1174">
        <v>1611</v>
      </c>
      <c r="F1174" s="3">
        <v>4126.2</v>
      </c>
      <c r="G1174" s="3">
        <v>3379.54</v>
      </c>
      <c r="H1174" s="3">
        <v>746.66</v>
      </c>
      <c r="I1174" s="3">
        <v>0.82</v>
      </c>
      <c r="J1174">
        <v>0.25</v>
      </c>
      <c r="K1174">
        <v>2082.98</v>
      </c>
      <c r="L1174" t="s">
        <v>39</v>
      </c>
      <c r="M1174">
        <v>582</v>
      </c>
      <c r="N1174">
        <v>0.22</v>
      </c>
      <c r="O1174" s="3">
        <v>850.37</v>
      </c>
      <c r="P1174" s="3">
        <v>0.21</v>
      </c>
      <c r="Q1174" s="3">
        <v>602.33000000000004</v>
      </c>
      <c r="R1174" s="3">
        <v>0.15</v>
      </c>
      <c r="S1174">
        <v>7</v>
      </c>
      <c r="T1174">
        <v>835.65</v>
      </c>
      <c r="U1174">
        <v>95</v>
      </c>
      <c r="V1174">
        <v>0</v>
      </c>
      <c r="W1174">
        <v>548.47</v>
      </c>
      <c r="X1174">
        <v>3195.34</v>
      </c>
      <c r="Y1174" t="s">
        <v>49</v>
      </c>
      <c r="Z1174" s="3">
        <v>1849.65</v>
      </c>
      <c r="AA1174" t="s">
        <v>51</v>
      </c>
      <c r="AB1174" t="s">
        <v>44</v>
      </c>
      <c r="AC1174">
        <v>97.2</v>
      </c>
      <c r="AD1174" t="s">
        <v>34</v>
      </c>
      <c r="AE1174">
        <v>746.66</v>
      </c>
      <c r="AF1174">
        <v>0</v>
      </c>
    </row>
    <row r="1175" spans="3:32" x14ac:dyDescent="0.35">
      <c r="C1175" s="1">
        <v>44156</v>
      </c>
      <c r="D1175" s="2">
        <v>44136</v>
      </c>
      <c r="E1175">
        <v>1353</v>
      </c>
      <c r="F1175" s="3">
        <v>4424.62</v>
      </c>
      <c r="G1175" s="3">
        <v>4551.2</v>
      </c>
      <c r="H1175" s="3">
        <v>-126.58</v>
      </c>
      <c r="I1175" s="3">
        <v>1.03</v>
      </c>
      <c r="J1175">
        <v>0.37</v>
      </c>
      <c r="K1175">
        <v>1759.53</v>
      </c>
      <c r="L1175" t="s">
        <v>30</v>
      </c>
      <c r="M1175">
        <v>623</v>
      </c>
      <c r="N1175">
        <v>0.42</v>
      </c>
      <c r="O1175" s="3">
        <v>555.66</v>
      </c>
      <c r="P1175" s="3">
        <v>0.13</v>
      </c>
      <c r="Q1175" s="3">
        <v>506.31</v>
      </c>
      <c r="R1175" s="3">
        <v>0.11</v>
      </c>
      <c r="S1175">
        <v>2</v>
      </c>
      <c r="T1175">
        <v>1598.1</v>
      </c>
      <c r="U1175">
        <v>76</v>
      </c>
      <c r="V1175">
        <v>0</v>
      </c>
      <c r="W1175">
        <v>366.58</v>
      </c>
      <c r="X1175">
        <v>2807.89</v>
      </c>
      <c r="Y1175" t="s">
        <v>36</v>
      </c>
      <c r="Z1175" s="3">
        <v>984.47</v>
      </c>
      <c r="AA1175" t="s">
        <v>45</v>
      </c>
      <c r="AB1175" t="s">
        <v>33</v>
      </c>
      <c r="AC1175">
        <v>74.5</v>
      </c>
      <c r="AD1175" t="s">
        <v>38</v>
      </c>
      <c r="AE1175">
        <v>0</v>
      </c>
      <c r="AF1175">
        <v>0</v>
      </c>
    </row>
    <row r="1176" spans="3:32" x14ac:dyDescent="0.35">
      <c r="C1176" s="1">
        <v>44156</v>
      </c>
      <c r="D1176" s="2">
        <v>44136</v>
      </c>
      <c r="E1176">
        <v>1880</v>
      </c>
      <c r="F1176" s="3">
        <v>4735.2299999999996</v>
      </c>
      <c r="G1176" s="3">
        <v>3088.08</v>
      </c>
      <c r="H1176" s="3">
        <v>1647.15</v>
      </c>
      <c r="I1176" s="3">
        <v>0.65</v>
      </c>
      <c r="J1176">
        <v>0.05</v>
      </c>
      <c r="K1176">
        <v>3610.3</v>
      </c>
      <c r="L1176" t="s">
        <v>39</v>
      </c>
      <c r="M1176">
        <v>708</v>
      </c>
      <c r="N1176">
        <v>0.51</v>
      </c>
      <c r="O1176" s="3">
        <v>479.23</v>
      </c>
      <c r="P1176" s="3">
        <v>0.1</v>
      </c>
      <c r="Q1176" s="3">
        <v>277.20999999999998</v>
      </c>
      <c r="R1176" s="3">
        <v>0.06</v>
      </c>
      <c r="S1176">
        <v>8</v>
      </c>
      <c r="T1176">
        <v>768</v>
      </c>
      <c r="U1176">
        <v>67</v>
      </c>
      <c r="V1176">
        <v>0</v>
      </c>
      <c r="W1176">
        <v>276.89999999999998</v>
      </c>
      <c r="X1176">
        <v>2539.61</v>
      </c>
      <c r="Y1176" t="s">
        <v>36</v>
      </c>
      <c r="Z1176" s="3">
        <v>1809.46</v>
      </c>
      <c r="AA1176" t="s">
        <v>48</v>
      </c>
      <c r="AB1176" t="s">
        <v>42</v>
      </c>
      <c r="AC1176">
        <v>52.5</v>
      </c>
      <c r="AD1176" t="s">
        <v>34</v>
      </c>
      <c r="AE1176">
        <v>1647.15</v>
      </c>
      <c r="AF1176">
        <v>0</v>
      </c>
    </row>
    <row r="1177" spans="3:32" x14ac:dyDescent="0.35">
      <c r="C1177" s="1">
        <v>44156</v>
      </c>
      <c r="D1177" s="2">
        <v>44136</v>
      </c>
      <c r="E1177">
        <v>1619</v>
      </c>
      <c r="F1177" s="3">
        <v>5002.18</v>
      </c>
      <c r="G1177" s="3">
        <v>3609.28</v>
      </c>
      <c r="H1177" s="3">
        <v>1392.9</v>
      </c>
      <c r="I1177" s="3">
        <v>0.72</v>
      </c>
      <c r="J1177">
        <v>0.22</v>
      </c>
      <c r="K1177">
        <v>3391.53</v>
      </c>
      <c r="L1177" t="s">
        <v>35</v>
      </c>
      <c r="M1177">
        <v>707</v>
      </c>
      <c r="N1177">
        <v>0.28999999999999998</v>
      </c>
      <c r="O1177" s="3">
        <v>756.58</v>
      </c>
      <c r="P1177" s="3">
        <v>0.15</v>
      </c>
      <c r="Q1177" s="3">
        <v>410.2</v>
      </c>
      <c r="R1177" s="3">
        <v>0.08</v>
      </c>
      <c r="S1177">
        <v>3</v>
      </c>
      <c r="T1177">
        <v>794.59</v>
      </c>
      <c r="U1177">
        <v>94</v>
      </c>
      <c r="V1177">
        <v>0</v>
      </c>
      <c r="W1177">
        <v>490.68</v>
      </c>
      <c r="X1177">
        <v>1868.48</v>
      </c>
      <c r="Y1177" t="s">
        <v>36</v>
      </c>
      <c r="Z1177" s="3">
        <v>1507.74</v>
      </c>
      <c r="AA1177" t="s">
        <v>41</v>
      </c>
      <c r="AB1177" t="s">
        <v>42</v>
      </c>
      <c r="AC1177">
        <v>98.7</v>
      </c>
      <c r="AD1177" t="s">
        <v>34</v>
      </c>
      <c r="AE1177">
        <v>1392.9</v>
      </c>
      <c r="AF1177">
        <v>0</v>
      </c>
    </row>
    <row r="1178" spans="3:32" x14ac:dyDescent="0.35">
      <c r="C1178" s="1">
        <v>44156</v>
      </c>
      <c r="D1178" s="2">
        <v>44136</v>
      </c>
      <c r="E1178">
        <v>1504</v>
      </c>
      <c r="F1178" s="3">
        <v>3884.53</v>
      </c>
      <c r="G1178" s="3">
        <v>1533.49</v>
      </c>
      <c r="H1178" s="3">
        <v>2351.04</v>
      </c>
      <c r="I1178" s="3">
        <v>0.39</v>
      </c>
      <c r="J1178">
        <v>0.36</v>
      </c>
      <c r="K1178">
        <v>2926.77</v>
      </c>
      <c r="L1178" t="s">
        <v>39</v>
      </c>
      <c r="M1178">
        <v>617</v>
      </c>
      <c r="N1178">
        <v>0.3</v>
      </c>
      <c r="O1178" s="3">
        <v>441.12</v>
      </c>
      <c r="P1178" s="3">
        <v>0.11</v>
      </c>
      <c r="Q1178" s="3">
        <v>307.95</v>
      </c>
      <c r="R1178" s="3">
        <v>0.08</v>
      </c>
      <c r="S1178">
        <v>5</v>
      </c>
      <c r="T1178">
        <v>1867.36</v>
      </c>
      <c r="U1178">
        <v>62</v>
      </c>
      <c r="V1178">
        <v>0</v>
      </c>
      <c r="W1178">
        <v>411.34</v>
      </c>
      <c r="X1178">
        <v>2152.77</v>
      </c>
      <c r="Y1178" t="s">
        <v>31</v>
      </c>
      <c r="Z1178" s="3">
        <v>1789.67</v>
      </c>
      <c r="AA1178" t="s">
        <v>40</v>
      </c>
      <c r="AB1178" t="s">
        <v>33</v>
      </c>
      <c r="AC1178">
        <v>98</v>
      </c>
      <c r="AD1178" t="s">
        <v>38</v>
      </c>
      <c r="AE1178">
        <v>2351.04</v>
      </c>
      <c r="AF1178">
        <v>0</v>
      </c>
    </row>
    <row r="1179" spans="3:32" x14ac:dyDescent="0.35">
      <c r="C1179" s="1">
        <v>44156</v>
      </c>
      <c r="D1179" s="2">
        <v>44136</v>
      </c>
      <c r="E1179">
        <v>1353</v>
      </c>
      <c r="F1179" s="3">
        <v>4915.3100000000004</v>
      </c>
      <c r="G1179" s="3">
        <v>3145.92</v>
      </c>
      <c r="H1179" s="3">
        <v>1769.39</v>
      </c>
      <c r="I1179" s="3">
        <v>0.64</v>
      </c>
      <c r="J1179">
        <v>0.35</v>
      </c>
      <c r="K1179">
        <v>2964.17</v>
      </c>
      <c r="L1179" t="s">
        <v>35</v>
      </c>
      <c r="M1179">
        <v>693</v>
      </c>
      <c r="N1179">
        <v>0.34</v>
      </c>
      <c r="O1179" s="3">
        <v>527.76</v>
      </c>
      <c r="P1179" s="3">
        <v>0.11</v>
      </c>
      <c r="Q1179" s="3">
        <v>352.61</v>
      </c>
      <c r="R1179" s="3">
        <v>7.0000000000000007E-2</v>
      </c>
      <c r="S1179">
        <v>2</v>
      </c>
      <c r="T1179">
        <v>1212.05</v>
      </c>
      <c r="U1179">
        <v>41</v>
      </c>
      <c r="V1179">
        <v>0</v>
      </c>
      <c r="W1179">
        <v>489.32</v>
      </c>
      <c r="X1179">
        <v>2699.6</v>
      </c>
      <c r="Y1179" t="s">
        <v>36</v>
      </c>
      <c r="Z1179" s="3">
        <v>1930.17</v>
      </c>
      <c r="AA1179" t="s">
        <v>50</v>
      </c>
      <c r="AB1179" t="s">
        <v>33</v>
      </c>
      <c r="AC1179">
        <v>3.5</v>
      </c>
      <c r="AD1179" t="s">
        <v>43</v>
      </c>
      <c r="AE1179">
        <v>1769.39</v>
      </c>
      <c r="AF1179">
        <v>0</v>
      </c>
    </row>
    <row r="1180" spans="3:32" x14ac:dyDescent="0.35">
      <c r="C1180" s="1">
        <v>44156</v>
      </c>
      <c r="D1180" s="2">
        <v>44136</v>
      </c>
      <c r="E1180">
        <v>1572</v>
      </c>
      <c r="F1180" s="3">
        <v>3055.95</v>
      </c>
      <c r="G1180" s="3">
        <v>2485.39</v>
      </c>
      <c r="H1180" s="3">
        <v>570.55999999999995</v>
      </c>
      <c r="I1180" s="3">
        <v>0.81</v>
      </c>
      <c r="J1180">
        <v>0.37</v>
      </c>
      <c r="K1180">
        <v>3263.54</v>
      </c>
      <c r="L1180" t="s">
        <v>35</v>
      </c>
      <c r="M1180">
        <v>683</v>
      </c>
      <c r="N1180">
        <v>0.19</v>
      </c>
      <c r="O1180" s="3">
        <v>403.02</v>
      </c>
      <c r="P1180" s="3">
        <v>0.13</v>
      </c>
      <c r="Q1180" s="3">
        <v>565.46</v>
      </c>
      <c r="R1180" s="3">
        <v>0.19</v>
      </c>
      <c r="S1180">
        <v>4</v>
      </c>
      <c r="T1180">
        <v>0</v>
      </c>
      <c r="U1180">
        <v>88</v>
      </c>
      <c r="V1180">
        <v>0</v>
      </c>
      <c r="W1180">
        <v>244.48</v>
      </c>
      <c r="X1180">
        <v>1173.67</v>
      </c>
      <c r="Y1180" t="s">
        <v>36</v>
      </c>
      <c r="Z1180" s="3">
        <v>1707.92</v>
      </c>
      <c r="AA1180" t="s">
        <v>45</v>
      </c>
      <c r="AB1180" t="s">
        <v>33</v>
      </c>
      <c r="AC1180">
        <v>27.8</v>
      </c>
      <c r="AD1180" t="s">
        <v>43</v>
      </c>
      <c r="AE1180">
        <v>570.55999999999995</v>
      </c>
      <c r="AF1180">
        <v>0</v>
      </c>
    </row>
    <row r="1181" spans="3:32" x14ac:dyDescent="0.35">
      <c r="C1181" s="1">
        <v>44156</v>
      </c>
      <c r="D1181" s="2">
        <v>44136</v>
      </c>
      <c r="E1181">
        <v>1790</v>
      </c>
      <c r="F1181" s="3">
        <v>4449.0600000000004</v>
      </c>
      <c r="G1181" s="3">
        <v>3172.93</v>
      </c>
      <c r="H1181" s="3">
        <v>1276.1300000000001</v>
      </c>
      <c r="I1181" s="3">
        <v>0.71</v>
      </c>
      <c r="J1181">
        <v>0.31</v>
      </c>
      <c r="K1181">
        <v>3056.07</v>
      </c>
      <c r="L1181" t="s">
        <v>35</v>
      </c>
      <c r="M1181">
        <v>649</v>
      </c>
      <c r="N1181">
        <v>0.22</v>
      </c>
      <c r="O1181" s="3">
        <v>640.22</v>
      </c>
      <c r="P1181" s="3">
        <v>0.14000000000000001</v>
      </c>
      <c r="Q1181" s="3">
        <v>488.72</v>
      </c>
      <c r="R1181" s="3">
        <v>0.11</v>
      </c>
      <c r="S1181">
        <v>5</v>
      </c>
      <c r="T1181">
        <v>220.03</v>
      </c>
      <c r="U1181">
        <v>37</v>
      </c>
      <c r="V1181">
        <v>0</v>
      </c>
      <c r="W1181">
        <v>330.64</v>
      </c>
      <c r="X1181">
        <v>1430.24</v>
      </c>
      <c r="Y1181" t="s">
        <v>49</v>
      </c>
      <c r="Z1181" s="3">
        <v>1451.3</v>
      </c>
      <c r="AA1181" t="s">
        <v>41</v>
      </c>
      <c r="AB1181" t="s">
        <v>33</v>
      </c>
      <c r="AC1181">
        <v>78.900000000000006</v>
      </c>
      <c r="AD1181" t="s">
        <v>34</v>
      </c>
      <c r="AE1181">
        <v>1276.1300000000001</v>
      </c>
      <c r="AF1181">
        <v>0</v>
      </c>
    </row>
    <row r="1182" spans="3:32" x14ac:dyDescent="0.35">
      <c r="C1182" s="1">
        <v>44156</v>
      </c>
      <c r="D1182" s="2">
        <v>44136</v>
      </c>
      <c r="E1182">
        <v>1862</v>
      </c>
      <c r="F1182" s="3">
        <v>5579.55</v>
      </c>
      <c r="G1182" s="3">
        <v>1998.59</v>
      </c>
      <c r="H1182" s="3">
        <v>3580.96</v>
      </c>
      <c r="I1182" s="3">
        <v>0.36</v>
      </c>
      <c r="J1182">
        <v>0.28999999999999998</v>
      </c>
      <c r="K1182">
        <v>2276.64</v>
      </c>
      <c r="L1182" t="s">
        <v>35</v>
      </c>
      <c r="M1182">
        <v>622</v>
      </c>
      <c r="N1182">
        <v>0.51</v>
      </c>
      <c r="O1182" s="3">
        <v>632.87</v>
      </c>
      <c r="P1182" s="3">
        <v>0.11</v>
      </c>
      <c r="Q1182" s="3">
        <v>151.22999999999999</v>
      </c>
      <c r="R1182" s="3">
        <v>0.03</v>
      </c>
      <c r="S1182">
        <v>7</v>
      </c>
      <c r="T1182">
        <v>1033.69</v>
      </c>
      <c r="U1182">
        <v>81</v>
      </c>
      <c r="V1182">
        <v>0</v>
      </c>
      <c r="W1182">
        <v>349.68</v>
      </c>
      <c r="X1182">
        <v>1714.04</v>
      </c>
      <c r="Y1182" t="s">
        <v>36</v>
      </c>
      <c r="Z1182" s="3">
        <v>302.27999999999997</v>
      </c>
      <c r="AA1182" t="s">
        <v>37</v>
      </c>
      <c r="AB1182" t="s">
        <v>42</v>
      </c>
      <c r="AC1182">
        <v>56.8</v>
      </c>
      <c r="AD1182" t="s">
        <v>38</v>
      </c>
      <c r="AE1182">
        <v>3580.96</v>
      </c>
      <c r="AF1182">
        <v>1</v>
      </c>
    </row>
    <row r="1183" spans="3:32" x14ac:dyDescent="0.35">
      <c r="C1183" s="1">
        <v>44156</v>
      </c>
      <c r="D1183" s="2">
        <v>44136</v>
      </c>
      <c r="E1183">
        <v>1007</v>
      </c>
      <c r="F1183" s="3">
        <v>4370.16</v>
      </c>
      <c r="G1183" s="3">
        <v>1178.52</v>
      </c>
      <c r="H1183" s="3">
        <v>3191.64</v>
      </c>
      <c r="I1183" s="3">
        <v>0.27</v>
      </c>
      <c r="J1183">
        <v>0.14000000000000001</v>
      </c>
      <c r="K1183">
        <v>3106.36</v>
      </c>
      <c r="L1183" t="s">
        <v>35</v>
      </c>
      <c r="M1183">
        <v>694</v>
      </c>
      <c r="N1183">
        <v>0.32</v>
      </c>
      <c r="O1183" s="3">
        <v>657.92</v>
      </c>
      <c r="P1183" s="3">
        <v>0.15</v>
      </c>
      <c r="Q1183" s="3">
        <v>304.25</v>
      </c>
      <c r="R1183" s="3">
        <v>7.0000000000000007E-2</v>
      </c>
      <c r="S1183">
        <v>3</v>
      </c>
      <c r="T1183">
        <v>1689.88</v>
      </c>
      <c r="U1183">
        <v>67</v>
      </c>
      <c r="V1183">
        <v>0</v>
      </c>
      <c r="W1183">
        <v>497.03</v>
      </c>
      <c r="X1183">
        <v>2145.91</v>
      </c>
      <c r="Y1183" t="s">
        <v>36</v>
      </c>
      <c r="Z1183" s="3">
        <v>810.05</v>
      </c>
      <c r="AA1183" t="s">
        <v>48</v>
      </c>
      <c r="AB1183" t="s">
        <v>44</v>
      </c>
      <c r="AC1183">
        <v>26.3</v>
      </c>
      <c r="AD1183" t="s">
        <v>34</v>
      </c>
      <c r="AE1183">
        <v>3191.64</v>
      </c>
      <c r="AF1183">
        <v>1</v>
      </c>
    </row>
    <row r="1184" spans="3:32" x14ac:dyDescent="0.35">
      <c r="C1184" s="1">
        <v>44156</v>
      </c>
      <c r="D1184" s="2">
        <v>44136</v>
      </c>
      <c r="E1184">
        <v>1748</v>
      </c>
      <c r="F1184" s="3">
        <v>4189.9399999999996</v>
      </c>
      <c r="G1184" s="3">
        <v>3390.29</v>
      </c>
      <c r="H1184" s="3">
        <v>799.65</v>
      </c>
      <c r="I1184" s="3">
        <v>0.81</v>
      </c>
      <c r="J1184">
        <v>0.14000000000000001</v>
      </c>
      <c r="K1184">
        <v>2765.45</v>
      </c>
      <c r="L1184" t="s">
        <v>35</v>
      </c>
      <c r="M1184">
        <v>694</v>
      </c>
      <c r="N1184">
        <v>0.46</v>
      </c>
      <c r="O1184" s="3">
        <v>349.39</v>
      </c>
      <c r="P1184" s="3">
        <v>0.08</v>
      </c>
      <c r="Q1184" s="3">
        <v>538.44000000000005</v>
      </c>
      <c r="R1184" s="3">
        <v>0.13</v>
      </c>
      <c r="S1184">
        <v>4</v>
      </c>
      <c r="T1184">
        <v>131.29</v>
      </c>
      <c r="U1184">
        <v>25</v>
      </c>
      <c r="V1184">
        <v>0</v>
      </c>
      <c r="W1184">
        <v>457.51</v>
      </c>
      <c r="X1184">
        <v>2280</v>
      </c>
      <c r="Y1184" t="s">
        <v>36</v>
      </c>
      <c r="Z1184" s="3">
        <v>1688.33</v>
      </c>
      <c r="AA1184" t="s">
        <v>47</v>
      </c>
      <c r="AB1184" t="s">
        <v>33</v>
      </c>
      <c r="AC1184">
        <v>50.9</v>
      </c>
      <c r="AD1184" t="s">
        <v>38</v>
      </c>
      <c r="AE1184">
        <v>799.65</v>
      </c>
      <c r="AF1184">
        <v>0</v>
      </c>
    </row>
    <row r="1185" spans="3:32" x14ac:dyDescent="0.35">
      <c r="C1185" s="1">
        <v>44156</v>
      </c>
      <c r="D1185" s="2">
        <v>44136</v>
      </c>
      <c r="E1185">
        <v>1400</v>
      </c>
      <c r="F1185" s="3">
        <v>5003.28</v>
      </c>
      <c r="G1185" s="3">
        <v>2699.12</v>
      </c>
      <c r="H1185" s="3">
        <v>2304.16</v>
      </c>
      <c r="I1185" s="3">
        <v>0.54</v>
      </c>
      <c r="J1185">
        <v>0.22</v>
      </c>
      <c r="K1185">
        <v>4141.66</v>
      </c>
      <c r="L1185" t="s">
        <v>35</v>
      </c>
      <c r="M1185">
        <v>648</v>
      </c>
      <c r="N1185">
        <v>0.38</v>
      </c>
      <c r="O1185" s="3">
        <v>564.08000000000004</v>
      </c>
      <c r="P1185" s="3">
        <v>0.11</v>
      </c>
      <c r="Q1185" s="3">
        <v>177.31</v>
      </c>
      <c r="R1185" s="3">
        <v>0.04</v>
      </c>
      <c r="S1185">
        <v>3</v>
      </c>
      <c r="T1185">
        <v>2113.5100000000002</v>
      </c>
      <c r="U1185">
        <v>28</v>
      </c>
      <c r="V1185">
        <v>0</v>
      </c>
      <c r="W1185">
        <v>440.51</v>
      </c>
      <c r="X1185">
        <v>1000</v>
      </c>
      <c r="Y1185" t="s">
        <v>36</v>
      </c>
      <c r="Z1185" s="3">
        <v>636</v>
      </c>
      <c r="AA1185" t="s">
        <v>45</v>
      </c>
      <c r="AB1185" t="s">
        <v>44</v>
      </c>
      <c r="AC1185">
        <v>49.9</v>
      </c>
      <c r="AD1185" t="s">
        <v>34</v>
      </c>
      <c r="AE1185">
        <v>2304.16</v>
      </c>
      <c r="AF1185">
        <v>0</v>
      </c>
    </row>
    <row r="1186" spans="3:32" x14ac:dyDescent="0.35">
      <c r="C1186" s="1">
        <v>44156</v>
      </c>
      <c r="D1186" s="2">
        <v>44136</v>
      </c>
      <c r="E1186">
        <v>1895</v>
      </c>
      <c r="F1186" s="3">
        <v>3912.13</v>
      </c>
      <c r="G1186" s="3">
        <v>893.36</v>
      </c>
      <c r="H1186" s="3">
        <v>3018.77</v>
      </c>
      <c r="I1186" s="3">
        <v>0.23</v>
      </c>
      <c r="J1186">
        <v>0.13</v>
      </c>
      <c r="K1186">
        <v>3503.15</v>
      </c>
      <c r="L1186" t="s">
        <v>39</v>
      </c>
      <c r="M1186">
        <v>733</v>
      </c>
      <c r="N1186">
        <v>0.17</v>
      </c>
      <c r="O1186" s="3">
        <v>759.22</v>
      </c>
      <c r="P1186" s="3">
        <v>0.19</v>
      </c>
      <c r="Q1186" s="3">
        <v>415.89</v>
      </c>
      <c r="R1186" s="3">
        <v>0.11</v>
      </c>
      <c r="S1186">
        <v>2</v>
      </c>
      <c r="T1186">
        <v>301.95</v>
      </c>
      <c r="U1186">
        <v>73</v>
      </c>
      <c r="V1186">
        <v>0</v>
      </c>
      <c r="W1186">
        <v>374.5</v>
      </c>
      <c r="X1186">
        <v>1599.21</v>
      </c>
      <c r="Y1186" t="s">
        <v>36</v>
      </c>
      <c r="Z1186" s="3">
        <v>843.97</v>
      </c>
      <c r="AA1186" t="s">
        <v>46</v>
      </c>
      <c r="AB1186" t="s">
        <v>33</v>
      </c>
      <c r="AC1186">
        <v>48.5</v>
      </c>
      <c r="AD1186" t="s">
        <v>43</v>
      </c>
      <c r="AE1186">
        <v>3018.77</v>
      </c>
      <c r="AF1186">
        <v>0</v>
      </c>
    </row>
    <row r="1187" spans="3:32" x14ac:dyDescent="0.35">
      <c r="C1187" s="1">
        <v>44156</v>
      </c>
      <c r="D1187" s="2">
        <v>44136</v>
      </c>
      <c r="E1187">
        <v>1047</v>
      </c>
      <c r="F1187" s="3">
        <v>4718.93</v>
      </c>
      <c r="G1187" s="3">
        <v>2709.36</v>
      </c>
      <c r="H1187" s="3">
        <v>2009.57</v>
      </c>
      <c r="I1187" s="3">
        <v>0.56999999999999995</v>
      </c>
      <c r="J1187">
        <v>0.08</v>
      </c>
      <c r="K1187">
        <v>2714.7</v>
      </c>
      <c r="L1187" t="s">
        <v>35</v>
      </c>
      <c r="M1187">
        <v>678</v>
      </c>
      <c r="N1187">
        <v>0.28000000000000003</v>
      </c>
      <c r="O1187" s="3">
        <v>493.59</v>
      </c>
      <c r="P1187" s="3">
        <v>0.1</v>
      </c>
      <c r="Q1187" s="3">
        <v>229.17</v>
      </c>
      <c r="R1187" s="3">
        <v>0.05</v>
      </c>
      <c r="S1187">
        <v>8</v>
      </c>
      <c r="T1187">
        <v>947.1</v>
      </c>
      <c r="U1187">
        <v>20</v>
      </c>
      <c r="V1187">
        <v>0</v>
      </c>
      <c r="W1187">
        <v>259.8</v>
      </c>
      <c r="X1187">
        <v>2049.9</v>
      </c>
      <c r="Y1187" t="s">
        <v>36</v>
      </c>
      <c r="Z1187" s="3">
        <v>958.68</v>
      </c>
      <c r="AA1187" t="s">
        <v>37</v>
      </c>
      <c r="AB1187" t="s">
        <v>44</v>
      </c>
      <c r="AC1187">
        <v>46.7</v>
      </c>
      <c r="AD1187" t="s">
        <v>43</v>
      </c>
      <c r="AE1187">
        <v>2009.57</v>
      </c>
      <c r="AF1187">
        <v>0</v>
      </c>
    </row>
    <row r="1188" spans="3:32" x14ac:dyDescent="0.35">
      <c r="C1188" s="1">
        <v>44156</v>
      </c>
      <c r="D1188" s="2">
        <v>44136</v>
      </c>
      <c r="E1188">
        <v>1929</v>
      </c>
      <c r="F1188" s="3">
        <v>4565.25</v>
      </c>
      <c r="G1188" s="3">
        <v>3785.45</v>
      </c>
      <c r="H1188" s="3">
        <v>779.8</v>
      </c>
      <c r="I1188" s="3">
        <v>0.83</v>
      </c>
      <c r="J1188">
        <v>0.32</v>
      </c>
      <c r="K1188">
        <v>2447.14</v>
      </c>
      <c r="L1188" t="s">
        <v>35</v>
      </c>
      <c r="M1188">
        <v>715</v>
      </c>
      <c r="N1188">
        <v>0.57999999999999996</v>
      </c>
      <c r="O1188" s="3">
        <v>389.41</v>
      </c>
      <c r="P1188" s="3">
        <v>0.09</v>
      </c>
      <c r="Q1188" s="3">
        <v>0</v>
      </c>
      <c r="R1188" s="3">
        <v>0</v>
      </c>
      <c r="S1188">
        <v>3</v>
      </c>
      <c r="T1188">
        <v>843.78</v>
      </c>
      <c r="U1188">
        <v>98</v>
      </c>
      <c r="V1188">
        <v>0</v>
      </c>
      <c r="W1188">
        <v>629.89</v>
      </c>
      <c r="X1188">
        <v>2152.34</v>
      </c>
      <c r="Y1188" t="s">
        <v>31</v>
      </c>
      <c r="Z1188" s="3">
        <v>768.22</v>
      </c>
      <c r="AA1188" t="s">
        <v>47</v>
      </c>
      <c r="AB1188" t="s">
        <v>42</v>
      </c>
      <c r="AC1188">
        <v>72.400000000000006</v>
      </c>
      <c r="AD1188" t="s">
        <v>38</v>
      </c>
      <c r="AE1188">
        <v>779.8</v>
      </c>
      <c r="AF1188">
        <v>0</v>
      </c>
    </row>
    <row r="1189" spans="3:32" x14ac:dyDescent="0.35">
      <c r="C1189" s="1">
        <v>44156</v>
      </c>
      <c r="D1189" s="2">
        <v>44136</v>
      </c>
      <c r="E1189">
        <v>1111</v>
      </c>
      <c r="F1189" s="3">
        <v>5725.3</v>
      </c>
      <c r="G1189" s="3">
        <v>3630.85</v>
      </c>
      <c r="H1189" s="3">
        <v>2094.4499999999998</v>
      </c>
      <c r="I1189" s="3">
        <v>0.63</v>
      </c>
      <c r="J1189">
        <v>0.32</v>
      </c>
      <c r="K1189">
        <v>1808.28</v>
      </c>
      <c r="L1189" t="s">
        <v>35</v>
      </c>
      <c r="M1189">
        <v>702</v>
      </c>
      <c r="N1189">
        <v>0.2</v>
      </c>
      <c r="O1189" s="3">
        <v>466.54</v>
      </c>
      <c r="P1189" s="3">
        <v>0.08</v>
      </c>
      <c r="Q1189" s="3">
        <v>225.96</v>
      </c>
      <c r="R1189" s="3">
        <v>0.04</v>
      </c>
      <c r="S1189">
        <v>7</v>
      </c>
      <c r="T1189">
        <v>737.75</v>
      </c>
      <c r="U1189">
        <v>93</v>
      </c>
      <c r="V1189">
        <v>0</v>
      </c>
      <c r="W1189">
        <v>0</v>
      </c>
      <c r="X1189">
        <v>2267.5700000000002</v>
      </c>
      <c r="Y1189" t="s">
        <v>36</v>
      </c>
      <c r="Z1189" s="3">
        <v>762.23</v>
      </c>
      <c r="AA1189" t="s">
        <v>46</v>
      </c>
      <c r="AB1189" t="s">
        <v>44</v>
      </c>
      <c r="AC1189">
        <v>81.099999999999994</v>
      </c>
      <c r="AD1189" t="s">
        <v>34</v>
      </c>
      <c r="AE1189">
        <v>2094.4499999999998</v>
      </c>
      <c r="AF1189">
        <v>1</v>
      </c>
    </row>
    <row r="1190" spans="3:32" x14ac:dyDescent="0.35">
      <c r="C1190" s="1">
        <v>44156</v>
      </c>
      <c r="D1190" s="2">
        <v>44136</v>
      </c>
      <c r="E1190">
        <v>1085</v>
      </c>
      <c r="F1190" s="3">
        <v>2735.13</v>
      </c>
      <c r="G1190" s="3">
        <v>3130.58</v>
      </c>
      <c r="H1190" s="3">
        <v>-395.45</v>
      </c>
      <c r="I1190" s="3">
        <v>1.1399999999999999</v>
      </c>
      <c r="J1190">
        <v>0.13</v>
      </c>
      <c r="K1190">
        <v>3899.79</v>
      </c>
      <c r="L1190" t="s">
        <v>39</v>
      </c>
      <c r="M1190">
        <v>740</v>
      </c>
      <c r="N1190">
        <v>0.15</v>
      </c>
      <c r="O1190" s="3">
        <v>364.5</v>
      </c>
      <c r="P1190" s="3">
        <v>0.13</v>
      </c>
      <c r="Q1190" s="3">
        <v>407.41</v>
      </c>
      <c r="R1190" s="3">
        <v>0.15</v>
      </c>
      <c r="S1190">
        <v>5</v>
      </c>
      <c r="T1190">
        <v>621.55999999999995</v>
      </c>
      <c r="U1190">
        <v>54</v>
      </c>
      <c r="V1190">
        <v>0</v>
      </c>
      <c r="W1190">
        <v>528.33000000000004</v>
      </c>
      <c r="X1190">
        <v>1035.48</v>
      </c>
      <c r="Y1190" t="s">
        <v>36</v>
      </c>
      <c r="Z1190" s="3">
        <v>1278.1099999999999</v>
      </c>
      <c r="AA1190" t="s">
        <v>37</v>
      </c>
      <c r="AB1190" t="s">
        <v>33</v>
      </c>
      <c r="AC1190">
        <v>88</v>
      </c>
      <c r="AD1190" t="s">
        <v>43</v>
      </c>
      <c r="AE1190">
        <v>0</v>
      </c>
      <c r="AF1190">
        <v>0</v>
      </c>
    </row>
    <row r="1191" spans="3:32" x14ac:dyDescent="0.35">
      <c r="C1191" s="1">
        <v>44156</v>
      </c>
      <c r="D1191" s="2">
        <v>44136</v>
      </c>
      <c r="E1191">
        <v>1827</v>
      </c>
      <c r="F1191" s="3">
        <v>4809.7299999999996</v>
      </c>
      <c r="G1191" s="3">
        <v>2759.85</v>
      </c>
      <c r="H1191" s="3">
        <v>2049.88</v>
      </c>
      <c r="I1191" s="3">
        <v>0.56999999999999995</v>
      </c>
      <c r="J1191">
        <v>0.2</v>
      </c>
      <c r="K1191">
        <v>1845.43</v>
      </c>
      <c r="L1191" t="s">
        <v>39</v>
      </c>
      <c r="M1191">
        <v>729</v>
      </c>
      <c r="N1191">
        <v>0.28000000000000003</v>
      </c>
      <c r="O1191" s="3">
        <v>80.540000000000006</v>
      </c>
      <c r="P1191" s="3">
        <v>0.02</v>
      </c>
      <c r="Q1191" s="3">
        <v>478.65</v>
      </c>
      <c r="R1191" s="3">
        <v>0.1</v>
      </c>
      <c r="S1191">
        <v>6</v>
      </c>
      <c r="T1191">
        <v>1156.02</v>
      </c>
      <c r="U1191">
        <v>56</v>
      </c>
      <c r="V1191">
        <v>0</v>
      </c>
      <c r="W1191">
        <v>630.28</v>
      </c>
      <c r="X1191">
        <v>3421.58</v>
      </c>
      <c r="Y1191" t="s">
        <v>36</v>
      </c>
      <c r="Z1191" s="3">
        <v>1235.9100000000001</v>
      </c>
      <c r="AA1191" t="s">
        <v>40</v>
      </c>
      <c r="AB1191" t="s">
        <v>33</v>
      </c>
      <c r="AC1191">
        <v>74.3</v>
      </c>
      <c r="AD1191" t="s">
        <v>43</v>
      </c>
      <c r="AE1191">
        <v>2049.88</v>
      </c>
      <c r="AF1191">
        <v>1</v>
      </c>
    </row>
    <row r="1192" spans="3:32" x14ac:dyDescent="0.35">
      <c r="C1192" s="1">
        <v>44156</v>
      </c>
      <c r="D1192" s="2">
        <v>44136</v>
      </c>
      <c r="E1192">
        <v>1371</v>
      </c>
      <c r="F1192" s="3">
        <v>3996.1</v>
      </c>
      <c r="G1192" s="3">
        <v>3169.23</v>
      </c>
      <c r="H1192" s="3">
        <v>826.87</v>
      </c>
      <c r="I1192" s="3">
        <v>0.79</v>
      </c>
      <c r="J1192">
        <v>0.06</v>
      </c>
      <c r="K1192">
        <v>2855.71</v>
      </c>
      <c r="L1192" t="s">
        <v>35</v>
      </c>
      <c r="M1192">
        <v>661</v>
      </c>
      <c r="N1192">
        <v>0.17</v>
      </c>
      <c r="O1192" s="3">
        <v>387.51</v>
      </c>
      <c r="P1192" s="3">
        <v>0.1</v>
      </c>
      <c r="Q1192" s="3">
        <v>331.47</v>
      </c>
      <c r="R1192" s="3">
        <v>0.08</v>
      </c>
      <c r="S1192">
        <v>5</v>
      </c>
      <c r="T1192">
        <v>783.5</v>
      </c>
      <c r="U1192">
        <v>28</v>
      </c>
      <c r="V1192">
        <v>0</v>
      </c>
      <c r="W1192">
        <v>505.84</v>
      </c>
      <c r="X1192">
        <v>2576.1799999999998</v>
      </c>
      <c r="Y1192" t="s">
        <v>36</v>
      </c>
      <c r="Z1192" s="3">
        <v>1086.03</v>
      </c>
      <c r="AA1192" t="s">
        <v>37</v>
      </c>
      <c r="AB1192" t="s">
        <v>33</v>
      </c>
      <c r="AC1192">
        <v>0.8</v>
      </c>
      <c r="AD1192" t="s">
        <v>34</v>
      </c>
      <c r="AE1192">
        <v>826.87</v>
      </c>
      <c r="AF1192">
        <v>0</v>
      </c>
    </row>
    <row r="1193" spans="3:32" x14ac:dyDescent="0.35">
      <c r="C1193" s="1">
        <v>44156</v>
      </c>
      <c r="D1193" s="2">
        <v>44136</v>
      </c>
      <c r="E1193">
        <v>1113</v>
      </c>
      <c r="F1193" s="3">
        <v>4117.26</v>
      </c>
      <c r="G1193" s="3">
        <v>2728.61</v>
      </c>
      <c r="H1193" s="3">
        <v>1388.65</v>
      </c>
      <c r="I1193" s="3">
        <v>0.66</v>
      </c>
      <c r="J1193">
        <v>0.33</v>
      </c>
      <c r="K1193">
        <v>2853.85</v>
      </c>
      <c r="L1193" t="s">
        <v>35</v>
      </c>
      <c r="M1193">
        <v>639</v>
      </c>
      <c r="N1193">
        <v>0.15</v>
      </c>
      <c r="O1193" s="3">
        <v>533.04999999999995</v>
      </c>
      <c r="P1193" s="3">
        <v>0.13</v>
      </c>
      <c r="Q1193" s="3">
        <v>629.07000000000005</v>
      </c>
      <c r="R1193" s="3">
        <v>0.15</v>
      </c>
      <c r="S1193">
        <v>3</v>
      </c>
      <c r="T1193">
        <v>1240.49</v>
      </c>
      <c r="U1193">
        <v>94</v>
      </c>
      <c r="V1193">
        <v>0</v>
      </c>
      <c r="W1193">
        <v>746.39</v>
      </c>
      <c r="X1193">
        <v>1949.89</v>
      </c>
      <c r="Y1193" t="s">
        <v>36</v>
      </c>
      <c r="Z1193" s="3">
        <v>931.95</v>
      </c>
      <c r="AA1193" t="s">
        <v>51</v>
      </c>
      <c r="AB1193" t="s">
        <v>33</v>
      </c>
      <c r="AC1193">
        <v>2.2000000000000002</v>
      </c>
      <c r="AD1193" t="s">
        <v>34</v>
      </c>
      <c r="AE1193">
        <v>1388.65</v>
      </c>
      <c r="AF1193">
        <v>0</v>
      </c>
    </row>
    <row r="1194" spans="3:32" x14ac:dyDescent="0.35">
      <c r="C1194" s="1">
        <v>44156</v>
      </c>
      <c r="D1194" s="2">
        <v>44136</v>
      </c>
      <c r="E1194">
        <v>1491</v>
      </c>
      <c r="F1194" s="3">
        <v>1798.64</v>
      </c>
      <c r="G1194" s="3">
        <v>3894.69</v>
      </c>
      <c r="H1194" s="3">
        <v>-2096.0500000000002</v>
      </c>
      <c r="I1194" s="3">
        <v>2.17</v>
      </c>
      <c r="J1194">
        <v>0.17</v>
      </c>
      <c r="K1194">
        <v>3000.14</v>
      </c>
      <c r="L1194" t="s">
        <v>30</v>
      </c>
      <c r="M1194">
        <v>755</v>
      </c>
      <c r="N1194">
        <v>0.23</v>
      </c>
      <c r="O1194" s="3">
        <v>368.18</v>
      </c>
      <c r="P1194" s="3">
        <v>0.2</v>
      </c>
      <c r="Q1194" s="3">
        <v>1292.3</v>
      </c>
      <c r="R1194" s="3">
        <v>0.72</v>
      </c>
      <c r="S1194">
        <v>5</v>
      </c>
      <c r="T1194">
        <v>1613.78</v>
      </c>
      <c r="U1194">
        <v>78</v>
      </c>
      <c r="V1194">
        <v>0</v>
      </c>
      <c r="W1194">
        <v>808.24</v>
      </c>
      <c r="X1194">
        <v>1903.94</v>
      </c>
      <c r="Y1194" t="s">
        <v>36</v>
      </c>
      <c r="Z1194" s="3">
        <v>1839.67</v>
      </c>
      <c r="AA1194" t="s">
        <v>37</v>
      </c>
      <c r="AB1194" t="s">
        <v>33</v>
      </c>
      <c r="AC1194">
        <v>77.400000000000006</v>
      </c>
      <c r="AD1194" t="s">
        <v>38</v>
      </c>
      <c r="AE1194">
        <v>0</v>
      </c>
      <c r="AF1194">
        <v>0</v>
      </c>
    </row>
    <row r="1195" spans="3:32" x14ac:dyDescent="0.35">
      <c r="C1195" s="1">
        <v>44156</v>
      </c>
      <c r="D1195" s="2">
        <v>44136</v>
      </c>
      <c r="E1195">
        <v>1610</v>
      </c>
      <c r="F1195" s="3">
        <v>3575.88</v>
      </c>
      <c r="G1195" s="3">
        <v>2938.49</v>
      </c>
      <c r="H1195" s="3">
        <v>637.39</v>
      </c>
      <c r="I1195" s="3">
        <v>0.82</v>
      </c>
      <c r="J1195">
        <v>0.11</v>
      </c>
      <c r="K1195">
        <v>2632.21</v>
      </c>
      <c r="L1195" t="s">
        <v>30</v>
      </c>
      <c r="M1195">
        <v>718</v>
      </c>
      <c r="N1195">
        <v>0.57999999999999996</v>
      </c>
      <c r="O1195" s="3">
        <v>636.39</v>
      </c>
      <c r="P1195" s="3">
        <v>0.18</v>
      </c>
      <c r="Q1195" s="3">
        <v>217.53</v>
      </c>
      <c r="R1195" s="3">
        <v>0.06</v>
      </c>
      <c r="S1195">
        <v>2</v>
      </c>
      <c r="T1195">
        <v>1220.4000000000001</v>
      </c>
      <c r="U1195">
        <v>76</v>
      </c>
      <c r="V1195">
        <v>0</v>
      </c>
      <c r="W1195">
        <v>644.42999999999995</v>
      </c>
      <c r="X1195">
        <v>2526.5300000000002</v>
      </c>
      <c r="Y1195" t="s">
        <v>49</v>
      </c>
      <c r="Z1195" s="3">
        <v>1168.3900000000001</v>
      </c>
      <c r="AA1195" t="s">
        <v>48</v>
      </c>
      <c r="AB1195" t="s">
        <v>33</v>
      </c>
      <c r="AC1195">
        <v>5</v>
      </c>
      <c r="AD1195" t="s">
        <v>34</v>
      </c>
      <c r="AE1195">
        <v>637.39</v>
      </c>
      <c r="AF1195">
        <v>0</v>
      </c>
    </row>
    <row r="1196" spans="3:32" x14ac:dyDescent="0.35">
      <c r="C1196" s="1">
        <v>44156</v>
      </c>
      <c r="D1196" s="2">
        <v>44136</v>
      </c>
      <c r="E1196">
        <v>1325</v>
      </c>
      <c r="F1196" s="3">
        <v>3618.4</v>
      </c>
      <c r="G1196" s="3">
        <v>4133.7299999999996</v>
      </c>
      <c r="H1196" s="3">
        <v>-515.33000000000004</v>
      </c>
      <c r="I1196" s="3">
        <v>1.1399999999999999</v>
      </c>
      <c r="J1196">
        <v>0.19</v>
      </c>
      <c r="K1196">
        <v>2797.97</v>
      </c>
      <c r="L1196" t="s">
        <v>30</v>
      </c>
      <c r="M1196">
        <v>722</v>
      </c>
      <c r="N1196">
        <v>0.23</v>
      </c>
      <c r="O1196" s="3">
        <v>289.77</v>
      </c>
      <c r="P1196" s="3">
        <v>0.08</v>
      </c>
      <c r="Q1196" s="3">
        <v>736.52</v>
      </c>
      <c r="R1196" s="3">
        <v>0.2</v>
      </c>
      <c r="S1196">
        <v>4</v>
      </c>
      <c r="T1196">
        <v>1050.57</v>
      </c>
      <c r="U1196">
        <v>20</v>
      </c>
      <c r="V1196">
        <v>0</v>
      </c>
      <c r="W1196">
        <v>514.12</v>
      </c>
      <c r="X1196">
        <v>2178.65</v>
      </c>
      <c r="Y1196" t="s">
        <v>36</v>
      </c>
      <c r="Z1196" s="3">
        <v>1390.47</v>
      </c>
      <c r="AA1196" t="s">
        <v>47</v>
      </c>
      <c r="AB1196" t="s">
        <v>42</v>
      </c>
      <c r="AC1196">
        <v>55.2</v>
      </c>
      <c r="AD1196" t="s">
        <v>43</v>
      </c>
      <c r="AE1196">
        <v>0</v>
      </c>
      <c r="AF1196">
        <v>0</v>
      </c>
    </row>
    <row r="1197" spans="3:32" x14ac:dyDescent="0.35">
      <c r="C1197" s="1">
        <v>44156</v>
      </c>
      <c r="D1197" s="2">
        <v>44136</v>
      </c>
      <c r="E1197">
        <v>1127</v>
      </c>
      <c r="F1197" s="3">
        <v>3837.87</v>
      </c>
      <c r="G1197" s="3">
        <v>3038.68</v>
      </c>
      <c r="H1197" s="3">
        <v>799.19</v>
      </c>
      <c r="I1197" s="3">
        <v>0.79</v>
      </c>
      <c r="J1197">
        <v>0.15</v>
      </c>
      <c r="K1197">
        <v>3960.25</v>
      </c>
      <c r="L1197" t="s">
        <v>35</v>
      </c>
      <c r="M1197">
        <v>672</v>
      </c>
      <c r="N1197">
        <v>0.21</v>
      </c>
      <c r="O1197" s="3">
        <v>545.39</v>
      </c>
      <c r="P1197" s="3">
        <v>0.14000000000000001</v>
      </c>
      <c r="Q1197" s="3">
        <v>472.29</v>
      </c>
      <c r="R1197" s="3">
        <v>0.12</v>
      </c>
      <c r="S1197">
        <v>4</v>
      </c>
      <c r="T1197">
        <v>1085.05</v>
      </c>
      <c r="U1197">
        <v>98</v>
      </c>
      <c r="V1197">
        <v>0</v>
      </c>
      <c r="W1197">
        <v>349.88</v>
      </c>
      <c r="X1197">
        <v>2865.26</v>
      </c>
      <c r="Y1197" t="s">
        <v>36</v>
      </c>
      <c r="Z1197" s="3">
        <v>1173.1199999999999</v>
      </c>
      <c r="AA1197" t="s">
        <v>41</v>
      </c>
      <c r="AB1197" t="s">
        <v>33</v>
      </c>
      <c r="AC1197">
        <v>70.5</v>
      </c>
      <c r="AD1197" t="s">
        <v>43</v>
      </c>
      <c r="AE1197">
        <v>799.19</v>
      </c>
      <c r="AF1197">
        <v>0</v>
      </c>
    </row>
    <row r="1198" spans="3:32" x14ac:dyDescent="0.35">
      <c r="C1198" s="1">
        <v>44156</v>
      </c>
      <c r="D1198" s="2">
        <v>44136</v>
      </c>
      <c r="E1198">
        <v>1645</v>
      </c>
      <c r="F1198" s="3">
        <v>4189.92</v>
      </c>
      <c r="G1198" s="3">
        <v>3941.02</v>
      </c>
      <c r="H1198" s="3">
        <v>248.9</v>
      </c>
      <c r="I1198" s="3">
        <v>0.94</v>
      </c>
      <c r="J1198">
        <v>0.28999999999999998</v>
      </c>
      <c r="K1198">
        <v>3687.77</v>
      </c>
      <c r="L1198" t="s">
        <v>39</v>
      </c>
      <c r="M1198">
        <v>608</v>
      </c>
      <c r="N1198">
        <v>0.46</v>
      </c>
      <c r="O1198" s="3">
        <v>523.79</v>
      </c>
      <c r="P1198" s="3">
        <v>0.13</v>
      </c>
      <c r="Q1198" s="3">
        <v>55.24</v>
      </c>
      <c r="R1198" s="3">
        <v>0.01</v>
      </c>
      <c r="S1198">
        <v>7</v>
      </c>
      <c r="T1198">
        <v>1319.76</v>
      </c>
      <c r="U1198">
        <v>30</v>
      </c>
      <c r="V1198">
        <v>0</v>
      </c>
      <c r="W1198">
        <v>437.55</v>
      </c>
      <c r="X1198">
        <v>1566.78</v>
      </c>
      <c r="Y1198" t="s">
        <v>31</v>
      </c>
      <c r="Z1198" s="3">
        <v>1575.62</v>
      </c>
      <c r="AA1198" t="s">
        <v>51</v>
      </c>
      <c r="AB1198" t="s">
        <v>42</v>
      </c>
      <c r="AC1198">
        <v>2.5</v>
      </c>
      <c r="AD1198" t="s">
        <v>43</v>
      </c>
      <c r="AE1198">
        <v>248.9</v>
      </c>
      <c r="AF1198">
        <v>0</v>
      </c>
    </row>
    <row r="1199" spans="3:32" x14ac:dyDescent="0.35">
      <c r="C1199" s="1">
        <v>44156</v>
      </c>
      <c r="D1199" s="2">
        <v>44136</v>
      </c>
      <c r="E1199">
        <v>1899</v>
      </c>
      <c r="F1199" s="3">
        <v>3567.25</v>
      </c>
      <c r="G1199" s="3">
        <v>1068.1400000000001</v>
      </c>
      <c r="H1199" s="3">
        <v>2499.11</v>
      </c>
      <c r="I1199" s="3">
        <v>0.3</v>
      </c>
      <c r="J1199">
        <v>0.08</v>
      </c>
      <c r="K1199">
        <v>2229.9499999999998</v>
      </c>
      <c r="L1199" t="s">
        <v>35</v>
      </c>
      <c r="M1199">
        <v>720</v>
      </c>
      <c r="N1199">
        <v>0.37</v>
      </c>
      <c r="O1199" s="3">
        <v>154.93</v>
      </c>
      <c r="P1199" s="3">
        <v>0.04</v>
      </c>
      <c r="Q1199" s="3">
        <v>162.19999999999999</v>
      </c>
      <c r="R1199" s="3">
        <v>0.05</v>
      </c>
      <c r="S1199">
        <v>4</v>
      </c>
      <c r="T1199">
        <v>1479.92</v>
      </c>
      <c r="U1199">
        <v>57</v>
      </c>
      <c r="V1199">
        <v>0</v>
      </c>
      <c r="W1199">
        <v>682.87</v>
      </c>
      <c r="X1199">
        <v>2019.73</v>
      </c>
      <c r="Y1199" t="s">
        <v>36</v>
      </c>
      <c r="Z1199" s="3">
        <v>522.63</v>
      </c>
      <c r="AA1199" t="s">
        <v>37</v>
      </c>
      <c r="AB1199" t="s">
        <v>33</v>
      </c>
      <c r="AC1199">
        <v>19.100000000000001</v>
      </c>
      <c r="AD1199" t="s">
        <v>43</v>
      </c>
      <c r="AE1199">
        <v>2499.11</v>
      </c>
      <c r="AF1199">
        <v>1</v>
      </c>
    </row>
    <row r="1200" spans="3:32" x14ac:dyDescent="0.35">
      <c r="C1200" s="1">
        <v>44156</v>
      </c>
      <c r="D1200" s="2">
        <v>44136</v>
      </c>
      <c r="E1200">
        <v>1793</v>
      </c>
      <c r="F1200" s="3">
        <v>3333.01</v>
      </c>
      <c r="G1200" s="3">
        <v>3081.26</v>
      </c>
      <c r="H1200" s="3">
        <v>251.75</v>
      </c>
      <c r="I1200" s="3">
        <v>0.92</v>
      </c>
      <c r="J1200">
        <v>0.3</v>
      </c>
      <c r="K1200">
        <v>2355.67</v>
      </c>
      <c r="L1200" t="s">
        <v>35</v>
      </c>
      <c r="M1200">
        <v>640</v>
      </c>
      <c r="N1200">
        <v>0.44</v>
      </c>
      <c r="O1200" s="3">
        <v>507.6</v>
      </c>
      <c r="P1200" s="3">
        <v>0.15</v>
      </c>
      <c r="Q1200" s="3">
        <v>447.63</v>
      </c>
      <c r="R1200" s="3">
        <v>0.13</v>
      </c>
      <c r="S1200">
        <v>9</v>
      </c>
      <c r="T1200">
        <v>608.74</v>
      </c>
      <c r="U1200">
        <v>80</v>
      </c>
      <c r="V1200">
        <v>0</v>
      </c>
      <c r="W1200">
        <v>459.76</v>
      </c>
      <c r="X1200">
        <v>1508.47</v>
      </c>
      <c r="Y1200" t="s">
        <v>36</v>
      </c>
      <c r="Z1200" s="3">
        <v>515.61</v>
      </c>
      <c r="AA1200" t="s">
        <v>46</v>
      </c>
      <c r="AB1200" t="s">
        <v>44</v>
      </c>
      <c r="AC1200">
        <v>54.2</v>
      </c>
      <c r="AD1200" t="s">
        <v>34</v>
      </c>
      <c r="AE1200">
        <v>251.75</v>
      </c>
      <c r="AF1200">
        <v>0</v>
      </c>
    </row>
    <row r="1201" spans="3:32" x14ac:dyDescent="0.35">
      <c r="C1201" s="1">
        <v>44156</v>
      </c>
      <c r="D1201" s="2">
        <v>44136</v>
      </c>
      <c r="E1201">
        <v>1118</v>
      </c>
      <c r="F1201" s="3">
        <v>3863.43</v>
      </c>
      <c r="G1201" s="3">
        <v>3626.77</v>
      </c>
      <c r="H1201" s="3">
        <v>236.66</v>
      </c>
      <c r="I1201" s="3">
        <v>0.94</v>
      </c>
      <c r="J1201">
        <v>0.3</v>
      </c>
      <c r="K1201">
        <v>2313.2800000000002</v>
      </c>
      <c r="L1201" t="s">
        <v>35</v>
      </c>
      <c r="M1201">
        <v>589</v>
      </c>
      <c r="N1201">
        <v>0.22</v>
      </c>
      <c r="O1201" s="3">
        <v>277.83</v>
      </c>
      <c r="P1201" s="3">
        <v>7.0000000000000007E-2</v>
      </c>
      <c r="Q1201" s="3">
        <v>249.34</v>
      </c>
      <c r="R1201" s="3">
        <v>0.06</v>
      </c>
      <c r="S1201">
        <v>8</v>
      </c>
      <c r="T1201">
        <v>1011.75</v>
      </c>
      <c r="U1201">
        <v>39</v>
      </c>
      <c r="V1201">
        <v>0</v>
      </c>
      <c r="W1201">
        <v>381.46</v>
      </c>
      <c r="X1201">
        <v>2232.63</v>
      </c>
      <c r="Y1201" t="s">
        <v>36</v>
      </c>
      <c r="Z1201" s="3">
        <v>652.34</v>
      </c>
      <c r="AA1201" t="s">
        <v>46</v>
      </c>
      <c r="AB1201" t="s">
        <v>33</v>
      </c>
      <c r="AC1201">
        <v>46.2</v>
      </c>
      <c r="AD1201" t="s">
        <v>34</v>
      </c>
      <c r="AE1201">
        <v>236.66</v>
      </c>
      <c r="AF1201">
        <v>0</v>
      </c>
    </row>
    <row r="1202" spans="3:32" x14ac:dyDescent="0.35">
      <c r="C1202" s="1">
        <v>44186</v>
      </c>
      <c r="D1202" s="2">
        <v>44166</v>
      </c>
      <c r="E1202">
        <v>1129</v>
      </c>
      <c r="F1202" s="3">
        <v>4622.4799999999996</v>
      </c>
      <c r="G1202" s="3">
        <v>2219.5100000000002</v>
      </c>
      <c r="H1202" s="3">
        <v>2402.9699999999998</v>
      </c>
      <c r="I1202" s="3">
        <v>0.48</v>
      </c>
      <c r="J1202">
        <v>0.18</v>
      </c>
      <c r="K1202">
        <v>2541.0500000000002</v>
      </c>
      <c r="L1202" t="s">
        <v>35</v>
      </c>
      <c r="M1202">
        <v>661</v>
      </c>
      <c r="N1202">
        <v>0.46</v>
      </c>
      <c r="O1202" s="3">
        <v>318.48</v>
      </c>
      <c r="P1202" s="3">
        <v>7.0000000000000007E-2</v>
      </c>
      <c r="Q1202" s="3">
        <v>591.38</v>
      </c>
      <c r="R1202" s="3">
        <v>0.13</v>
      </c>
      <c r="S1202">
        <v>3</v>
      </c>
      <c r="T1202">
        <v>2306.84</v>
      </c>
      <c r="U1202">
        <v>27</v>
      </c>
      <c r="V1202">
        <v>0</v>
      </c>
      <c r="W1202">
        <v>260.55</v>
      </c>
      <c r="X1202">
        <v>1651.01</v>
      </c>
      <c r="Y1202" t="s">
        <v>36</v>
      </c>
      <c r="Z1202" s="3">
        <v>903.63</v>
      </c>
      <c r="AA1202" t="s">
        <v>48</v>
      </c>
      <c r="AB1202" t="s">
        <v>44</v>
      </c>
      <c r="AC1202">
        <v>64.099999999999994</v>
      </c>
      <c r="AD1202" t="s">
        <v>34</v>
      </c>
      <c r="AE1202">
        <v>2402.9699999999998</v>
      </c>
      <c r="AF1202">
        <v>0</v>
      </c>
    </row>
    <row r="1203" spans="3:32" x14ac:dyDescent="0.35">
      <c r="C1203" s="1">
        <v>44186</v>
      </c>
      <c r="D1203" s="2">
        <v>44166</v>
      </c>
      <c r="E1203">
        <v>1310</v>
      </c>
      <c r="F1203" s="3">
        <v>3642.2</v>
      </c>
      <c r="G1203" s="3">
        <v>1872.49</v>
      </c>
      <c r="H1203" s="3">
        <v>1769.71</v>
      </c>
      <c r="I1203" s="3">
        <v>0.51</v>
      </c>
      <c r="J1203">
        <v>0.25</v>
      </c>
      <c r="K1203">
        <v>1972.05</v>
      </c>
      <c r="L1203" t="s">
        <v>35</v>
      </c>
      <c r="M1203">
        <v>721</v>
      </c>
      <c r="N1203">
        <v>0.16</v>
      </c>
      <c r="O1203" s="3">
        <v>782.47</v>
      </c>
      <c r="P1203" s="3">
        <v>0.21</v>
      </c>
      <c r="Q1203" s="3">
        <v>423.27</v>
      </c>
      <c r="R1203" s="3">
        <v>0.12</v>
      </c>
      <c r="S1203">
        <v>2</v>
      </c>
      <c r="T1203">
        <v>1139.8399999999999</v>
      </c>
      <c r="U1203">
        <v>50</v>
      </c>
      <c r="V1203">
        <v>0</v>
      </c>
      <c r="W1203">
        <v>408.48</v>
      </c>
      <c r="X1203">
        <v>2303.3200000000002</v>
      </c>
      <c r="Y1203" t="s">
        <v>36</v>
      </c>
      <c r="Z1203" s="3">
        <v>1540.2</v>
      </c>
      <c r="AA1203" t="s">
        <v>37</v>
      </c>
      <c r="AB1203" t="s">
        <v>42</v>
      </c>
      <c r="AC1203">
        <v>4.5</v>
      </c>
      <c r="AD1203" t="s">
        <v>34</v>
      </c>
      <c r="AE1203">
        <v>1769.71</v>
      </c>
      <c r="AF1203">
        <v>0</v>
      </c>
    </row>
    <row r="1204" spans="3:32" x14ac:dyDescent="0.35">
      <c r="C1204" s="1">
        <v>44186</v>
      </c>
      <c r="D1204" s="2">
        <v>44166</v>
      </c>
      <c r="E1204">
        <v>1568</v>
      </c>
      <c r="F1204" s="3">
        <v>2841.36</v>
      </c>
      <c r="G1204" s="3">
        <v>2155.87</v>
      </c>
      <c r="H1204" s="3">
        <v>685.49</v>
      </c>
      <c r="I1204" s="3">
        <v>0.76</v>
      </c>
      <c r="J1204">
        <v>0.26</v>
      </c>
      <c r="K1204">
        <v>2378.9899999999998</v>
      </c>
      <c r="L1204" t="s">
        <v>35</v>
      </c>
      <c r="M1204">
        <v>786</v>
      </c>
      <c r="N1204">
        <v>0.36</v>
      </c>
      <c r="O1204" s="3">
        <v>441.54</v>
      </c>
      <c r="P1204" s="3">
        <v>0.16</v>
      </c>
      <c r="Q1204" s="3">
        <v>0</v>
      </c>
      <c r="R1204" s="3">
        <v>0</v>
      </c>
      <c r="S1204">
        <v>1</v>
      </c>
      <c r="T1204">
        <v>745.31</v>
      </c>
      <c r="U1204">
        <v>43</v>
      </c>
      <c r="V1204">
        <v>0</v>
      </c>
      <c r="W1204">
        <v>839.27</v>
      </c>
      <c r="X1204">
        <v>1766.43</v>
      </c>
      <c r="Y1204" t="s">
        <v>31</v>
      </c>
      <c r="Z1204" s="3">
        <v>1259.7</v>
      </c>
      <c r="AA1204" t="s">
        <v>47</v>
      </c>
      <c r="AB1204" t="s">
        <v>42</v>
      </c>
      <c r="AC1204">
        <v>52.7</v>
      </c>
      <c r="AD1204" t="s">
        <v>34</v>
      </c>
      <c r="AE1204">
        <v>685.49</v>
      </c>
      <c r="AF1204">
        <v>0</v>
      </c>
    </row>
    <row r="1205" spans="3:32" x14ac:dyDescent="0.35">
      <c r="C1205" s="1">
        <v>44186</v>
      </c>
      <c r="D1205" s="2">
        <v>44166</v>
      </c>
      <c r="E1205">
        <v>1045</v>
      </c>
      <c r="F1205" s="3">
        <v>3925.11</v>
      </c>
      <c r="G1205" s="3">
        <v>3033.29</v>
      </c>
      <c r="H1205" s="3">
        <v>891.82</v>
      </c>
      <c r="I1205" s="3">
        <v>0.77</v>
      </c>
      <c r="J1205">
        <v>0.37</v>
      </c>
      <c r="K1205">
        <v>2635.8</v>
      </c>
      <c r="L1205" t="s">
        <v>35</v>
      </c>
      <c r="M1205">
        <v>612</v>
      </c>
      <c r="N1205">
        <v>0.1</v>
      </c>
      <c r="O1205" s="3">
        <v>331.05</v>
      </c>
      <c r="P1205" s="3">
        <v>0.08</v>
      </c>
      <c r="Q1205" s="3">
        <v>243.98</v>
      </c>
      <c r="R1205" s="3">
        <v>0.06</v>
      </c>
      <c r="S1205">
        <v>1</v>
      </c>
      <c r="T1205">
        <v>1115.71</v>
      </c>
      <c r="U1205">
        <v>94</v>
      </c>
      <c r="V1205">
        <v>0</v>
      </c>
      <c r="W1205">
        <v>529.16999999999996</v>
      </c>
      <c r="X1205">
        <v>1566.64</v>
      </c>
      <c r="Y1205" t="s">
        <v>36</v>
      </c>
      <c r="Z1205" s="3">
        <v>1266.81</v>
      </c>
      <c r="AA1205" t="s">
        <v>45</v>
      </c>
      <c r="AB1205" t="s">
        <v>44</v>
      </c>
      <c r="AC1205">
        <v>99</v>
      </c>
      <c r="AD1205" t="s">
        <v>38</v>
      </c>
      <c r="AE1205">
        <v>891.82</v>
      </c>
      <c r="AF1205">
        <v>0</v>
      </c>
    </row>
    <row r="1206" spans="3:32" x14ac:dyDescent="0.35">
      <c r="C1206" s="1">
        <v>44186</v>
      </c>
      <c r="D1206" s="2">
        <v>44166</v>
      </c>
      <c r="E1206">
        <v>1697</v>
      </c>
      <c r="F1206" s="3">
        <v>4036.28</v>
      </c>
      <c r="G1206" s="3">
        <v>3829.82</v>
      </c>
      <c r="H1206" s="3">
        <v>206.46</v>
      </c>
      <c r="I1206" s="3">
        <v>0.95</v>
      </c>
      <c r="J1206">
        <v>0.35</v>
      </c>
      <c r="K1206">
        <v>2663.89</v>
      </c>
      <c r="L1206" t="s">
        <v>30</v>
      </c>
      <c r="M1206">
        <v>781</v>
      </c>
      <c r="N1206">
        <v>0.11</v>
      </c>
      <c r="O1206" s="3">
        <v>819.33</v>
      </c>
      <c r="P1206" s="3">
        <v>0.2</v>
      </c>
      <c r="Q1206" s="3">
        <v>161.19</v>
      </c>
      <c r="R1206" s="3">
        <v>0.04</v>
      </c>
      <c r="S1206">
        <v>9</v>
      </c>
      <c r="T1206">
        <v>1349.24</v>
      </c>
      <c r="U1206">
        <v>55</v>
      </c>
      <c r="V1206">
        <v>0</v>
      </c>
      <c r="W1206">
        <v>636.08000000000004</v>
      </c>
      <c r="X1206">
        <v>1301.27</v>
      </c>
      <c r="Y1206" t="s">
        <v>36</v>
      </c>
      <c r="Z1206" s="3">
        <v>1048.71</v>
      </c>
      <c r="AA1206" t="s">
        <v>41</v>
      </c>
      <c r="AB1206" t="s">
        <v>44</v>
      </c>
      <c r="AC1206">
        <v>43.9</v>
      </c>
      <c r="AD1206" t="s">
        <v>38</v>
      </c>
      <c r="AE1206">
        <v>206.46</v>
      </c>
      <c r="AF1206">
        <v>0</v>
      </c>
    </row>
    <row r="1207" spans="3:32" x14ac:dyDescent="0.35">
      <c r="C1207" s="1">
        <v>44186</v>
      </c>
      <c r="D1207" s="2">
        <v>44166</v>
      </c>
      <c r="E1207">
        <v>1278</v>
      </c>
      <c r="F1207" s="3">
        <v>3666.66</v>
      </c>
      <c r="G1207" s="3">
        <v>3711.48</v>
      </c>
      <c r="H1207" s="3">
        <v>-44.82</v>
      </c>
      <c r="I1207" s="3">
        <v>1.01</v>
      </c>
      <c r="J1207">
        <v>0.19</v>
      </c>
      <c r="K1207">
        <v>2365.41</v>
      </c>
      <c r="L1207" t="s">
        <v>39</v>
      </c>
      <c r="M1207">
        <v>669</v>
      </c>
      <c r="N1207">
        <v>0.56999999999999995</v>
      </c>
      <c r="O1207" s="3">
        <v>181.24</v>
      </c>
      <c r="P1207" s="3">
        <v>0.05</v>
      </c>
      <c r="Q1207" s="3">
        <v>0</v>
      </c>
      <c r="R1207" s="3">
        <v>0</v>
      </c>
      <c r="S1207">
        <v>5</v>
      </c>
      <c r="T1207">
        <v>1330.03</v>
      </c>
      <c r="U1207">
        <v>58</v>
      </c>
      <c r="V1207">
        <v>0</v>
      </c>
      <c r="W1207">
        <v>874.35</v>
      </c>
      <c r="X1207">
        <v>1910.88</v>
      </c>
      <c r="Y1207" t="s">
        <v>36</v>
      </c>
      <c r="Z1207" s="3">
        <v>1513.23</v>
      </c>
      <c r="AA1207" t="s">
        <v>48</v>
      </c>
      <c r="AB1207" t="s">
        <v>42</v>
      </c>
      <c r="AC1207">
        <v>62.6</v>
      </c>
      <c r="AD1207" t="s">
        <v>34</v>
      </c>
      <c r="AE1207">
        <v>0</v>
      </c>
      <c r="AF1207">
        <v>0</v>
      </c>
    </row>
    <row r="1208" spans="3:32" x14ac:dyDescent="0.35">
      <c r="C1208" s="1">
        <v>44186</v>
      </c>
      <c r="D1208" s="2">
        <v>44166</v>
      </c>
      <c r="E1208">
        <v>1060</v>
      </c>
      <c r="F1208" s="3">
        <v>3416.59</v>
      </c>
      <c r="G1208" s="3">
        <v>4025.71</v>
      </c>
      <c r="H1208" s="3">
        <v>-609.12</v>
      </c>
      <c r="I1208" s="3">
        <v>1.18</v>
      </c>
      <c r="J1208">
        <v>0.06</v>
      </c>
      <c r="K1208">
        <v>2672.23</v>
      </c>
      <c r="L1208" t="s">
        <v>39</v>
      </c>
      <c r="M1208">
        <v>742</v>
      </c>
      <c r="N1208">
        <v>0.38</v>
      </c>
      <c r="O1208" s="3">
        <v>302.39</v>
      </c>
      <c r="P1208" s="3">
        <v>0.09</v>
      </c>
      <c r="Q1208" s="3">
        <v>576.91999999999996</v>
      </c>
      <c r="R1208" s="3">
        <v>0.17</v>
      </c>
      <c r="S1208">
        <v>8</v>
      </c>
      <c r="T1208">
        <v>941.38</v>
      </c>
      <c r="U1208">
        <v>57</v>
      </c>
      <c r="V1208">
        <v>0</v>
      </c>
      <c r="W1208">
        <v>902.32</v>
      </c>
      <c r="X1208">
        <v>2728.07</v>
      </c>
      <c r="Y1208" t="s">
        <v>31</v>
      </c>
      <c r="Z1208" s="3">
        <v>1674.74</v>
      </c>
      <c r="AA1208" t="s">
        <v>32</v>
      </c>
      <c r="AB1208" t="s">
        <v>44</v>
      </c>
      <c r="AC1208">
        <v>8</v>
      </c>
      <c r="AD1208" t="s">
        <v>43</v>
      </c>
      <c r="AE1208">
        <v>0</v>
      </c>
      <c r="AF1208">
        <v>0</v>
      </c>
    </row>
    <row r="1209" spans="3:32" x14ac:dyDescent="0.35">
      <c r="C1209" s="1">
        <v>44186</v>
      </c>
      <c r="D1209" s="2">
        <v>44166</v>
      </c>
      <c r="E1209">
        <v>1040</v>
      </c>
      <c r="F1209" s="3">
        <v>4172.1899999999996</v>
      </c>
      <c r="G1209" s="3">
        <v>2723.57</v>
      </c>
      <c r="H1209" s="3">
        <v>1448.62</v>
      </c>
      <c r="I1209" s="3">
        <v>0.65</v>
      </c>
      <c r="J1209">
        <v>0.18</v>
      </c>
      <c r="K1209">
        <v>2552.8000000000002</v>
      </c>
      <c r="L1209" t="s">
        <v>30</v>
      </c>
      <c r="M1209">
        <v>725</v>
      </c>
      <c r="N1209">
        <v>0.1</v>
      </c>
      <c r="O1209" s="3">
        <v>395.28</v>
      </c>
      <c r="P1209" s="3">
        <v>0.09</v>
      </c>
      <c r="Q1209" s="3">
        <v>280.54000000000002</v>
      </c>
      <c r="R1209" s="3">
        <v>7.0000000000000007E-2</v>
      </c>
      <c r="S1209">
        <v>3</v>
      </c>
      <c r="T1209">
        <v>834.01</v>
      </c>
      <c r="U1209">
        <v>89</v>
      </c>
      <c r="V1209">
        <v>0</v>
      </c>
      <c r="W1209">
        <v>570.84</v>
      </c>
      <c r="X1209">
        <v>2978.74</v>
      </c>
      <c r="Y1209" t="s">
        <v>36</v>
      </c>
      <c r="Z1209" s="3">
        <v>849.97</v>
      </c>
      <c r="AA1209" t="s">
        <v>51</v>
      </c>
      <c r="AB1209" t="s">
        <v>42</v>
      </c>
      <c r="AC1209">
        <v>91.7</v>
      </c>
      <c r="AD1209" t="s">
        <v>38</v>
      </c>
      <c r="AE1209">
        <v>1448.62</v>
      </c>
      <c r="AF1209">
        <v>0</v>
      </c>
    </row>
    <row r="1210" spans="3:32" x14ac:dyDescent="0.35">
      <c r="C1210" s="1">
        <v>44186</v>
      </c>
      <c r="D1210" s="2">
        <v>44166</v>
      </c>
      <c r="E1210">
        <v>1796</v>
      </c>
      <c r="F1210" s="3">
        <v>4648.68</v>
      </c>
      <c r="G1210" s="3">
        <v>2530.9</v>
      </c>
      <c r="H1210" s="3">
        <v>2117.7800000000002</v>
      </c>
      <c r="I1210" s="3">
        <v>0.54</v>
      </c>
      <c r="J1210">
        <v>0.2</v>
      </c>
      <c r="K1210">
        <v>3285.67</v>
      </c>
      <c r="L1210" t="s">
        <v>30</v>
      </c>
      <c r="M1210">
        <v>684</v>
      </c>
      <c r="N1210">
        <v>0.35</v>
      </c>
      <c r="O1210" s="3">
        <v>859.09</v>
      </c>
      <c r="P1210" s="3">
        <v>0.18</v>
      </c>
      <c r="Q1210" s="3">
        <v>777.85</v>
      </c>
      <c r="R1210" s="3">
        <v>0.17</v>
      </c>
      <c r="S1210">
        <v>8</v>
      </c>
      <c r="T1210">
        <v>2127.42</v>
      </c>
      <c r="U1210">
        <v>92</v>
      </c>
      <c r="V1210">
        <v>0</v>
      </c>
      <c r="W1210">
        <v>417.72</v>
      </c>
      <c r="X1210">
        <v>2343.6</v>
      </c>
      <c r="Y1210" t="s">
        <v>31</v>
      </c>
      <c r="Z1210" s="3">
        <v>444.59</v>
      </c>
      <c r="AA1210" t="s">
        <v>41</v>
      </c>
      <c r="AB1210" t="s">
        <v>33</v>
      </c>
      <c r="AC1210">
        <v>96.6</v>
      </c>
      <c r="AD1210" t="s">
        <v>34</v>
      </c>
      <c r="AE1210">
        <v>2117.7800000000002</v>
      </c>
      <c r="AF1210">
        <v>0</v>
      </c>
    </row>
    <row r="1211" spans="3:32" x14ac:dyDescent="0.35">
      <c r="C1211" s="1">
        <v>44186</v>
      </c>
      <c r="D1211" s="2">
        <v>44166</v>
      </c>
      <c r="E1211">
        <v>1172</v>
      </c>
      <c r="F1211" s="3">
        <v>2969.58</v>
      </c>
      <c r="G1211" s="3">
        <v>3243.98</v>
      </c>
      <c r="H1211" s="3">
        <v>-274.39999999999998</v>
      </c>
      <c r="I1211" s="3">
        <v>1.0900000000000001</v>
      </c>
      <c r="J1211">
        <v>0.32</v>
      </c>
      <c r="K1211">
        <v>2754.26</v>
      </c>
      <c r="L1211" t="s">
        <v>35</v>
      </c>
      <c r="M1211">
        <v>693</v>
      </c>
      <c r="N1211">
        <v>0.47</v>
      </c>
      <c r="O1211" s="3">
        <v>614.73</v>
      </c>
      <c r="P1211" s="3">
        <v>0.21</v>
      </c>
      <c r="Q1211" s="3">
        <v>581.38</v>
      </c>
      <c r="R1211" s="3">
        <v>0.2</v>
      </c>
      <c r="S1211">
        <v>5</v>
      </c>
      <c r="T1211">
        <v>1027.31</v>
      </c>
      <c r="U1211">
        <v>77</v>
      </c>
      <c r="V1211">
        <v>0</v>
      </c>
      <c r="W1211">
        <v>420.25</v>
      </c>
      <c r="X1211">
        <v>2739.24</v>
      </c>
      <c r="Y1211" t="s">
        <v>36</v>
      </c>
      <c r="Z1211" s="3">
        <v>1844.39</v>
      </c>
      <c r="AA1211" t="s">
        <v>48</v>
      </c>
      <c r="AB1211" t="s">
        <v>33</v>
      </c>
      <c r="AC1211">
        <v>45.8</v>
      </c>
      <c r="AD1211" t="s">
        <v>38</v>
      </c>
      <c r="AE1211">
        <v>0</v>
      </c>
      <c r="AF1211">
        <v>0</v>
      </c>
    </row>
    <row r="1212" spans="3:32" x14ac:dyDescent="0.35">
      <c r="C1212" s="1">
        <v>44186</v>
      </c>
      <c r="D1212" s="2">
        <v>44166</v>
      </c>
      <c r="E1212">
        <v>1020</v>
      </c>
      <c r="F1212" s="3">
        <v>3925.14</v>
      </c>
      <c r="G1212" s="3">
        <v>2896.9</v>
      </c>
      <c r="H1212" s="3">
        <v>1028.24</v>
      </c>
      <c r="I1212" s="3">
        <v>0.74</v>
      </c>
      <c r="J1212">
        <v>0.38</v>
      </c>
      <c r="K1212">
        <v>2980.01</v>
      </c>
      <c r="L1212" t="s">
        <v>35</v>
      </c>
      <c r="M1212">
        <v>807</v>
      </c>
      <c r="N1212">
        <v>0.39</v>
      </c>
      <c r="O1212" s="3">
        <v>706.45</v>
      </c>
      <c r="P1212" s="3">
        <v>0.18</v>
      </c>
      <c r="Q1212" s="3">
        <v>775.73</v>
      </c>
      <c r="R1212" s="3">
        <v>0.2</v>
      </c>
      <c r="S1212">
        <v>1</v>
      </c>
      <c r="T1212">
        <v>1389.52</v>
      </c>
      <c r="U1212">
        <v>37</v>
      </c>
      <c r="V1212">
        <v>0</v>
      </c>
      <c r="W1212">
        <v>315.38</v>
      </c>
      <c r="X1212">
        <v>2335.37</v>
      </c>
      <c r="Y1212" t="s">
        <v>36</v>
      </c>
      <c r="Z1212" s="3">
        <v>1774.67</v>
      </c>
      <c r="AA1212" t="s">
        <v>50</v>
      </c>
      <c r="AB1212" t="s">
        <v>44</v>
      </c>
      <c r="AC1212">
        <v>73</v>
      </c>
      <c r="AD1212" t="s">
        <v>43</v>
      </c>
      <c r="AE1212">
        <v>1028.24</v>
      </c>
      <c r="AF1212">
        <v>0</v>
      </c>
    </row>
    <row r="1213" spans="3:32" x14ac:dyDescent="0.35">
      <c r="C1213" s="1">
        <v>44186</v>
      </c>
      <c r="D1213" s="2">
        <v>44166</v>
      </c>
      <c r="E1213">
        <v>1288</v>
      </c>
      <c r="F1213" s="3">
        <v>4834.54</v>
      </c>
      <c r="G1213" s="3">
        <v>2349.7800000000002</v>
      </c>
      <c r="H1213" s="3">
        <v>2484.7600000000002</v>
      </c>
      <c r="I1213" s="3">
        <v>0.49</v>
      </c>
      <c r="J1213">
        <v>0.17</v>
      </c>
      <c r="K1213">
        <v>3351.42</v>
      </c>
      <c r="L1213" t="s">
        <v>35</v>
      </c>
      <c r="M1213">
        <v>633</v>
      </c>
      <c r="N1213">
        <v>0.4</v>
      </c>
      <c r="O1213" s="3">
        <v>240.92</v>
      </c>
      <c r="P1213" s="3">
        <v>0.05</v>
      </c>
      <c r="Q1213" s="3">
        <v>303.20999999999998</v>
      </c>
      <c r="R1213" s="3">
        <v>0.06</v>
      </c>
      <c r="S1213">
        <v>8</v>
      </c>
      <c r="T1213">
        <v>892.29</v>
      </c>
      <c r="U1213">
        <v>44</v>
      </c>
      <c r="V1213">
        <v>0</v>
      </c>
      <c r="W1213">
        <v>446.5</v>
      </c>
      <c r="X1213">
        <v>1440.51</v>
      </c>
      <c r="Y1213" t="s">
        <v>36</v>
      </c>
      <c r="Z1213" s="3">
        <v>804.26</v>
      </c>
      <c r="AA1213" t="s">
        <v>41</v>
      </c>
      <c r="AB1213" t="s">
        <v>44</v>
      </c>
      <c r="AC1213">
        <v>24.4</v>
      </c>
      <c r="AD1213" t="s">
        <v>34</v>
      </c>
      <c r="AE1213">
        <v>2484.7600000000002</v>
      </c>
      <c r="AF1213">
        <v>0</v>
      </c>
    </row>
    <row r="1214" spans="3:32" x14ac:dyDescent="0.35">
      <c r="C1214" s="1">
        <v>44186</v>
      </c>
      <c r="D1214" s="2">
        <v>44166</v>
      </c>
      <c r="E1214">
        <v>1452</v>
      </c>
      <c r="F1214" s="3">
        <v>2678.07</v>
      </c>
      <c r="G1214" s="3">
        <v>3800.43</v>
      </c>
      <c r="H1214" s="3">
        <v>-1122.3599999999999</v>
      </c>
      <c r="I1214" s="3">
        <v>1.42</v>
      </c>
      <c r="J1214">
        <v>0.2</v>
      </c>
      <c r="K1214">
        <v>2237.88</v>
      </c>
      <c r="L1214" t="s">
        <v>35</v>
      </c>
      <c r="M1214">
        <v>676</v>
      </c>
      <c r="N1214">
        <v>0.27</v>
      </c>
      <c r="O1214" s="3">
        <v>577.38</v>
      </c>
      <c r="P1214" s="3">
        <v>0.22</v>
      </c>
      <c r="Q1214" s="3">
        <v>286.67</v>
      </c>
      <c r="R1214" s="3">
        <v>0.11</v>
      </c>
      <c r="S1214">
        <v>3</v>
      </c>
      <c r="T1214">
        <v>1306.6199999999999</v>
      </c>
      <c r="U1214">
        <v>64</v>
      </c>
      <c r="V1214">
        <v>0</v>
      </c>
      <c r="W1214">
        <v>820.85</v>
      </c>
      <c r="X1214">
        <v>3015.31</v>
      </c>
      <c r="Y1214" t="s">
        <v>36</v>
      </c>
      <c r="Z1214" s="3">
        <v>1304.1099999999999</v>
      </c>
      <c r="AA1214" t="s">
        <v>37</v>
      </c>
      <c r="AB1214" t="s">
        <v>33</v>
      </c>
      <c r="AC1214">
        <v>81</v>
      </c>
      <c r="AD1214" t="s">
        <v>43</v>
      </c>
      <c r="AE1214">
        <v>0</v>
      </c>
      <c r="AF1214">
        <v>0</v>
      </c>
    </row>
    <row r="1215" spans="3:32" x14ac:dyDescent="0.35">
      <c r="C1215" s="1">
        <v>44186</v>
      </c>
      <c r="D1215" s="2">
        <v>44166</v>
      </c>
      <c r="E1215">
        <v>1236</v>
      </c>
      <c r="F1215" s="3">
        <v>3933.04</v>
      </c>
      <c r="G1215" s="3">
        <v>3130.33</v>
      </c>
      <c r="H1215" s="3">
        <v>802.71</v>
      </c>
      <c r="I1215" s="3">
        <v>0.8</v>
      </c>
      <c r="J1215">
        <v>0.11</v>
      </c>
      <c r="K1215">
        <v>3209.52</v>
      </c>
      <c r="L1215" t="s">
        <v>35</v>
      </c>
      <c r="M1215">
        <v>651</v>
      </c>
      <c r="N1215">
        <v>0.56999999999999995</v>
      </c>
      <c r="O1215" s="3">
        <v>481.6</v>
      </c>
      <c r="P1215" s="3">
        <v>0.12</v>
      </c>
      <c r="Q1215" s="3">
        <v>170.11</v>
      </c>
      <c r="R1215" s="3">
        <v>0.04</v>
      </c>
      <c r="S1215">
        <v>4</v>
      </c>
      <c r="T1215">
        <v>0</v>
      </c>
      <c r="U1215">
        <v>87</v>
      </c>
      <c r="V1215">
        <v>0</v>
      </c>
      <c r="W1215">
        <v>801.87</v>
      </c>
      <c r="X1215">
        <v>1000</v>
      </c>
      <c r="Y1215" t="s">
        <v>49</v>
      </c>
      <c r="Z1215" s="3">
        <v>1082</v>
      </c>
      <c r="AA1215" t="s">
        <v>45</v>
      </c>
      <c r="AB1215" t="s">
        <v>44</v>
      </c>
      <c r="AC1215">
        <v>66</v>
      </c>
      <c r="AD1215" t="s">
        <v>34</v>
      </c>
      <c r="AE1215">
        <v>802.71</v>
      </c>
      <c r="AF1215">
        <v>0</v>
      </c>
    </row>
    <row r="1216" spans="3:32" x14ac:dyDescent="0.35">
      <c r="C1216" s="1">
        <v>44186</v>
      </c>
      <c r="D1216" s="2">
        <v>44166</v>
      </c>
      <c r="E1216">
        <v>1404</v>
      </c>
      <c r="F1216" s="3">
        <v>2663.41</v>
      </c>
      <c r="G1216" s="3">
        <v>1965.23</v>
      </c>
      <c r="H1216" s="3">
        <v>698.18</v>
      </c>
      <c r="I1216" s="3">
        <v>0.74</v>
      </c>
      <c r="J1216">
        <v>0.31</v>
      </c>
      <c r="K1216">
        <v>2540.11</v>
      </c>
      <c r="L1216" t="s">
        <v>30</v>
      </c>
      <c r="M1216">
        <v>620</v>
      </c>
      <c r="N1216">
        <v>0.36</v>
      </c>
      <c r="O1216" s="3">
        <v>594.45000000000005</v>
      </c>
      <c r="P1216" s="3">
        <v>0.22</v>
      </c>
      <c r="Q1216" s="3">
        <v>476.33</v>
      </c>
      <c r="R1216" s="3">
        <v>0.18</v>
      </c>
      <c r="S1216">
        <v>9</v>
      </c>
      <c r="T1216">
        <v>1178.1199999999999</v>
      </c>
      <c r="U1216">
        <v>22</v>
      </c>
      <c r="V1216">
        <v>0</v>
      </c>
      <c r="W1216">
        <v>331.06</v>
      </c>
      <c r="X1216">
        <v>2906.19</v>
      </c>
      <c r="Y1216" t="s">
        <v>36</v>
      </c>
      <c r="Z1216" s="3">
        <v>1265.56</v>
      </c>
      <c r="AA1216" t="s">
        <v>48</v>
      </c>
      <c r="AB1216" t="s">
        <v>42</v>
      </c>
      <c r="AC1216">
        <v>90.1</v>
      </c>
      <c r="AD1216" t="s">
        <v>34</v>
      </c>
      <c r="AE1216">
        <v>698.18</v>
      </c>
      <c r="AF1216">
        <v>0</v>
      </c>
    </row>
    <row r="1217" spans="3:32" x14ac:dyDescent="0.35">
      <c r="C1217" s="1">
        <v>44186</v>
      </c>
      <c r="D1217" s="2">
        <v>44166</v>
      </c>
      <c r="E1217">
        <v>1930</v>
      </c>
      <c r="F1217" s="3">
        <v>4316.82</v>
      </c>
      <c r="G1217" s="3">
        <v>3802.62</v>
      </c>
      <c r="H1217" s="3">
        <v>514.20000000000005</v>
      </c>
      <c r="I1217" s="3">
        <v>0.88</v>
      </c>
      <c r="J1217">
        <v>7.0000000000000007E-2</v>
      </c>
      <c r="K1217">
        <v>2675.76</v>
      </c>
      <c r="L1217" t="s">
        <v>35</v>
      </c>
      <c r="M1217">
        <v>787</v>
      </c>
      <c r="N1217">
        <v>0.35</v>
      </c>
      <c r="O1217" s="3">
        <v>257.02</v>
      </c>
      <c r="P1217" s="3">
        <v>0.06</v>
      </c>
      <c r="Q1217" s="3">
        <v>0</v>
      </c>
      <c r="R1217" s="3">
        <v>0</v>
      </c>
      <c r="S1217">
        <v>2</v>
      </c>
      <c r="T1217">
        <v>710.78</v>
      </c>
      <c r="U1217">
        <v>78</v>
      </c>
      <c r="V1217">
        <v>0</v>
      </c>
      <c r="W1217">
        <v>645.39</v>
      </c>
      <c r="X1217">
        <v>1423.93</v>
      </c>
      <c r="Y1217" t="s">
        <v>36</v>
      </c>
      <c r="Z1217" s="3">
        <v>1771.14</v>
      </c>
      <c r="AA1217" t="s">
        <v>45</v>
      </c>
      <c r="AB1217" t="s">
        <v>33</v>
      </c>
      <c r="AC1217">
        <v>62.8</v>
      </c>
      <c r="AD1217" t="s">
        <v>43</v>
      </c>
      <c r="AE1217">
        <v>514.20000000000005</v>
      </c>
      <c r="AF1217">
        <v>0</v>
      </c>
    </row>
    <row r="1218" spans="3:32" x14ac:dyDescent="0.35">
      <c r="C1218" s="1">
        <v>44186</v>
      </c>
      <c r="D1218" s="2">
        <v>44166</v>
      </c>
      <c r="E1218">
        <v>1914</v>
      </c>
      <c r="F1218" s="3">
        <v>6506.77</v>
      </c>
      <c r="G1218" s="3">
        <v>3037.56</v>
      </c>
      <c r="H1218" s="3">
        <v>3469.21</v>
      </c>
      <c r="I1218" s="3">
        <v>0.47</v>
      </c>
      <c r="J1218">
        <v>0.16</v>
      </c>
      <c r="K1218">
        <v>3732.76</v>
      </c>
      <c r="L1218" t="s">
        <v>35</v>
      </c>
      <c r="M1218">
        <v>671</v>
      </c>
      <c r="N1218">
        <v>0.23</v>
      </c>
      <c r="O1218" s="3">
        <v>681.78</v>
      </c>
      <c r="P1218" s="3">
        <v>0.1</v>
      </c>
      <c r="Q1218" s="3">
        <v>143.61000000000001</v>
      </c>
      <c r="R1218" s="3">
        <v>0.02</v>
      </c>
      <c r="S1218">
        <v>4</v>
      </c>
      <c r="T1218">
        <v>1119</v>
      </c>
      <c r="U1218">
        <v>59</v>
      </c>
      <c r="V1218">
        <v>0</v>
      </c>
      <c r="W1218">
        <v>660.88</v>
      </c>
      <c r="X1218">
        <v>3135.65</v>
      </c>
      <c r="Y1218" t="s">
        <v>36</v>
      </c>
      <c r="Z1218" s="3">
        <v>1449.05</v>
      </c>
      <c r="AA1218" t="s">
        <v>32</v>
      </c>
      <c r="AB1218" t="s">
        <v>33</v>
      </c>
      <c r="AC1218">
        <v>62.3</v>
      </c>
      <c r="AD1218" t="s">
        <v>43</v>
      </c>
      <c r="AE1218">
        <v>3469.21</v>
      </c>
      <c r="AF1218">
        <v>0</v>
      </c>
    </row>
    <row r="1219" spans="3:32" x14ac:dyDescent="0.35">
      <c r="C1219" s="1">
        <v>44186</v>
      </c>
      <c r="D1219" s="2">
        <v>44166</v>
      </c>
      <c r="E1219">
        <v>1387</v>
      </c>
      <c r="F1219" s="3">
        <v>4244.8599999999997</v>
      </c>
      <c r="G1219" s="3">
        <v>3184.46</v>
      </c>
      <c r="H1219" s="3">
        <v>1060.4000000000001</v>
      </c>
      <c r="I1219" s="3">
        <v>0.75</v>
      </c>
      <c r="J1219">
        <v>0.28999999999999998</v>
      </c>
      <c r="K1219">
        <v>2181</v>
      </c>
      <c r="L1219" t="s">
        <v>35</v>
      </c>
      <c r="M1219">
        <v>587</v>
      </c>
      <c r="N1219">
        <v>0.32</v>
      </c>
      <c r="O1219" s="3">
        <v>735.04</v>
      </c>
      <c r="P1219" s="3">
        <v>0.17</v>
      </c>
      <c r="Q1219" s="3">
        <v>929.57</v>
      </c>
      <c r="R1219" s="3">
        <v>0.22</v>
      </c>
      <c r="S1219">
        <v>7</v>
      </c>
      <c r="T1219">
        <v>727.61</v>
      </c>
      <c r="U1219">
        <v>81</v>
      </c>
      <c r="V1219">
        <v>0</v>
      </c>
      <c r="W1219">
        <v>158.55000000000001</v>
      </c>
      <c r="X1219">
        <v>1109.3599999999999</v>
      </c>
      <c r="Y1219" t="s">
        <v>36</v>
      </c>
      <c r="Z1219" s="3">
        <v>1236.4100000000001</v>
      </c>
      <c r="AA1219" t="s">
        <v>46</v>
      </c>
      <c r="AB1219" t="s">
        <v>44</v>
      </c>
      <c r="AC1219">
        <v>72.7</v>
      </c>
      <c r="AD1219" t="s">
        <v>38</v>
      </c>
      <c r="AE1219">
        <v>1060.4000000000001</v>
      </c>
      <c r="AF1219">
        <v>0</v>
      </c>
    </row>
    <row r="1220" spans="3:32" x14ac:dyDescent="0.35">
      <c r="C1220" s="1">
        <v>44186</v>
      </c>
      <c r="D1220" s="2">
        <v>44166</v>
      </c>
      <c r="E1220">
        <v>1035</v>
      </c>
      <c r="F1220" s="3">
        <v>2099.6</v>
      </c>
      <c r="G1220" s="3">
        <v>4208.1000000000004</v>
      </c>
      <c r="H1220" s="3">
        <v>-2108.5</v>
      </c>
      <c r="I1220" s="3">
        <v>2</v>
      </c>
      <c r="J1220">
        <v>0.28999999999999998</v>
      </c>
      <c r="K1220">
        <v>4038.47</v>
      </c>
      <c r="L1220" t="s">
        <v>39</v>
      </c>
      <c r="M1220">
        <v>696</v>
      </c>
      <c r="N1220">
        <v>0.42</v>
      </c>
      <c r="O1220" s="3">
        <v>151.13999999999999</v>
      </c>
      <c r="P1220" s="3">
        <v>7.0000000000000007E-2</v>
      </c>
      <c r="Q1220" s="3">
        <v>496.29</v>
      </c>
      <c r="R1220" s="3">
        <v>0.24</v>
      </c>
      <c r="S1220">
        <v>8</v>
      </c>
      <c r="T1220">
        <v>887.49</v>
      </c>
      <c r="U1220">
        <v>54</v>
      </c>
      <c r="V1220">
        <v>0</v>
      </c>
      <c r="W1220">
        <v>621.52</v>
      </c>
      <c r="X1220">
        <v>2255.84</v>
      </c>
      <c r="Y1220" t="s">
        <v>36</v>
      </c>
      <c r="Z1220" s="3">
        <v>917.56</v>
      </c>
      <c r="AA1220" t="s">
        <v>45</v>
      </c>
      <c r="AB1220" t="s">
        <v>33</v>
      </c>
      <c r="AC1220">
        <v>38.4</v>
      </c>
      <c r="AD1220" t="s">
        <v>34</v>
      </c>
      <c r="AE1220">
        <v>0</v>
      </c>
      <c r="AF1220">
        <v>0</v>
      </c>
    </row>
    <row r="1221" spans="3:32" x14ac:dyDescent="0.35">
      <c r="C1221" s="1">
        <v>44186</v>
      </c>
      <c r="D1221" s="2">
        <v>44166</v>
      </c>
      <c r="E1221">
        <v>1617</v>
      </c>
      <c r="F1221" s="3">
        <v>4818.75</v>
      </c>
      <c r="G1221" s="3">
        <v>3073.84</v>
      </c>
      <c r="H1221" s="3">
        <v>1744.91</v>
      </c>
      <c r="I1221" s="3">
        <v>0.64</v>
      </c>
      <c r="J1221">
        <v>0.09</v>
      </c>
      <c r="K1221">
        <v>2721.71</v>
      </c>
      <c r="L1221" t="s">
        <v>35</v>
      </c>
      <c r="M1221">
        <v>647</v>
      </c>
      <c r="N1221">
        <v>0.45</v>
      </c>
      <c r="O1221" s="3">
        <v>667.79</v>
      </c>
      <c r="P1221" s="3">
        <v>0.14000000000000001</v>
      </c>
      <c r="Q1221" s="3">
        <v>555.74</v>
      </c>
      <c r="R1221" s="3">
        <v>0.12</v>
      </c>
      <c r="S1221">
        <v>2</v>
      </c>
      <c r="T1221">
        <v>240.58</v>
      </c>
      <c r="U1221">
        <v>87</v>
      </c>
      <c r="V1221">
        <v>0</v>
      </c>
      <c r="W1221">
        <v>520.94000000000005</v>
      </c>
      <c r="X1221">
        <v>1892.53</v>
      </c>
      <c r="Y1221" t="s">
        <v>36</v>
      </c>
      <c r="Z1221" s="3">
        <v>1632.32</v>
      </c>
      <c r="AA1221" t="s">
        <v>51</v>
      </c>
      <c r="AB1221" t="s">
        <v>42</v>
      </c>
      <c r="AC1221">
        <v>76.8</v>
      </c>
      <c r="AD1221" t="s">
        <v>34</v>
      </c>
      <c r="AE1221">
        <v>1744.91</v>
      </c>
      <c r="AF1221">
        <v>0</v>
      </c>
    </row>
    <row r="1222" spans="3:32" x14ac:dyDescent="0.35">
      <c r="C1222" s="1">
        <v>44186</v>
      </c>
      <c r="D1222" s="2">
        <v>44166</v>
      </c>
      <c r="E1222">
        <v>1473</v>
      </c>
      <c r="F1222" s="3">
        <v>2814.78</v>
      </c>
      <c r="G1222" s="3">
        <v>3013.79</v>
      </c>
      <c r="H1222" s="3">
        <v>-199.01</v>
      </c>
      <c r="I1222" s="3">
        <v>1.07</v>
      </c>
      <c r="J1222">
        <v>0.39</v>
      </c>
      <c r="K1222">
        <v>2956.95</v>
      </c>
      <c r="L1222" t="s">
        <v>35</v>
      </c>
      <c r="M1222">
        <v>625</v>
      </c>
      <c r="N1222">
        <v>0.19</v>
      </c>
      <c r="O1222" s="3">
        <v>386.71</v>
      </c>
      <c r="P1222" s="3">
        <v>0.14000000000000001</v>
      </c>
      <c r="Q1222" s="3">
        <v>690.39</v>
      </c>
      <c r="R1222" s="3">
        <v>0.25</v>
      </c>
      <c r="S1222">
        <v>8</v>
      </c>
      <c r="T1222">
        <v>1457.67</v>
      </c>
      <c r="U1222">
        <v>73</v>
      </c>
      <c r="V1222">
        <v>0</v>
      </c>
      <c r="W1222">
        <v>544.84</v>
      </c>
      <c r="X1222">
        <v>2198.85</v>
      </c>
      <c r="Y1222" t="s">
        <v>31</v>
      </c>
      <c r="Z1222" s="3">
        <v>1362.95</v>
      </c>
      <c r="AA1222" t="s">
        <v>46</v>
      </c>
      <c r="AB1222" t="s">
        <v>44</v>
      </c>
      <c r="AC1222">
        <v>65.3</v>
      </c>
      <c r="AD1222" t="s">
        <v>34</v>
      </c>
      <c r="AE1222">
        <v>0</v>
      </c>
      <c r="AF1222">
        <v>0</v>
      </c>
    </row>
    <row r="1223" spans="3:32" x14ac:dyDescent="0.35">
      <c r="C1223" s="1">
        <v>44186</v>
      </c>
      <c r="D1223" s="2">
        <v>44166</v>
      </c>
      <c r="E1223">
        <v>1783</v>
      </c>
      <c r="F1223" s="3">
        <v>4179.58</v>
      </c>
      <c r="G1223" s="3">
        <v>2029.73</v>
      </c>
      <c r="H1223" s="3">
        <v>2149.85</v>
      </c>
      <c r="I1223" s="3">
        <v>0.49</v>
      </c>
      <c r="J1223">
        <v>0.2</v>
      </c>
      <c r="K1223">
        <v>1756.94</v>
      </c>
      <c r="L1223" t="s">
        <v>35</v>
      </c>
      <c r="M1223">
        <v>577</v>
      </c>
      <c r="N1223">
        <v>0.4</v>
      </c>
      <c r="O1223" s="3">
        <v>172.31</v>
      </c>
      <c r="P1223" s="3">
        <v>0.04</v>
      </c>
      <c r="Q1223" s="3">
        <v>111.84</v>
      </c>
      <c r="R1223" s="3">
        <v>0.03</v>
      </c>
      <c r="S1223">
        <v>8</v>
      </c>
      <c r="T1223">
        <v>180.21</v>
      </c>
      <c r="U1223">
        <v>49</v>
      </c>
      <c r="V1223">
        <v>0</v>
      </c>
      <c r="W1223">
        <v>549.34</v>
      </c>
      <c r="X1223">
        <v>1713.25</v>
      </c>
      <c r="Y1223" t="s">
        <v>36</v>
      </c>
      <c r="Z1223" s="3">
        <v>751.03</v>
      </c>
      <c r="AA1223" t="s">
        <v>41</v>
      </c>
      <c r="AB1223" t="s">
        <v>33</v>
      </c>
      <c r="AC1223">
        <v>48.3</v>
      </c>
      <c r="AD1223" t="s">
        <v>34</v>
      </c>
      <c r="AE1223">
        <v>2149.85</v>
      </c>
      <c r="AF1223">
        <v>1</v>
      </c>
    </row>
    <row r="1224" spans="3:32" x14ac:dyDescent="0.35">
      <c r="C1224" s="1">
        <v>44186</v>
      </c>
      <c r="D1224" s="2">
        <v>44166</v>
      </c>
      <c r="E1224">
        <v>1499</v>
      </c>
      <c r="F1224" s="3">
        <v>4281.58</v>
      </c>
      <c r="G1224" s="3">
        <v>3929.67</v>
      </c>
      <c r="H1224" s="3">
        <v>351.91</v>
      </c>
      <c r="I1224" s="3">
        <v>0.92</v>
      </c>
      <c r="J1224">
        <v>0.09</v>
      </c>
      <c r="K1224">
        <v>2878.47</v>
      </c>
      <c r="L1224" t="s">
        <v>35</v>
      </c>
      <c r="M1224">
        <v>757</v>
      </c>
      <c r="N1224">
        <v>0.56000000000000005</v>
      </c>
      <c r="O1224" s="3">
        <v>593.51</v>
      </c>
      <c r="P1224" s="3">
        <v>0.14000000000000001</v>
      </c>
      <c r="Q1224" s="3">
        <v>171.21</v>
      </c>
      <c r="R1224" s="3">
        <v>0.04</v>
      </c>
      <c r="S1224">
        <v>9</v>
      </c>
      <c r="T1224">
        <v>1202.44</v>
      </c>
      <c r="U1224">
        <v>57</v>
      </c>
      <c r="V1224">
        <v>0</v>
      </c>
      <c r="W1224">
        <v>320.58</v>
      </c>
      <c r="X1224">
        <v>1080.79</v>
      </c>
      <c r="Y1224" t="s">
        <v>49</v>
      </c>
      <c r="Z1224" s="3">
        <v>1314.58</v>
      </c>
      <c r="AA1224" t="s">
        <v>32</v>
      </c>
      <c r="AB1224" t="s">
        <v>44</v>
      </c>
      <c r="AC1224">
        <v>92.4</v>
      </c>
      <c r="AD1224" t="s">
        <v>43</v>
      </c>
      <c r="AE1224">
        <v>351.91</v>
      </c>
      <c r="AF1224">
        <v>0</v>
      </c>
    </row>
    <row r="1225" spans="3:32" x14ac:dyDescent="0.35">
      <c r="C1225" s="1">
        <v>44186</v>
      </c>
      <c r="D1225" s="2">
        <v>44166</v>
      </c>
      <c r="E1225">
        <v>1254</v>
      </c>
      <c r="F1225" s="3">
        <v>3816.33</v>
      </c>
      <c r="G1225" s="3">
        <v>1692.88</v>
      </c>
      <c r="H1225" s="3">
        <v>2123.4499999999998</v>
      </c>
      <c r="I1225" s="3">
        <v>0.44</v>
      </c>
      <c r="J1225">
        <v>0.12</v>
      </c>
      <c r="K1225">
        <v>2657.21</v>
      </c>
      <c r="L1225" t="s">
        <v>35</v>
      </c>
      <c r="M1225">
        <v>764</v>
      </c>
      <c r="N1225">
        <v>0.25</v>
      </c>
      <c r="O1225" s="3">
        <v>398.55</v>
      </c>
      <c r="P1225" s="3">
        <v>0.1</v>
      </c>
      <c r="Q1225" s="3">
        <v>304.45</v>
      </c>
      <c r="R1225" s="3">
        <v>0.08</v>
      </c>
      <c r="S1225">
        <v>6</v>
      </c>
      <c r="T1225">
        <v>1352.36</v>
      </c>
      <c r="U1225">
        <v>80</v>
      </c>
      <c r="V1225">
        <v>0</v>
      </c>
      <c r="W1225">
        <v>666.92</v>
      </c>
      <c r="X1225">
        <v>1896.12</v>
      </c>
      <c r="Y1225" t="s">
        <v>36</v>
      </c>
      <c r="Z1225" s="3">
        <v>1327.35</v>
      </c>
      <c r="AA1225" t="s">
        <v>47</v>
      </c>
      <c r="AB1225" t="s">
        <v>42</v>
      </c>
      <c r="AC1225">
        <v>31</v>
      </c>
      <c r="AD1225" t="s">
        <v>34</v>
      </c>
      <c r="AE1225">
        <v>2123.4499999999998</v>
      </c>
      <c r="AF1225">
        <v>0</v>
      </c>
    </row>
    <row r="1226" spans="3:32" x14ac:dyDescent="0.35">
      <c r="C1226" s="1">
        <v>44186</v>
      </c>
      <c r="D1226" s="2">
        <v>44166</v>
      </c>
      <c r="E1226">
        <v>1683</v>
      </c>
      <c r="F1226" s="3">
        <v>2918.33</v>
      </c>
      <c r="G1226" s="3">
        <v>2854.79</v>
      </c>
      <c r="H1226" s="3">
        <v>63.54</v>
      </c>
      <c r="I1226" s="3">
        <v>0.98</v>
      </c>
      <c r="J1226">
        <v>0.37</v>
      </c>
      <c r="K1226">
        <v>3742.07</v>
      </c>
      <c r="L1226" t="s">
        <v>35</v>
      </c>
      <c r="M1226">
        <v>706</v>
      </c>
      <c r="N1226">
        <v>0.6</v>
      </c>
      <c r="O1226" s="3">
        <v>472.51</v>
      </c>
      <c r="P1226" s="3">
        <v>0.16</v>
      </c>
      <c r="Q1226" s="3">
        <v>712.55</v>
      </c>
      <c r="R1226" s="3">
        <v>0.24</v>
      </c>
      <c r="S1226">
        <v>5</v>
      </c>
      <c r="T1226">
        <v>805.27</v>
      </c>
      <c r="U1226">
        <v>55</v>
      </c>
      <c r="V1226">
        <v>0</v>
      </c>
      <c r="W1226">
        <v>427.28</v>
      </c>
      <c r="X1226">
        <v>2772.46</v>
      </c>
      <c r="Y1226" t="s">
        <v>31</v>
      </c>
      <c r="Z1226" s="3">
        <v>951.27</v>
      </c>
      <c r="AA1226" t="s">
        <v>47</v>
      </c>
      <c r="AB1226" t="s">
        <v>33</v>
      </c>
      <c r="AC1226">
        <v>10.3</v>
      </c>
      <c r="AD1226" t="s">
        <v>34</v>
      </c>
      <c r="AE1226">
        <v>63.54</v>
      </c>
      <c r="AF1226">
        <v>0</v>
      </c>
    </row>
    <row r="1227" spans="3:32" x14ac:dyDescent="0.35">
      <c r="C1227" s="1">
        <v>44186</v>
      </c>
      <c r="D1227" s="2">
        <v>44166</v>
      </c>
      <c r="E1227">
        <v>1086</v>
      </c>
      <c r="F1227" s="3">
        <v>4365.03</v>
      </c>
      <c r="G1227" s="3">
        <v>2724.51</v>
      </c>
      <c r="H1227" s="3">
        <v>1640.52</v>
      </c>
      <c r="I1227" s="3">
        <v>0.62</v>
      </c>
      <c r="J1227">
        <v>0.28999999999999998</v>
      </c>
      <c r="K1227">
        <v>2470.25</v>
      </c>
      <c r="L1227" t="s">
        <v>35</v>
      </c>
      <c r="M1227">
        <v>666</v>
      </c>
      <c r="N1227">
        <v>0.16</v>
      </c>
      <c r="O1227" s="3">
        <v>463.51</v>
      </c>
      <c r="P1227" s="3">
        <v>0.11</v>
      </c>
      <c r="Q1227" s="3">
        <v>310.58999999999997</v>
      </c>
      <c r="R1227" s="3">
        <v>7.0000000000000007E-2</v>
      </c>
      <c r="S1227">
        <v>5</v>
      </c>
      <c r="T1227">
        <v>670.92</v>
      </c>
      <c r="U1227">
        <v>35</v>
      </c>
      <c r="V1227">
        <v>0</v>
      </c>
      <c r="W1227">
        <v>516.07000000000005</v>
      </c>
      <c r="X1227">
        <v>1996.8</v>
      </c>
      <c r="Y1227" t="s">
        <v>49</v>
      </c>
      <c r="Z1227" s="3">
        <v>906.64</v>
      </c>
      <c r="AA1227" t="s">
        <v>50</v>
      </c>
      <c r="AB1227" t="s">
        <v>33</v>
      </c>
      <c r="AC1227">
        <v>15</v>
      </c>
      <c r="AD1227" t="s">
        <v>34</v>
      </c>
      <c r="AE1227">
        <v>1640.52</v>
      </c>
      <c r="AF1227">
        <v>0</v>
      </c>
    </row>
    <row r="1228" spans="3:32" x14ac:dyDescent="0.35">
      <c r="C1228" s="1">
        <v>44186</v>
      </c>
      <c r="D1228" s="2">
        <v>44166</v>
      </c>
      <c r="E1228">
        <v>1545</v>
      </c>
      <c r="F1228" s="3">
        <v>5962.96</v>
      </c>
      <c r="G1228" s="3">
        <v>2471.79</v>
      </c>
      <c r="H1228" s="3">
        <v>3491.17</v>
      </c>
      <c r="I1228" s="3">
        <v>0.41</v>
      </c>
      <c r="J1228">
        <v>0.26</v>
      </c>
      <c r="K1228">
        <v>2885.02</v>
      </c>
      <c r="L1228" t="s">
        <v>30</v>
      </c>
      <c r="M1228">
        <v>734</v>
      </c>
      <c r="N1228">
        <v>0.24</v>
      </c>
      <c r="O1228" s="3">
        <v>774.16</v>
      </c>
      <c r="P1228" s="3">
        <v>0.13</v>
      </c>
      <c r="Q1228" s="3">
        <v>0</v>
      </c>
      <c r="R1228" s="3">
        <v>0</v>
      </c>
      <c r="S1228">
        <v>5</v>
      </c>
      <c r="T1228">
        <v>630.67999999999995</v>
      </c>
      <c r="U1228">
        <v>83</v>
      </c>
      <c r="V1228">
        <v>0</v>
      </c>
      <c r="W1228">
        <v>846.79</v>
      </c>
      <c r="X1228">
        <v>1731.64</v>
      </c>
      <c r="Y1228" t="s">
        <v>36</v>
      </c>
      <c r="Z1228" s="3">
        <v>894.15</v>
      </c>
      <c r="AA1228" t="s">
        <v>46</v>
      </c>
      <c r="AB1228" t="s">
        <v>33</v>
      </c>
      <c r="AC1228">
        <v>71.8</v>
      </c>
      <c r="AD1228" t="s">
        <v>38</v>
      </c>
      <c r="AE1228">
        <v>3491.17</v>
      </c>
      <c r="AF1228">
        <v>1</v>
      </c>
    </row>
    <row r="1229" spans="3:32" x14ac:dyDescent="0.35">
      <c r="C1229" s="1">
        <v>44186</v>
      </c>
      <c r="D1229" s="2">
        <v>44166</v>
      </c>
      <c r="E1229">
        <v>1171</v>
      </c>
      <c r="F1229" s="3">
        <v>4392.22</v>
      </c>
      <c r="G1229" s="3">
        <v>3310.38</v>
      </c>
      <c r="H1229" s="3">
        <v>1081.8399999999999</v>
      </c>
      <c r="I1229" s="3">
        <v>0.75</v>
      </c>
      <c r="J1229">
        <v>0.08</v>
      </c>
      <c r="K1229">
        <v>3118.05</v>
      </c>
      <c r="L1229" t="s">
        <v>30</v>
      </c>
      <c r="M1229">
        <v>688</v>
      </c>
      <c r="N1229">
        <v>0.32</v>
      </c>
      <c r="O1229" s="3">
        <v>317.04000000000002</v>
      </c>
      <c r="P1229" s="3">
        <v>7.0000000000000007E-2</v>
      </c>
      <c r="Q1229" s="3">
        <v>694.36</v>
      </c>
      <c r="R1229" s="3">
        <v>0.16</v>
      </c>
      <c r="S1229">
        <v>9</v>
      </c>
      <c r="T1229">
        <v>951.68</v>
      </c>
      <c r="U1229">
        <v>40</v>
      </c>
      <c r="V1229">
        <v>0</v>
      </c>
      <c r="W1229">
        <v>509.32</v>
      </c>
      <c r="X1229">
        <v>1472.63</v>
      </c>
      <c r="Y1229" t="s">
        <v>36</v>
      </c>
      <c r="Z1229" s="3">
        <v>480.72</v>
      </c>
      <c r="AA1229" t="s">
        <v>50</v>
      </c>
      <c r="AB1229" t="s">
        <v>33</v>
      </c>
      <c r="AC1229">
        <v>72.099999999999994</v>
      </c>
      <c r="AD1229" t="s">
        <v>34</v>
      </c>
      <c r="AE1229">
        <v>1081.8399999999999</v>
      </c>
      <c r="AF1229">
        <v>0</v>
      </c>
    </row>
    <row r="1230" spans="3:32" x14ac:dyDescent="0.35">
      <c r="C1230" s="1">
        <v>44186</v>
      </c>
      <c r="D1230" s="2">
        <v>44166</v>
      </c>
      <c r="E1230">
        <v>1018</v>
      </c>
      <c r="F1230" s="3">
        <v>2813.99</v>
      </c>
      <c r="G1230" s="3">
        <v>4880.4799999999996</v>
      </c>
      <c r="H1230" s="3">
        <v>-2066.4899999999998</v>
      </c>
      <c r="I1230" s="3">
        <v>1.73</v>
      </c>
      <c r="J1230">
        <v>0.38</v>
      </c>
      <c r="K1230">
        <v>2674.59</v>
      </c>
      <c r="L1230" t="s">
        <v>30</v>
      </c>
      <c r="M1230">
        <v>719</v>
      </c>
      <c r="N1230">
        <v>0.56000000000000005</v>
      </c>
      <c r="O1230" s="3">
        <v>708.79</v>
      </c>
      <c r="P1230" s="3">
        <v>0.25</v>
      </c>
      <c r="Q1230" s="3">
        <v>0</v>
      </c>
      <c r="R1230" s="3">
        <v>0</v>
      </c>
      <c r="S1230">
        <v>4</v>
      </c>
      <c r="T1230">
        <v>1634.62</v>
      </c>
      <c r="U1230">
        <v>49</v>
      </c>
      <c r="V1230">
        <v>0</v>
      </c>
      <c r="W1230">
        <v>378.78</v>
      </c>
      <c r="X1230">
        <v>1724.99</v>
      </c>
      <c r="Y1230" t="s">
        <v>36</v>
      </c>
      <c r="Z1230" s="3">
        <v>927.52</v>
      </c>
      <c r="AA1230" t="s">
        <v>41</v>
      </c>
      <c r="AB1230" t="s">
        <v>33</v>
      </c>
      <c r="AC1230">
        <v>15.1</v>
      </c>
      <c r="AD1230" t="s">
        <v>38</v>
      </c>
      <c r="AE1230">
        <v>0</v>
      </c>
      <c r="AF1230">
        <v>0</v>
      </c>
    </row>
    <row r="1231" spans="3:32" x14ac:dyDescent="0.35">
      <c r="C1231" s="1">
        <v>44186</v>
      </c>
      <c r="D1231" s="2">
        <v>44166</v>
      </c>
      <c r="E1231">
        <v>1922</v>
      </c>
      <c r="F1231" s="3">
        <v>4979.17</v>
      </c>
      <c r="G1231" s="3">
        <v>1483.44</v>
      </c>
      <c r="H1231" s="3">
        <v>3495.73</v>
      </c>
      <c r="I1231" s="3">
        <v>0.3</v>
      </c>
      <c r="J1231">
        <v>0.26</v>
      </c>
      <c r="K1231">
        <v>2324.15</v>
      </c>
      <c r="L1231" t="s">
        <v>39</v>
      </c>
      <c r="M1231">
        <v>707</v>
      </c>
      <c r="N1231">
        <v>0.19</v>
      </c>
      <c r="O1231" s="3">
        <v>689.15</v>
      </c>
      <c r="P1231" s="3">
        <v>0.14000000000000001</v>
      </c>
      <c r="Q1231" s="3">
        <v>392.05</v>
      </c>
      <c r="R1231" s="3">
        <v>0.08</v>
      </c>
      <c r="S1231">
        <v>5</v>
      </c>
      <c r="T1231">
        <v>462.23</v>
      </c>
      <c r="U1231">
        <v>24</v>
      </c>
      <c r="V1231">
        <v>0</v>
      </c>
      <c r="W1231">
        <v>601.34</v>
      </c>
      <c r="X1231">
        <v>1123.95</v>
      </c>
      <c r="Y1231" t="s">
        <v>31</v>
      </c>
      <c r="Z1231" s="3">
        <v>1063.24</v>
      </c>
      <c r="AA1231" t="s">
        <v>46</v>
      </c>
      <c r="AB1231" t="s">
        <v>44</v>
      </c>
      <c r="AC1231">
        <v>8</v>
      </c>
      <c r="AD1231" t="s">
        <v>43</v>
      </c>
      <c r="AE1231">
        <v>3495.73</v>
      </c>
      <c r="AF1231">
        <v>1</v>
      </c>
    </row>
    <row r="1232" spans="3:32" x14ac:dyDescent="0.35">
      <c r="C1232" s="1">
        <v>44186</v>
      </c>
      <c r="D1232" s="2">
        <v>44166</v>
      </c>
      <c r="E1232">
        <v>1668</v>
      </c>
      <c r="F1232" s="3">
        <v>4648.2299999999996</v>
      </c>
      <c r="G1232" s="3">
        <v>2990.2</v>
      </c>
      <c r="H1232" s="3">
        <v>1658.03</v>
      </c>
      <c r="I1232" s="3">
        <v>0.64</v>
      </c>
      <c r="J1232">
        <v>0.12</v>
      </c>
      <c r="K1232">
        <v>3037.35</v>
      </c>
      <c r="L1232" t="s">
        <v>39</v>
      </c>
      <c r="M1232">
        <v>634</v>
      </c>
      <c r="N1232">
        <v>0.27</v>
      </c>
      <c r="O1232" s="3">
        <v>600.86</v>
      </c>
      <c r="P1232" s="3">
        <v>0.13</v>
      </c>
      <c r="Q1232" s="3">
        <v>332.06</v>
      </c>
      <c r="R1232" s="3">
        <v>7.0000000000000007E-2</v>
      </c>
      <c r="S1232">
        <v>5</v>
      </c>
      <c r="T1232">
        <v>855.97</v>
      </c>
      <c r="U1232">
        <v>80</v>
      </c>
      <c r="V1232">
        <v>0</v>
      </c>
      <c r="W1232">
        <v>627.91</v>
      </c>
      <c r="X1232">
        <v>1308.18</v>
      </c>
      <c r="Y1232" t="s">
        <v>36</v>
      </c>
      <c r="Z1232" s="3">
        <v>1771.82</v>
      </c>
      <c r="AA1232" t="s">
        <v>41</v>
      </c>
      <c r="AB1232" t="s">
        <v>42</v>
      </c>
      <c r="AC1232">
        <v>63.9</v>
      </c>
      <c r="AD1232" t="s">
        <v>34</v>
      </c>
      <c r="AE1232">
        <v>1658.03</v>
      </c>
      <c r="AF1232">
        <v>0</v>
      </c>
    </row>
    <row r="1233" spans="3:32" x14ac:dyDescent="0.35">
      <c r="C1233" s="1">
        <v>44186</v>
      </c>
      <c r="D1233" s="2">
        <v>44166</v>
      </c>
      <c r="E1233">
        <v>1829</v>
      </c>
      <c r="F1233" s="3">
        <v>1452.07</v>
      </c>
      <c r="G1233" s="3">
        <v>3122.66</v>
      </c>
      <c r="H1233" s="3">
        <v>-1670.59</v>
      </c>
      <c r="I1233" s="3">
        <v>2.15</v>
      </c>
      <c r="J1233">
        <v>0.27</v>
      </c>
      <c r="K1233">
        <v>2931.08</v>
      </c>
      <c r="L1233" t="s">
        <v>35</v>
      </c>
      <c r="M1233">
        <v>731</v>
      </c>
      <c r="N1233">
        <v>0.31</v>
      </c>
      <c r="O1233" s="3">
        <v>529.84</v>
      </c>
      <c r="P1233" s="3">
        <v>0.36</v>
      </c>
      <c r="Q1233" s="3">
        <v>914.68</v>
      </c>
      <c r="R1233" s="3">
        <v>0.63</v>
      </c>
      <c r="S1233">
        <v>5</v>
      </c>
      <c r="T1233">
        <v>1128</v>
      </c>
      <c r="U1233">
        <v>24</v>
      </c>
      <c r="V1233">
        <v>0</v>
      </c>
      <c r="W1233">
        <v>338.17</v>
      </c>
      <c r="X1233">
        <v>2291.4899999999998</v>
      </c>
      <c r="Y1233" t="s">
        <v>36</v>
      </c>
      <c r="Z1233" s="3">
        <v>1110.77</v>
      </c>
      <c r="AA1233" t="s">
        <v>41</v>
      </c>
      <c r="AB1233" t="s">
        <v>42</v>
      </c>
      <c r="AC1233">
        <v>93.9</v>
      </c>
      <c r="AD1233" t="s">
        <v>43</v>
      </c>
      <c r="AE1233">
        <v>0</v>
      </c>
      <c r="AF1233">
        <v>0</v>
      </c>
    </row>
    <row r="1234" spans="3:32" x14ac:dyDescent="0.35">
      <c r="C1234" s="1">
        <v>44186</v>
      </c>
      <c r="D1234" s="2">
        <v>44166</v>
      </c>
      <c r="E1234">
        <v>1701</v>
      </c>
      <c r="F1234" s="3">
        <v>4649.62</v>
      </c>
      <c r="G1234" s="3">
        <v>3809.51</v>
      </c>
      <c r="H1234" s="3">
        <v>840.11</v>
      </c>
      <c r="I1234" s="3">
        <v>0.82</v>
      </c>
      <c r="J1234">
        <v>0.27</v>
      </c>
      <c r="K1234">
        <v>2791.13</v>
      </c>
      <c r="L1234" t="s">
        <v>35</v>
      </c>
      <c r="M1234">
        <v>655</v>
      </c>
      <c r="N1234">
        <v>0.25</v>
      </c>
      <c r="O1234" s="3">
        <v>418.19</v>
      </c>
      <c r="P1234" s="3">
        <v>0.09</v>
      </c>
      <c r="Q1234" s="3">
        <v>283.92</v>
      </c>
      <c r="R1234" s="3">
        <v>0.06</v>
      </c>
      <c r="S1234">
        <v>3</v>
      </c>
      <c r="T1234">
        <v>1569.4</v>
      </c>
      <c r="U1234">
        <v>37</v>
      </c>
      <c r="V1234">
        <v>0</v>
      </c>
      <c r="W1234">
        <v>222.83</v>
      </c>
      <c r="X1234">
        <v>2384.92</v>
      </c>
      <c r="Y1234" t="s">
        <v>36</v>
      </c>
      <c r="Z1234" s="3">
        <v>1426.2</v>
      </c>
      <c r="AA1234" t="s">
        <v>32</v>
      </c>
      <c r="AB1234" t="s">
        <v>42</v>
      </c>
      <c r="AC1234">
        <v>93.8</v>
      </c>
      <c r="AD1234" t="s">
        <v>34</v>
      </c>
      <c r="AE1234">
        <v>840.11</v>
      </c>
      <c r="AF1234">
        <v>0</v>
      </c>
    </row>
    <row r="1235" spans="3:32" x14ac:dyDescent="0.35">
      <c r="C1235" s="1">
        <v>44186</v>
      </c>
      <c r="D1235" s="2">
        <v>44166</v>
      </c>
      <c r="E1235">
        <v>1027</v>
      </c>
      <c r="F1235" s="3">
        <v>2492.2800000000002</v>
      </c>
      <c r="G1235" s="3">
        <v>1923.78</v>
      </c>
      <c r="H1235" s="3">
        <v>568.5</v>
      </c>
      <c r="I1235" s="3">
        <v>0.77</v>
      </c>
      <c r="J1235">
        <v>0.06</v>
      </c>
      <c r="K1235">
        <v>2018.49</v>
      </c>
      <c r="L1235" t="s">
        <v>35</v>
      </c>
      <c r="M1235">
        <v>721</v>
      </c>
      <c r="N1235">
        <v>0.54</v>
      </c>
      <c r="O1235" s="3">
        <v>605.59</v>
      </c>
      <c r="P1235" s="3">
        <v>0.24</v>
      </c>
      <c r="Q1235" s="3">
        <v>499.82</v>
      </c>
      <c r="R1235" s="3">
        <v>0.2</v>
      </c>
      <c r="S1235">
        <v>4</v>
      </c>
      <c r="T1235">
        <v>1046.8599999999999</v>
      </c>
      <c r="U1235">
        <v>73</v>
      </c>
      <c r="V1235">
        <v>0</v>
      </c>
      <c r="W1235">
        <v>334.72</v>
      </c>
      <c r="X1235">
        <v>2508.13</v>
      </c>
      <c r="Y1235" t="s">
        <v>49</v>
      </c>
      <c r="Z1235" s="3">
        <v>1288.7</v>
      </c>
      <c r="AA1235" t="s">
        <v>37</v>
      </c>
      <c r="AB1235" t="s">
        <v>44</v>
      </c>
      <c r="AC1235">
        <v>12.1</v>
      </c>
      <c r="AD1235" t="s">
        <v>34</v>
      </c>
      <c r="AE1235">
        <v>568.5</v>
      </c>
      <c r="AF1235">
        <v>0</v>
      </c>
    </row>
    <row r="1236" spans="3:32" x14ac:dyDescent="0.35">
      <c r="C1236" s="1">
        <v>44186</v>
      </c>
      <c r="D1236" s="2">
        <v>44166</v>
      </c>
      <c r="E1236">
        <v>1270</v>
      </c>
      <c r="F1236" s="3">
        <v>2979.88</v>
      </c>
      <c r="G1236" s="3">
        <v>3909.91</v>
      </c>
      <c r="H1236" s="3">
        <v>-930.03</v>
      </c>
      <c r="I1236" s="3">
        <v>1.31</v>
      </c>
      <c r="J1236">
        <v>0.28000000000000003</v>
      </c>
      <c r="K1236">
        <v>2656.08</v>
      </c>
      <c r="L1236" t="s">
        <v>30</v>
      </c>
      <c r="M1236">
        <v>672</v>
      </c>
      <c r="N1236">
        <v>0.14000000000000001</v>
      </c>
      <c r="O1236" s="3">
        <v>235.1</v>
      </c>
      <c r="P1236" s="3">
        <v>0.08</v>
      </c>
      <c r="Q1236" s="3">
        <v>361.66</v>
      </c>
      <c r="R1236" s="3">
        <v>0.12</v>
      </c>
      <c r="S1236">
        <v>9</v>
      </c>
      <c r="T1236">
        <v>964.01</v>
      </c>
      <c r="U1236">
        <v>61</v>
      </c>
      <c r="V1236">
        <v>0</v>
      </c>
      <c r="W1236">
        <v>413.18</v>
      </c>
      <c r="X1236">
        <v>2763.88</v>
      </c>
      <c r="Y1236" t="s">
        <v>36</v>
      </c>
      <c r="Z1236" s="3">
        <v>1962.12</v>
      </c>
      <c r="AA1236" t="s">
        <v>32</v>
      </c>
      <c r="AB1236" t="s">
        <v>42</v>
      </c>
      <c r="AC1236">
        <v>97.7</v>
      </c>
      <c r="AD1236" t="s">
        <v>34</v>
      </c>
      <c r="AE1236">
        <v>0</v>
      </c>
      <c r="AF1236">
        <v>0</v>
      </c>
    </row>
    <row r="1237" spans="3:32" x14ac:dyDescent="0.35">
      <c r="C1237" s="1">
        <v>44186</v>
      </c>
      <c r="D1237" s="2">
        <v>44166</v>
      </c>
      <c r="E1237">
        <v>1408</v>
      </c>
      <c r="F1237" s="3">
        <v>3950.15</v>
      </c>
      <c r="G1237" s="3">
        <v>1997.49</v>
      </c>
      <c r="H1237" s="3">
        <v>1952.66</v>
      </c>
      <c r="I1237" s="3">
        <v>0.51</v>
      </c>
      <c r="J1237">
        <v>0.24</v>
      </c>
      <c r="K1237">
        <v>2281.96</v>
      </c>
      <c r="L1237" t="s">
        <v>30</v>
      </c>
      <c r="M1237">
        <v>744</v>
      </c>
      <c r="N1237">
        <v>0.42</v>
      </c>
      <c r="O1237" s="3">
        <v>651.98</v>
      </c>
      <c r="P1237" s="3">
        <v>0.17</v>
      </c>
      <c r="Q1237" s="3">
        <v>166.56</v>
      </c>
      <c r="R1237" s="3">
        <v>0.04</v>
      </c>
      <c r="S1237">
        <v>4</v>
      </c>
      <c r="T1237">
        <v>1080.81</v>
      </c>
      <c r="U1237">
        <v>77</v>
      </c>
      <c r="V1237">
        <v>0</v>
      </c>
      <c r="W1237">
        <v>597.76</v>
      </c>
      <c r="X1237">
        <v>1393.77</v>
      </c>
      <c r="Y1237" t="s">
        <v>36</v>
      </c>
      <c r="Z1237" s="3">
        <v>721.81</v>
      </c>
      <c r="AA1237" t="s">
        <v>37</v>
      </c>
      <c r="AB1237" t="s">
        <v>33</v>
      </c>
      <c r="AC1237">
        <v>72.8</v>
      </c>
      <c r="AD1237" t="s">
        <v>38</v>
      </c>
      <c r="AE1237">
        <v>1952.66</v>
      </c>
      <c r="AF1237">
        <v>0</v>
      </c>
    </row>
    <row r="1238" spans="3:32" x14ac:dyDescent="0.35">
      <c r="C1238" s="1">
        <v>44186</v>
      </c>
      <c r="D1238" s="2">
        <v>44166</v>
      </c>
      <c r="E1238">
        <v>1370</v>
      </c>
      <c r="F1238" s="3">
        <v>5054.55</v>
      </c>
      <c r="G1238" s="3">
        <v>2205.4299999999998</v>
      </c>
      <c r="H1238" s="3">
        <v>2849.12</v>
      </c>
      <c r="I1238" s="3">
        <v>0.44</v>
      </c>
      <c r="J1238">
        <v>0.08</v>
      </c>
      <c r="K1238">
        <v>3332.75</v>
      </c>
      <c r="L1238" t="s">
        <v>39</v>
      </c>
      <c r="M1238">
        <v>634</v>
      </c>
      <c r="N1238">
        <v>0.12</v>
      </c>
      <c r="O1238" s="3">
        <v>341.63</v>
      </c>
      <c r="P1238" s="3">
        <v>7.0000000000000007E-2</v>
      </c>
      <c r="Q1238" s="3">
        <v>164.23</v>
      </c>
      <c r="R1238" s="3">
        <v>0.03</v>
      </c>
      <c r="S1238">
        <v>4</v>
      </c>
      <c r="T1238">
        <v>1155.6500000000001</v>
      </c>
      <c r="U1238">
        <v>68</v>
      </c>
      <c r="V1238">
        <v>0</v>
      </c>
      <c r="W1238">
        <v>473.92</v>
      </c>
      <c r="X1238">
        <v>2618.71</v>
      </c>
      <c r="Y1238" t="s">
        <v>49</v>
      </c>
      <c r="Z1238" s="3">
        <v>1801.56</v>
      </c>
      <c r="AA1238" t="s">
        <v>46</v>
      </c>
      <c r="AB1238" t="s">
        <v>42</v>
      </c>
      <c r="AC1238">
        <v>72.400000000000006</v>
      </c>
      <c r="AD1238" t="s">
        <v>34</v>
      </c>
      <c r="AE1238">
        <v>2849.12</v>
      </c>
      <c r="AF1238">
        <v>0</v>
      </c>
    </row>
    <row r="1239" spans="3:32" x14ac:dyDescent="0.35">
      <c r="C1239" s="1">
        <v>44186</v>
      </c>
      <c r="D1239" s="2">
        <v>44166</v>
      </c>
      <c r="E1239">
        <v>1556</v>
      </c>
      <c r="F1239" s="3">
        <v>4065.92</v>
      </c>
      <c r="G1239" s="3">
        <v>3003.18</v>
      </c>
      <c r="H1239" s="3">
        <v>1062.74</v>
      </c>
      <c r="I1239" s="3">
        <v>0.74</v>
      </c>
      <c r="J1239">
        <v>0.35</v>
      </c>
      <c r="K1239">
        <v>3100.27</v>
      </c>
      <c r="L1239" t="s">
        <v>35</v>
      </c>
      <c r="M1239">
        <v>683</v>
      </c>
      <c r="N1239">
        <v>0.44</v>
      </c>
      <c r="O1239" s="3">
        <v>338.35</v>
      </c>
      <c r="P1239" s="3">
        <v>0.08</v>
      </c>
      <c r="Q1239" s="3">
        <v>372.94</v>
      </c>
      <c r="R1239" s="3">
        <v>0.09</v>
      </c>
      <c r="S1239">
        <v>5</v>
      </c>
      <c r="T1239">
        <v>256.55</v>
      </c>
      <c r="U1239">
        <v>59</v>
      </c>
      <c r="V1239">
        <v>0</v>
      </c>
      <c r="W1239">
        <v>512.45000000000005</v>
      </c>
      <c r="X1239">
        <v>2665.7</v>
      </c>
      <c r="Y1239" t="s">
        <v>36</v>
      </c>
      <c r="Z1239" s="3">
        <v>300</v>
      </c>
      <c r="AA1239" t="s">
        <v>37</v>
      </c>
      <c r="AB1239" t="s">
        <v>33</v>
      </c>
      <c r="AC1239">
        <v>80</v>
      </c>
      <c r="AD1239" t="s">
        <v>38</v>
      </c>
      <c r="AE1239">
        <v>1062.74</v>
      </c>
      <c r="AF1239">
        <v>0</v>
      </c>
    </row>
    <row r="1240" spans="3:32" x14ac:dyDescent="0.35">
      <c r="C1240" s="1">
        <v>44186</v>
      </c>
      <c r="D1240" s="2">
        <v>44166</v>
      </c>
      <c r="E1240">
        <v>1802</v>
      </c>
      <c r="F1240" s="3">
        <v>5106.2700000000004</v>
      </c>
      <c r="G1240" s="3">
        <v>1807.26</v>
      </c>
      <c r="H1240" s="3">
        <v>3299.01</v>
      </c>
      <c r="I1240" s="3">
        <v>0.35</v>
      </c>
      <c r="J1240">
        <v>0.17</v>
      </c>
      <c r="K1240">
        <v>3833.62</v>
      </c>
      <c r="L1240" t="s">
        <v>35</v>
      </c>
      <c r="M1240">
        <v>679</v>
      </c>
      <c r="N1240">
        <v>0.14000000000000001</v>
      </c>
      <c r="O1240" s="3">
        <v>831.4</v>
      </c>
      <c r="P1240" s="3">
        <v>0.16</v>
      </c>
      <c r="Q1240" s="3">
        <v>726.62</v>
      </c>
      <c r="R1240" s="3">
        <v>0.14000000000000001</v>
      </c>
      <c r="S1240">
        <v>7</v>
      </c>
      <c r="T1240">
        <v>1277.3699999999999</v>
      </c>
      <c r="U1240">
        <v>88</v>
      </c>
      <c r="V1240">
        <v>0</v>
      </c>
      <c r="W1240">
        <v>284.45</v>
      </c>
      <c r="X1240">
        <v>2085.65</v>
      </c>
      <c r="Y1240" t="s">
        <v>36</v>
      </c>
      <c r="Z1240" s="3">
        <v>951.69</v>
      </c>
      <c r="AA1240" t="s">
        <v>50</v>
      </c>
      <c r="AB1240" t="s">
        <v>44</v>
      </c>
      <c r="AC1240">
        <v>90.7</v>
      </c>
      <c r="AD1240" t="s">
        <v>38</v>
      </c>
      <c r="AE1240">
        <v>3299.01</v>
      </c>
      <c r="AF1240">
        <v>0</v>
      </c>
    </row>
    <row r="1241" spans="3:32" x14ac:dyDescent="0.35">
      <c r="C1241" s="1">
        <v>44186</v>
      </c>
      <c r="D1241" s="2">
        <v>44166</v>
      </c>
      <c r="E1241">
        <v>1635</v>
      </c>
      <c r="F1241" s="3">
        <v>2330.6999999999998</v>
      </c>
      <c r="G1241" s="3">
        <v>3520.19</v>
      </c>
      <c r="H1241" s="3">
        <v>-1189.49</v>
      </c>
      <c r="I1241" s="3">
        <v>1.51</v>
      </c>
      <c r="J1241">
        <v>0.31</v>
      </c>
      <c r="K1241">
        <v>2233.94</v>
      </c>
      <c r="L1241" t="s">
        <v>39</v>
      </c>
      <c r="M1241">
        <v>679</v>
      </c>
      <c r="N1241">
        <v>0.3</v>
      </c>
      <c r="O1241" s="3">
        <v>462.89</v>
      </c>
      <c r="P1241" s="3">
        <v>0.2</v>
      </c>
      <c r="Q1241" s="3">
        <v>107.15</v>
      </c>
      <c r="R1241" s="3">
        <v>0.05</v>
      </c>
      <c r="S1241">
        <v>8</v>
      </c>
      <c r="T1241">
        <v>1328.5</v>
      </c>
      <c r="U1241">
        <v>79</v>
      </c>
      <c r="V1241">
        <v>0</v>
      </c>
      <c r="W1241">
        <v>418.68</v>
      </c>
      <c r="X1241">
        <v>3027.58</v>
      </c>
      <c r="Y1241" t="s">
        <v>31</v>
      </c>
      <c r="Z1241" s="3">
        <v>1330</v>
      </c>
      <c r="AA1241" t="s">
        <v>45</v>
      </c>
      <c r="AB1241" t="s">
        <v>33</v>
      </c>
      <c r="AC1241">
        <v>26.3</v>
      </c>
      <c r="AD1241" t="s">
        <v>38</v>
      </c>
      <c r="AE1241">
        <v>0</v>
      </c>
      <c r="AF1241">
        <v>0</v>
      </c>
    </row>
    <row r="1242" spans="3:32" x14ac:dyDescent="0.35">
      <c r="C1242" s="1">
        <v>44186</v>
      </c>
      <c r="D1242" s="2">
        <v>44166</v>
      </c>
      <c r="E1242">
        <v>1438</v>
      </c>
      <c r="F1242" s="3">
        <v>4411.62</v>
      </c>
      <c r="G1242" s="3">
        <v>3391.53</v>
      </c>
      <c r="H1242" s="3">
        <v>1020.09</v>
      </c>
      <c r="I1242" s="3">
        <v>0.77</v>
      </c>
      <c r="J1242">
        <v>0.27</v>
      </c>
      <c r="K1242">
        <v>2610.46</v>
      </c>
      <c r="L1242" t="s">
        <v>35</v>
      </c>
      <c r="M1242">
        <v>750</v>
      </c>
      <c r="N1242">
        <v>0.22</v>
      </c>
      <c r="O1242" s="3">
        <v>735.89</v>
      </c>
      <c r="P1242" s="3">
        <v>0.17</v>
      </c>
      <c r="Q1242" s="3">
        <v>240.63</v>
      </c>
      <c r="R1242" s="3">
        <v>0.05</v>
      </c>
      <c r="S1242">
        <v>6</v>
      </c>
      <c r="T1242">
        <v>814.07</v>
      </c>
      <c r="U1242">
        <v>64</v>
      </c>
      <c r="V1242">
        <v>0</v>
      </c>
      <c r="W1242">
        <v>366.84</v>
      </c>
      <c r="X1242">
        <v>2363.35</v>
      </c>
      <c r="Y1242" t="s">
        <v>36</v>
      </c>
      <c r="Z1242" s="3">
        <v>1093.08</v>
      </c>
      <c r="AA1242" t="s">
        <v>37</v>
      </c>
      <c r="AB1242" t="s">
        <v>33</v>
      </c>
      <c r="AC1242">
        <v>75.5</v>
      </c>
      <c r="AD1242" t="s">
        <v>34</v>
      </c>
      <c r="AE1242">
        <v>1020.09</v>
      </c>
      <c r="AF1242">
        <v>0</v>
      </c>
    </row>
    <row r="1243" spans="3:32" x14ac:dyDescent="0.35">
      <c r="C1243" s="1">
        <v>44186</v>
      </c>
      <c r="D1243" s="2">
        <v>44166</v>
      </c>
      <c r="E1243">
        <v>1461</v>
      </c>
      <c r="F1243" s="3">
        <v>2220.0500000000002</v>
      </c>
      <c r="G1243" s="3">
        <v>2819.01</v>
      </c>
      <c r="H1243" s="3">
        <v>-598.96</v>
      </c>
      <c r="I1243" s="3">
        <v>1.27</v>
      </c>
      <c r="J1243">
        <v>0.37</v>
      </c>
      <c r="K1243">
        <v>3538.14</v>
      </c>
      <c r="L1243" t="s">
        <v>30</v>
      </c>
      <c r="M1243">
        <v>620</v>
      </c>
      <c r="N1243">
        <v>0.18</v>
      </c>
      <c r="O1243" s="3">
        <v>226.85</v>
      </c>
      <c r="P1243" s="3">
        <v>0.1</v>
      </c>
      <c r="Q1243" s="3">
        <v>229.59</v>
      </c>
      <c r="R1243" s="3">
        <v>0.1</v>
      </c>
      <c r="S1243">
        <v>3</v>
      </c>
      <c r="T1243">
        <v>1642.28</v>
      </c>
      <c r="U1243">
        <v>62</v>
      </c>
      <c r="V1243">
        <v>0</v>
      </c>
      <c r="W1243">
        <v>149.71</v>
      </c>
      <c r="X1243">
        <v>1624.4</v>
      </c>
      <c r="Y1243" t="s">
        <v>36</v>
      </c>
      <c r="Z1243" s="3">
        <v>1559.45</v>
      </c>
      <c r="AA1243" t="s">
        <v>50</v>
      </c>
      <c r="AB1243" t="s">
        <v>33</v>
      </c>
      <c r="AC1243">
        <v>78.099999999999994</v>
      </c>
      <c r="AD1243" t="s">
        <v>34</v>
      </c>
      <c r="AE1243">
        <v>0</v>
      </c>
      <c r="AF1243">
        <v>0</v>
      </c>
    </row>
    <row r="1244" spans="3:32" x14ac:dyDescent="0.35">
      <c r="C1244" s="1">
        <v>44186</v>
      </c>
      <c r="D1244" s="2">
        <v>44166</v>
      </c>
      <c r="E1244">
        <v>1294</v>
      </c>
      <c r="F1244" s="3">
        <v>3248.23</v>
      </c>
      <c r="G1244" s="3">
        <v>2204.0100000000002</v>
      </c>
      <c r="H1244" s="3">
        <v>1044.22</v>
      </c>
      <c r="I1244" s="3">
        <v>0.68</v>
      </c>
      <c r="J1244">
        <v>0.16</v>
      </c>
      <c r="K1244">
        <v>2452.6</v>
      </c>
      <c r="L1244" t="s">
        <v>35</v>
      </c>
      <c r="M1244">
        <v>773</v>
      </c>
      <c r="N1244">
        <v>0.38</v>
      </c>
      <c r="O1244" s="3">
        <v>350.46</v>
      </c>
      <c r="P1244" s="3">
        <v>0.11</v>
      </c>
      <c r="Q1244" s="3">
        <v>257.38</v>
      </c>
      <c r="R1244" s="3">
        <v>0.08</v>
      </c>
      <c r="S1244">
        <v>9</v>
      </c>
      <c r="T1244">
        <v>971.13</v>
      </c>
      <c r="U1244">
        <v>41</v>
      </c>
      <c r="V1244">
        <v>0</v>
      </c>
      <c r="W1244">
        <v>198.69</v>
      </c>
      <c r="X1244">
        <v>1887.39</v>
      </c>
      <c r="Y1244" t="s">
        <v>36</v>
      </c>
      <c r="Z1244" s="3">
        <v>1240.8800000000001</v>
      </c>
      <c r="AA1244" t="s">
        <v>41</v>
      </c>
      <c r="AB1244" t="s">
        <v>33</v>
      </c>
      <c r="AC1244">
        <v>95.4</v>
      </c>
      <c r="AD1244" t="s">
        <v>43</v>
      </c>
      <c r="AE1244">
        <v>1044.22</v>
      </c>
      <c r="AF1244">
        <v>0</v>
      </c>
    </row>
    <row r="1245" spans="3:32" x14ac:dyDescent="0.35">
      <c r="C1245" s="1">
        <v>44186</v>
      </c>
      <c r="D1245" s="2">
        <v>44166</v>
      </c>
      <c r="E1245">
        <v>1943</v>
      </c>
      <c r="F1245" s="3">
        <v>2406.7199999999998</v>
      </c>
      <c r="G1245" s="3">
        <v>2468.81</v>
      </c>
      <c r="H1245" s="3">
        <v>-62.09</v>
      </c>
      <c r="I1245" s="3">
        <v>1.03</v>
      </c>
      <c r="J1245">
        <v>0.32</v>
      </c>
      <c r="K1245">
        <v>2786.92</v>
      </c>
      <c r="L1245" t="s">
        <v>30</v>
      </c>
      <c r="M1245">
        <v>591</v>
      </c>
      <c r="N1245">
        <v>0.37</v>
      </c>
      <c r="O1245" s="3">
        <v>588.35</v>
      </c>
      <c r="P1245" s="3">
        <v>0.24</v>
      </c>
      <c r="Q1245" s="3">
        <v>464.21</v>
      </c>
      <c r="R1245" s="3">
        <v>0.19</v>
      </c>
      <c r="S1245">
        <v>6</v>
      </c>
      <c r="T1245">
        <v>985.78</v>
      </c>
      <c r="U1245">
        <v>31</v>
      </c>
      <c r="V1245">
        <v>0</v>
      </c>
      <c r="W1245">
        <v>405.85</v>
      </c>
      <c r="X1245">
        <v>1989.75</v>
      </c>
      <c r="Y1245" t="s">
        <v>36</v>
      </c>
      <c r="Z1245" s="3">
        <v>1227.94</v>
      </c>
      <c r="AA1245" t="s">
        <v>50</v>
      </c>
      <c r="AB1245" t="s">
        <v>42</v>
      </c>
      <c r="AC1245">
        <v>0.2</v>
      </c>
      <c r="AD1245" t="s">
        <v>34</v>
      </c>
      <c r="AE1245">
        <v>0</v>
      </c>
      <c r="AF1245">
        <v>0</v>
      </c>
    </row>
    <row r="1246" spans="3:32" x14ac:dyDescent="0.35">
      <c r="C1246" s="1">
        <v>44186</v>
      </c>
      <c r="D1246" s="2">
        <v>44166</v>
      </c>
      <c r="E1246">
        <v>1994</v>
      </c>
      <c r="F1246" s="3">
        <v>3279.4</v>
      </c>
      <c r="G1246" s="3">
        <v>3719.96</v>
      </c>
      <c r="H1246" s="3">
        <v>-440.56</v>
      </c>
      <c r="I1246" s="3">
        <v>1.1299999999999999</v>
      </c>
      <c r="J1246">
        <v>0.15</v>
      </c>
      <c r="K1246">
        <v>2515.25</v>
      </c>
      <c r="L1246" t="s">
        <v>30</v>
      </c>
      <c r="M1246">
        <v>604</v>
      </c>
      <c r="N1246">
        <v>0.56999999999999995</v>
      </c>
      <c r="O1246" s="3">
        <v>764.85</v>
      </c>
      <c r="P1246" s="3">
        <v>0.23</v>
      </c>
      <c r="Q1246" s="3">
        <v>217.82</v>
      </c>
      <c r="R1246" s="3">
        <v>7.0000000000000007E-2</v>
      </c>
      <c r="S1246">
        <v>5</v>
      </c>
      <c r="T1246">
        <v>501.35</v>
      </c>
      <c r="U1246">
        <v>25</v>
      </c>
      <c r="V1246">
        <v>0</v>
      </c>
      <c r="W1246">
        <v>514.99</v>
      </c>
      <c r="X1246">
        <v>2447.7399999999998</v>
      </c>
      <c r="Y1246" t="s">
        <v>31</v>
      </c>
      <c r="Z1246" s="3">
        <v>1047.1099999999999</v>
      </c>
      <c r="AA1246" t="s">
        <v>37</v>
      </c>
      <c r="AB1246" t="s">
        <v>33</v>
      </c>
      <c r="AC1246">
        <v>7.7</v>
      </c>
      <c r="AD1246" t="s">
        <v>38</v>
      </c>
      <c r="AE1246">
        <v>0</v>
      </c>
      <c r="AF1246">
        <v>0</v>
      </c>
    </row>
    <row r="1247" spans="3:32" x14ac:dyDescent="0.35">
      <c r="C1247" s="1">
        <v>44186</v>
      </c>
      <c r="D1247" s="2">
        <v>44166</v>
      </c>
      <c r="E1247">
        <v>1489</v>
      </c>
      <c r="F1247" s="3">
        <v>3219.47</v>
      </c>
      <c r="G1247" s="3">
        <v>2409.59</v>
      </c>
      <c r="H1247" s="3">
        <v>809.88</v>
      </c>
      <c r="I1247" s="3">
        <v>0.75</v>
      </c>
      <c r="J1247">
        <v>0.28000000000000003</v>
      </c>
      <c r="K1247">
        <v>3235.17</v>
      </c>
      <c r="L1247" t="s">
        <v>35</v>
      </c>
      <c r="M1247">
        <v>674</v>
      </c>
      <c r="N1247">
        <v>0.47</v>
      </c>
      <c r="O1247" s="3">
        <v>568.4</v>
      </c>
      <c r="P1247" s="3">
        <v>0.18</v>
      </c>
      <c r="Q1247" s="3">
        <v>643.96</v>
      </c>
      <c r="R1247" s="3">
        <v>0.2</v>
      </c>
      <c r="S1247">
        <v>7</v>
      </c>
      <c r="T1247">
        <v>1165.8800000000001</v>
      </c>
      <c r="U1247">
        <v>89</v>
      </c>
      <c r="V1247">
        <v>0</v>
      </c>
      <c r="W1247">
        <v>610.53</v>
      </c>
      <c r="X1247">
        <v>1898.94</v>
      </c>
      <c r="Y1247" t="s">
        <v>36</v>
      </c>
      <c r="Z1247" s="3">
        <v>1126.08</v>
      </c>
      <c r="AA1247" t="s">
        <v>32</v>
      </c>
      <c r="AB1247" t="s">
        <v>42</v>
      </c>
      <c r="AC1247">
        <v>94.7</v>
      </c>
      <c r="AD1247" t="s">
        <v>34</v>
      </c>
      <c r="AE1247">
        <v>809.88</v>
      </c>
      <c r="AF1247">
        <v>0</v>
      </c>
    </row>
    <row r="1248" spans="3:32" x14ac:dyDescent="0.35">
      <c r="C1248" s="1">
        <v>44186</v>
      </c>
      <c r="D1248" s="2">
        <v>44166</v>
      </c>
      <c r="E1248">
        <v>1849</v>
      </c>
      <c r="F1248" s="3">
        <v>3557.29</v>
      </c>
      <c r="G1248" s="3">
        <v>3302.7</v>
      </c>
      <c r="H1248" s="3">
        <v>254.59</v>
      </c>
      <c r="I1248" s="3">
        <v>0.93</v>
      </c>
      <c r="J1248">
        <v>0.25</v>
      </c>
      <c r="K1248">
        <v>3064.54</v>
      </c>
      <c r="L1248" t="s">
        <v>30</v>
      </c>
      <c r="M1248">
        <v>687</v>
      </c>
      <c r="N1248">
        <v>0.43</v>
      </c>
      <c r="O1248" s="3">
        <v>344.88</v>
      </c>
      <c r="P1248" s="3">
        <v>0.1</v>
      </c>
      <c r="Q1248" s="3">
        <v>119.36</v>
      </c>
      <c r="R1248" s="3">
        <v>0.03</v>
      </c>
      <c r="S1248">
        <v>1</v>
      </c>
      <c r="T1248">
        <v>1286.4100000000001</v>
      </c>
      <c r="U1248">
        <v>33</v>
      </c>
      <c r="V1248">
        <v>0</v>
      </c>
      <c r="W1248">
        <v>615.96</v>
      </c>
      <c r="X1248">
        <v>2166.96</v>
      </c>
      <c r="Y1248" t="s">
        <v>36</v>
      </c>
      <c r="Z1248" s="3">
        <v>1813.17</v>
      </c>
      <c r="AA1248" t="s">
        <v>37</v>
      </c>
      <c r="AB1248" t="s">
        <v>33</v>
      </c>
      <c r="AC1248">
        <v>16.399999999999999</v>
      </c>
      <c r="AD1248" t="s">
        <v>38</v>
      </c>
      <c r="AE1248">
        <v>254.59</v>
      </c>
      <c r="AF1248">
        <v>0</v>
      </c>
    </row>
    <row r="1249" spans="3:32" x14ac:dyDescent="0.35">
      <c r="C1249" s="1">
        <v>44186</v>
      </c>
      <c r="D1249" s="2">
        <v>44166</v>
      </c>
      <c r="E1249">
        <v>1606</v>
      </c>
      <c r="F1249" s="3">
        <v>2765.03</v>
      </c>
      <c r="G1249" s="3">
        <v>2939.4</v>
      </c>
      <c r="H1249" s="3">
        <v>-174.37</v>
      </c>
      <c r="I1249" s="3">
        <v>1.06</v>
      </c>
      <c r="J1249">
        <v>0.06</v>
      </c>
      <c r="K1249">
        <v>2516.77</v>
      </c>
      <c r="L1249" t="s">
        <v>35</v>
      </c>
      <c r="M1249">
        <v>765</v>
      </c>
      <c r="N1249">
        <v>0.56000000000000005</v>
      </c>
      <c r="O1249" s="3">
        <v>405.48</v>
      </c>
      <c r="P1249" s="3">
        <v>0.15</v>
      </c>
      <c r="Q1249" s="3">
        <v>326.93</v>
      </c>
      <c r="R1249" s="3">
        <v>0.12</v>
      </c>
      <c r="S1249">
        <v>2</v>
      </c>
      <c r="T1249">
        <v>0</v>
      </c>
      <c r="U1249">
        <v>66</v>
      </c>
      <c r="V1249">
        <v>0</v>
      </c>
      <c r="W1249">
        <v>609.73</v>
      </c>
      <c r="X1249">
        <v>2477.11</v>
      </c>
      <c r="Y1249" t="s">
        <v>36</v>
      </c>
      <c r="Z1249" s="3">
        <v>1758.01</v>
      </c>
      <c r="AA1249" t="s">
        <v>51</v>
      </c>
      <c r="AB1249" t="s">
        <v>33</v>
      </c>
      <c r="AC1249">
        <v>23.7</v>
      </c>
      <c r="AD1249" t="s">
        <v>34</v>
      </c>
      <c r="AE1249">
        <v>0</v>
      </c>
      <c r="AF1249">
        <v>0</v>
      </c>
    </row>
    <row r="1250" spans="3:32" x14ac:dyDescent="0.35">
      <c r="C1250" s="1">
        <v>44186</v>
      </c>
      <c r="D1250" s="2">
        <v>44166</v>
      </c>
      <c r="E1250">
        <v>1112</v>
      </c>
      <c r="F1250" s="3">
        <v>4616.28</v>
      </c>
      <c r="G1250" s="3">
        <v>2470.75</v>
      </c>
      <c r="H1250" s="3">
        <v>2145.5300000000002</v>
      </c>
      <c r="I1250" s="3">
        <v>0.54</v>
      </c>
      <c r="J1250">
        <v>0.31</v>
      </c>
      <c r="K1250">
        <v>2572.41</v>
      </c>
      <c r="L1250" t="s">
        <v>39</v>
      </c>
      <c r="M1250">
        <v>682</v>
      </c>
      <c r="N1250">
        <v>0.5</v>
      </c>
      <c r="O1250" s="3">
        <v>738.24</v>
      </c>
      <c r="P1250" s="3">
        <v>0.16</v>
      </c>
      <c r="Q1250" s="3">
        <v>687.53</v>
      </c>
      <c r="R1250" s="3">
        <v>0.15</v>
      </c>
      <c r="S1250">
        <v>9</v>
      </c>
      <c r="T1250">
        <v>528.83000000000004</v>
      </c>
      <c r="U1250">
        <v>62</v>
      </c>
      <c r="V1250">
        <v>0</v>
      </c>
      <c r="W1250">
        <v>591.36</v>
      </c>
      <c r="X1250">
        <v>2694.35</v>
      </c>
      <c r="Y1250" t="s">
        <v>49</v>
      </c>
      <c r="Z1250" s="3">
        <v>921.51</v>
      </c>
      <c r="AA1250" t="s">
        <v>48</v>
      </c>
      <c r="AB1250" t="s">
        <v>33</v>
      </c>
      <c r="AC1250">
        <v>90.9</v>
      </c>
      <c r="AD1250" t="s">
        <v>34</v>
      </c>
      <c r="AE1250">
        <v>2145.5300000000002</v>
      </c>
      <c r="AF1250">
        <v>0</v>
      </c>
    </row>
    <row r="1251" spans="3:32" x14ac:dyDescent="0.35">
      <c r="C1251" s="1">
        <v>44186</v>
      </c>
      <c r="D1251" s="2">
        <v>44166</v>
      </c>
      <c r="E1251">
        <v>1946</v>
      </c>
      <c r="F1251" s="3">
        <v>2254.13</v>
      </c>
      <c r="G1251" s="3">
        <v>1827.98</v>
      </c>
      <c r="H1251" s="3">
        <v>426.15</v>
      </c>
      <c r="I1251" s="3">
        <v>0.81</v>
      </c>
      <c r="J1251">
        <v>0.13</v>
      </c>
      <c r="K1251">
        <v>2391.37</v>
      </c>
      <c r="L1251" t="s">
        <v>39</v>
      </c>
      <c r="M1251">
        <v>735</v>
      </c>
      <c r="N1251">
        <v>0.25</v>
      </c>
      <c r="O1251" s="3">
        <v>642.42999999999995</v>
      </c>
      <c r="P1251" s="3">
        <v>0.28999999999999998</v>
      </c>
      <c r="Q1251" s="3">
        <v>308.36</v>
      </c>
      <c r="R1251" s="3">
        <v>0.14000000000000001</v>
      </c>
      <c r="S1251">
        <v>2</v>
      </c>
      <c r="T1251">
        <v>598.24</v>
      </c>
      <c r="U1251">
        <v>63</v>
      </c>
      <c r="V1251">
        <v>0</v>
      </c>
      <c r="W1251">
        <v>428.13</v>
      </c>
      <c r="X1251">
        <v>3063.51</v>
      </c>
      <c r="Y1251" t="s">
        <v>36</v>
      </c>
      <c r="Z1251" s="3">
        <v>1955.03</v>
      </c>
      <c r="AA1251" t="s">
        <v>50</v>
      </c>
      <c r="AB1251" t="s">
        <v>33</v>
      </c>
      <c r="AC1251">
        <v>75.3</v>
      </c>
      <c r="AD1251" t="s">
        <v>38</v>
      </c>
      <c r="AE1251">
        <v>426.15</v>
      </c>
      <c r="AF1251">
        <v>0</v>
      </c>
    </row>
    <row r="1252" spans="3:32" x14ac:dyDescent="0.35">
      <c r="C1252" s="1">
        <v>44216</v>
      </c>
      <c r="D1252" s="2">
        <v>44197</v>
      </c>
      <c r="E1252">
        <v>1680</v>
      </c>
      <c r="F1252" s="3">
        <v>4859.63</v>
      </c>
      <c r="G1252" s="3">
        <v>2830.71</v>
      </c>
      <c r="H1252" s="3">
        <v>2028.92</v>
      </c>
      <c r="I1252" s="3">
        <v>0.57999999999999996</v>
      </c>
      <c r="J1252">
        <v>0.4</v>
      </c>
      <c r="K1252">
        <v>2665.05</v>
      </c>
      <c r="L1252" t="s">
        <v>35</v>
      </c>
      <c r="M1252">
        <v>609</v>
      </c>
      <c r="N1252">
        <v>0.32</v>
      </c>
      <c r="O1252" s="3">
        <v>787.17</v>
      </c>
      <c r="P1252" s="3">
        <v>0.16</v>
      </c>
      <c r="Q1252" s="3">
        <v>459.74</v>
      </c>
      <c r="R1252" s="3">
        <v>0.09</v>
      </c>
      <c r="S1252">
        <v>2</v>
      </c>
      <c r="T1252">
        <v>768.35</v>
      </c>
      <c r="U1252">
        <v>31</v>
      </c>
      <c r="V1252">
        <v>0</v>
      </c>
      <c r="W1252">
        <v>186.89</v>
      </c>
      <c r="X1252">
        <v>1921.24</v>
      </c>
      <c r="Y1252" t="s">
        <v>36</v>
      </c>
      <c r="Z1252" s="3">
        <v>1611.29</v>
      </c>
      <c r="AA1252" t="s">
        <v>47</v>
      </c>
      <c r="AB1252" t="s">
        <v>33</v>
      </c>
      <c r="AC1252">
        <v>39.799999999999997</v>
      </c>
      <c r="AD1252" t="s">
        <v>34</v>
      </c>
      <c r="AE1252">
        <v>2028.92</v>
      </c>
      <c r="AF1252">
        <v>0</v>
      </c>
    </row>
    <row r="1253" spans="3:32" x14ac:dyDescent="0.35">
      <c r="C1253" s="1">
        <v>44216</v>
      </c>
      <c r="D1253" s="2">
        <v>44197</v>
      </c>
      <c r="E1253">
        <v>1332</v>
      </c>
      <c r="F1253" s="3">
        <v>3463.41</v>
      </c>
      <c r="G1253" s="3">
        <v>3271.94</v>
      </c>
      <c r="H1253" s="3">
        <v>191.47</v>
      </c>
      <c r="I1253" s="3">
        <v>0.94</v>
      </c>
      <c r="J1253">
        <v>0.08</v>
      </c>
      <c r="K1253">
        <v>2743.33</v>
      </c>
      <c r="L1253" t="s">
        <v>35</v>
      </c>
      <c r="M1253">
        <v>604</v>
      </c>
      <c r="N1253">
        <v>0.16</v>
      </c>
      <c r="O1253" s="3">
        <v>415.25</v>
      </c>
      <c r="P1253" s="3">
        <v>0.12</v>
      </c>
      <c r="Q1253" s="3">
        <v>396.61</v>
      </c>
      <c r="R1253" s="3">
        <v>0.11</v>
      </c>
      <c r="S1253">
        <v>5</v>
      </c>
      <c r="T1253">
        <v>1464.46</v>
      </c>
      <c r="U1253">
        <v>45</v>
      </c>
      <c r="V1253">
        <v>0</v>
      </c>
      <c r="W1253">
        <v>221.86</v>
      </c>
      <c r="X1253">
        <v>1895.09</v>
      </c>
      <c r="Y1253" t="s">
        <v>36</v>
      </c>
      <c r="Z1253" s="3">
        <v>1585.15</v>
      </c>
      <c r="AA1253" t="s">
        <v>47</v>
      </c>
      <c r="AB1253" t="s">
        <v>42</v>
      </c>
      <c r="AC1253">
        <v>91.8</v>
      </c>
      <c r="AD1253" t="s">
        <v>38</v>
      </c>
      <c r="AE1253">
        <v>191.47</v>
      </c>
      <c r="AF1253">
        <v>0</v>
      </c>
    </row>
    <row r="1254" spans="3:32" x14ac:dyDescent="0.35">
      <c r="C1254" s="1">
        <v>44216</v>
      </c>
      <c r="D1254" s="2">
        <v>44197</v>
      </c>
      <c r="E1254">
        <v>1561</v>
      </c>
      <c r="F1254" s="3">
        <v>5173.3599999999997</v>
      </c>
      <c r="G1254" s="3">
        <v>1901.57</v>
      </c>
      <c r="H1254" s="3">
        <v>3271.79</v>
      </c>
      <c r="I1254" s="3">
        <v>0.37</v>
      </c>
      <c r="J1254">
        <v>0.26</v>
      </c>
      <c r="K1254">
        <v>2810.5</v>
      </c>
      <c r="L1254" t="s">
        <v>30</v>
      </c>
      <c r="M1254">
        <v>720</v>
      </c>
      <c r="N1254">
        <v>0.46</v>
      </c>
      <c r="O1254" s="3">
        <v>253.85</v>
      </c>
      <c r="P1254" s="3">
        <v>0.05</v>
      </c>
      <c r="Q1254" s="3">
        <v>347.42</v>
      </c>
      <c r="R1254" s="3">
        <v>7.0000000000000007E-2</v>
      </c>
      <c r="S1254">
        <v>5</v>
      </c>
      <c r="T1254">
        <v>912</v>
      </c>
      <c r="U1254">
        <v>77</v>
      </c>
      <c r="V1254">
        <v>0</v>
      </c>
      <c r="W1254">
        <v>799.8</v>
      </c>
      <c r="X1254">
        <v>1000</v>
      </c>
      <c r="Y1254" t="s">
        <v>36</v>
      </c>
      <c r="Z1254" s="3">
        <v>958.44</v>
      </c>
      <c r="AA1254" t="s">
        <v>51</v>
      </c>
      <c r="AB1254" t="s">
        <v>33</v>
      </c>
      <c r="AC1254">
        <v>56.6</v>
      </c>
      <c r="AD1254" t="s">
        <v>38</v>
      </c>
      <c r="AE1254">
        <v>3271.79</v>
      </c>
      <c r="AF1254">
        <v>1</v>
      </c>
    </row>
    <row r="1255" spans="3:32" x14ac:dyDescent="0.35">
      <c r="C1255" s="1">
        <v>44216</v>
      </c>
      <c r="D1255" s="2">
        <v>44197</v>
      </c>
      <c r="E1255">
        <v>1196</v>
      </c>
      <c r="F1255" s="3">
        <v>2046.45</v>
      </c>
      <c r="G1255" s="3">
        <v>4009.84</v>
      </c>
      <c r="H1255" s="3">
        <v>-1963.39</v>
      </c>
      <c r="I1255" s="3">
        <v>1.96</v>
      </c>
      <c r="J1255">
        <v>0.4</v>
      </c>
      <c r="K1255">
        <v>3060.09</v>
      </c>
      <c r="L1255" t="s">
        <v>35</v>
      </c>
      <c r="M1255">
        <v>663</v>
      </c>
      <c r="N1255">
        <v>0.28000000000000003</v>
      </c>
      <c r="O1255" s="3">
        <v>362.11</v>
      </c>
      <c r="P1255" s="3">
        <v>0.18</v>
      </c>
      <c r="Q1255" s="3">
        <v>730.73</v>
      </c>
      <c r="R1255" s="3">
        <v>0.36</v>
      </c>
      <c r="S1255">
        <v>8</v>
      </c>
      <c r="T1255">
        <v>315.68</v>
      </c>
      <c r="U1255">
        <v>87</v>
      </c>
      <c r="V1255">
        <v>0</v>
      </c>
      <c r="W1255">
        <v>452.14</v>
      </c>
      <c r="X1255">
        <v>2178.34</v>
      </c>
      <c r="Y1255" t="s">
        <v>36</v>
      </c>
      <c r="Z1255" s="3">
        <v>1651.71</v>
      </c>
      <c r="AA1255" t="s">
        <v>41</v>
      </c>
      <c r="AB1255" t="s">
        <v>33</v>
      </c>
      <c r="AC1255">
        <v>46.6</v>
      </c>
      <c r="AD1255" t="s">
        <v>38</v>
      </c>
      <c r="AE1255">
        <v>0</v>
      </c>
      <c r="AF1255">
        <v>0</v>
      </c>
    </row>
    <row r="1256" spans="3:32" x14ac:dyDescent="0.35">
      <c r="C1256" s="1">
        <v>44216</v>
      </c>
      <c r="D1256" s="2">
        <v>44197</v>
      </c>
      <c r="E1256">
        <v>1271</v>
      </c>
      <c r="F1256" s="3">
        <v>4712.1499999999996</v>
      </c>
      <c r="G1256" s="3">
        <v>3397.54</v>
      </c>
      <c r="H1256" s="3">
        <v>1314.61</v>
      </c>
      <c r="I1256" s="3">
        <v>0.72</v>
      </c>
      <c r="J1256">
        <v>0.14000000000000001</v>
      </c>
      <c r="K1256">
        <v>2981.73</v>
      </c>
      <c r="L1256" t="s">
        <v>35</v>
      </c>
      <c r="M1256">
        <v>679</v>
      </c>
      <c r="N1256">
        <v>0.14000000000000001</v>
      </c>
      <c r="O1256" s="3">
        <v>192.61</v>
      </c>
      <c r="P1256" s="3">
        <v>0.04</v>
      </c>
      <c r="Q1256" s="3">
        <v>767.44</v>
      </c>
      <c r="R1256" s="3">
        <v>0.16</v>
      </c>
      <c r="S1256">
        <v>7</v>
      </c>
      <c r="T1256">
        <v>1899.8</v>
      </c>
      <c r="U1256">
        <v>27</v>
      </c>
      <c r="V1256">
        <v>0</v>
      </c>
      <c r="W1256">
        <v>665.8</v>
      </c>
      <c r="X1256">
        <v>2817.97</v>
      </c>
      <c r="Y1256" t="s">
        <v>36</v>
      </c>
      <c r="Z1256" s="3">
        <v>1193.97</v>
      </c>
      <c r="AA1256" t="s">
        <v>37</v>
      </c>
      <c r="AB1256" t="s">
        <v>42</v>
      </c>
      <c r="AC1256">
        <v>42.4</v>
      </c>
      <c r="AD1256" t="s">
        <v>43</v>
      </c>
      <c r="AE1256">
        <v>1314.61</v>
      </c>
      <c r="AF1256">
        <v>0</v>
      </c>
    </row>
    <row r="1257" spans="3:32" x14ac:dyDescent="0.35">
      <c r="C1257" s="1">
        <v>44216</v>
      </c>
      <c r="D1257" s="2">
        <v>44197</v>
      </c>
      <c r="E1257">
        <v>1482</v>
      </c>
      <c r="F1257" s="3">
        <v>3989.76</v>
      </c>
      <c r="G1257" s="3">
        <v>903.28</v>
      </c>
      <c r="H1257" s="3">
        <v>3086.48</v>
      </c>
      <c r="I1257" s="3">
        <v>0.23</v>
      </c>
      <c r="J1257">
        <v>0.21</v>
      </c>
      <c r="K1257">
        <v>3067.23</v>
      </c>
      <c r="L1257" t="s">
        <v>30</v>
      </c>
      <c r="M1257">
        <v>698</v>
      </c>
      <c r="N1257">
        <v>0.35</v>
      </c>
      <c r="O1257" s="3">
        <v>454.33</v>
      </c>
      <c r="P1257" s="3">
        <v>0.11</v>
      </c>
      <c r="Q1257" s="3">
        <v>445.73</v>
      </c>
      <c r="R1257" s="3">
        <v>0.11</v>
      </c>
      <c r="S1257">
        <v>4</v>
      </c>
      <c r="T1257">
        <v>1391.66</v>
      </c>
      <c r="U1257">
        <v>46</v>
      </c>
      <c r="V1257">
        <v>0</v>
      </c>
      <c r="W1257">
        <v>525.44000000000005</v>
      </c>
      <c r="X1257">
        <v>2510.8200000000002</v>
      </c>
      <c r="Y1257" t="s">
        <v>36</v>
      </c>
      <c r="Z1257" s="3">
        <v>1198.94</v>
      </c>
      <c r="AA1257" t="s">
        <v>50</v>
      </c>
      <c r="AB1257" t="s">
        <v>33</v>
      </c>
      <c r="AC1257">
        <v>6.7</v>
      </c>
      <c r="AD1257" t="s">
        <v>43</v>
      </c>
      <c r="AE1257">
        <v>3086.48</v>
      </c>
      <c r="AF1257">
        <v>1</v>
      </c>
    </row>
    <row r="1258" spans="3:32" x14ac:dyDescent="0.35">
      <c r="C1258" s="1">
        <v>44216</v>
      </c>
      <c r="D1258" s="2">
        <v>44197</v>
      </c>
      <c r="E1258">
        <v>1941</v>
      </c>
      <c r="F1258" s="3">
        <v>3732.11</v>
      </c>
      <c r="G1258" s="3">
        <v>3631.83</v>
      </c>
      <c r="H1258" s="3">
        <v>100.28</v>
      </c>
      <c r="I1258" s="3">
        <v>0.97</v>
      </c>
      <c r="J1258">
        <v>0.22</v>
      </c>
      <c r="K1258">
        <v>2719.66</v>
      </c>
      <c r="L1258" t="s">
        <v>35</v>
      </c>
      <c r="M1258">
        <v>667</v>
      </c>
      <c r="N1258">
        <v>0.56999999999999995</v>
      </c>
      <c r="O1258" s="3">
        <v>886.41</v>
      </c>
      <c r="P1258" s="3">
        <v>0.24</v>
      </c>
      <c r="Q1258" s="3">
        <v>250.78</v>
      </c>
      <c r="R1258" s="3">
        <v>7.0000000000000007E-2</v>
      </c>
      <c r="S1258">
        <v>6</v>
      </c>
      <c r="T1258">
        <v>1432.82</v>
      </c>
      <c r="U1258">
        <v>44</v>
      </c>
      <c r="V1258">
        <v>0</v>
      </c>
      <c r="W1258">
        <v>656.08</v>
      </c>
      <c r="X1258">
        <v>2176.0100000000002</v>
      </c>
      <c r="Y1258" t="s">
        <v>36</v>
      </c>
      <c r="Z1258" s="3">
        <v>622.54999999999995</v>
      </c>
      <c r="AA1258" t="s">
        <v>41</v>
      </c>
      <c r="AB1258" t="s">
        <v>33</v>
      </c>
      <c r="AC1258">
        <v>67.900000000000006</v>
      </c>
      <c r="AD1258" t="s">
        <v>43</v>
      </c>
      <c r="AE1258">
        <v>100.28</v>
      </c>
      <c r="AF1258">
        <v>0</v>
      </c>
    </row>
    <row r="1259" spans="3:32" x14ac:dyDescent="0.35">
      <c r="C1259" s="1">
        <v>44216</v>
      </c>
      <c r="D1259" s="2">
        <v>44197</v>
      </c>
      <c r="E1259">
        <v>1248</v>
      </c>
      <c r="F1259" s="3">
        <v>4007.61</v>
      </c>
      <c r="G1259" s="3">
        <v>3328.15</v>
      </c>
      <c r="H1259" s="3">
        <v>679.46</v>
      </c>
      <c r="I1259" s="3">
        <v>0.83</v>
      </c>
      <c r="J1259">
        <v>0.18</v>
      </c>
      <c r="K1259">
        <v>2459.79</v>
      </c>
      <c r="L1259" t="s">
        <v>39</v>
      </c>
      <c r="M1259">
        <v>674</v>
      </c>
      <c r="N1259">
        <v>0.45</v>
      </c>
      <c r="O1259" s="3">
        <v>484.39</v>
      </c>
      <c r="P1259" s="3">
        <v>0.12</v>
      </c>
      <c r="Q1259" s="3">
        <v>340.96</v>
      </c>
      <c r="R1259" s="3">
        <v>0.09</v>
      </c>
      <c r="S1259">
        <v>9</v>
      </c>
      <c r="T1259">
        <v>1170.79</v>
      </c>
      <c r="U1259">
        <v>49</v>
      </c>
      <c r="V1259">
        <v>0</v>
      </c>
      <c r="W1259">
        <v>372.65</v>
      </c>
      <c r="X1259">
        <v>1807.47</v>
      </c>
      <c r="Y1259" t="s">
        <v>36</v>
      </c>
      <c r="Z1259" s="3">
        <v>1014.97</v>
      </c>
      <c r="AA1259" t="s">
        <v>41</v>
      </c>
      <c r="AB1259" t="s">
        <v>33</v>
      </c>
      <c r="AC1259">
        <v>65.8</v>
      </c>
      <c r="AD1259" t="s">
        <v>34</v>
      </c>
      <c r="AE1259">
        <v>679.46</v>
      </c>
      <c r="AF1259">
        <v>0</v>
      </c>
    </row>
    <row r="1260" spans="3:32" x14ac:dyDescent="0.35">
      <c r="C1260" s="1">
        <v>44216</v>
      </c>
      <c r="D1260" s="2">
        <v>44197</v>
      </c>
      <c r="E1260">
        <v>1419</v>
      </c>
      <c r="F1260" s="3">
        <v>4455.45</v>
      </c>
      <c r="G1260" s="3">
        <v>2912.47</v>
      </c>
      <c r="H1260" s="3">
        <v>1542.98</v>
      </c>
      <c r="I1260" s="3">
        <v>0.65</v>
      </c>
      <c r="J1260">
        <v>0.25</v>
      </c>
      <c r="K1260">
        <v>2322.2800000000002</v>
      </c>
      <c r="L1260" t="s">
        <v>30</v>
      </c>
      <c r="M1260">
        <v>699</v>
      </c>
      <c r="N1260">
        <v>0.34</v>
      </c>
      <c r="O1260" s="3">
        <v>420.46</v>
      </c>
      <c r="P1260" s="3">
        <v>0.09</v>
      </c>
      <c r="Q1260" s="3">
        <v>485.64</v>
      </c>
      <c r="R1260" s="3">
        <v>0.11</v>
      </c>
      <c r="S1260">
        <v>2</v>
      </c>
      <c r="T1260">
        <v>1109.67</v>
      </c>
      <c r="U1260">
        <v>47</v>
      </c>
      <c r="V1260">
        <v>0</v>
      </c>
      <c r="W1260">
        <v>813.31</v>
      </c>
      <c r="X1260">
        <v>2698.94</v>
      </c>
      <c r="Y1260" t="s">
        <v>36</v>
      </c>
      <c r="Z1260" s="3">
        <v>808.18</v>
      </c>
      <c r="AA1260" t="s">
        <v>37</v>
      </c>
      <c r="AB1260" t="s">
        <v>33</v>
      </c>
      <c r="AC1260">
        <v>4.2</v>
      </c>
      <c r="AD1260" t="s">
        <v>43</v>
      </c>
      <c r="AE1260">
        <v>1542.98</v>
      </c>
      <c r="AF1260">
        <v>0</v>
      </c>
    </row>
    <row r="1261" spans="3:32" x14ac:dyDescent="0.35">
      <c r="C1261" s="1">
        <v>44216</v>
      </c>
      <c r="D1261" s="2">
        <v>44197</v>
      </c>
      <c r="E1261">
        <v>1163</v>
      </c>
      <c r="F1261" s="3">
        <v>2742.74</v>
      </c>
      <c r="G1261" s="3">
        <v>4821.0200000000004</v>
      </c>
      <c r="H1261" s="3">
        <v>-2078.2800000000002</v>
      </c>
      <c r="I1261" s="3">
        <v>1.76</v>
      </c>
      <c r="J1261">
        <v>0.25</v>
      </c>
      <c r="K1261">
        <v>2859.9</v>
      </c>
      <c r="L1261" t="s">
        <v>30</v>
      </c>
      <c r="M1261">
        <v>656</v>
      </c>
      <c r="N1261">
        <v>0.45</v>
      </c>
      <c r="O1261" s="3">
        <v>524.49</v>
      </c>
      <c r="P1261" s="3">
        <v>0.19</v>
      </c>
      <c r="Q1261" s="3">
        <v>440.24</v>
      </c>
      <c r="R1261" s="3">
        <v>0.16</v>
      </c>
      <c r="S1261">
        <v>2</v>
      </c>
      <c r="T1261">
        <v>236.41</v>
      </c>
      <c r="U1261">
        <v>49</v>
      </c>
      <c r="V1261">
        <v>0</v>
      </c>
      <c r="W1261">
        <v>631.79</v>
      </c>
      <c r="X1261">
        <v>1848.95</v>
      </c>
      <c r="Y1261" t="s">
        <v>36</v>
      </c>
      <c r="Z1261" s="3">
        <v>1398.78</v>
      </c>
      <c r="AA1261" t="s">
        <v>51</v>
      </c>
      <c r="AB1261" t="s">
        <v>33</v>
      </c>
      <c r="AC1261">
        <v>23.7</v>
      </c>
      <c r="AD1261" t="s">
        <v>34</v>
      </c>
      <c r="AE1261">
        <v>0</v>
      </c>
      <c r="AF1261">
        <v>0</v>
      </c>
    </row>
    <row r="1262" spans="3:32" x14ac:dyDescent="0.35">
      <c r="C1262" s="1">
        <v>44216</v>
      </c>
      <c r="D1262" s="2">
        <v>44197</v>
      </c>
      <c r="E1262">
        <v>1816</v>
      </c>
      <c r="F1262" s="3">
        <v>5516.76</v>
      </c>
      <c r="G1262" s="3">
        <v>2529.83</v>
      </c>
      <c r="H1262" s="3">
        <v>2986.93</v>
      </c>
      <c r="I1262" s="3">
        <v>0.46</v>
      </c>
      <c r="J1262">
        <v>0.21</v>
      </c>
      <c r="K1262">
        <v>2215.5</v>
      </c>
      <c r="L1262" t="s">
        <v>39</v>
      </c>
      <c r="M1262">
        <v>730</v>
      </c>
      <c r="N1262">
        <v>0.56000000000000005</v>
      </c>
      <c r="O1262" s="3">
        <v>991.52</v>
      </c>
      <c r="P1262" s="3">
        <v>0.18</v>
      </c>
      <c r="Q1262" s="3">
        <v>538.51</v>
      </c>
      <c r="R1262" s="3">
        <v>0.1</v>
      </c>
      <c r="S1262">
        <v>2</v>
      </c>
      <c r="T1262">
        <v>727.36</v>
      </c>
      <c r="U1262">
        <v>64</v>
      </c>
      <c r="V1262">
        <v>0</v>
      </c>
      <c r="W1262">
        <v>509.61</v>
      </c>
      <c r="X1262">
        <v>2339.71</v>
      </c>
      <c r="Y1262" t="s">
        <v>36</v>
      </c>
      <c r="Z1262" s="3">
        <v>1263.32</v>
      </c>
      <c r="AA1262" t="s">
        <v>41</v>
      </c>
      <c r="AB1262" t="s">
        <v>33</v>
      </c>
      <c r="AC1262">
        <v>12.9</v>
      </c>
      <c r="AD1262" t="s">
        <v>34</v>
      </c>
      <c r="AE1262">
        <v>2986.93</v>
      </c>
      <c r="AF1262">
        <v>1</v>
      </c>
    </row>
    <row r="1263" spans="3:32" x14ac:dyDescent="0.35">
      <c r="C1263" s="1">
        <v>44216</v>
      </c>
      <c r="D1263" s="2">
        <v>44197</v>
      </c>
      <c r="E1263">
        <v>1919</v>
      </c>
      <c r="F1263" s="3">
        <v>1172.52</v>
      </c>
      <c r="G1263" s="3">
        <v>2783.72</v>
      </c>
      <c r="H1263" s="3">
        <v>-1611.2</v>
      </c>
      <c r="I1263" s="3">
        <v>2.37</v>
      </c>
      <c r="J1263">
        <v>0.33</v>
      </c>
      <c r="K1263">
        <v>2399.12</v>
      </c>
      <c r="L1263" t="s">
        <v>35</v>
      </c>
      <c r="M1263">
        <v>683</v>
      </c>
      <c r="N1263">
        <v>0.56999999999999995</v>
      </c>
      <c r="O1263" s="3">
        <v>440.02</v>
      </c>
      <c r="P1263" s="3">
        <v>0.38</v>
      </c>
      <c r="Q1263" s="3">
        <v>243.7</v>
      </c>
      <c r="R1263" s="3">
        <v>0.21</v>
      </c>
      <c r="S1263">
        <v>2</v>
      </c>
      <c r="T1263">
        <v>1840.21</v>
      </c>
      <c r="U1263">
        <v>77</v>
      </c>
      <c r="V1263">
        <v>0</v>
      </c>
      <c r="W1263">
        <v>342.06</v>
      </c>
      <c r="X1263">
        <v>1342.27</v>
      </c>
      <c r="Y1263" t="s">
        <v>31</v>
      </c>
      <c r="Z1263" s="3">
        <v>2262.64</v>
      </c>
      <c r="AA1263" t="s">
        <v>48</v>
      </c>
      <c r="AB1263" t="s">
        <v>42</v>
      </c>
      <c r="AC1263">
        <v>49.2</v>
      </c>
      <c r="AD1263" t="s">
        <v>43</v>
      </c>
      <c r="AE1263">
        <v>0</v>
      </c>
      <c r="AF1263">
        <v>0</v>
      </c>
    </row>
    <row r="1264" spans="3:32" x14ac:dyDescent="0.35">
      <c r="C1264" s="1">
        <v>44216</v>
      </c>
      <c r="D1264" s="2">
        <v>44197</v>
      </c>
      <c r="E1264">
        <v>1736</v>
      </c>
      <c r="F1264" s="3">
        <v>5284.93</v>
      </c>
      <c r="G1264" s="3">
        <v>4356.18</v>
      </c>
      <c r="H1264" s="3">
        <v>928.75</v>
      </c>
      <c r="I1264" s="3">
        <v>0.82</v>
      </c>
      <c r="J1264">
        <v>0.12</v>
      </c>
      <c r="K1264">
        <v>2687.59</v>
      </c>
      <c r="L1264" t="s">
        <v>35</v>
      </c>
      <c r="M1264">
        <v>637</v>
      </c>
      <c r="N1264">
        <v>0.27</v>
      </c>
      <c r="O1264" s="3">
        <v>571.41</v>
      </c>
      <c r="P1264" s="3">
        <v>0.11</v>
      </c>
      <c r="Q1264" s="3">
        <v>146.91999999999999</v>
      </c>
      <c r="R1264" s="3">
        <v>0.03</v>
      </c>
      <c r="S1264">
        <v>6</v>
      </c>
      <c r="T1264">
        <v>1608.74</v>
      </c>
      <c r="U1264">
        <v>96</v>
      </c>
      <c r="V1264">
        <v>0</v>
      </c>
      <c r="W1264">
        <v>399.8</v>
      </c>
      <c r="X1264">
        <v>2329.5500000000002</v>
      </c>
      <c r="Y1264" t="s">
        <v>31</v>
      </c>
      <c r="Z1264" s="3">
        <v>1068.3499999999999</v>
      </c>
      <c r="AA1264" t="s">
        <v>32</v>
      </c>
      <c r="AB1264" t="s">
        <v>33</v>
      </c>
      <c r="AC1264">
        <v>8.1999999999999993</v>
      </c>
      <c r="AD1264" t="s">
        <v>38</v>
      </c>
      <c r="AE1264">
        <v>928.75</v>
      </c>
      <c r="AF1264">
        <v>0</v>
      </c>
    </row>
    <row r="1265" spans="3:32" x14ac:dyDescent="0.35">
      <c r="C1265" s="1">
        <v>44216</v>
      </c>
      <c r="D1265" s="2">
        <v>44197</v>
      </c>
      <c r="E1265">
        <v>1632</v>
      </c>
      <c r="F1265" s="3">
        <v>3835.88</v>
      </c>
      <c r="G1265" s="3">
        <v>3787.06</v>
      </c>
      <c r="H1265" s="3">
        <v>48.82</v>
      </c>
      <c r="I1265" s="3">
        <v>0.99</v>
      </c>
      <c r="J1265">
        <v>0.21</v>
      </c>
      <c r="K1265">
        <v>2630.93</v>
      </c>
      <c r="L1265" t="s">
        <v>35</v>
      </c>
      <c r="M1265">
        <v>744</v>
      </c>
      <c r="N1265">
        <v>0.35</v>
      </c>
      <c r="O1265" s="3">
        <v>887.31</v>
      </c>
      <c r="P1265" s="3">
        <v>0.23</v>
      </c>
      <c r="Q1265" s="3">
        <v>1.1599999999999999</v>
      </c>
      <c r="R1265" s="3">
        <v>0</v>
      </c>
      <c r="S1265">
        <v>4</v>
      </c>
      <c r="T1265">
        <v>188.05</v>
      </c>
      <c r="U1265">
        <v>58</v>
      </c>
      <c r="V1265">
        <v>0</v>
      </c>
      <c r="W1265">
        <v>509.11</v>
      </c>
      <c r="X1265">
        <v>3162.9</v>
      </c>
      <c r="Y1265" t="s">
        <v>36</v>
      </c>
      <c r="Z1265" s="3">
        <v>403.7</v>
      </c>
      <c r="AA1265" t="s">
        <v>48</v>
      </c>
      <c r="AB1265" t="s">
        <v>33</v>
      </c>
      <c r="AC1265">
        <v>15.2</v>
      </c>
      <c r="AD1265" t="s">
        <v>34</v>
      </c>
      <c r="AE1265">
        <v>48.82</v>
      </c>
      <c r="AF1265">
        <v>0</v>
      </c>
    </row>
    <row r="1266" spans="3:32" x14ac:dyDescent="0.35">
      <c r="C1266" s="1">
        <v>44216</v>
      </c>
      <c r="D1266" s="2">
        <v>44197</v>
      </c>
      <c r="E1266">
        <v>1336</v>
      </c>
      <c r="F1266" s="3">
        <v>3353.89</v>
      </c>
      <c r="G1266" s="3">
        <v>1413.99</v>
      </c>
      <c r="H1266" s="3">
        <v>1939.9</v>
      </c>
      <c r="I1266" s="3">
        <v>0.42</v>
      </c>
      <c r="J1266">
        <v>0.08</v>
      </c>
      <c r="K1266">
        <v>3024.85</v>
      </c>
      <c r="L1266" t="s">
        <v>35</v>
      </c>
      <c r="M1266">
        <v>650</v>
      </c>
      <c r="N1266">
        <v>0.13</v>
      </c>
      <c r="O1266" s="3">
        <v>753.58</v>
      </c>
      <c r="P1266" s="3">
        <v>0.22</v>
      </c>
      <c r="Q1266" s="3">
        <v>745.22</v>
      </c>
      <c r="R1266" s="3">
        <v>0.22</v>
      </c>
      <c r="S1266">
        <v>4</v>
      </c>
      <c r="T1266">
        <v>410.35</v>
      </c>
      <c r="U1266">
        <v>22</v>
      </c>
      <c r="V1266">
        <v>0</v>
      </c>
      <c r="W1266">
        <v>771.26</v>
      </c>
      <c r="X1266">
        <v>3507.66</v>
      </c>
      <c r="Y1266" t="s">
        <v>36</v>
      </c>
      <c r="Z1266" s="3">
        <v>1282.28</v>
      </c>
      <c r="AA1266" t="s">
        <v>48</v>
      </c>
      <c r="AB1266" t="s">
        <v>42</v>
      </c>
      <c r="AC1266">
        <v>92.8</v>
      </c>
      <c r="AD1266" t="s">
        <v>43</v>
      </c>
      <c r="AE1266">
        <v>1939.9</v>
      </c>
      <c r="AF1266">
        <v>0</v>
      </c>
    </row>
    <row r="1267" spans="3:32" x14ac:dyDescent="0.35">
      <c r="C1267" s="1">
        <v>44216</v>
      </c>
      <c r="D1267" s="2">
        <v>44197</v>
      </c>
      <c r="E1267">
        <v>1226</v>
      </c>
      <c r="F1267" s="3">
        <v>4437.88</v>
      </c>
      <c r="G1267" s="3">
        <v>3401.22</v>
      </c>
      <c r="H1267" s="3">
        <v>1036.6600000000001</v>
      </c>
      <c r="I1267" s="3">
        <v>0.77</v>
      </c>
      <c r="J1267">
        <v>0.14000000000000001</v>
      </c>
      <c r="K1267">
        <v>2362.42</v>
      </c>
      <c r="L1267" t="s">
        <v>35</v>
      </c>
      <c r="M1267">
        <v>713</v>
      </c>
      <c r="N1267">
        <v>0.54</v>
      </c>
      <c r="O1267" s="3">
        <v>580.17999999999995</v>
      </c>
      <c r="P1267" s="3">
        <v>0.13</v>
      </c>
      <c r="Q1267" s="3">
        <v>26.42</v>
      </c>
      <c r="R1267" s="3">
        <v>0.01</v>
      </c>
      <c r="S1267">
        <v>7</v>
      </c>
      <c r="T1267">
        <v>1269.92</v>
      </c>
      <c r="U1267">
        <v>30</v>
      </c>
      <c r="V1267">
        <v>0</v>
      </c>
      <c r="W1267">
        <v>465</v>
      </c>
      <c r="X1267">
        <v>1430.54</v>
      </c>
      <c r="Y1267" t="s">
        <v>36</v>
      </c>
      <c r="Z1267" s="3">
        <v>1719.24</v>
      </c>
      <c r="AA1267" t="s">
        <v>32</v>
      </c>
      <c r="AB1267" t="s">
        <v>44</v>
      </c>
      <c r="AC1267">
        <v>96.9</v>
      </c>
      <c r="AD1267" t="s">
        <v>34</v>
      </c>
      <c r="AE1267">
        <v>1036.6600000000001</v>
      </c>
      <c r="AF1267">
        <v>0</v>
      </c>
    </row>
    <row r="1268" spans="3:32" x14ac:dyDescent="0.35">
      <c r="C1268" s="1">
        <v>44216</v>
      </c>
      <c r="D1268" s="2">
        <v>44197</v>
      </c>
      <c r="E1268">
        <v>1245</v>
      </c>
      <c r="F1268" s="3">
        <v>1957.14</v>
      </c>
      <c r="G1268" s="3">
        <v>3683.59</v>
      </c>
      <c r="H1268" s="3">
        <v>-1726.45</v>
      </c>
      <c r="I1268" s="3">
        <v>1.88</v>
      </c>
      <c r="J1268">
        <v>0.32</v>
      </c>
      <c r="K1268">
        <v>2610.94</v>
      </c>
      <c r="L1268" t="s">
        <v>39</v>
      </c>
      <c r="M1268">
        <v>647</v>
      </c>
      <c r="N1268">
        <v>0.33</v>
      </c>
      <c r="O1268" s="3">
        <v>118.24</v>
      </c>
      <c r="P1268" s="3">
        <v>0.06</v>
      </c>
      <c r="Q1268" s="3">
        <v>132.06</v>
      </c>
      <c r="R1268" s="3">
        <v>7.0000000000000007E-2</v>
      </c>
      <c r="S1268">
        <v>7</v>
      </c>
      <c r="T1268">
        <v>1227.94</v>
      </c>
      <c r="U1268">
        <v>35</v>
      </c>
      <c r="V1268">
        <v>0</v>
      </c>
      <c r="W1268">
        <v>570.24</v>
      </c>
      <c r="X1268">
        <v>3045.26</v>
      </c>
      <c r="Y1268" t="s">
        <v>36</v>
      </c>
      <c r="Z1268" s="3">
        <v>1608.24</v>
      </c>
      <c r="AA1268" t="s">
        <v>40</v>
      </c>
      <c r="AB1268" t="s">
        <v>33</v>
      </c>
      <c r="AC1268">
        <v>15.8</v>
      </c>
      <c r="AD1268" t="s">
        <v>43</v>
      </c>
      <c r="AE1268">
        <v>0</v>
      </c>
      <c r="AF1268">
        <v>0</v>
      </c>
    </row>
    <row r="1269" spans="3:32" x14ac:dyDescent="0.35">
      <c r="C1269" s="1">
        <v>44216</v>
      </c>
      <c r="D1269" s="2">
        <v>44197</v>
      </c>
      <c r="E1269">
        <v>1663</v>
      </c>
      <c r="F1269" s="3">
        <v>3007.28</v>
      </c>
      <c r="G1269" s="3">
        <v>1754.01</v>
      </c>
      <c r="H1269" s="3">
        <v>1253.27</v>
      </c>
      <c r="I1269" s="3">
        <v>0.57999999999999996</v>
      </c>
      <c r="J1269">
        <v>0.19</v>
      </c>
      <c r="K1269">
        <v>2070.83</v>
      </c>
      <c r="L1269" t="s">
        <v>35</v>
      </c>
      <c r="M1269">
        <v>644</v>
      </c>
      <c r="N1269">
        <v>0.36</v>
      </c>
      <c r="O1269" s="3">
        <v>396.32</v>
      </c>
      <c r="P1269" s="3">
        <v>0.13</v>
      </c>
      <c r="Q1269" s="3">
        <v>1056.53</v>
      </c>
      <c r="R1269" s="3">
        <v>0.35</v>
      </c>
      <c r="S1269">
        <v>9</v>
      </c>
      <c r="T1269">
        <v>999.69</v>
      </c>
      <c r="U1269">
        <v>92</v>
      </c>
      <c r="V1269">
        <v>0</v>
      </c>
      <c r="W1269">
        <v>610.91999999999996</v>
      </c>
      <c r="X1269">
        <v>1000</v>
      </c>
      <c r="Y1269" t="s">
        <v>36</v>
      </c>
      <c r="Z1269" s="3">
        <v>1489.76</v>
      </c>
      <c r="AA1269" t="s">
        <v>40</v>
      </c>
      <c r="AB1269" t="s">
        <v>42</v>
      </c>
      <c r="AC1269">
        <v>37.9</v>
      </c>
      <c r="AD1269" t="s">
        <v>43</v>
      </c>
      <c r="AE1269">
        <v>1253.27</v>
      </c>
      <c r="AF1269">
        <v>0</v>
      </c>
    </row>
    <row r="1270" spans="3:32" x14ac:dyDescent="0.35">
      <c r="C1270" s="1">
        <v>44216</v>
      </c>
      <c r="D1270" s="2">
        <v>44197</v>
      </c>
      <c r="E1270">
        <v>1729</v>
      </c>
      <c r="F1270" s="3">
        <v>3494.72</v>
      </c>
      <c r="G1270" s="3">
        <v>3054.29</v>
      </c>
      <c r="H1270" s="3">
        <v>440.43</v>
      </c>
      <c r="I1270" s="3">
        <v>0.87</v>
      </c>
      <c r="J1270">
        <v>0.13</v>
      </c>
      <c r="K1270">
        <v>2364</v>
      </c>
      <c r="L1270" t="s">
        <v>35</v>
      </c>
      <c r="M1270">
        <v>663</v>
      </c>
      <c r="N1270">
        <v>0.31</v>
      </c>
      <c r="O1270" s="3">
        <v>314.63</v>
      </c>
      <c r="P1270" s="3">
        <v>0.09</v>
      </c>
      <c r="Q1270" s="3">
        <v>500.49</v>
      </c>
      <c r="R1270" s="3">
        <v>0.14000000000000001</v>
      </c>
      <c r="S1270">
        <v>6</v>
      </c>
      <c r="T1270">
        <v>1363.45</v>
      </c>
      <c r="U1270">
        <v>25</v>
      </c>
      <c r="V1270">
        <v>0</v>
      </c>
      <c r="W1270">
        <v>451.45</v>
      </c>
      <c r="X1270">
        <v>2851.1</v>
      </c>
      <c r="Y1270" t="s">
        <v>36</v>
      </c>
      <c r="Z1270" s="3">
        <v>907.7</v>
      </c>
      <c r="AA1270" t="s">
        <v>47</v>
      </c>
      <c r="AB1270" t="s">
        <v>33</v>
      </c>
      <c r="AC1270">
        <v>88.2</v>
      </c>
      <c r="AD1270" t="s">
        <v>43</v>
      </c>
      <c r="AE1270">
        <v>440.43</v>
      </c>
      <c r="AF1270">
        <v>0</v>
      </c>
    </row>
    <row r="1271" spans="3:32" x14ac:dyDescent="0.35">
      <c r="C1271" s="1">
        <v>44216</v>
      </c>
      <c r="D1271" s="2">
        <v>44197</v>
      </c>
      <c r="E1271">
        <v>1802</v>
      </c>
      <c r="F1271" s="3">
        <v>2755.45</v>
      </c>
      <c r="G1271" s="3">
        <v>2302.9899999999998</v>
      </c>
      <c r="H1271" s="3">
        <v>452.46</v>
      </c>
      <c r="I1271" s="3">
        <v>0.84</v>
      </c>
      <c r="J1271">
        <v>0.35</v>
      </c>
      <c r="K1271">
        <v>1882.96</v>
      </c>
      <c r="L1271" t="s">
        <v>35</v>
      </c>
      <c r="M1271">
        <v>651</v>
      </c>
      <c r="N1271">
        <v>0.48</v>
      </c>
      <c r="O1271" s="3">
        <v>552.79999999999995</v>
      </c>
      <c r="P1271" s="3">
        <v>0.2</v>
      </c>
      <c r="Q1271" s="3">
        <v>822.54</v>
      </c>
      <c r="R1271" s="3">
        <v>0.3</v>
      </c>
      <c r="S1271">
        <v>3</v>
      </c>
      <c r="T1271">
        <v>828.85</v>
      </c>
      <c r="U1271">
        <v>46</v>
      </c>
      <c r="V1271">
        <v>0</v>
      </c>
      <c r="W1271">
        <v>576.19000000000005</v>
      </c>
      <c r="X1271">
        <v>2331.48</v>
      </c>
      <c r="Y1271" t="s">
        <v>31</v>
      </c>
      <c r="Z1271" s="3">
        <v>1712.95</v>
      </c>
      <c r="AA1271" t="s">
        <v>32</v>
      </c>
      <c r="AB1271" t="s">
        <v>33</v>
      </c>
      <c r="AC1271">
        <v>14.2</v>
      </c>
      <c r="AD1271" t="s">
        <v>43</v>
      </c>
      <c r="AE1271">
        <v>452.46</v>
      </c>
      <c r="AF1271">
        <v>0</v>
      </c>
    </row>
    <row r="1272" spans="3:32" x14ac:dyDescent="0.35">
      <c r="C1272" s="1">
        <v>44216</v>
      </c>
      <c r="D1272" s="2">
        <v>44197</v>
      </c>
      <c r="E1272">
        <v>1631</v>
      </c>
      <c r="F1272" s="3">
        <v>2199.15</v>
      </c>
      <c r="G1272" s="3">
        <v>3727.1</v>
      </c>
      <c r="H1272" s="3">
        <v>-1527.95</v>
      </c>
      <c r="I1272" s="3">
        <v>1.69</v>
      </c>
      <c r="J1272">
        <v>0.27</v>
      </c>
      <c r="K1272">
        <v>2929.58</v>
      </c>
      <c r="L1272" t="s">
        <v>35</v>
      </c>
      <c r="M1272">
        <v>761</v>
      </c>
      <c r="N1272">
        <v>0.18</v>
      </c>
      <c r="O1272" s="3">
        <v>548.25</v>
      </c>
      <c r="P1272" s="3">
        <v>0.25</v>
      </c>
      <c r="Q1272" s="3">
        <v>475.58</v>
      </c>
      <c r="R1272" s="3">
        <v>0.22</v>
      </c>
      <c r="S1272">
        <v>2</v>
      </c>
      <c r="T1272">
        <v>1090.17</v>
      </c>
      <c r="U1272">
        <v>70</v>
      </c>
      <c r="V1272">
        <v>0</v>
      </c>
      <c r="W1272">
        <v>428.34</v>
      </c>
      <c r="X1272">
        <v>1268.99</v>
      </c>
      <c r="Y1272" t="s">
        <v>36</v>
      </c>
      <c r="Z1272" s="3">
        <v>1975.6</v>
      </c>
      <c r="AA1272" t="s">
        <v>46</v>
      </c>
      <c r="AB1272" t="s">
        <v>33</v>
      </c>
      <c r="AC1272">
        <v>87.6</v>
      </c>
      <c r="AD1272" t="s">
        <v>38</v>
      </c>
      <c r="AE1272">
        <v>0</v>
      </c>
      <c r="AF1272">
        <v>0</v>
      </c>
    </row>
    <row r="1273" spans="3:32" x14ac:dyDescent="0.35">
      <c r="C1273" s="1">
        <v>44216</v>
      </c>
      <c r="D1273" s="2">
        <v>44197</v>
      </c>
      <c r="E1273">
        <v>1790</v>
      </c>
      <c r="F1273" s="3">
        <v>1710.02</v>
      </c>
      <c r="G1273" s="3">
        <v>2960.71</v>
      </c>
      <c r="H1273" s="3">
        <v>-1250.69</v>
      </c>
      <c r="I1273" s="3">
        <v>1.73</v>
      </c>
      <c r="J1273">
        <v>0.38</v>
      </c>
      <c r="K1273">
        <v>2864.37</v>
      </c>
      <c r="L1273" t="s">
        <v>35</v>
      </c>
      <c r="M1273">
        <v>753</v>
      </c>
      <c r="N1273">
        <v>0.2</v>
      </c>
      <c r="O1273" s="3">
        <v>384.02</v>
      </c>
      <c r="P1273" s="3">
        <v>0.22</v>
      </c>
      <c r="Q1273" s="3">
        <v>55.55</v>
      </c>
      <c r="R1273" s="3">
        <v>0.03</v>
      </c>
      <c r="S1273">
        <v>5</v>
      </c>
      <c r="T1273">
        <v>345.16</v>
      </c>
      <c r="U1273">
        <v>20</v>
      </c>
      <c r="V1273">
        <v>0</v>
      </c>
      <c r="W1273">
        <v>492.95</v>
      </c>
      <c r="X1273">
        <v>1058.1400000000001</v>
      </c>
      <c r="Y1273" t="s">
        <v>36</v>
      </c>
      <c r="Z1273" s="3">
        <v>1365.88</v>
      </c>
      <c r="AA1273" t="s">
        <v>48</v>
      </c>
      <c r="AB1273" t="s">
        <v>42</v>
      </c>
      <c r="AC1273">
        <v>34.6</v>
      </c>
      <c r="AD1273" t="s">
        <v>34</v>
      </c>
      <c r="AE1273">
        <v>0</v>
      </c>
      <c r="AF1273">
        <v>0</v>
      </c>
    </row>
    <row r="1274" spans="3:32" x14ac:dyDescent="0.35">
      <c r="C1274" s="1">
        <v>44216</v>
      </c>
      <c r="D1274" s="2">
        <v>44197</v>
      </c>
      <c r="E1274">
        <v>1607</v>
      </c>
      <c r="F1274" s="3">
        <v>4992.93</v>
      </c>
      <c r="G1274" s="3">
        <v>2954.29</v>
      </c>
      <c r="H1274" s="3">
        <v>2038.64</v>
      </c>
      <c r="I1274" s="3">
        <v>0.59</v>
      </c>
      <c r="J1274">
        <v>0.25</v>
      </c>
      <c r="K1274">
        <v>2976.17</v>
      </c>
      <c r="L1274" t="s">
        <v>30</v>
      </c>
      <c r="M1274">
        <v>656</v>
      </c>
      <c r="N1274">
        <v>0.47</v>
      </c>
      <c r="O1274" s="3">
        <v>563.05999999999995</v>
      </c>
      <c r="P1274" s="3">
        <v>0.11</v>
      </c>
      <c r="Q1274" s="3">
        <v>507.27</v>
      </c>
      <c r="R1274" s="3">
        <v>0.1</v>
      </c>
      <c r="S1274">
        <v>1</v>
      </c>
      <c r="T1274">
        <v>1297.57</v>
      </c>
      <c r="U1274">
        <v>21</v>
      </c>
      <c r="V1274">
        <v>0</v>
      </c>
      <c r="W1274">
        <v>540.80999999999995</v>
      </c>
      <c r="X1274">
        <v>2016.59</v>
      </c>
      <c r="Y1274" t="s">
        <v>31</v>
      </c>
      <c r="Z1274" s="3">
        <v>539.52</v>
      </c>
      <c r="AA1274" t="s">
        <v>41</v>
      </c>
      <c r="AB1274" t="s">
        <v>44</v>
      </c>
      <c r="AC1274">
        <v>4.7</v>
      </c>
      <c r="AD1274" t="s">
        <v>34</v>
      </c>
      <c r="AE1274">
        <v>2038.64</v>
      </c>
      <c r="AF1274">
        <v>0</v>
      </c>
    </row>
    <row r="1275" spans="3:32" x14ac:dyDescent="0.35">
      <c r="C1275" s="1">
        <v>44216</v>
      </c>
      <c r="D1275" s="2">
        <v>44197</v>
      </c>
      <c r="E1275">
        <v>1759</v>
      </c>
      <c r="F1275" s="3">
        <v>2821.14</v>
      </c>
      <c r="G1275" s="3">
        <v>3482.94</v>
      </c>
      <c r="H1275" s="3">
        <v>-661.8</v>
      </c>
      <c r="I1275" s="3">
        <v>1.23</v>
      </c>
      <c r="J1275">
        <v>0.25</v>
      </c>
      <c r="K1275">
        <v>3702.63</v>
      </c>
      <c r="L1275" t="s">
        <v>30</v>
      </c>
      <c r="M1275">
        <v>670</v>
      </c>
      <c r="N1275">
        <v>0.32</v>
      </c>
      <c r="O1275" s="3">
        <v>165.3</v>
      </c>
      <c r="P1275" s="3">
        <v>0.06</v>
      </c>
      <c r="Q1275" s="3">
        <v>175.26</v>
      </c>
      <c r="R1275" s="3">
        <v>0.06</v>
      </c>
      <c r="S1275">
        <v>1</v>
      </c>
      <c r="T1275">
        <v>1044.31</v>
      </c>
      <c r="U1275">
        <v>76</v>
      </c>
      <c r="V1275">
        <v>0</v>
      </c>
      <c r="W1275">
        <v>535.98</v>
      </c>
      <c r="X1275">
        <v>1518</v>
      </c>
      <c r="Y1275" t="s">
        <v>36</v>
      </c>
      <c r="Z1275" s="3">
        <v>1462.06</v>
      </c>
      <c r="AA1275" t="s">
        <v>40</v>
      </c>
      <c r="AB1275" t="s">
        <v>44</v>
      </c>
      <c r="AC1275">
        <v>67.400000000000006</v>
      </c>
      <c r="AD1275" t="s">
        <v>43</v>
      </c>
      <c r="AE1275">
        <v>0</v>
      </c>
      <c r="AF1275">
        <v>0</v>
      </c>
    </row>
    <row r="1276" spans="3:32" x14ac:dyDescent="0.35">
      <c r="C1276" s="1">
        <v>44216</v>
      </c>
      <c r="D1276" s="2">
        <v>44197</v>
      </c>
      <c r="E1276">
        <v>1810</v>
      </c>
      <c r="F1276" s="3">
        <v>4027.77</v>
      </c>
      <c r="G1276" s="3">
        <v>2853.22</v>
      </c>
      <c r="H1276" s="3">
        <v>1174.55</v>
      </c>
      <c r="I1276" s="3">
        <v>0.71</v>
      </c>
      <c r="J1276">
        <v>0.09</v>
      </c>
      <c r="K1276">
        <v>2733.82</v>
      </c>
      <c r="L1276" t="s">
        <v>30</v>
      </c>
      <c r="M1276">
        <v>626</v>
      </c>
      <c r="N1276">
        <v>0.57999999999999996</v>
      </c>
      <c r="O1276" s="3">
        <v>473.35</v>
      </c>
      <c r="P1276" s="3">
        <v>0.12</v>
      </c>
      <c r="Q1276" s="3">
        <v>405.16</v>
      </c>
      <c r="R1276" s="3">
        <v>0.1</v>
      </c>
      <c r="S1276">
        <v>3</v>
      </c>
      <c r="T1276">
        <v>556.47</v>
      </c>
      <c r="U1276">
        <v>88</v>
      </c>
      <c r="V1276">
        <v>0</v>
      </c>
      <c r="W1276">
        <v>79.75</v>
      </c>
      <c r="X1276">
        <v>2465.0700000000002</v>
      </c>
      <c r="Y1276" t="s">
        <v>36</v>
      </c>
      <c r="Z1276" s="3">
        <v>989.12</v>
      </c>
      <c r="AA1276" t="s">
        <v>50</v>
      </c>
      <c r="AB1276" t="s">
        <v>33</v>
      </c>
      <c r="AC1276">
        <v>89.5</v>
      </c>
      <c r="AD1276" t="s">
        <v>38</v>
      </c>
      <c r="AE1276">
        <v>1174.55</v>
      </c>
      <c r="AF1276">
        <v>0</v>
      </c>
    </row>
    <row r="1277" spans="3:32" x14ac:dyDescent="0.35">
      <c r="C1277" s="1">
        <v>44216</v>
      </c>
      <c r="D1277" s="2">
        <v>44197</v>
      </c>
      <c r="E1277">
        <v>1589</v>
      </c>
      <c r="F1277" s="3">
        <v>4640.5</v>
      </c>
      <c r="G1277" s="3">
        <v>2528.4499999999998</v>
      </c>
      <c r="H1277" s="3">
        <v>2112.0500000000002</v>
      </c>
      <c r="I1277" s="3">
        <v>0.54</v>
      </c>
      <c r="J1277">
        <v>0.27</v>
      </c>
      <c r="K1277">
        <v>3859.5</v>
      </c>
      <c r="L1277" t="s">
        <v>35</v>
      </c>
      <c r="M1277">
        <v>691</v>
      </c>
      <c r="N1277">
        <v>0.45</v>
      </c>
      <c r="O1277" s="3">
        <v>441.17</v>
      </c>
      <c r="P1277" s="3">
        <v>0.1</v>
      </c>
      <c r="Q1277" s="3">
        <v>267.39</v>
      </c>
      <c r="R1277" s="3">
        <v>0.06</v>
      </c>
      <c r="S1277">
        <v>6</v>
      </c>
      <c r="T1277">
        <v>0</v>
      </c>
      <c r="U1277">
        <v>72</v>
      </c>
      <c r="V1277">
        <v>0</v>
      </c>
      <c r="W1277">
        <v>367.52</v>
      </c>
      <c r="X1277">
        <v>1815.42</v>
      </c>
      <c r="Y1277" t="s">
        <v>36</v>
      </c>
      <c r="Z1277" s="3">
        <v>1662.16</v>
      </c>
      <c r="AA1277" t="s">
        <v>48</v>
      </c>
      <c r="AB1277" t="s">
        <v>44</v>
      </c>
      <c r="AC1277">
        <v>76.3</v>
      </c>
      <c r="AD1277" t="s">
        <v>38</v>
      </c>
      <c r="AE1277">
        <v>2112.0500000000002</v>
      </c>
      <c r="AF1277">
        <v>0</v>
      </c>
    </row>
    <row r="1278" spans="3:32" x14ac:dyDescent="0.35">
      <c r="C1278" s="1">
        <v>44216</v>
      </c>
      <c r="D1278" s="2">
        <v>44197</v>
      </c>
      <c r="E1278">
        <v>1953</v>
      </c>
      <c r="F1278" s="3">
        <v>4042.72</v>
      </c>
      <c r="G1278" s="3">
        <v>3485.08</v>
      </c>
      <c r="H1278" s="3">
        <v>557.64</v>
      </c>
      <c r="I1278" s="3">
        <v>0.86</v>
      </c>
      <c r="J1278">
        <v>0.32</v>
      </c>
      <c r="K1278">
        <v>2916.12</v>
      </c>
      <c r="L1278" t="s">
        <v>39</v>
      </c>
      <c r="M1278">
        <v>708</v>
      </c>
      <c r="N1278">
        <v>0.15</v>
      </c>
      <c r="O1278" s="3">
        <v>579.36</v>
      </c>
      <c r="P1278" s="3">
        <v>0.14000000000000001</v>
      </c>
      <c r="Q1278" s="3">
        <v>440.4</v>
      </c>
      <c r="R1278" s="3">
        <v>0.11</v>
      </c>
      <c r="S1278">
        <v>4</v>
      </c>
      <c r="T1278">
        <v>710.16</v>
      </c>
      <c r="U1278">
        <v>84</v>
      </c>
      <c r="V1278">
        <v>0</v>
      </c>
      <c r="W1278">
        <v>511.6</v>
      </c>
      <c r="X1278">
        <v>2203.96</v>
      </c>
      <c r="Y1278" t="s">
        <v>36</v>
      </c>
      <c r="Z1278" s="3">
        <v>1315</v>
      </c>
      <c r="AA1278" t="s">
        <v>37</v>
      </c>
      <c r="AB1278" t="s">
        <v>42</v>
      </c>
      <c r="AC1278">
        <v>74.599999999999994</v>
      </c>
      <c r="AD1278" t="s">
        <v>43</v>
      </c>
      <c r="AE1278">
        <v>557.64</v>
      </c>
      <c r="AF1278">
        <v>0</v>
      </c>
    </row>
    <row r="1279" spans="3:32" x14ac:dyDescent="0.35">
      <c r="C1279" s="1">
        <v>44216</v>
      </c>
      <c r="D1279" s="2">
        <v>44197</v>
      </c>
      <c r="E1279">
        <v>1607</v>
      </c>
      <c r="F1279" s="3">
        <v>4312.67</v>
      </c>
      <c r="G1279" s="3">
        <v>2589.56</v>
      </c>
      <c r="H1279" s="3">
        <v>1723.11</v>
      </c>
      <c r="I1279" s="3">
        <v>0.6</v>
      </c>
      <c r="J1279">
        <v>0.05</v>
      </c>
      <c r="K1279">
        <v>2770.19</v>
      </c>
      <c r="L1279" t="s">
        <v>35</v>
      </c>
      <c r="M1279">
        <v>640</v>
      </c>
      <c r="N1279">
        <v>0.19</v>
      </c>
      <c r="O1279" s="3">
        <v>435.89</v>
      </c>
      <c r="P1279" s="3">
        <v>0.1</v>
      </c>
      <c r="Q1279" s="3">
        <v>438.83</v>
      </c>
      <c r="R1279" s="3">
        <v>0.1</v>
      </c>
      <c r="S1279">
        <v>6</v>
      </c>
      <c r="T1279">
        <v>1130.21</v>
      </c>
      <c r="U1279">
        <v>61</v>
      </c>
      <c r="V1279">
        <v>0</v>
      </c>
      <c r="W1279">
        <v>637.71</v>
      </c>
      <c r="X1279">
        <v>3187.98</v>
      </c>
      <c r="Y1279" t="s">
        <v>36</v>
      </c>
      <c r="Z1279" s="3">
        <v>1072.8399999999999</v>
      </c>
      <c r="AA1279" t="s">
        <v>51</v>
      </c>
      <c r="AB1279" t="s">
        <v>33</v>
      </c>
      <c r="AC1279">
        <v>21.5</v>
      </c>
      <c r="AD1279" t="s">
        <v>34</v>
      </c>
      <c r="AE1279">
        <v>1723.11</v>
      </c>
      <c r="AF1279">
        <v>0</v>
      </c>
    </row>
    <row r="1280" spans="3:32" x14ac:dyDescent="0.35">
      <c r="C1280" s="1">
        <v>44216</v>
      </c>
      <c r="D1280" s="2">
        <v>44197</v>
      </c>
      <c r="E1280">
        <v>1656</v>
      </c>
      <c r="F1280" s="3">
        <v>4241.75</v>
      </c>
      <c r="G1280" s="3">
        <v>2629.51</v>
      </c>
      <c r="H1280" s="3">
        <v>1612.24</v>
      </c>
      <c r="I1280" s="3">
        <v>0.62</v>
      </c>
      <c r="J1280">
        <v>0.2</v>
      </c>
      <c r="K1280">
        <v>2342.29</v>
      </c>
      <c r="L1280" t="s">
        <v>35</v>
      </c>
      <c r="M1280">
        <v>585</v>
      </c>
      <c r="N1280">
        <v>0.3</v>
      </c>
      <c r="O1280" s="3">
        <v>784.3</v>
      </c>
      <c r="P1280" s="3">
        <v>0.18</v>
      </c>
      <c r="Q1280" s="3">
        <v>456.01</v>
      </c>
      <c r="R1280" s="3">
        <v>0.11</v>
      </c>
      <c r="S1280">
        <v>2</v>
      </c>
      <c r="T1280">
        <v>512.51</v>
      </c>
      <c r="U1280">
        <v>77</v>
      </c>
      <c r="V1280">
        <v>0</v>
      </c>
      <c r="W1280">
        <v>133.01</v>
      </c>
      <c r="X1280">
        <v>1629.29</v>
      </c>
      <c r="Y1280" t="s">
        <v>36</v>
      </c>
      <c r="Z1280" s="3">
        <v>612.74</v>
      </c>
      <c r="AA1280" t="s">
        <v>51</v>
      </c>
      <c r="AB1280" t="s">
        <v>44</v>
      </c>
      <c r="AC1280">
        <v>42.7</v>
      </c>
      <c r="AD1280" t="s">
        <v>43</v>
      </c>
      <c r="AE1280">
        <v>1612.24</v>
      </c>
      <c r="AF1280">
        <v>0</v>
      </c>
    </row>
    <row r="1281" spans="3:32" x14ac:dyDescent="0.35">
      <c r="C1281" s="1">
        <v>44216</v>
      </c>
      <c r="D1281" s="2">
        <v>44197</v>
      </c>
      <c r="E1281">
        <v>1729</v>
      </c>
      <c r="F1281" s="3">
        <v>2223.77</v>
      </c>
      <c r="G1281" s="3">
        <v>1831.22</v>
      </c>
      <c r="H1281" s="3">
        <v>392.55</v>
      </c>
      <c r="I1281" s="3">
        <v>0.82</v>
      </c>
      <c r="J1281">
        <v>0.4</v>
      </c>
      <c r="K1281">
        <v>2779.55</v>
      </c>
      <c r="L1281" t="s">
        <v>35</v>
      </c>
      <c r="M1281">
        <v>602</v>
      </c>
      <c r="N1281">
        <v>0.45</v>
      </c>
      <c r="O1281" s="3">
        <v>519</v>
      </c>
      <c r="P1281" s="3">
        <v>0.23</v>
      </c>
      <c r="Q1281" s="3">
        <v>238.4</v>
      </c>
      <c r="R1281" s="3">
        <v>0.11</v>
      </c>
      <c r="S1281">
        <v>8</v>
      </c>
      <c r="T1281">
        <v>755.98</v>
      </c>
      <c r="U1281">
        <v>98</v>
      </c>
      <c r="V1281">
        <v>0</v>
      </c>
      <c r="W1281">
        <v>662.48</v>
      </c>
      <c r="X1281">
        <v>2465.4299999999998</v>
      </c>
      <c r="Y1281" t="s">
        <v>49</v>
      </c>
      <c r="Z1281" s="3">
        <v>1048.17</v>
      </c>
      <c r="AA1281" t="s">
        <v>50</v>
      </c>
      <c r="AB1281" t="s">
        <v>44</v>
      </c>
      <c r="AC1281">
        <v>33.6</v>
      </c>
      <c r="AD1281" t="s">
        <v>43</v>
      </c>
      <c r="AE1281">
        <v>392.55</v>
      </c>
      <c r="AF1281">
        <v>0</v>
      </c>
    </row>
    <row r="1282" spans="3:32" x14ac:dyDescent="0.35">
      <c r="C1282" s="1">
        <v>44216</v>
      </c>
      <c r="D1282" s="2">
        <v>44197</v>
      </c>
      <c r="E1282">
        <v>1137</v>
      </c>
      <c r="F1282" s="3">
        <v>2880.75</v>
      </c>
      <c r="G1282" s="3">
        <v>2088.7800000000002</v>
      </c>
      <c r="H1282" s="3">
        <v>791.97</v>
      </c>
      <c r="I1282" s="3">
        <v>0.73</v>
      </c>
      <c r="J1282">
        <v>0.09</v>
      </c>
      <c r="K1282">
        <v>2671.61</v>
      </c>
      <c r="L1282" t="s">
        <v>35</v>
      </c>
      <c r="M1282">
        <v>700</v>
      </c>
      <c r="N1282">
        <v>0.56000000000000005</v>
      </c>
      <c r="O1282" s="3">
        <v>592.21</v>
      </c>
      <c r="P1282" s="3">
        <v>0.21</v>
      </c>
      <c r="Q1282" s="3">
        <v>615.67999999999995</v>
      </c>
      <c r="R1282" s="3">
        <v>0.21</v>
      </c>
      <c r="S1282">
        <v>9</v>
      </c>
      <c r="T1282">
        <v>745.66</v>
      </c>
      <c r="U1282">
        <v>85</v>
      </c>
      <c r="V1282">
        <v>0</v>
      </c>
      <c r="W1282">
        <v>630.94000000000005</v>
      </c>
      <c r="X1282">
        <v>1910.13</v>
      </c>
      <c r="Y1282" t="s">
        <v>36</v>
      </c>
      <c r="Z1282" s="3">
        <v>1620.44</v>
      </c>
      <c r="AA1282" t="s">
        <v>45</v>
      </c>
      <c r="AB1282" t="s">
        <v>33</v>
      </c>
      <c r="AC1282">
        <v>34.9</v>
      </c>
      <c r="AD1282" t="s">
        <v>43</v>
      </c>
      <c r="AE1282">
        <v>791.97</v>
      </c>
      <c r="AF1282">
        <v>0</v>
      </c>
    </row>
    <row r="1283" spans="3:32" x14ac:dyDescent="0.35">
      <c r="C1283" s="1">
        <v>44216</v>
      </c>
      <c r="D1283" s="2">
        <v>44197</v>
      </c>
      <c r="E1283">
        <v>1053</v>
      </c>
      <c r="F1283" s="3">
        <v>4763.5600000000004</v>
      </c>
      <c r="G1283" s="3">
        <v>3377.53</v>
      </c>
      <c r="H1283" s="3">
        <v>1386.03</v>
      </c>
      <c r="I1283" s="3">
        <v>0.71</v>
      </c>
      <c r="J1283">
        <v>0.14000000000000001</v>
      </c>
      <c r="K1283">
        <v>3845.96</v>
      </c>
      <c r="L1283" t="s">
        <v>35</v>
      </c>
      <c r="M1283">
        <v>695</v>
      </c>
      <c r="N1283">
        <v>0.45</v>
      </c>
      <c r="O1283" s="3">
        <v>299.33999999999997</v>
      </c>
      <c r="P1283" s="3">
        <v>0.06</v>
      </c>
      <c r="Q1283" s="3">
        <v>419.97</v>
      </c>
      <c r="R1283" s="3">
        <v>0.09</v>
      </c>
      <c r="S1283">
        <v>4</v>
      </c>
      <c r="T1283">
        <v>804.45</v>
      </c>
      <c r="U1283">
        <v>21</v>
      </c>
      <c r="V1283">
        <v>0</v>
      </c>
      <c r="W1283">
        <v>126.05</v>
      </c>
      <c r="X1283">
        <v>2030.42</v>
      </c>
      <c r="Y1283" t="s">
        <v>36</v>
      </c>
      <c r="Z1283" s="3">
        <v>969.88</v>
      </c>
      <c r="AA1283" t="s">
        <v>47</v>
      </c>
      <c r="AB1283" t="s">
        <v>44</v>
      </c>
      <c r="AC1283">
        <v>33.1</v>
      </c>
      <c r="AD1283" t="s">
        <v>43</v>
      </c>
      <c r="AE1283">
        <v>1386.03</v>
      </c>
      <c r="AF1283">
        <v>0</v>
      </c>
    </row>
    <row r="1284" spans="3:32" x14ac:dyDescent="0.35">
      <c r="C1284" s="1">
        <v>44216</v>
      </c>
      <c r="D1284" s="2">
        <v>44197</v>
      </c>
      <c r="E1284">
        <v>1994</v>
      </c>
      <c r="F1284" s="3">
        <v>4597.41</v>
      </c>
      <c r="G1284" s="3">
        <v>3524.85</v>
      </c>
      <c r="H1284" s="3">
        <v>1072.56</v>
      </c>
      <c r="I1284" s="3">
        <v>0.77</v>
      </c>
      <c r="J1284">
        <v>0.38</v>
      </c>
      <c r="K1284">
        <v>2786.29</v>
      </c>
      <c r="L1284" t="s">
        <v>39</v>
      </c>
      <c r="M1284">
        <v>720</v>
      </c>
      <c r="N1284">
        <v>0.41</v>
      </c>
      <c r="O1284" s="3">
        <v>137.21</v>
      </c>
      <c r="P1284" s="3">
        <v>0.03</v>
      </c>
      <c r="Q1284" s="3">
        <v>480.19</v>
      </c>
      <c r="R1284" s="3">
        <v>0.1</v>
      </c>
      <c r="S1284">
        <v>1</v>
      </c>
      <c r="T1284">
        <v>373.12</v>
      </c>
      <c r="U1284">
        <v>38</v>
      </c>
      <c r="V1284">
        <v>0</v>
      </c>
      <c r="W1284">
        <v>661.53</v>
      </c>
      <c r="X1284">
        <v>1490.51</v>
      </c>
      <c r="Y1284" t="s">
        <v>31</v>
      </c>
      <c r="Z1284" s="3">
        <v>1428.58</v>
      </c>
      <c r="AA1284" t="s">
        <v>37</v>
      </c>
      <c r="AB1284" t="s">
        <v>44</v>
      </c>
      <c r="AC1284">
        <v>10.1</v>
      </c>
      <c r="AD1284" t="s">
        <v>34</v>
      </c>
      <c r="AE1284">
        <v>1072.56</v>
      </c>
      <c r="AF1284">
        <v>0</v>
      </c>
    </row>
    <row r="1285" spans="3:32" x14ac:dyDescent="0.35">
      <c r="C1285" s="1">
        <v>44216</v>
      </c>
      <c r="D1285" s="2">
        <v>44197</v>
      </c>
      <c r="E1285">
        <v>1074</v>
      </c>
      <c r="F1285" s="3">
        <v>5245.26</v>
      </c>
      <c r="G1285" s="3">
        <v>3743.35</v>
      </c>
      <c r="H1285" s="3">
        <v>1501.91</v>
      </c>
      <c r="I1285" s="3">
        <v>0.71</v>
      </c>
      <c r="J1285">
        <v>7.0000000000000007E-2</v>
      </c>
      <c r="K1285">
        <v>3510.16</v>
      </c>
      <c r="L1285" t="s">
        <v>35</v>
      </c>
      <c r="M1285">
        <v>735</v>
      </c>
      <c r="N1285">
        <v>0.41</v>
      </c>
      <c r="O1285" s="3">
        <v>688.89</v>
      </c>
      <c r="P1285" s="3">
        <v>0.13</v>
      </c>
      <c r="Q1285" s="3">
        <v>0</v>
      </c>
      <c r="R1285" s="3">
        <v>0</v>
      </c>
      <c r="S1285">
        <v>2</v>
      </c>
      <c r="T1285">
        <v>741.2</v>
      </c>
      <c r="U1285">
        <v>44</v>
      </c>
      <c r="V1285">
        <v>0</v>
      </c>
      <c r="W1285">
        <v>452.21</v>
      </c>
      <c r="X1285">
        <v>2313.39</v>
      </c>
      <c r="Y1285" t="s">
        <v>36</v>
      </c>
      <c r="Z1285" s="3">
        <v>559.78</v>
      </c>
      <c r="AA1285" t="s">
        <v>50</v>
      </c>
      <c r="AB1285" t="s">
        <v>42</v>
      </c>
      <c r="AC1285">
        <v>3.8</v>
      </c>
      <c r="AD1285" t="s">
        <v>34</v>
      </c>
      <c r="AE1285">
        <v>1501.91</v>
      </c>
      <c r="AF1285">
        <v>0</v>
      </c>
    </row>
    <row r="1286" spans="3:32" x14ac:dyDescent="0.35">
      <c r="C1286" s="1">
        <v>44216</v>
      </c>
      <c r="D1286" s="2">
        <v>44197</v>
      </c>
      <c r="E1286">
        <v>1842</v>
      </c>
      <c r="F1286" s="3">
        <v>4295.84</v>
      </c>
      <c r="G1286" s="3">
        <v>3338.27</v>
      </c>
      <c r="H1286" s="3">
        <v>957.57</v>
      </c>
      <c r="I1286" s="3">
        <v>0.78</v>
      </c>
      <c r="J1286">
        <v>0.28999999999999998</v>
      </c>
      <c r="K1286">
        <v>2839.65</v>
      </c>
      <c r="L1286" t="s">
        <v>35</v>
      </c>
      <c r="M1286">
        <v>623</v>
      </c>
      <c r="N1286">
        <v>0.39</v>
      </c>
      <c r="O1286" s="3">
        <v>191.73</v>
      </c>
      <c r="P1286" s="3">
        <v>0.04</v>
      </c>
      <c r="Q1286" s="3">
        <v>112.82</v>
      </c>
      <c r="R1286" s="3">
        <v>0.03</v>
      </c>
      <c r="S1286">
        <v>6</v>
      </c>
      <c r="T1286">
        <v>474.31</v>
      </c>
      <c r="U1286">
        <v>31</v>
      </c>
      <c r="V1286">
        <v>0</v>
      </c>
      <c r="W1286">
        <v>386.69</v>
      </c>
      <c r="X1286">
        <v>3298.43</v>
      </c>
      <c r="Y1286" t="s">
        <v>36</v>
      </c>
      <c r="Z1286" s="3">
        <v>960.41</v>
      </c>
      <c r="AA1286" t="s">
        <v>40</v>
      </c>
      <c r="AB1286" t="s">
        <v>33</v>
      </c>
      <c r="AC1286">
        <v>5.2</v>
      </c>
      <c r="AD1286" t="s">
        <v>38</v>
      </c>
      <c r="AE1286">
        <v>957.57</v>
      </c>
      <c r="AF1286">
        <v>0</v>
      </c>
    </row>
    <row r="1287" spans="3:32" x14ac:dyDescent="0.35">
      <c r="C1287" s="1">
        <v>44216</v>
      </c>
      <c r="D1287" s="2">
        <v>44197</v>
      </c>
      <c r="E1287">
        <v>1414</v>
      </c>
      <c r="F1287" s="3">
        <v>4461.22</v>
      </c>
      <c r="G1287" s="3">
        <v>3997.32</v>
      </c>
      <c r="H1287" s="3">
        <v>463.9</v>
      </c>
      <c r="I1287" s="3">
        <v>0.9</v>
      </c>
      <c r="J1287">
        <v>0.33</v>
      </c>
      <c r="K1287">
        <v>3025.72</v>
      </c>
      <c r="L1287" t="s">
        <v>39</v>
      </c>
      <c r="M1287">
        <v>684</v>
      </c>
      <c r="N1287">
        <v>0.51</v>
      </c>
      <c r="O1287" s="3">
        <v>638.83000000000004</v>
      </c>
      <c r="P1287" s="3">
        <v>0.14000000000000001</v>
      </c>
      <c r="Q1287" s="3">
        <v>570.15</v>
      </c>
      <c r="R1287" s="3">
        <v>0.13</v>
      </c>
      <c r="S1287">
        <v>7</v>
      </c>
      <c r="T1287">
        <v>1147.99</v>
      </c>
      <c r="U1287">
        <v>57</v>
      </c>
      <c r="V1287">
        <v>0</v>
      </c>
      <c r="W1287">
        <v>531.05999999999995</v>
      </c>
      <c r="X1287">
        <v>2396.5500000000002</v>
      </c>
      <c r="Y1287" t="s">
        <v>36</v>
      </c>
      <c r="Z1287" s="3">
        <v>1222.68</v>
      </c>
      <c r="AA1287" t="s">
        <v>32</v>
      </c>
      <c r="AB1287" t="s">
        <v>44</v>
      </c>
      <c r="AC1287">
        <v>89.6</v>
      </c>
      <c r="AD1287" t="s">
        <v>43</v>
      </c>
      <c r="AE1287">
        <v>463.9</v>
      </c>
      <c r="AF1287">
        <v>0</v>
      </c>
    </row>
    <row r="1288" spans="3:32" x14ac:dyDescent="0.35">
      <c r="C1288" s="1">
        <v>44216</v>
      </c>
      <c r="D1288" s="2">
        <v>44197</v>
      </c>
      <c r="E1288">
        <v>1587</v>
      </c>
      <c r="F1288" s="3">
        <v>2960.12</v>
      </c>
      <c r="G1288" s="3">
        <v>3608.82</v>
      </c>
      <c r="H1288" s="3">
        <v>-648.70000000000005</v>
      </c>
      <c r="I1288" s="3">
        <v>1.22</v>
      </c>
      <c r="J1288">
        <v>0.26</v>
      </c>
      <c r="K1288">
        <v>2104.1</v>
      </c>
      <c r="L1288" t="s">
        <v>35</v>
      </c>
      <c r="M1288">
        <v>716</v>
      </c>
      <c r="N1288">
        <v>0.19</v>
      </c>
      <c r="O1288" s="3">
        <v>691.54</v>
      </c>
      <c r="P1288" s="3">
        <v>0.23</v>
      </c>
      <c r="Q1288" s="3">
        <v>81.7</v>
      </c>
      <c r="R1288" s="3">
        <v>0.03</v>
      </c>
      <c r="S1288">
        <v>1</v>
      </c>
      <c r="T1288">
        <v>840.9</v>
      </c>
      <c r="U1288">
        <v>90</v>
      </c>
      <c r="V1288">
        <v>0</v>
      </c>
      <c r="W1288">
        <v>738.79</v>
      </c>
      <c r="X1288">
        <v>2768.86</v>
      </c>
      <c r="Y1288" t="s">
        <v>36</v>
      </c>
      <c r="Z1288" s="3">
        <v>1099.73</v>
      </c>
      <c r="AA1288" t="s">
        <v>32</v>
      </c>
      <c r="AB1288" t="s">
        <v>42</v>
      </c>
      <c r="AC1288">
        <v>83.1</v>
      </c>
      <c r="AD1288" t="s">
        <v>38</v>
      </c>
      <c r="AE1288">
        <v>0</v>
      </c>
      <c r="AF1288">
        <v>0</v>
      </c>
    </row>
    <row r="1289" spans="3:32" x14ac:dyDescent="0.35">
      <c r="C1289" s="1">
        <v>44216</v>
      </c>
      <c r="D1289" s="2">
        <v>44197</v>
      </c>
      <c r="E1289">
        <v>1280</v>
      </c>
      <c r="F1289" s="3">
        <v>4168.25</v>
      </c>
      <c r="G1289" s="3">
        <v>2175.41</v>
      </c>
      <c r="H1289" s="3">
        <v>1992.84</v>
      </c>
      <c r="I1289" s="3">
        <v>0.52</v>
      </c>
      <c r="J1289">
        <v>0.2</v>
      </c>
      <c r="K1289">
        <v>2758.64</v>
      </c>
      <c r="L1289" t="s">
        <v>39</v>
      </c>
      <c r="M1289">
        <v>654</v>
      </c>
      <c r="N1289">
        <v>0.54</v>
      </c>
      <c r="O1289" s="3">
        <v>396.52</v>
      </c>
      <c r="P1289" s="3">
        <v>0.1</v>
      </c>
      <c r="Q1289" s="3">
        <v>606.66</v>
      </c>
      <c r="R1289" s="3">
        <v>0.15</v>
      </c>
      <c r="S1289">
        <v>9</v>
      </c>
      <c r="T1289">
        <v>353.3</v>
      </c>
      <c r="U1289">
        <v>74</v>
      </c>
      <c r="V1289">
        <v>0</v>
      </c>
      <c r="W1289">
        <v>416.75</v>
      </c>
      <c r="X1289">
        <v>2300.5100000000002</v>
      </c>
      <c r="Y1289" t="s">
        <v>36</v>
      </c>
      <c r="Z1289" s="3">
        <v>1417.37</v>
      </c>
      <c r="AA1289" t="s">
        <v>46</v>
      </c>
      <c r="AB1289" t="s">
        <v>33</v>
      </c>
      <c r="AC1289">
        <v>99.7</v>
      </c>
      <c r="AD1289" t="s">
        <v>34</v>
      </c>
      <c r="AE1289">
        <v>1992.84</v>
      </c>
      <c r="AF1289">
        <v>0</v>
      </c>
    </row>
    <row r="1290" spans="3:32" x14ac:dyDescent="0.35">
      <c r="C1290" s="1">
        <v>44216</v>
      </c>
      <c r="D1290" s="2">
        <v>44197</v>
      </c>
      <c r="E1290">
        <v>1215</v>
      </c>
      <c r="F1290" s="3">
        <v>2131.0100000000002</v>
      </c>
      <c r="G1290" s="3">
        <v>2020.26</v>
      </c>
      <c r="H1290" s="3">
        <v>110.75</v>
      </c>
      <c r="I1290" s="3">
        <v>0.95</v>
      </c>
      <c r="J1290">
        <v>0.38</v>
      </c>
      <c r="K1290">
        <v>2514.5300000000002</v>
      </c>
      <c r="L1290" t="s">
        <v>35</v>
      </c>
      <c r="M1290">
        <v>647</v>
      </c>
      <c r="N1290">
        <v>0.53</v>
      </c>
      <c r="O1290" s="3">
        <v>256.45999999999998</v>
      </c>
      <c r="P1290" s="3">
        <v>0.12</v>
      </c>
      <c r="Q1290" s="3">
        <v>41.67</v>
      </c>
      <c r="R1290" s="3">
        <v>0.02</v>
      </c>
      <c r="S1290">
        <v>2</v>
      </c>
      <c r="T1290">
        <v>1685.92</v>
      </c>
      <c r="U1290">
        <v>39</v>
      </c>
      <c r="V1290">
        <v>0</v>
      </c>
      <c r="W1290">
        <v>718.85</v>
      </c>
      <c r="X1290">
        <v>2449.94</v>
      </c>
      <c r="Y1290" t="s">
        <v>36</v>
      </c>
      <c r="Z1290" s="3">
        <v>1547.39</v>
      </c>
      <c r="AA1290" t="s">
        <v>40</v>
      </c>
      <c r="AB1290" t="s">
        <v>33</v>
      </c>
      <c r="AC1290">
        <v>90.4</v>
      </c>
      <c r="AD1290" t="s">
        <v>43</v>
      </c>
      <c r="AE1290">
        <v>110.75</v>
      </c>
      <c r="AF1290">
        <v>0</v>
      </c>
    </row>
    <row r="1291" spans="3:32" x14ac:dyDescent="0.35">
      <c r="C1291" s="1">
        <v>44216</v>
      </c>
      <c r="D1291" s="2">
        <v>44197</v>
      </c>
      <c r="E1291">
        <v>1578</v>
      </c>
      <c r="F1291" s="3">
        <v>3615.39</v>
      </c>
      <c r="G1291" s="3">
        <v>2572.65</v>
      </c>
      <c r="H1291" s="3">
        <v>1042.74</v>
      </c>
      <c r="I1291" s="3">
        <v>0.71</v>
      </c>
      <c r="J1291">
        <v>0.09</v>
      </c>
      <c r="K1291">
        <v>2324.56</v>
      </c>
      <c r="L1291" t="s">
        <v>39</v>
      </c>
      <c r="M1291">
        <v>689</v>
      </c>
      <c r="N1291">
        <v>0.17</v>
      </c>
      <c r="O1291" s="3">
        <v>522.41</v>
      </c>
      <c r="P1291" s="3">
        <v>0.14000000000000001</v>
      </c>
      <c r="Q1291" s="3">
        <v>737.38</v>
      </c>
      <c r="R1291" s="3">
        <v>0.2</v>
      </c>
      <c r="S1291">
        <v>5</v>
      </c>
      <c r="T1291">
        <v>1089.8800000000001</v>
      </c>
      <c r="U1291">
        <v>54</v>
      </c>
      <c r="V1291">
        <v>0</v>
      </c>
      <c r="W1291">
        <v>146.75</v>
      </c>
      <c r="X1291">
        <v>1704.72</v>
      </c>
      <c r="Y1291" t="s">
        <v>36</v>
      </c>
      <c r="Z1291" s="3">
        <v>2340.69</v>
      </c>
      <c r="AA1291" t="s">
        <v>47</v>
      </c>
      <c r="AB1291" t="s">
        <v>33</v>
      </c>
      <c r="AC1291">
        <v>57.8</v>
      </c>
      <c r="AD1291" t="s">
        <v>34</v>
      </c>
      <c r="AE1291">
        <v>1042.74</v>
      </c>
      <c r="AF1291">
        <v>0</v>
      </c>
    </row>
    <row r="1292" spans="3:32" x14ac:dyDescent="0.35">
      <c r="C1292" s="1">
        <v>44216</v>
      </c>
      <c r="D1292" s="2">
        <v>44197</v>
      </c>
      <c r="E1292">
        <v>1970</v>
      </c>
      <c r="F1292" s="3">
        <v>2377.35</v>
      </c>
      <c r="G1292" s="3">
        <v>3709.72</v>
      </c>
      <c r="H1292" s="3">
        <v>-1332.37</v>
      </c>
      <c r="I1292" s="3">
        <v>1.56</v>
      </c>
      <c r="J1292">
        <v>0.38</v>
      </c>
      <c r="K1292">
        <v>3182.65</v>
      </c>
      <c r="L1292" t="s">
        <v>39</v>
      </c>
      <c r="M1292">
        <v>720</v>
      </c>
      <c r="N1292">
        <v>0.38</v>
      </c>
      <c r="O1292" s="3">
        <v>677.47</v>
      </c>
      <c r="P1292" s="3">
        <v>0.28000000000000003</v>
      </c>
      <c r="Q1292" s="3">
        <v>25.62</v>
      </c>
      <c r="R1292" s="3">
        <v>0.01</v>
      </c>
      <c r="S1292">
        <v>7</v>
      </c>
      <c r="T1292">
        <v>1614.01</v>
      </c>
      <c r="U1292">
        <v>80</v>
      </c>
      <c r="V1292">
        <v>0</v>
      </c>
      <c r="W1292">
        <v>982.18</v>
      </c>
      <c r="X1292">
        <v>2967.04</v>
      </c>
      <c r="Y1292" t="s">
        <v>31</v>
      </c>
      <c r="Z1292" s="3">
        <v>571.49</v>
      </c>
      <c r="AA1292" t="s">
        <v>51</v>
      </c>
      <c r="AB1292" t="s">
        <v>44</v>
      </c>
      <c r="AC1292">
        <v>91.9</v>
      </c>
      <c r="AD1292" t="s">
        <v>34</v>
      </c>
      <c r="AE1292">
        <v>0</v>
      </c>
      <c r="AF1292">
        <v>0</v>
      </c>
    </row>
    <row r="1293" spans="3:32" x14ac:dyDescent="0.35">
      <c r="C1293" s="1">
        <v>44216</v>
      </c>
      <c r="D1293" s="2">
        <v>44197</v>
      </c>
      <c r="E1293">
        <v>1462</v>
      </c>
      <c r="F1293" s="3">
        <v>3844.67</v>
      </c>
      <c r="G1293" s="3">
        <v>2516.9</v>
      </c>
      <c r="H1293" s="3">
        <v>1327.77</v>
      </c>
      <c r="I1293" s="3">
        <v>0.65</v>
      </c>
      <c r="J1293">
        <v>0.39</v>
      </c>
      <c r="K1293">
        <v>3275.03</v>
      </c>
      <c r="L1293" t="s">
        <v>30</v>
      </c>
      <c r="M1293">
        <v>673</v>
      </c>
      <c r="N1293">
        <v>0.28999999999999998</v>
      </c>
      <c r="O1293" s="3">
        <v>509.86</v>
      </c>
      <c r="P1293" s="3">
        <v>0.13</v>
      </c>
      <c r="Q1293" s="3">
        <v>380.98</v>
      </c>
      <c r="R1293" s="3">
        <v>0.1</v>
      </c>
      <c r="S1293">
        <v>8</v>
      </c>
      <c r="T1293">
        <v>670.32</v>
      </c>
      <c r="U1293">
        <v>25</v>
      </c>
      <c r="V1293">
        <v>0</v>
      </c>
      <c r="W1293">
        <v>622.92999999999995</v>
      </c>
      <c r="X1293">
        <v>2642.72</v>
      </c>
      <c r="Y1293" t="s">
        <v>36</v>
      </c>
      <c r="Z1293" s="3">
        <v>916.63</v>
      </c>
      <c r="AA1293" t="s">
        <v>41</v>
      </c>
      <c r="AB1293" t="s">
        <v>44</v>
      </c>
      <c r="AC1293">
        <v>10.4</v>
      </c>
      <c r="AD1293" t="s">
        <v>43</v>
      </c>
      <c r="AE1293">
        <v>1327.77</v>
      </c>
      <c r="AF1293">
        <v>0</v>
      </c>
    </row>
    <row r="1294" spans="3:32" x14ac:dyDescent="0.35">
      <c r="C1294" s="1">
        <v>44216</v>
      </c>
      <c r="D1294" s="2">
        <v>44197</v>
      </c>
      <c r="E1294">
        <v>1667</v>
      </c>
      <c r="F1294" s="3">
        <v>3897.86</v>
      </c>
      <c r="G1294" s="3">
        <v>4084.01</v>
      </c>
      <c r="H1294" s="3">
        <v>-186.15</v>
      </c>
      <c r="I1294" s="3">
        <v>1.05</v>
      </c>
      <c r="J1294">
        <v>0.28000000000000003</v>
      </c>
      <c r="K1294">
        <v>3073.01</v>
      </c>
      <c r="L1294" t="s">
        <v>35</v>
      </c>
      <c r="M1294">
        <v>811</v>
      </c>
      <c r="N1294">
        <v>0.11</v>
      </c>
      <c r="O1294" s="3">
        <v>658.08</v>
      </c>
      <c r="P1294" s="3">
        <v>0.17</v>
      </c>
      <c r="Q1294" s="3">
        <v>252.46</v>
      </c>
      <c r="R1294" s="3">
        <v>0.06</v>
      </c>
      <c r="S1294">
        <v>3</v>
      </c>
      <c r="T1294">
        <v>1270.27</v>
      </c>
      <c r="U1294">
        <v>83</v>
      </c>
      <c r="V1294">
        <v>0</v>
      </c>
      <c r="W1294">
        <v>251.43</v>
      </c>
      <c r="X1294">
        <v>1776.82</v>
      </c>
      <c r="Y1294" t="s">
        <v>36</v>
      </c>
      <c r="Z1294" s="3">
        <v>2033.67</v>
      </c>
      <c r="AA1294" t="s">
        <v>45</v>
      </c>
      <c r="AB1294" t="s">
        <v>42</v>
      </c>
      <c r="AC1294">
        <v>74.400000000000006</v>
      </c>
      <c r="AD1294" t="s">
        <v>43</v>
      </c>
      <c r="AE1294">
        <v>0</v>
      </c>
      <c r="AF1294">
        <v>0</v>
      </c>
    </row>
    <row r="1295" spans="3:32" x14ac:dyDescent="0.35">
      <c r="C1295" s="1">
        <v>44216</v>
      </c>
      <c r="D1295" s="2">
        <v>44197</v>
      </c>
      <c r="E1295">
        <v>1764</v>
      </c>
      <c r="F1295" s="3">
        <v>4401.1400000000003</v>
      </c>
      <c r="G1295" s="3">
        <v>4136.3900000000003</v>
      </c>
      <c r="H1295" s="3">
        <v>264.75</v>
      </c>
      <c r="I1295" s="3">
        <v>0.94</v>
      </c>
      <c r="J1295">
        <v>0.08</v>
      </c>
      <c r="K1295">
        <v>2268.12</v>
      </c>
      <c r="L1295" t="s">
        <v>39</v>
      </c>
      <c r="M1295">
        <v>696</v>
      </c>
      <c r="N1295">
        <v>0.55000000000000004</v>
      </c>
      <c r="O1295" s="3">
        <v>562.20000000000005</v>
      </c>
      <c r="P1295" s="3">
        <v>0.13</v>
      </c>
      <c r="Q1295" s="3">
        <v>581.28</v>
      </c>
      <c r="R1295" s="3">
        <v>0.13</v>
      </c>
      <c r="S1295">
        <v>9</v>
      </c>
      <c r="T1295">
        <v>747.9</v>
      </c>
      <c r="U1295">
        <v>84</v>
      </c>
      <c r="V1295">
        <v>0</v>
      </c>
      <c r="W1295">
        <v>458.8</v>
      </c>
      <c r="X1295">
        <v>2676.1</v>
      </c>
      <c r="Y1295" t="s">
        <v>36</v>
      </c>
      <c r="Z1295" s="3">
        <v>1040.44</v>
      </c>
      <c r="AA1295" t="s">
        <v>48</v>
      </c>
      <c r="AB1295" t="s">
        <v>33</v>
      </c>
      <c r="AC1295">
        <v>65.8</v>
      </c>
      <c r="AD1295" t="s">
        <v>34</v>
      </c>
      <c r="AE1295">
        <v>264.75</v>
      </c>
      <c r="AF1295">
        <v>0</v>
      </c>
    </row>
    <row r="1296" spans="3:32" x14ac:dyDescent="0.35">
      <c r="C1296" s="1">
        <v>44216</v>
      </c>
      <c r="D1296" s="2">
        <v>44197</v>
      </c>
      <c r="E1296">
        <v>1688</v>
      </c>
      <c r="F1296" s="3">
        <v>5099.01</v>
      </c>
      <c r="G1296" s="3">
        <v>1419.91</v>
      </c>
      <c r="H1296" s="3">
        <v>3679.1</v>
      </c>
      <c r="I1296" s="3">
        <v>0.28000000000000003</v>
      </c>
      <c r="J1296">
        <v>0.2</v>
      </c>
      <c r="K1296">
        <v>3217.43</v>
      </c>
      <c r="L1296" t="s">
        <v>35</v>
      </c>
      <c r="M1296">
        <v>650</v>
      </c>
      <c r="N1296">
        <v>0.28999999999999998</v>
      </c>
      <c r="O1296" s="3">
        <v>378.61</v>
      </c>
      <c r="P1296" s="3">
        <v>7.0000000000000007E-2</v>
      </c>
      <c r="Q1296" s="3">
        <v>462.98</v>
      </c>
      <c r="R1296" s="3">
        <v>0.09</v>
      </c>
      <c r="S1296">
        <v>4</v>
      </c>
      <c r="T1296">
        <v>797.52</v>
      </c>
      <c r="U1296">
        <v>98</v>
      </c>
      <c r="V1296">
        <v>0</v>
      </c>
      <c r="W1296">
        <v>513.27</v>
      </c>
      <c r="X1296">
        <v>2994.56</v>
      </c>
      <c r="Y1296" t="s">
        <v>36</v>
      </c>
      <c r="Z1296" s="3">
        <v>1592.53</v>
      </c>
      <c r="AA1296" t="s">
        <v>45</v>
      </c>
      <c r="AB1296" t="s">
        <v>42</v>
      </c>
      <c r="AC1296">
        <v>23.4</v>
      </c>
      <c r="AD1296" t="s">
        <v>43</v>
      </c>
      <c r="AE1296">
        <v>3679.1</v>
      </c>
      <c r="AF1296">
        <v>1</v>
      </c>
    </row>
    <row r="1297" spans="3:32" x14ac:dyDescent="0.35">
      <c r="C1297" s="1">
        <v>44216</v>
      </c>
      <c r="D1297" s="2">
        <v>44197</v>
      </c>
      <c r="E1297">
        <v>1637</v>
      </c>
      <c r="F1297" s="3">
        <v>3748.07</v>
      </c>
      <c r="G1297" s="3">
        <v>3559.08</v>
      </c>
      <c r="H1297" s="3">
        <v>188.99</v>
      </c>
      <c r="I1297" s="3">
        <v>0.95</v>
      </c>
      <c r="J1297">
        <v>0.24</v>
      </c>
      <c r="K1297">
        <v>2634.2</v>
      </c>
      <c r="L1297" t="s">
        <v>35</v>
      </c>
      <c r="M1297">
        <v>684</v>
      </c>
      <c r="N1297">
        <v>0.43</v>
      </c>
      <c r="O1297" s="3">
        <v>678.38</v>
      </c>
      <c r="P1297" s="3">
        <v>0.18</v>
      </c>
      <c r="Q1297" s="3">
        <v>502.43</v>
      </c>
      <c r="R1297" s="3">
        <v>0.13</v>
      </c>
      <c r="S1297">
        <v>9</v>
      </c>
      <c r="T1297">
        <v>939.24</v>
      </c>
      <c r="U1297">
        <v>36</v>
      </c>
      <c r="V1297">
        <v>0</v>
      </c>
      <c r="W1297">
        <v>751.18</v>
      </c>
      <c r="X1297">
        <v>1903.07</v>
      </c>
      <c r="Y1297" t="s">
        <v>36</v>
      </c>
      <c r="Z1297" s="3">
        <v>1791.84</v>
      </c>
      <c r="AA1297" t="s">
        <v>45</v>
      </c>
      <c r="AB1297" t="s">
        <v>33</v>
      </c>
      <c r="AC1297">
        <v>69</v>
      </c>
      <c r="AD1297" t="s">
        <v>38</v>
      </c>
      <c r="AE1297">
        <v>188.99</v>
      </c>
      <c r="AF1297">
        <v>0</v>
      </c>
    </row>
    <row r="1298" spans="3:32" x14ac:dyDescent="0.35">
      <c r="C1298" s="1">
        <v>44216</v>
      </c>
      <c r="D1298" s="2">
        <v>44197</v>
      </c>
      <c r="E1298">
        <v>1091</v>
      </c>
      <c r="F1298" s="3">
        <v>2927.02</v>
      </c>
      <c r="G1298" s="3">
        <v>2492.13</v>
      </c>
      <c r="H1298" s="3">
        <v>434.89</v>
      </c>
      <c r="I1298" s="3">
        <v>0.85</v>
      </c>
      <c r="J1298">
        <v>0.09</v>
      </c>
      <c r="K1298">
        <v>2553.59</v>
      </c>
      <c r="L1298" t="s">
        <v>30</v>
      </c>
      <c r="M1298">
        <v>744</v>
      </c>
      <c r="N1298">
        <v>0.53</v>
      </c>
      <c r="O1298" s="3">
        <v>497.76</v>
      </c>
      <c r="P1298" s="3">
        <v>0.17</v>
      </c>
      <c r="Q1298" s="3">
        <v>613.9</v>
      </c>
      <c r="R1298" s="3">
        <v>0.21</v>
      </c>
      <c r="S1298">
        <v>3</v>
      </c>
      <c r="T1298">
        <v>1972.13</v>
      </c>
      <c r="U1298">
        <v>86</v>
      </c>
      <c r="V1298">
        <v>0</v>
      </c>
      <c r="W1298">
        <v>678.52</v>
      </c>
      <c r="X1298">
        <v>2991.42</v>
      </c>
      <c r="Y1298" t="s">
        <v>31</v>
      </c>
      <c r="Z1298" s="3">
        <v>771.64</v>
      </c>
      <c r="AA1298" t="s">
        <v>47</v>
      </c>
      <c r="AB1298" t="s">
        <v>33</v>
      </c>
      <c r="AC1298">
        <v>79.099999999999994</v>
      </c>
      <c r="AD1298" t="s">
        <v>34</v>
      </c>
      <c r="AE1298">
        <v>434.89</v>
      </c>
      <c r="AF1298">
        <v>0</v>
      </c>
    </row>
    <row r="1299" spans="3:32" x14ac:dyDescent="0.35">
      <c r="C1299" s="1">
        <v>44216</v>
      </c>
      <c r="D1299" s="2">
        <v>44197</v>
      </c>
      <c r="E1299">
        <v>1442</v>
      </c>
      <c r="F1299" s="3">
        <v>2139.48</v>
      </c>
      <c r="G1299" s="3">
        <v>1782.53</v>
      </c>
      <c r="H1299" s="3">
        <v>356.95</v>
      </c>
      <c r="I1299" s="3">
        <v>0.83</v>
      </c>
      <c r="J1299">
        <v>0.25</v>
      </c>
      <c r="K1299">
        <v>2591.0500000000002</v>
      </c>
      <c r="L1299" t="s">
        <v>35</v>
      </c>
      <c r="M1299">
        <v>688</v>
      </c>
      <c r="N1299">
        <v>0.28999999999999998</v>
      </c>
      <c r="O1299" s="3">
        <v>601.04</v>
      </c>
      <c r="P1299" s="3">
        <v>0.28000000000000003</v>
      </c>
      <c r="Q1299" s="3">
        <v>495.66</v>
      </c>
      <c r="R1299" s="3">
        <v>0.23</v>
      </c>
      <c r="S1299">
        <v>9</v>
      </c>
      <c r="T1299">
        <v>1860.88</v>
      </c>
      <c r="U1299">
        <v>98</v>
      </c>
      <c r="V1299">
        <v>0</v>
      </c>
      <c r="W1299">
        <v>340.98</v>
      </c>
      <c r="X1299">
        <v>1580.57</v>
      </c>
      <c r="Y1299" t="s">
        <v>36</v>
      </c>
      <c r="Z1299" s="3">
        <v>1434.48</v>
      </c>
      <c r="AA1299" t="s">
        <v>48</v>
      </c>
      <c r="AB1299" t="s">
        <v>44</v>
      </c>
      <c r="AC1299">
        <v>77.5</v>
      </c>
      <c r="AD1299" t="s">
        <v>34</v>
      </c>
      <c r="AE1299">
        <v>356.95</v>
      </c>
      <c r="AF1299">
        <v>0</v>
      </c>
    </row>
    <row r="1300" spans="3:32" x14ac:dyDescent="0.35">
      <c r="C1300" s="1">
        <v>44216</v>
      </c>
      <c r="D1300" s="2">
        <v>44197</v>
      </c>
      <c r="E1300">
        <v>1972</v>
      </c>
      <c r="F1300" s="3">
        <v>3254.1</v>
      </c>
      <c r="G1300" s="3">
        <v>3542.05</v>
      </c>
      <c r="H1300" s="3">
        <v>-287.95</v>
      </c>
      <c r="I1300" s="3">
        <v>1.0900000000000001</v>
      </c>
      <c r="J1300">
        <v>0.09</v>
      </c>
      <c r="K1300">
        <v>2932.3</v>
      </c>
      <c r="L1300" t="s">
        <v>30</v>
      </c>
      <c r="M1300">
        <v>614</v>
      </c>
      <c r="N1300">
        <v>0.14000000000000001</v>
      </c>
      <c r="O1300" s="3">
        <v>341.82</v>
      </c>
      <c r="P1300" s="3">
        <v>0.11</v>
      </c>
      <c r="Q1300" s="3">
        <v>152.04</v>
      </c>
      <c r="R1300" s="3">
        <v>0.05</v>
      </c>
      <c r="S1300">
        <v>3</v>
      </c>
      <c r="T1300">
        <v>939.15</v>
      </c>
      <c r="U1300">
        <v>49</v>
      </c>
      <c r="V1300">
        <v>1</v>
      </c>
      <c r="W1300">
        <v>654.41999999999996</v>
      </c>
      <c r="X1300">
        <v>2334.65</v>
      </c>
      <c r="Y1300" t="s">
        <v>36</v>
      </c>
      <c r="Z1300" s="3">
        <v>1040.1300000000001</v>
      </c>
      <c r="AA1300" t="s">
        <v>48</v>
      </c>
      <c r="AB1300" t="s">
        <v>44</v>
      </c>
      <c r="AC1300">
        <v>24.2</v>
      </c>
      <c r="AD1300" t="s">
        <v>43</v>
      </c>
      <c r="AE1300">
        <v>0</v>
      </c>
      <c r="AF1300">
        <v>0</v>
      </c>
    </row>
    <row r="1301" spans="3:32" x14ac:dyDescent="0.35">
      <c r="C1301" s="1">
        <v>44216</v>
      </c>
      <c r="D1301" s="2">
        <v>44197</v>
      </c>
      <c r="E1301">
        <v>1689</v>
      </c>
      <c r="F1301" s="3">
        <v>4273.24</v>
      </c>
      <c r="G1301" s="3">
        <v>2288.66</v>
      </c>
      <c r="H1301" s="3">
        <v>1984.58</v>
      </c>
      <c r="I1301" s="3">
        <v>0.54</v>
      </c>
      <c r="J1301">
        <v>0.34</v>
      </c>
      <c r="K1301">
        <v>1659.19</v>
      </c>
      <c r="L1301" t="s">
        <v>30</v>
      </c>
      <c r="M1301">
        <v>700</v>
      </c>
      <c r="N1301">
        <v>0.3</v>
      </c>
      <c r="O1301" s="3">
        <v>163</v>
      </c>
      <c r="P1301" s="3">
        <v>0.04</v>
      </c>
      <c r="Q1301" s="3">
        <v>521.28</v>
      </c>
      <c r="R1301" s="3">
        <v>0.12</v>
      </c>
      <c r="S1301">
        <v>8</v>
      </c>
      <c r="T1301">
        <v>480.48</v>
      </c>
      <c r="U1301">
        <v>83</v>
      </c>
      <c r="V1301">
        <v>0</v>
      </c>
      <c r="W1301">
        <v>618.15</v>
      </c>
      <c r="X1301">
        <v>1555.72</v>
      </c>
      <c r="Y1301" t="s">
        <v>36</v>
      </c>
      <c r="Z1301" s="3">
        <v>1520.62</v>
      </c>
      <c r="AA1301" t="s">
        <v>32</v>
      </c>
      <c r="AB1301" t="s">
        <v>42</v>
      </c>
      <c r="AC1301">
        <v>94.9</v>
      </c>
      <c r="AD1301" t="s">
        <v>34</v>
      </c>
      <c r="AE1301">
        <v>1984.58</v>
      </c>
      <c r="AF1301">
        <v>1</v>
      </c>
    </row>
    <row r="1302" spans="3:32" x14ac:dyDescent="0.35">
      <c r="C1302" s="1">
        <v>44246</v>
      </c>
      <c r="D1302" s="2">
        <v>44228</v>
      </c>
      <c r="E1302">
        <v>1621</v>
      </c>
      <c r="F1302" s="3">
        <v>5414.37</v>
      </c>
      <c r="G1302" s="3">
        <v>3328.5</v>
      </c>
      <c r="H1302" s="3">
        <v>2085.87</v>
      </c>
      <c r="I1302" s="3">
        <v>0.61</v>
      </c>
      <c r="J1302">
        <v>0.1</v>
      </c>
      <c r="K1302">
        <v>2707.47</v>
      </c>
      <c r="L1302" t="s">
        <v>30</v>
      </c>
      <c r="M1302">
        <v>665</v>
      </c>
      <c r="N1302">
        <v>0.56000000000000005</v>
      </c>
      <c r="O1302" s="3">
        <v>540.72</v>
      </c>
      <c r="P1302" s="3">
        <v>0.1</v>
      </c>
      <c r="Q1302" s="3">
        <v>512.29</v>
      </c>
      <c r="R1302" s="3">
        <v>0.09</v>
      </c>
      <c r="S1302">
        <v>5</v>
      </c>
      <c r="T1302">
        <v>1233.8800000000001</v>
      </c>
      <c r="U1302">
        <v>41</v>
      </c>
      <c r="V1302">
        <v>0</v>
      </c>
      <c r="W1302">
        <v>468.01</v>
      </c>
      <c r="X1302">
        <v>2460.65</v>
      </c>
      <c r="Y1302" t="s">
        <v>36</v>
      </c>
      <c r="Z1302" s="3">
        <v>964.77</v>
      </c>
      <c r="AA1302" t="s">
        <v>41</v>
      </c>
      <c r="AB1302" t="s">
        <v>33</v>
      </c>
      <c r="AC1302">
        <v>47.7</v>
      </c>
      <c r="AD1302" t="s">
        <v>43</v>
      </c>
      <c r="AE1302">
        <v>2085.87</v>
      </c>
      <c r="AF1302">
        <v>0</v>
      </c>
    </row>
    <row r="1303" spans="3:32" x14ac:dyDescent="0.35">
      <c r="C1303" s="1">
        <v>44246</v>
      </c>
      <c r="D1303" s="2">
        <v>44228</v>
      </c>
      <c r="E1303">
        <v>1071</v>
      </c>
      <c r="F1303" s="3">
        <v>4599.21</v>
      </c>
      <c r="G1303" s="3">
        <v>3564.07</v>
      </c>
      <c r="H1303" s="3">
        <v>1035.1400000000001</v>
      </c>
      <c r="I1303" s="3">
        <v>0.77</v>
      </c>
      <c r="J1303">
        <v>0.3</v>
      </c>
      <c r="K1303">
        <v>3528.02</v>
      </c>
      <c r="L1303" t="s">
        <v>30</v>
      </c>
      <c r="M1303">
        <v>657</v>
      </c>
      <c r="N1303">
        <v>0.37</v>
      </c>
      <c r="O1303" s="3">
        <v>385.63</v>
      </c>
      <c r="P1303" s="3">
        <v>0.08</v>
      </c>
      <c r="Q1303" s="3">
        <v>736.26</v>
      </c>
      <c r="R1303" s="3">
        <v>0.16</v>
      </c>
      <c r="S1303">
        <v>6</v>
      </c>
      <c r="T1303">
        <v>503.96</v>
      </c>
      <c r="U1303">
        <v>21</v>
      </c>
      <c r="V1303">
        <v>0</v>
      </c>
      <c r="W1303">
        <v>606.22</v>
      </c>
      <c r="X1303">
        <v>2307.27</v>
      </c>
      <c r="Y1303" t="s">
        <v>36</v>
      </c>
      <c r="Z1303" s="3">
        <v>1451.61</v>
      </c>
      <c r="AA1303" t="s">
        <v>45</v>
      </c>
      <c r="AB1303" t="s">
        <v>33</v>
      </c>
      <c r="AC1303">
        <v>61.4</v>
      </c>
      <c r="AD1303" t="s">
        <v>34</v>
      </c>
      <c r="AE1303">
        <v>1035.1400000000001</v>
      </c>
      <c r="AF1303">
        <v>0</v>
      </c>
    </row>
    <row r="1304" spans="3:32" x14ac:dyDescent="0.35">
      <c r="C1304" s="1">
        <v>44246</v>
      </c>
      <c r="D1304" s="2">
        <v>44228</v>
      </c>
      <c r="E1304">
        <v>1726</v>
      </c>
      <c r="F1304" s="3">
        <v>3916.1</v>
      </c>
      <c r="G1304" s="3">
        <v>3321.43</v>
      </c>
      <c r="H1304" s="3">
        <v>594.66999999999996</v>
      </c>
      <c r="I1304" s="3">
        <v>0.85</v>
      </c>
      <c r="J1304">
        <v>0.12</v>
      </c>
      <c r="K1304">
        <v>3274.45</v>
      </c>
      <c r="L1304" t="s">
        <v>35</v>
      </c>
      <c r="M1304">
        <v>598</v>
      </c>
      <c r="N1304">
        <v>0.28000000000000003</v>
      </c>
      <c r="O1304" s="3">
        <v>369.36</v>
      </c>
      <c r="P1304" s="3">
        <v>0.09</v>
      </c>
      <c r="Q1304" s="3">
        <v>275.25</v>
      </c>
      <c r="R1304" s="3">
        <v>7.0000000000000007E-2</v>
      </c>
      <c r="S1304">
        <v>1</v>
      </c>
      <c r="T1304">
        <v>2192.0300000000002</v>
      </c>
      <c r="U1304">
        <v>75</v>
      </c>
      <c r="V1304">
        <v>0</v>
      </c>
      <c r="W1304">
        <v>657.48</v>
      </c>
      <c r="X1304">
        <v>3000.99</v>
      </c>
      <c r="Y1304" t="s">
        <v>36</v>
      </c>
      <c r="Z1304" s="3">
        <v>911.81</v>
      </c>
      <c r="AA1304" t="s">
        <v>40</v>
      </c>
      <c r="AB1304" t="s">
        <v>33</v>
      </c>
      <c r="AC1304">
        <v>64.8</v>
      </c>
      <c r="AD1304" t="s">
        <v>38</v>
      </c>
      <c r="AE1304">
        <v>594.66999999999996</v>
      </c>
      <c r="AF1304">
        <v>0</v>
      </c>
    </row>
    <row r="1305" spans="3:32" x14ac:dyDescent="0.35">
      <c r="C1305" s="1">
        <v>44246</v>
      </c>
      <c r="D1305" s="2">
        <v>44228</v>
      </c>
      <c r="E1305">
        <v>1317</v>
      </c>
      <c r="F1305" s="3">
        <v>4301.87</v>
      </c>
      <c r="G1305" s="3">
        <v>2687.81</v>
      </c>
      <c r="H1305" s="3">
        <v>1614.06</v>
      </c>
      <c r="I1305" s="3">
        <v>0.62</v>
      </c>
      <c r="J1305">
        <v>0.28000000000000003</v>
      </c>
      <c r="K1305">
        <v>3167.77</v>
      </c>
      <c r="L1305" t="s">
        <v>35</v>
      </c>
      <c r="M1305">
        <v>715</v>
      </c>
      <c r="N1305">
        <v>0.59</v>
      </c>
      <c r="O1305" s="3">
        <v>960.2</v>
      </c>
      <c r="P1305" s="3">
        <v>0.22</v>
      </c>
      <c r="Q1305" s="3">
        <v>527.67999999999995</v>
      </c>
      <c r="R1305" s="3">
        <v>0.12</v>
      </c>
      <c r="S1305">
        <v>3</v>
      </c>
      <c r="T1305">
        <v>884.83</v>
      </c>
      <c r="U1305">
        <v>98</v>
      </c>
      <c r="V1305">
        <v>0</v>
      </c>
      <c r="W1305">
        <v>476.81</v>
      </c>
      <c r="X1305">
        <v>1884.19</v>
      </c>
      <c r="Y1305" t="s">
        <v>36</v>
      </c>
      <c r="Z1305" s="3">
        <v>1060.97</v>
      </c>
      <c r="AA1305" t="s">
        <v>50</v>
      </c>
      <c r="AB1305" t="s">
        <v>33</v>
      </c>
      <c r="AC1305">
        <v>25</v>
      </c>
      <c r="AD1305" t="s">
        <v>34</v>
      </c>
      <c r="AE1305">
        <v>1614.06</v>
      </c>
      <c r="AF1305">
        <v>0</v>
      </c>
    </row>
    <row r="1306" spans="3:32" x14ac:dyDescent="0.35">
      <c r="C1306" s="1">
        <v>44246</v>
      </c>
      <c r="D1306" s="2">
        <v>44228</v>
      </c>
      <c r="E1306">
        <v>1207</v>
      </c>
      <c r="F1306" s="3">
        <v>3789.06</v>
      </c>
      <c r="G1306" s="3">
        <v>2571.2399999999998</v>
      </c>
      <c r="H1306" s="3">
        <v>1217.82</v>
      </c>
      <c r="I1306" s="3">
        <v>0.68</v>
      </c>
      <c r="J1306">
        <v>0.34</v>
      </c>
      <c r="K1306">
        <v>3195.33</v>
      </c>
      <c r="L1306" t="s">
        <v>35</v>
      </c>
      <c r="M1306">
        <v>661</v>
      </c>
      <c r="N1306">
        <v>0.52</v>
      </c>
      <c r="O1306" s="3">
        <v>833.95</v>
      </c>
      <c r="P1306" s="3">
        <v>0.22</v>
      </c>
      <c r="Q1306" s="3">
        <v>600.14</v>
      </c>
      <c r="R1306" s="3">
        <v>0.16</v>
      </c>
      <c r="S1306">
        <v>4</v>
      </c>
      <c r="T1306">
        <v>1455.27</v>
      </c>
      <c r="U1306">
        <v>57</v>
      </c>
      <c r="V1306">
        <v>0</v>
      </c>
      <c r="W1306">
        <v>577.04999999999995</v>
      </c>
      <c r="X1306">
        <v>2842.82</v>
      </c>
      <c r="Y1306" t="s">
        <v>36</v>
      </c>
      <c r="Z1306" s="3">
        <v>1880.98</v>
      </c>
      <c r="AA1306" t="s">
        <v>46</v>
      </c>
      <c r="AB1306" t="s">
        <v>42</v>
      </c>
      <c r="AC1306">
        <v>50.2</v>
      </c>
      <c r="AD1306" t="s">
        <v>43</v>
      </c>
      <c r="AE1306">
        <v>1217.82</v>
      </c>
      <c r="AF1306">
        <v>0</v>
      </c>
    </row>
    <row r="1307" spans="3:32" x14ac:dyDescent="0.35">
      <c r="C1307" s="1">
        <v>44246</v>
      </c>
      <c r="D1307" s="2">
        <v>44228</v>
      </c>
      <c r="E1307">
        <v>1874</v>
      </c>
      <c r="F1307" s="3">
        <v>1533.84</v>
      </c>
      <c r="G1307" s="3">
        <v>3622.3</v>
      </c>
      <c r="H1307" s="3">
        <v>-2088.46</v>
      </c>
      <c r="I1307" s="3">
        <v>2.36</v>
      </c>
      <c r="J1307">
        <v>0.23</v>
      </c>
      <c r="K1307">
        <v>3438.26</v>
      </c>
      <c r="L1307" t="s">
        <v>35</v>
      </c>
      <c r="M1307">
        <v>667</v>
      </c>
      <c r="N1307">
        <v>0.23</v>
      </c>
      <c r="O1307" s="3">
        <v>565.34</v>
      </c>
      <c r="P1307" s="3">
        <v>0.37</v>
      </c>
      <c r="Q1307" s="3">
        <v>503.81</v>
      </c>
      <c r="R1307" s="3">
        <v>0.33</v>
      </c>
      <c r="S1307">
        <v>2</v>
      </c>
      <c r="T1307">
        <v>924.7</v>
      </c>
      <c r="U1307">
        <v>68</v>
      </c>
      <c r="V1307">
        <v>0</v>
      </c>
      <c r="W1307">
        <v>763.53</v>
      </c>
      <c r="X1307">
        <v>2636.74</v>
      </c>
      <c r="Y1307" t="s">
        <v>31</v>
      </c>
      <c r="Z1307" s="3">
        <v>1810.69</v>
      </c>
      <c r="AA1307" t="s">
        <v>37</v>
      </c>
      <c r="AB1307" t="s">
        <v>33</v>
      </c>
      <c r="AC1307">
        <v>47.6</v>
      </c>
      <c r="AD1307" t="s">
        <v>34</v>
      </c>
      <c r="AE1307">
        <v>0</v>
      </c>
      <c r="AF1307">
        <v>0</v>
      </c>
    </row>
    <row r="1308" spans="3:32" x14ac:dyDescent="0.35">
      <c r="C1308" s="1">
        <v>44246</v>
      </c>
      <c r="D1308" s="2">
        <v>44228</v>
      </c>
      <c r="E1308">
        <v>1375</v>
      </c>
      <c r="F1308" s="3">
        <v>3787.19</v>
      </c>
      <c r="G1308" s="3">
        <v>2779.63</v>
      </c>
      <c r="H1308" s="3">
        <v>1007.56</v>
      </c>
      <c r="I1308" s="3">
        <v>0.73</v>
      </c>
      <c r="J1308">
        <v>0.06</v>
      </c>
      <c r="K1308">
        <v>2876.58</v>
      </c>
      <c r="L1308" t="s">
        <v>39</v>
      </c>
      <c r="M1308">
        <v>687</v>
      </c>
      <c r="N1308">
        <v>0.31</v>
      </c>
      <c r="O1308" s="3">
        <v>611.42999999999995</v>
      </c>
      <c r="P1308" s="3">
        <v>0.16</v>
      </c>
      <c r="Q1308" s="3">
        <v>0</v>
      </c>
      <c r="R1308" s="3">
        <v>0</v>
      </c>
      <c r="S1308">
        <v>7</v>
      </c>
      <c r="T1308">
        <v>1689.04</v>
      </c>
      <c r="U1308">
        <v>56</v>
      </c>
      <c r="V1308">
        <v>0</v>
      </c>
      <c r="W1308">
        <v>675.69</v>
      </c>
      <c r="X1308">
        <v>3815.58</v>
      </c>
      <c r="Y1308" t="s">
        <v>36</v>
      </c>
      <c r="Z1308" s="3">
        <v>1516.92</v>
      </c>
      <c r="AA1308" t="s">
        <v>45</v>
      </c>
      <c r="AB1308" t="s">
        <v>44</v>
      </c>
      <c r="AC1308">
        <v>64.099999999999994</v>
      </c>
      <c r="AD1308" t="s">
        <v>38</v>
      </c>
      <c r="AE1308">
        <v>1007.56</v>
      </c>
      <c r="AF1308">
        <v>0</v>
      </c>
    </row>
    <row r="1309" spans="3:32" x14ac:dyDescent="0.35">
      <c r="C1309" s="1">
        <v>44246</v>
      </c>
      <c r="D1309" s="2">
        <v>44228</v>
      </c>
      <c r="E1309">
        <v>1897</v>
      </c>
      <c r="F1309" s="3">
        <v>4140.3999999999996</v>
      </c>
      <c r="G1309" s="3">
        <v>2319.06</v>
      </c>
      <c r="H1309" s="3">
        <v>1821.34</v>
      </c>
      <c r="I1309" s="3">
        <v>0.56000000000000005</v>
      </c>
      <c r="J1309">
        <v>0.28000000000000003</v>
      </c>
      <c r="K1309">
        <v>2127.61</v>
      </c>
      <c r="L1309" t="s">
        <v>35</v>
      </c>
      <c r="M1309">
        <v>687</v>
      </c>
      <c r="N1309">
        <v>0.22</v>
      </c>
      <c r="O1309" s="3">
        <v>413.83</v>
      </c>
      <c r="P1309" s="3">
        <v>0.1</v>
      </c>
      <c r="Q1309" s="3">
        <v>433.13</v>
      </c>
      <c r="R1309" s="3">
        <v>0.1</v>
      </c>
      <c r="S1309">
        <v>4</v>
      </c>
      <c r="T1309">
        <v>817.56</v>
      </c>
      <c r="U1309">
        <v>93</v>
      </c>
      <c r="V1309">
        <v>0</v>
      </c>
      <c r="W1309">
        <v>769.98</v>
      </c>
      <c r="X1309">
        <v>3507.24</v>
      </c>
      <c r="Y1309" t="s">
        <v>49</v>
      </c>
      <c r="Z1309" s="3">
        <v>1574.03</v>
      </c>
      <c r="AA1309" t="s">
        <v>41</v>
      </c>
      <c r="AB1309" t="s">
        <v>33</v>
      </c>
      <c r="AC1309">
        <v>75.900000000000006</v>
      </c>
      <c r="AD1309" t="s">
        <v>34</v>
      </c>
      <c r="AE1309">
        <v>1821.34</v>
      </c>
      <c r="AF1309">
        <v>0</v>
      </c>
    </row>
    <row r="1310" spans="3:32" x14ac:dyDescent="0.35">
      <c r="C1310" s="1">
        <v>44246</v>
      </c>
      <c r="D1310" s="2">
        <v>44228</v>
      </c>
      <c r="E1310">
        <v>1255</v>
      </c>
      <c r="F1310" s="3">
        <v>2948.52</v>
      </c>
      <c r="G1310" s="3">
        <v>2941.63</v>
      </c>
      <c r="H1310" s="3">
        <v>6.89</v>
      </c>
      <c r="I1310" s="3">
        <v>1</v>
      </c>
      <c r="J1310">
        <v>0.37</v>
      </c>
      <c r="K1310">
        <v>2507.79</v>
      </c>
      <c r="L1310" t="s">
        <v>30</v>
      </c>
      <c r="M1310">
        <v>775</v>
      </c>
      <c r="N1310">
        <v>0.54</v>
      </c>
      <c r="O1310" s="3">
        <v>766.42</v>
      </c>
      <c r="P1310" s="3">
        <v>0.26</v>
      </c>
      <c r="Q1310" s="3">
        <v>712.77</v>
      </c>
      <c r="R1310" s="3">
        <v>0.24</v>
      </c>
      <c r="S1310">
        <v>3</v>
      </c>
      <c r="T1310">
        <v>892.63</v>
      </c>
      <c r="U1310">
        <v>85</v>
      </c>
      <c r="V1310">
        <v>0</v>
      </c>
      <c r="W1310">
        <v>482.72</v>
      </c>
      <c r="X1310">
        <v>3114.94</v>
      </c>
      <c r="Y1310" t="s">
        <v>36</v>
      </c>
      <c r="Z1310" s="3">
        <v>1034.32</v>
      </c>
      <c r="AA1310" t="s">
        <v>37</v>
      </c>
      <c r="AB1310" t="s">
        <v>42</v>
      </c>
      <c r="AC1310">
        <v>8.9</v>
      </c>
      <c r="AD1310" t="s">
        <v>38</v>
      </c>
      <c r="AE1310">
        <v>6.89</v>
      </c>
      <c r="AF1310">
        <v>0</v>
      </c>
    </row>
    <row r="1311" spans="3:32" x14ac:dyDescent="0.35">
      <c r="C1311" s="1">
        <v>44246</v>
      </c>
      <c r="D1311" s="2">
        <v>44228</v>
      </c>
      <c r="E1311">
        <v>1463</v>
      </c>
      <c r="F1311" s="3">
        <v>3575.04</v>
      </c>
      <c r="G1311" s="3">
        <v>4145.2299999999996</v>
      </c>
      <c r="H1311" s="3">
        <v>-570.19000000000005</v>
      </c>
      <c r="I1311" s="3">
        <v>1.1599999999999999</v>
      </c>
      <c r="J1311">
        <v>0.38</v>
      </c>
      <c r="K1311">
        <v>1757.66</v>
      </c>
      <c r="L1311" t="s">
        <v>35</v>
      </c>
      <c r="M1311">
        <v>687</v>
      </c>
      <c r="N1311">
        <v>0.14000000000000001</v>
      </c>
      <c r="O1311" s="3">
        <v>526.01</v>
      </c>
      <c r="P1311" s="3">
        <v>0.15</v>
      </c>
      <c r="Q1311" s="3">
        <v>850.63</v>
      </c>
      <c r="R1311" s="3">
        <v>0.24</v>
      </c>
      <c r="S1311">
        <v>3</v>
      </c>
      <c r="T1311">
        <v>958.96</v>
      </c>
      <c r="U1311">
        <v>25</v>
      </c>
      <c r="V1311">
        <v>0</v>
      </c>
      <c r="W1311">
        <v>464.22</v>
      </c>
      <c r="X1311">
        <v>2896.27</v>
      </c>
      <c r="Y1311" t="s">
        <v>36</v>
      </c>
      <c r="Z1311" s="3">
        <v>998.74</v>
      </c>
      <c r="AA1311" t="s">
        <v>45</v>
      </c>
      <c r="AB1311" t="s">
        <v>33</v>
      </c>
      <c r="AC1311">
        <v>76.099999999999994</v>
      </c>
      <c r="AD1311" t="s">
        <v>38</v>
      </c>
      <c r="AE1311">
        <v>0</v>
      </c>
      <c r="AF1311">
        <v>0</v>
      </c>
    </row>
    <row r="1312" spans="3:32" x14ac:dyDescent="0.35">
      <c r="C1312" s="1">
        <v>44246</v>
      </c>
      <c r="D1312" s="2">
        <v>44228</v>
      </c>
      <c r="E1312">
        <v>1323</v>
      </c>
      <c r="F1312" s="3">
        <v>4442.21</v>
      </c>
      <c r="G1312" s="3">
        <v>4621.18</v>
      </c>
      <c r="H1312" s="3">
        <v>-178.97</v>
      </c>
      <c r="I1312" s="3">
        <v>1.04</v>
      </c>
      <c r="J1312">
        <v>0.24</v>
      </c>
      <c r="K1312">
        <v>2742.87</v>
      </c>
      <c r="L1312" t="s">
        <v>30</v>
      </c>
      <c r="M1312">
        <v>684</v>
      </c>
      <c r="N1312">
        <v>0.42</v>
      </c>
      <c r="O1312" s="3">
        <v>139.32</v>
      </c>
      <c r="P1312" s="3">
        <v>0.03</v>
      </c>
      <c r="Q1312" s="3">
        <v>372.94</v>
      </c>
      <c r="R1312" s="3">
        <v>0.08</v>
      </c>
      <c r="S1312">
        <v>5</v>
      </c>
      <c r="T1312">
        <v>768.35</v>
      </c>
      <c r="U1312">
        <v>92</v>
      </c>
      <c r="V1312">
        <v>0</v>
      </c>
      <c r="W1312">
        <v>539.98</v>
      </c>
      <c r="X1312">
        <v>2285.56</v>
      </c>
      <c r="Y1312" t="s">
        <v>36</v>
      </c>
      <c r="Z1312" s="3">
        <v>300</v>
      </c>
      <c r="AA1312" t="s">
        <v>50</v>
      </c>
      <c r="AB1312" t="s">
        <v>33</v>
      </c>
      <c r="AC1312">
        <v>17.399999999999999</v>
      </c>
      <c r="AD1312" t="s">
        <v>34</v>
      </c>
      <c r="AE1312">
        <v>0</v>
      </c>
      <c r="AF1312">
        <v>0</v>
      </c>
    </row>
    <row r="1313" spans="3:32" x14ac:dyDescent="0.35">
      <c r="C1313" s="1">
        <v>44246</v>
      </c>
      <c r="D1313" s="2">
        <v>44228</v>
      </c>
      <c r="E1313">
        <v>1332</v>
      </c>
      <c r="F1313" s="3">
        <v>4195.37</v>
      </c>
      <c r="G1313" s="3">
        <v>1174.4100000000001</v>
      </c>
      <c r="H1313" s="3">
        <v>3020.96</v>
      </c>
      <c r="I1313" s="3">
        <v>0.28000000000000003</v>
      </c>
      <c r="J1313">
        <v>0.16</v>
      </c>
      <c r="K1313">
        <v>2979.51</v>
      </c>
      <c r="L1313" t="s">
        <v>35</v>
      </c>
      <c r="M1313">
        <v>639</v>
      </c>
      <c r="N1313">
        <v>0.51</v>
      </c>
      <c r="O1313" s="3">
        <v>642.16</v>
      </c>
      <c r="P1313" s="3">
        <v>0.15</v>
      </c>
      <c r="Q1313" s="3">
        <v>523.33000000000004</v>
      </c>
      <c r="R1313" s="3">
        <v>0.12</v>
      </c>
      <c r="S1313">
        <v>3</v>
      </c>
      <c r="T1313">
        <v>1549.86</v>
      </c>
      <c r="U1313">
        <v>69</v>
      </c>
      <c r="V1313">
        <v>0</v>
      </c>
      <c r="W1313">
        <v>468.61</v>
      </c>
      <c r="X1313">
        <v>1545.4</v>
      </c>
      <c r="Y1313" t="s">
        <v>31</v>
      </c>
      <c r="Z1313" s="3">
        <v>1704.67</v>
      </c>
      <c r="AA1313" t="s">
        <v>50</v>
      </c>
      <c r="AB1313" t="s">
        <v>33</v>
      </c>
      <c r="AC1313">
        <v>1.5</v>
      </c>
      <c r="AD1313" t="s">
        <v>43</v>
      </c>
      <c r="AE1313">
        <v>3020.96</v>
      </c>
      <c r="AF1313">
        <v>1</v>
      </c>
    </row>
    <row r="1314" spans="3:32" x14ac:dyDescent="0.35">
      <c r="C1314" s="1">
        <v>44246</v>
      </c>
      <c r="D1314" s="2">
        <v>44228</v>
      </c>
      <c r="E1314">
        <v>1674</v>
      </c>
      <c r="F1314" s="3">
        <v>3998.83</v>
      </c>
      <c r="G1314" s="3">
        <v>3546.31</v>
      </c>
      <c r="H1314" s="3">
        <v>452.52</v>
      </c>
      <c r="I1314" s="3">
        <v>0.89</v>
      </c>
      <c r="J1314">
        <v>0.14000000000000001</v>
      </c>
      <c r="K1314">
        <v>1175.57</v>
      </c>
      <c r="L1314" t="s">
        <v>39</v>
      </c>
      <c r="M1314">
        <v>647</v>
      </c>
      <c r="N1314">
        <v>0.21</v>
      </c>
      <c r="O1314" s="3">
        <v>600</v>
      </c>
      <c r="P1314" s="3">
        <v>0.15</v>
      </c>
      <c r="Q1314" s="3">
        <v>570.29</v>
      </c>
      <c r="R1314" s="3">
        <v>0.14000000000000001</v>
      </c>
      <c r="S1314">
        <v>8</v>
      </c>
      <c r="T1314">
        <v>1024.21</v>
      </c>
      <c r="U1314">
        <v>27</v>
      </c>
      <c r="V1314">
        <v>0</v>
      </c>
      <c r="W1314">
        <v>642.78</v>
      </c>
      <c r="X1314">
        <v>1633.35</v>
      </c>
      <c r="Y1314" t="s">
        <v>49</v>
      </c>
      <c r="Z1314" s="3">
        <v>989.1</v>
      </c>
      <c r="AA1314" t="s">
        <v>48</v>
      </c>
      <c r="AB1314" t="s">
        <v>33</v>
      </c>
      <c r="AC1314">
        <v>32.200000000000003</v>
      </c>
      <c r="AD1314" t="s">
        <v>43</v>
      </c>
      <c r="AE1314">
        <v>452.52</v>
      </c>
      <c r="AF1314">
        <v>0</v>
      </c>
    </row>
    <row r="1315" spans="3:32" x14ac:dyDescent="0.35">
      <c r="C1315" s="1">
        <v>44246</v>
      </c>
      <c r="D1315" s="2">
        <v>44228</v>
      </c>
      <c r="E1315">
        <v>1324</v>
      </c>
      <c r="F1315" s="3">
        <v>4703.7</v>
      </c>
      <c r="G1315" s="3">
        <v>3265.06</v>
      </c>
      <c r="H1315" s="3">
        <v>1438.64</v>
      </c>
      <c r="I1315" s="3">
        <v>0.69</v>
      </c>
      <c r="J1315">
        <v>0.28000000000000003</v>
      </c>
      <c r="K1315">
        <v>2445.61</v>
      </c>
      <c r="L1315" t="s">
        <v>35</v>
      </c>
      <c r="M1315">
        <v>597</v>
      </c>
      <c r="N1315">
        <v>0.48</v>
      </c>
      <c r="O1315" s="3">
        <v>347.59</v>
      </c>
      <c r="P1315" s="3">
        <v>7.0000000000000007E-2</v>
      </c>
      <c r="Q1315" s="3">
        <v>551.11</v>
      </c>
      <c r="R1315" s="3">
        <v>0.12</v>
      </c>
      <c r="S1315">
        <v>9</v>
      </c>
      <c r="T1315">
        <v>990.29</v>
      </c>
      <c r="U1315">
        <v>26</v>
      </c>
      <c r="V1315">
        <v>0</v>
      </c>
      <c r="W1315">
        <v>330.48</v>
      </c>
      <c r="X1315">
        <v>2204.13</v>
      </c>
      <c r="Y1315" t="s">
        <v>36</v>
      </c>
      <c r="Z1315" s="3">
        <v>1103.08</v>
      </c>
      <c r="AA1315" t="s">
        <v>50</v>
      </c>
      <c r="AB1315" t="s">
        <v>33</v>
      </c>
      <c r="AC1315">
        <v>42.4</v>
      </c>
      <c r="AD1315" t="s">
        <v>34</v>
      </c>
      <c r="AE1315">
        <v>1438.64</v>
      </c>
      <c r="AF1315">
        <v>0</v>
      </c>
    </row>
    <row r="1316" spans="3:32" x14ac:dyDescent="0.35">
      <c r="C1316" s="1">
        <v>44246</v>
      </c>
      <c r="D1316" s="2">
        <v>44228</v>
      </c>
      <c r="E1316">
        <v>1337</v>
      </c>
      <c r="F1316" s="3">
        <v>3123.1</v>
      </c>
      <c r="G1316" s="3">
        <v>2050.4699999999998</v>
      </c>
      <c r="H1316" s="3">
        <v>1072.6300000000001</v>
      </c>
      <c r="I1316" s="3">
        <v>0.66</v>
      </c>
      <c r="J1316">
        <v>0.14000000000000001</v>
      </c>
      <c r="K1316">
        <v>2416.09</v>
      </c>
      <c r="L1316" t="s">
        <v>35</v>
      </c>
      <c r="M1316">
        <v>645</v>
      </c>
      <c r="N1316">
        <v>0.23</v>
      </c>
      <c r="O1316" s="3">
        <v>742.91</v>
      </c>
      <c r="P1316" s="3">
        <v>0.24</v>
      </c>
      <c r="Q1316" s="3">
        <v>620.34</v>
      </c>
      <c r="R1316" s="3">
        <v>0.2</v>
      </c>
      <c r="S1316">
        <v>3</v>
      </c>
      <c r="T1316">
        <v>1447.93</v>
      </c>
      <c r="U1316">
        <v>73</v>
      </c>
      <c r="V1316">
        <v>0</v>
      </c>
      <c r="W1316">
        <v>482.55</v>
      </c>
      <c r="X1316">
        <v>1614.11</v>
      </c>
      <c r="Y1316" t="s">
        <v>36</v>
      </c>
      <c r="Z1316" s="3">
        <v>1091.42</v>
      </c>
      <c r="AA1316" t="s">
        <v>32</v>
      </c>
      <c r="AB1316" t="s">
        <v>42</v>
      </c>
      <c r="AC1316">
        <v>74.7</v>
      </c>
      <c r="AD1316" t="s">
        <v>38</v>
      </c>
      <c r="AE1316">
        <v>1072.6300000000001</v>
      </c>
      <c r="AF1316">
        <v>0</v>
      </c>
    </row>
    <row r="1317" spans="3:32" x14ac:dyDescent="0.35">
      <c r="C1317" s="1">
        <v>44246</v>
      </c>
      <c r="D1317" s="2">
        <v>44228</v>
      </c>
      <c r="E1317">
        <v>1974</v>
      </c>
      <c r="F1317" s="3">
        <v>6901.16</v>
      </c>
      <c r="G1317" s="3">
        <v>4122.09</v>
      </c>
      <c r="H1317" s="3">
        <v>2779.07</v>
      </c>
      <c r="I1317" s="3">
        <v>0.6</v>
      </c>
      <c r="J1317">
        <v>0.08</v>
      </c>
      <c r="K1317">
        <v>1873.23</v>
      </c>
      <c r="L1317" t="s">
        <v>35</v>
      </c>
      <c r="M1317">
        <v>758</v>
      </c>
      <c r="N1317">
        <v>0.32</v>
      </c>
      <c r="O1317" s="3">
        <v>531.53</v>
      </c>
      <c r="P1317" s="3">
        <v>0.08</v>
      </c>
      <c r="Q1317" s="3">
        <v>488.44</v>
      </c>
      <c r="R1317" s="3">
        <v>7.0000000000000007E-2</v>
      </c>
      <c r="S1317">
        <v>7</v>
      </c>
      <c r="T1317">
        <v>1436.17</v>
      </c>
      <c r="U1317">
        <v>30</v>
      </c>
      <c r="V1317">
        <v>0</v>
      </c>
      <c r="W1317">
        <v>537.04</v>
      </c>
      <c r="X1317">
        <v>2578.1999999999998</v>
      </c>
      <c r="Y1317" t="s">
        <v>36</v>
      </c>
      <c r="Z1317" s="3">
        <v>954.74</v>
      </c>
      <c r="AA1317" t="s">
        <v>41</v>
      </c>
      <c r="AB1317" t="s">
        <v>44</v>
      </c>
      <c r="AC1317">
        <v>32.299999999999997</v>
      </c>
      <c r="AD1317" t="s">
        <v>38</v>
      </c>
      <c r="AE1317">
        <v>2779.07</v>
      </c>
      <c r="AF1317">
        <v>1</v>
      </c>
    </row>
    <row r="1318" spans="3:32" x14ac:dyDescent="0.35">
      <c r="C1318" s="1">
        <v>44246</v>
      </c>
      <c r="D1318" s="2">
        <v>44228</v>
      </c>
      <c r="E1318">
        <v>1869</v>
      </c>
      <c r="F1318" s="3">
        <v>3890.29</v>
      </c>
      <c r="G1318" s="3">
        <v>3315.21</v>
      </c>
      <c r="H1318" s="3">
        <v>575.08000000000004</v>
      </c>
      <c r="I1318" s="3">
        <v>0.85</v>
      </c>
      <c r="J1318">
        <v>0.33</v>
      </c>
      <c r="K1318">
        <v>2583.23</v>
      </c>
      <c r="L1318" t="s">
        <v>30</v>
      </c>
      <c r="M1318">
        <v>718</v>
      </c>
      <c r="N1318">
        <v>0.42</v>
      </c>
      <c r="O1318" s="3">
        <v>309.56</v>
      </c>
      <c r="P1318" s="3">
        <v>0.08</v>
      </c>
      <c r="Q1318" s="3">
        <v>195.56</v>
      </c>
      <c r="R1318" s="3">
        <v>0.05</v>
      </c>
      <c r="S1318">
        <v>2</v>
      </c>
      <c r="T1318">
        <v>665.41</v>
      </c>
      <c r="U1318">
        <v>62</v>
      </c>
      <c r="V1318">
        <v>0</v>
      </c>
      <c r="W1318">
        <v>455.2</v>
      </c>
      <c r="X1318">
        <v>2062.29</v>
      </c>
      <c r="Y1318" t="s">
        <v>36</v>
      </c>
      <c r="Z1318" s="3">
        <v>930.38</v>
      </c>
      <c r="AA1318" t="s">
        <v>41</v>
      </c>
      <c r="AB1318" t="s">
        <v>33</v>
      </c>
      <c r="AC1318">
        <v>19.399999999999999</v>
      </c>
      <c r="AD1318" t="s">
        <v>38</v>
      </c>
      <c r="AE1318">
        <v>575.08000000000004</v>
      </c>
      <c r="AF1318">
        <v>0</v>
      </c>
    </row>
    <row r="1319" spans="3:32" x14ac:dyDescent="0.35">
      <c r="C1319" s="1">
        <v>44246</v>
      </c>
      <c r="D1319" s="2">
        <v>44228</v>
      </c>
      <c r="E1319">
        <v>1403</v>
      </c>
      <c r="F1319" s="3">
        <v>3022.18</v>
      </c>
      <c r="G1319" s="3">
        <v>3194.35</v>
      </c>
      <c r="H1319" s="3">
        <v>-172.17</v>
      </c>
      <c r="I1319" s="3">
        <v>1.06</v>
      </c>
      <c r="J1319">
        <v>0.26</v>
      </c>
      <c r="K1319">
        <v>3488.37</v>
      </c>
      <c r="L1319" t="s">
        <v>30</v>
      </c>
      <c r="M1319">
        <v>670</v>
      </c>
      <c r="N1319">
        <v>0.43</v>
      </c>
      <c r="O1319" s="3">
        <v>490.28</v>
      </c>
      <c r="P1319" s="3">
        <v>0.16</v>
      </c>
      <c r="Q1319" s="3">
        <v>226.6</v>
      </c>
      <c r="R1319" s="3">
        <v>7.0000000000000007E-2</v>
      </c>
      <c r="S1319">
        <v>7</v>
      </c>
      <c r="T1319">
        <v>2064.77</v>
      </c>
      <c r="U1319">
        <v>46</v>
      </c>
      <c r="V1319">
        <v>0</v>
      </c>
      <c r="W1319">
        <v>218.12</v>
      </c>
      <c r="X1319">
        <v>1886.59</v>
      </c>
      <c r="Y1319" t="s">
        <v>49</v>
      </c>
      <c r="Z1319" s="3">
        <v>1526.66</v>
      </c>
      <c r="AA1319" t="s">
        <v>40</v>
      </c>
      <c r="AB1319" t="s">
        <v>33</v>
      </c>
      <c r="AC1319">
        <v>69.599999999999994</v>
      </c>
      <c r="AD1319" t="s">
        <v>34</v>
      </c>
      <c r="AE1319">
        <v>0</v>
      </c>
      <c r="AF1319">
        <v>0</v>
      </c>
    </row>
    <row r="1320" spans="3:32" x14ac:dyDescent="0.35">
      <c r="C1320" s="1">
        <v>44246</v>
      </c>
      <c r="D1320" s="2">
        <v>44228</v>
      </c>
      <c r="E1320">
        <v>1694</v>
      </c>
      <c r="F1320" s="3">
        <v>3887.49</v>
      </c>
      <c r="G1320" s="3">
        <v>1896.1</v>
      </c>
      <c r="H1320" s="3">
        <v>1991.39</v>
      </c>
      <c r="I1320" s="3">
        <v>0.49</v>
      </c>
      <c r="J1320">
        <v>0.39</v>
      </c>
      <c r="K1320">
        <v>2912.79</v>
      </c>
      <c r="L1320" t="s">
        <v>30</v>
      </c>
      <c r="M1320">
        <v>727</v>
      </c>
      <c r="N1320">
        <v>0.53</v>
      </c>
      <c r="O1320" s="3">
        <v>520.55999999999995</v>
      </c>
      <c r="P1320" s="3">
        <v>0.13</v>
      </c>
      <c r="Q1320" s="3">
        <v>310.66000000000003</v>
      </c>
      <c r="R1320" s="3">
        <v>0.08</v>
      </c>
      <c r="S1320">
        <v>7</v>
      </c>
      <c r="T1320">
        <v>982.2</v>
      </c>
      <c r="U1320">
        <v>69</v>
      </c>
      <c r="V1320">
        <v>0</v>
      </c>
      <c r="W1320">
        <v>285.37</v>
      </c>
      <c r="X1320">
        <v>2002.62</v>
      </c>
      <c r="Y1320" t="s">
        <v>31</v>
      </c>
      <c r="Z1320" s="3">
        <v>843.75</v>
      </c>
      <c r="AA1320" t="s">
        <v>50</v>
      </c>
      <c r="AB1320" t="s">
        <v>33</v>
      </c>
      <c r="AC1320">
        <v>15.4</v>
      </c>
      <c r="AD1320" t="s">
        <v>38</v>
      </c>
      <c r="AE1320">
        <v>1991.39</v>
      </c>
      <c r="AF1320">
        <v>0</v>
      </c>
    </row>
    <row r="1321" spans="3:32" x14ac:dyDescent="0.35">
      <c r="C1321" s="1">
        <v>44246</v>
      </c>
      <c r="D1321" s="2">
        <v>44228</v>
      </c>
      <c r="E1321">
        <v>1433</v>
      </c>
      <c r="F1321" s="3">
        <v>4459.03</v>
      </c>
      <c r="G1321" s="3">
        <v>2532.9299999999998</v>
      </c>
      <c r="H1321" s="3">
        <v>1926.1</v>
      </c>
      <c r="I1321" s="3">
        <v>0.56999999999999995</v>
      </c>
      <c r="J1321">
        <v>0.24</v>
      </c>
      <c r="K1321">
        <v>3752.94</v>
      </c>
      <c r="L1321" t="s">
        <v>39</v>
      </c>
      <c r="M1321">
        <v>741</v>
      </c>
      <c r="N1321">
        <v>0.2</v>
      </c>
      <c r="O1321" s="3">
        <v>395.85</v>
      </c>
      <c r="P1321" s="3">
        <v>0.09</v>
      </c>
      <c r="Q1321" s="3">
        <v>586.49</v>
      </c>
      <c r="R1321" s="3">
        <v>0.13</v>
      </c>
      <c r="S1321">
        <v>9</v>
      </c>
      <c r="T1321">
        <v>1543.76</v>
      </c>
      <c r="U1321">
        <v>82</v>
      </c>
      <c r="V1321">
        <v>0</v>
      </c>
      <c r="W1321">
        <v>498.84</v>
      </c>
      <c r="X1321">
        <v>1997.35</v>
      </c>
      <c r="Y1321" t="s">
        <v>36</v>
      </c>
      <c r="Z1321" s="3">
        <v>1383.85</v>
      </c>
      <c r="AA1321" t="s">
        <v>37</v>
      </c>
      <c r="AB1321" t="s">
        <v>33</v>
      </c>
      <c r="AC1321">
        <v>50.5</v>
      </c>
      <c r="AD1321" t="s">
        <v>34</v>
      </c>
      <c r="AE1321">
        <v>1926.1</v>
      </c>
      <c r="AF1321">
        <v>0</v>
      </c>
    </row>
    <row r="1322" spans="3:32" x14ac:dyDescent="0.35">
      <c r="C1322" s="1">
        <v>44246</v>
      </c>
      <c r="D1322" s="2">
        <v>44228</v>
      </c>
      <c r="E1322">
        <v>1722</v>
      </c>
      <c r="F1322" s="3">
        <v>3920.93</v>
      </c>
      <c r="G1322" s="3">
        <v>4279.01</v>
      </c>
      <c r="H1322" s="3">
        <v>-358.08</v>
      </c>
      <c r="I1322" s="3">
        <v>1.0900000000000001</v>
      </c>
      <c r="J1322">
        <v>0.13</v>
      </c>
      <c r="K1322">
        <v>2866.05</v>
      </c>
      <c r="L1322" t="s">
        <v>35</v>
      </c>
      <c r="M1322">
        <v>648</v>
      </c>
      <c r="N1322">
        <v>0.44</v>
      </c>
      <c r="O1322" s="3">
        <v>107.55</v>
      </c>
      <c r="P1322" s="3">
        <v>0.03</v>
      </c>
      <c r="Q1322" s="3">
        <v>657.79</v>
      </c>
      <c r="R1322" s="3">
        <v>0.17</v>
      </c>
      <c r="S1322">
        <v>5</v>
      </c>
      <c r="T1322">
        <v>996.14</v>
      </c>
      <c r="U1322">
        <v>65</v>
      </c>
      <c r="V1322">
        <v>0</v>
      </c>
      <c r="W1322">
        <v>536.71</v>
      </c>
      <c r="X1322">
        <v>1835.41</v>
      </c>
      <c r="Y1322" t="s">
        <v>36</v>
      </c>
      <c r="Z1322" s="3">
        <v>1145.48</v>
      </c>
      <c r="AA1322" t="s">
        <v>48</v>
      </c>
      <c r="AB1322" t="s">
        <v>44</v>
      </c>
      <c r="AC1322">
        <v>81.2</v>
      </c>
      <c r="AD1322" t="s">
        <v>34</v>
      </c>
      <c r="AE1322">
        <v>0</v>
      </c>
      <c r="AF1322">
        <v>0</v>
      </c>
    </row>
    <row r="1323" spans="3:32" x14ac:dyDescent="0.35">
      <c r="C1323" s="1">
        <v>44246</v>
      </c>
      <c r="D1323" s="2">
        <v>44228</v>
      </c>
      <c r="E1323">
        <v>1981</v>
      </c>
      <c r="F1323" s="3">
        <v>5960.17</v>
      </c>
      <c r="G1323" s="3">
        <v>3324.02</v>
      </c>
      <c r="H1323" s="3">
        <v>2636.15</v>
      </c>
      <c r="I1323" s="3">
        <v>0.56000000000000005</v>
      </c>
      <c r="J1323">
        <v>0.08</v>
      </c>
      <c r="K1323">
        <v>2764.32</v>
      </c>
      <c r="L1323" t="s">
        <v>35</v>
      </c>
      <c r="M1323">
        <v>753</v>
      </c>
      <c r="N1323">
        <v>0.38</v>
      </c>
      <c r="O1323" s="3">
        <v>533.17999999999995</v>
      </c>
      <c r="P1323" s="3">
        <v>0.09</v>
      </c>
      <c r="Q1323" s="3">
        <v>196.53</v>
      </c>
      <c r="R1323" s="3">
        <v>0.03</v>
      </c>
      <c r="S1323">
        <v>2</v>
      </c>
      <c r="T1323">
        <v>1180.3900000000001</v>
      </c>
      <c r="U1323">
        <v>61</v>
      </c>
      <c r="V1323">
        <v>0</v>
      </c>
      <c r="W1323">
        <v>728.53</v>
      </c>
      <c r="X1323">
        <v>1000</v>
      </c>
      <c r="Y1323" t="s">
        <v>31</v>
      </c>
      <c r="Z1323" s="3">
        <v>1168.9000000000001</v>
      </c>
      <c r="AA1323" t="s">
        <v>40</v>
      </c>
      <c r="AB1323" t="s">
        <v>33</v>
      </c>
      <c r="AC1323">
        <v>50.7</v>
      </c>
      <c r="AD1323" t="s">
        <v>43</v>
      </c>
      <c r="AE1323">
        <v>2636.15</v>
      </c>
      <c r="AF1323">
        <v>0</v>
      </c>
    </row>
    <row r="1324" spans="3:32" x14ac:dyDescent="0.35">
      <c r="C1324" s="1">
        <v>44246</v>
      </c>
      <c r="D1324" s="2">
        <v>44228</v>
      </c>
      <c r="E1324">
        <v>1953</v>
      </c>
      <c r="F1324" s="3">
        <v>4001.32</v>
      </c>
      <c r="G1324" s="3">
        <v>4475.84</v>
      </c>
      <c r="H1324" s="3">
        <v>-474.52</v>
      </c>
      <c r="I1324" s="3">
        <v>1.1200000000000001</v>
      </c>
      <c r="J1324">
        <v>0.1</v>
      </c>
      <c r="K1324">
        <v>3499.12</v>
      </c>
      <c r="L1324" t="s">
        <v>30</v>
      </c>
      <c r="M1324">
        <v>722</v>
      </c>
      <c r="N1324">
        <v>0.32</v>
      </c>
      <c r="O1324" s="3">
        <v>520.58000000000004</v>
      </c>
      <c r="P1324" s="3">
        <v>0.13</v>
      </c>
      <c r="Q1324" s="3">
        <v>355.72</v>
      </c>
      <c r="R1324" s="3">
        <v>0.09</v>
      </c>
      <c r="S1324">
        <v>2</v>
      </c>
      <c r="T1324">
        <v>2.95</v>
      </c>
      <c r="U1324">
        <v>62</v>
      </c>
      <c r="V1324">
        <v>0</v>
      </c>
      <c r="W1324">
        <v>434.63</v>
      </c>
      <c r="X1324">
        <v>3054.47</v>
      </c>
      <c r="Y1324" t="s">
        <v>36</v>
      </c>
      <c r="Z1324" s="3">
        <v>882.83</v>
      </c>
      <c r="AA1324" t="s">
        <v>37</v>
      </c>
      <c r="AB1324" t="s">
        <v>33</v>
      </c>
      <c r="AC1324">
        <v>51.1</v>
      </c>
      <c r="AD1324" t="s">
        <v>34</v>
      </c>
      <c r="AE1324">
        <v>0</v>
      </c>
      <c r="AF1324">
        <v>0</v>
      </c>
    </row>
    <row r="1325" spans="3:32" x14ac:dyDescent="0.35">
      <c r="C1325" s="1">
        <v>44246</v>
      </c>
      <c r="D1325" s="2">
        <v>44228</v>
      </c>
      <c r="E1325">
        <v>1276</v>
      </c>
      <c r="F1325" s="3">
        <v>3479.82</v>
      </c>
      <c r="G1325" s="3">
        <v>3423.79</v>
      </c>
      <c r="H1325" s="3">
        <v>56.03</v>
      </c>
      <c r="I1325" s="3">
        <v>0.98</v>
      </c>
      <c r="J1325">
        <v>0.09</v>
      </c>
      <c r="K1325">
        <v>2853.91</v>
      </c>
      <c r="L1325" t="s">
        <v>39</v>
      </c>
      <c r="M1325">
        <v>620</v>
      </c>
      <c r="N1325">
        <v>0.4</v>
      </c>
      <c r="O1325" s="3">
        <v>423.43</v>
      </c>
      <c r="P1325" s="3">
        <v>0.12</v>
      </c>
      <c r="Q1325" s="3">
        <v>695.64</v>
      </c>
      <c r="R1325" s="3">
        <v>0.2</v>
      </c>
      <c r="S1325">
        <v>9</v>
      </c>
      <c r="T1325">
        <v>1258.23</v>
      </c>
      <c r="U1325">
        <v>61</v>
      </c>
      <c r="V1325">
        <v>1</v>
      </c>
      <c r="W1325">
        <v>491.74</v>
      </c>
      <c r="X1325">
        <v>2143.04</v>
      </c>
      <c r="Y1325" t="s">
        <v>36</v>
      </c>
      <c r="Z1325" s="3">
        <v>920.76</v>
      </c>
      <c r="AA1325" t="s">
        <v>46</v>
      </c>
      <c r="AB1325" t="s">
        <v>33</v>
      </c>
      <c r="AC1325">
        <v>26.1</v>
      </c>
      <c r="AD1325" t="s">
        <v>34</v>
      </c>
      <c r="AE1325">
        <v>56.03</v>
      </c>
      <c r="AF1325">
        <v>0</v>
      </c>
    </row>
    <row r="1326" spans="3:32" x14ac:dyDescent="0.35">
      <c r="C1326" s="1">
        <v>44246</v>
      </c>
      <c r="D1326" s="2">
        <v>44228</v>
      </c>
      <c r="E1326">
        <v>1181</v>
      </c>
      <c r="F1326" s="3">
        <v>2199.91</v>
      </c>
      <c r="G1326" s="3">
        <v>3749.68</v>
      </c>
      <c r="H1326" s="3">
        <v>-1549.77</v>
      </c>
      <c r="I1326" s="3">
        <v>1.7</v>
      </c>
      <c r="J1326">
        <v>0.23</v>
      </c>
      <c r="K1326">
        <v>2522.4899999999998</v>
      </c>
      <c r="L1326" t="s">
        <v>35</v>
      </c>
      <c r="M1326">
        <v>654</v>
      </c>
      <c r="N1326">
        <v>0.38</v>
      </c>
      <c r="O1326" s="3">
        <v>565.13</v>
      </c>
      <c r="P1326" s="3">
        <v>0.26</v>
      </c>
      <c r="Q1326" s="3">
        <v>698.2</v>
      </c>
      <c r="R1326" s="3">
        <v>0.32</v>
      </c>
      <c r="S1326">
        <v>3</v>
      </c>
      <c r="T1326">
        <v>159.4</v>
      </c>
      <c r="U1326">
        <v>55</v>
      </c>
      <c r="V1326">
        <v>0</v>
      </c>
      <c r="W1326">
        <v>561.79</v>
      </c>
      <c r="X1326">
        <v>2309.29</v>
      </c>
      <c r="Y1326" t="s">
        <v>36</v>
      </c>
      <c r="Z1326" s="3">
        <v>1316.41</v>
      </c>
      <c r="AA1326" t="s">
        <v>46</v>
      </c>
      <c r="AB1326" t="s">
        <v>33</v>
      </c>
      <c r="AC1326">
        <v>74.7</v>
      </c>
      <c r="AD1326" t="s">
        <v>38</v>
      </c>
      <c r="AE1326">
        <v>0</v>
      </c>
      <c r="AF1326">
        <v>0</v>
      </c>
    </row>
    <row r="1327" spans="3:32" x14ac:dyDescent="0.35">
      <c r="C1327" s="1">
        <v>44246</v>
      </c>
      <c r="D1327" s="2">
        <v>44228</v>
      </c>
      <c r="E1327">
        <v>1391</v>
      </c>
      <c r="F1327" s="3">
        <v>4663.1000000000004</v>
      </c>
      <c r="G1327" s="3">
        <v>797.11</v>
      </c>
      <c r="H1327" s="3">
        <v>3865.99</v>
      </c>
      <c r="I1327" s="3">
        <v>0.17</v>
      </c>
      <c r="J1327">
        <v>0.14000000000000001</v>
      </c>
      <c r="K1327">
        <v>3458.59</v>
      </c>
      <c r="L1327" t="s">
        <v>35</v>
      </c>
      <c r="M1327">
        <v>686</v>
      </c>
      <c r="N1327">
        <v>0.42</v>
      </c>
      <c r="O1327" s="3">
        <v>452.01</v>
      </c>
      <c r="P1327" s="3">
        <v>0.1</v>
      </c>
      <c r="Q1327" s="3">
        <v>844.07</v>
      </c>
      <c r="R1327" s="3">
        <v>0.18</v>
      </c>
      <c r="S1327">
        <v>9</v>
      </c>
      <c r="T1327">
        <v>1073.05</v>
      </c>
      <c r="U1327">
        <v>50</v>
      </c>
      <c r="V1327">
        <v>0</v>
      </c>
      <c r="W1327">
        <v>319.64</v>
      </c>
      <c r="X1327">
        <v>1883.1</v>
      </c>
      <c r="Y1327" t="s">
        <v>49</v>
      </c>
      <c r="Z1327" s="3">
        <v>1347.12</v>
      </c>
      <c r="AA1327" t="s">
        <v>40</v>
      </c>
      <c r="AB1327" t="s">
        <v>44</v>
      </c>
      <c r="AC1327">
        <v>52.3</v>
      </c>
      <c r="AD1327" t="s">
        <v>34</v>
      </c>
      <c r="AE1327">
        <v>3865.99</v>
      </c>
      <c r="AF1327">
        <v>1</v>
      </c>
    </row>
    <row r="1328" spans="3:32" x14ac:dyDescent="0.35">
      <c r="C1328" s="1">
        <v>44246</v>
      </c>
      <c r="D1328" s="2">
        <v>44228</v>
      </c>
      <c r="E1328">
        <v>1707</v>
      </c>
      <c r="F1328" s="3">
        <v>4475.7299999999996</v>
      </c>
      <c r="G1328" s="3">
        <v>3712.6</v>
      </c>
      <c r="H1328" s="3">
        <v>763.13</v>
      </c>
      <c r="I1328" s="3">
        <v>0.83</v>
      </c>
      <c r="J1328">
        <v>0.25</v>
      </c>
      <c r="K1328">
        <v>3709.59</v>
      </c>
      <c r="L1328" t="s">
        <v>35</v>
      </c>
      <c r="M1328">
        <v>712</v>
      </c>
      <c r="N1328">
        <v>0.33</v>
      </c>
      <c r="O1328" s="3">
        <v>754.26</v>
      </c>
      <c r="P1328" s="3">
        <v>0.17</v>
      </c>
      <c r="Q1328" s="3">
        <v>477.1</v>
      </c>
      <c r="R1328" s="3">
        <v>0.11</v>
      </c>
      <c r="S1328">
        <v>1</v>
      </c>
      <c r="T1328">
        <v>1177.57</v>
      </c>
      <c r="U1328">
        <v>99</v>
      </c>
      <c r="V1328">
        <v>0</v>
      </c>
      <c r="W1328">
        <v>677.15</v>
      </c>
      <c r="X1328">
        <v>2384.39</v>
      </c>
      <c r="Y1328" t="s">
        <v>36</v>
      </c>
      <c r="Z1328" s="3">
        <v>1489.97</v>
      </c>
      <c r="AA1328" t="s">
        <v>40</v>
      </c>
      <c r="AB1328" t="s">
        <v>44</v>
      </c>
      <c r="AC1328">
        <v>16.899999999999999</v>
      </c>
      <c r="AD1328" t="s">
        <v>38</v>
      </c>
      <c r="AE1328">
        <v>763.13</v>
      </c>
      <c r="AF1328">
        <v>0</v>
      </c>
    </row>
    <row r="1329" spans="3:32" x14ac:dyDescent="0.35">
      <c r="C1329" s="1">
        <v>44246</v>
      </c>
      <c r="D1329" s="2">
        <v>44228</v>
      </c>
      <c r="E1329">
        <v>1957</v>
      </c>
      <c r="F1329" s="3">
        <v>5235.6000000000004</v>
      </c>
      <c r="G1329" s="3">
        <v>2171.0100000000002</v>
      </c>
      <c r="H1329" s="3">
        <v>3064.59</v>
      </c>
      <c r="I1329" s="3">
        <v>0.41</v>
      </c>
      <c r="J1329">
        <v>0.37</v>
      </c>
      <c r="K1329">
        <v>2678.95</v>
      </c>
      <c r="L1329" t="s">
        <v>30</v>
      </c>
      <c r="M1329">
        <v>638</v>
      </c>
      <c r="N1329">
        <v>0.15</v>
      </c>
      <c r="O1329" s="3">
        <v>644.16</v>
      </c>
      <c r="P1329" s="3">
        <v>0.12</v>
      </c>
      <c r="Q1329" s="3">
        <v>518.6</v>
      </c>
      <c r="R1329" s="3">
        <v>0.1</v>
      </c>
      <c r="S1329">
        <v>7</v>
      </c>
      <c r="T1329">
        <v>988.03</v>
      </c>
      <c r="U1329">
        <v>24</v>
      </c>
      <c r="V1329">
        <v>0</v>
      </c>
      <c r="W1329">
        <v>470.98</v>
      </c>
      <c r="X1329">
        <v>2977.5</v>
      </c>
      <c r="Y1329" t="s">
        <v>36</v>
      </c>
      <c r="Z1329" s="3">
        <v>672.5</v>
      </c>
      <c r="AA1329" t="s">
        <v>48</v>
      </c>
      <c r="AB1329" t="s">
        <v>33</v>
      </c>
      <c r="AC1329">
        <v>6.4</v>
      </c>
      <c r="AD1329" t="s">
        <v>38</v>
      </c>
      <c r="AE1329">
        <v>3064.59</v>
      </c>
      <c r="AF1329">
        <v>1</v>
      </c>
    </row>
    <row r="1330" spans="3:32" x14ac:dyDescent="0.35">
      <c r="C1330" s="1">
        <v>44246</v>
      </c>
      <c r="D1330" s="2">
        <v>44228</v>
      </c>
      <c r="E1330">
        <v>1745</v>
      </c>
      <c r="F1330" s="3">
        <v>4120.29</v>
      </c>
      <c r="G1330" s="3">
        <v>3378.35</v>
      </c>
      <c r="H1330" s="3">
        <v>741.94</v>
      </c>
      <c r="I1330" s="3">
        <v>0.82</v>
      </c>
      <c r="J1330">
        <v>0.26</v>
      </c>
      <c r="K1330">
        <v>3322.68</v>
      </c>
      <c r="L1330" t="s">
        <v>35</v>
      </c>
      <c r="M1330">
        <v>728</v>
      </c>
      <c r="N1330">
        <v>0.56000000000000005</v>
      </c>
      <c r="O1330" s="3">
        <v>579.47</v>
      </c>
      <c r="P1330" s="3">
        <v>0.14000000000000001</v>
      </c>
      <c r="Q1330" s="3">
        <v>45.68</v>
      </c>
      <c r="R1330" s="3">
        <v>0.01</v>
      </c>
      <c r="S1330">
        <v>4</v>
      </c>
      <c r="T1330">
        <v>1864.7</v>
      </c>
      <c r="U1330">
        <v>22</v>
      </c>
      <c r="V1330">
        <v>0</v>
      </c>
      <c r="W1330">
        <v>294.74</v>
      </c>
      <c r="X1330">
        <v>1463.02</v>
      </c>
      <c r="Y1330" t="s">
        <v>36</v>
      </c>
      <c r="Z1330" s="3">
        <v>1284.47</v>
      </c>
      <c r="AA1330" t="s">
        <v>37</v>
      </c>
      <c r="AB1330" t="s">
        <v>33</v>
      </c>
      <c r="AC1330">
        <v>71.900000000000006</v>
      </c>
      <c r="AD1330" t="s">
        <v>34</v>
      </c>
      <c r="AE1330">
        <v>741.94</v>
      </c>
      <c r="AF1330">
        <v>0</v>
      </c>
    </row>
    <row r="1331" spans="3:32" x14ac:dyDescent="0.35">
      <c r="C1331" s="1">
        <v>44246</v>
      </c>
      <c r="D1331" s="2">
        <v>44228</v>
      </c>
      <c r="E1331">
        <v>1748</v>
      </c>
      <c r="F1331" s="3">
        <v>3784.07</v>
      </c>
      <c r="G1331" s="3">
        <v>2548.0700000000002</v>
      </c>
      <c r="H1331" s="3">
        <v>1236</v>
      </c>
      <c r="I1331" s="3">
        <v>0.67</v>
      </c>
      <c r="J1331">
        <v>0.39</v>
      </c>
      <c r="K1331">
        <v>2452.14</v>
      </c>
      <c r="L1331" t="s">
        <v>39</v>
      </c>
      <c r="M1331">
        <v>703</v>
      </c>
      <c r="N1331">
        <v>0.55000000000000004</v>
      </c>
      <c r="O1331" s="3">
        <v>944.88</v>
      </c>
      <c r="P1331" s="3">
        <v>0.25</v>
      </c>
      <c r="Q1331" s="3">
        <v>108.83</v>
      </c>
      <c r="R1331" s="3">
        <v>0.03</v>
      </c>
      <c r="S1331">
        <v>1</v>
      </c>
      <c r="T1331">
        <v>866.83</v>
      </c>
      <c r="U1331">
        <v>55</v>
      </c>
      <c r="V1331">
        <v>0</v>
      </c>
      <c r="W1331">
        <v>529.71</v>
      </c>
      <c r="X1331">
        <v>3712.09</v>
      </c>
      <c r="Y1331" t="s">
        <v>49</v>
      </c>
      <c r="Z1331" s="3">
        <v>1633.96</v>
      </c>
      <c r="AA1331" t="s">
        <v>32</v>
      </c>
      <c r="AB1331" t="s">
        <v>33</v>
      </c>
      <c r="AC1331">
        <v>19.100000000000001</v>
      </c>
      <c r="AD1331" t="s">
        <v>34</v>
      </c>
      <c r="AE1331">
        <v>1236</v>
      </c>
      <c r="AF1331">
        <v>0</v>
      </c>
    </row>
    <row r="1332" spans="3:32" x14ac:dyDescent="0.35">
      <c r="C1332" s="1">
        <v>44246</v>
      </c>
      <c r="D1332" s="2">
        <v>44228</v>
      </c>
      <c r="E1332">
        <v>1776</v>
      </c>
      <c r="F1332" s="3">
        <v>2052.62</v>
      </c>
      <c r="G1332" s="3">
        <v>3915.82</v>
      </c>
      <c r="H1332" s="3">
        <v>-1863.2</v>
      </c>
      <c r="I1332" s="3">
        <v>1.91</v>
      </c>
      <c r="J1332">
        <v>0.18</v>
      </c>
      <c r="K1332">
        <v>2518.7800000000002</v>
      </c>
      <c r="L1332" t="s">
        <v>35</v>
      </c>
      <c r="M1332">
        <v>673</v>
      </c>
      <c r="N1332">
        <v>0.39</v>
      </c>
      <c r="O1332" s="3">
        <v>502.51</v>
      </c>
      <c r="P1332" s="3">
        <v>0.24</v>
      </c>
      <c r="Q1332" s="3">
        <v>0</v>
      </c>
      <c r="R1332" s="3">
        <v>0</v>
      </c>
      <c r="S1332">
        <v>8</v>
      </c>
      <c r="T1332">
        <v>360.21</v>
      </c>
      <c r="U1332">
        <v>29</v>
      </c>
      <c r="V1332">
        <v>0</v>
      </c>
      <c r="W1332">
        <v>349.66</v>
      </c>
      <c r="X1332">
        <v>3016.01</v>
      </c>
      <c r="Y1332" t="s">
        <v>36</v>
      </c>
      <c r="Z1332" s="3">
        <v>1934.23</v>
      </c>
      <c r="AA1332" t="s">
        <v>40</v>
      </c>
      <c r="AB1332" t="s">
        <v>33</v>
      </c>
      <c r="AC1332">
        <v>33.200000000000003</v>
      </c>
      <c r="AD1332" t="s">
        <v>43</v>
      </c>
      <c r="AE1332">
        <v>0</v>
      </c>
      <c r="AF1332">
        <v>0</v>
      </c>
    </row>
    <row r="1333" spans="3:32" x14ac:dyDescent="0.35">
      <c r="C1333" s="1">
        <v>44246</v>
      </c>
      <c r="D1333" s="2">
        <v>44228</v>
      </c>
      <c r="E1333">
        <v>1777</v>
      </c>
      <c r="F1333" s="3">
        <v>3194.54</v>
      </c>
      <c r="G1333" s="3">
        <v>3007.88</v>
      </c>
      <c r="H1333" s="3">
        <v>186.66</v>
      </c>
      <c r="I1333" s="3">
        <v>0.94</v>
      </c>
      <c r="J1333">
        <v>0.18</v>
      </c>
      <c r="K1333">
        <v>1507.83</v>
      </c>
      <c r="L1333" t="s">
        <v>30</v>
      </c>
      <c r="M1333">
        <v>687</v>
      </c>
      <c r="N1333">
        <v>0.49</v>
      </c>
      <c r="O1333" s="3">
        <v>325.07</v>
      </c>
      <c r="P1333" s="3">
        <v>0.1</v>
      </c>
      <c r="Q1333" s="3">
        <v>215.27</v>
      </c>
      <c r="R1333" s="3">
        <v>7.0000000000000007E-2</v>
      </c>
      <c r="S1333">
        <v>7</v>
      </c>
      <c r="T1333">
        <v>1304.0999999999999</v>
      </c>
      <c r="U1333">
        <v>64</v>
      </c>
      <c r="V1333">
        <v>0</v>
      </c>
      <c r="W1333">
        <v>646.88</v>
      </c>
      <c r="X1333">
        <v>1600.71</v>
      </c>
      <c r="Y1333" t="s">
        <v>36</v>
      </c>
      <c r="Z1333" s="3">
        <v>451.76</v>
      </c>
      <c r="AA1333" t="s">
        <v>41</v>
      </c>
      <c r="AB1333" t="s">
        <v>42</v>
      </c>
      <c r="AC1333">
        <v>42.4</v>
      </c>
      <c r="AD1333" t="s">
        <v>43</v>
      </c>
      <c r="AE1333">
        <v>186.66</v>
      </c>
      <c r="AF1333">
        <v>0</v>
      </c>
    </row>
    <row r="1334" spans="3:32" x14ac:dyDescent="0.35">
      <c r="C1334" s="1">
        <v>44246</v>
      </c>
      <c r="D1334" s="2">
        <v>44228</v>
      </c>
      <c r="E1334">
        <v>1171</v>
      </c>
      <c r="F1334" s="3">
        <v>5030.8100000000004</v>
      </c>
      <c r="G1334" s="3">
        <v>2784.06</v>
      </c>
      <c r="H1334" s="3">
        <v>2246.75</v>
      </c>
      <c r="I1334" s="3">
        <v>0.55000000000000004</v>
      </c>
      <c r="J1334">
        <v>0.33</v>
      </c>
      <c r="K1334">
        <v>2355.92</v>
      </c>
      <c r="L1334" t="s">
        <v>30</v>
      </c>
      <c r="M1334">
        <v>664</v>
      </c>
      <c r="N1334">
        <v>0.37</v>
      </c>
      <c r="O1334" s="3">
        <v>655.7</v>
      </c>
      <c r="P1334" s="3">
        <v>0.13</v>
      </c>
      <c r="Q1334" s="3">
        <v>599.52</v>
      </c>
      <c r="R1334" s="3">
        <v>0.12</v>
      </c>
      <c r="S1334">
        <v>8</v>
      </c>
      <c r="T1334">
        <v>383.2</v>
      </c>
      <c r="U1334">
        <v>47</v>
      </c>
      <c r="V1334">
        <v>1</v>
      </c>
      <c r="W1334">
        <v>550.36</v>
      </c>
      <c r="X1334">
        <v>2244.91</v>
      </c>
      <c r="Y1334" t="s">
        <v>36</v>
      </c>
      <c r="Z1334" s="3">
        <v>1236.95</v>
      </c>
      <c r="AA1334" t="s">
        <v>50</v>
      </c>
      <c r="AB1334" t="s">
        <v>44</v>
      </c>
      <c r="AC1334">
        <v>70.8</v>
      </c>
      <c r="AD1334" t="s">
        <v>34</v>
      </c>
      <c r="AE1334">
        <v>2246.75</v>
      </c>
      <c r="AF1334">
        <v>0</v>
      </c>
    </row>
    <row r="1335" spans="3:32" x14ac:dyDescent="0.35">
      <c r="C1335" s="1">
        <v>44246</v>
      </c>
      <c r="D1335" s="2">
        <v>44228</v>
      </c>
      <c r="E1335">
        <v>1828</v>
      </c>
      <c r="F1335" s="3">
        <v>5299.85</v>
      </c>
      <c r="G1335" s="3">
        <v>4050.42</v>
      </c>
      <c r="H1335" s="3">
        <v>1249.43</v>
      </c>
      <c r="I1335" s="3">
        <v>0.76</v>
      </c>
      <c r="J1335">
        <v>0.15</v>
      </c>
      <c r="K1335">
        <v>3354.62</v>
      </c>
      <c r="L1335" t="s">
        <v>39</v>
      </c>
      <c r="M1335">
        <v>691</v>
      </c>
      <c r="N1335">
        <v>0.23</v>
      </c>
      <c r="O1335" s="3">
        <v>760.43</v>
      </c>
      <c r="P1335" s="3">
        <v>0.14000000000000001</v>
      </c>
      <c r="Q1335" s="3">
        <v>318.75</v>
      </c>
      <c r="R1335" s="3">
        <v>0.06</v>
      </c>
      <c r="S1335">
        <v>4</v>
      </c>
      <c r="T1335">
        <v>149.72</v>
      </c>
      <c r="U1335">
        <v>26</v>
      </c>
      <c r="V1335">
        <v>1</v>
      </c>
      <c r="W1335">
        <v>497.13</v>
      </c>
      <c r="X1335">
        <v>2812.93</v>
      </c>
      <c r="Y1335" t="s">
        <v>36</v>
      </c>
      <c r="Z1335" s="3">
        <v>2128.15</v>
      </c>
      <c r="AA1335" t="s">
        <v>41</v>
      </c>
      <c r="AB1335" t="s">
        <v>42</v>
      </c>
      <c r="AC1335">
        <v>97.1</v>
      </c>
      <c r="AD1335" t="s">
        <v>34</v>
      </c>
      <c r="AE1335">
        <v>1249.43</v>
      </c>
      <c r="AF1335">
        <v>0</v>
      </c>
    </row>
    <row r="1336" spans="3:32" x14ac:dyDescent="0.35">
      <c r="C1336" s="1">
        <v>44246</v>
      </c>
      <c r="D1336" s="2">
        <v>44228</v>
      </c>
      <c r="E1336">
        <v>1546</v>
      </c>
      <c r="F1336" s="3">
        <v>4478.2299999999996</v>
      </c>
      <c r="G1336" s="3">
        <v>2547.81</v>
      </c>
      <c r="H1336" s="3">
        <v>1930.42</v>
      </c>
      <c r="I1336" s="3">
        <v>0.56999999999999995</v>
      </c>
      <c r="J1336">
        <v>7.0000000000000007E-2</v>
      </c>
      <c r="K1336">
        <v>2717.57</v>
      </c>
      <c r="L1336" t="s">
        <v>30</v>
      </c>
      <c r="M1336">
        <v>679</v>
      </c>
      <c r="N1336">
        <v>0.49</v>
      </c>
      <c r="O1336" s="3">
        <v>25.26</v>
      </c>
      <c r="P1336" s="3">
        <v>0.01</v>
      </c>
      <c r="Q1336" s="3">
        <v>505.76</v>
      </c>
      <c r="R1336" s="3">
        <v>0.11</v>
      </c>
      <c r="S1336">
        <v>4</v>
      </c>
      <c r="T1336">
        <v>1156.58</v>
      </c>
      <c r="U1336">
        <v>91</v>
      </c>
      <c r="V1336">
        <v>0</v>
      </c>
      <c r="W1336">
        <v>312.8</v>
      </c>
      <c r="X1336">
        <v>2121.86</v>
      </c>
      <c r="Y1336" t="s">
        <v>36</v>
      </c>
      <c r="Z1336" s="3">
        <v>803.2</v>
      </c>
      <c r="AA1336" t="s">
        <v>47</v>
      </c>
      <c r="AB1336" t="s">
        <v>42</v>
      </c>
      <c r="AC1336">
        <v>71.7</v>
      </c>
      <c r="AD1336" t="s">
        <v>34</v>
      </c>
      <c r="AE1336">
        <v>1930.42</v>
      </c>
      <c r="AF1336">
        <v>0</v>
      </c>
    </row>
    <row r="1337" spans="3:32" x14ac:dyDescent="0.35">
      <c r="C1337" s="1">
        <v>44246</v>
      </c>
      <c r="D1337" s="2">
        <v>44228</v>
      </c>
      <c r="E1337">
        <v>1308</v>
      </c>
      <c r="F1337" s="3">
        <v>4131.5200000000004</v>
      </c>
      <c r="G1337" s="3">
        <v>2820.09</v>
      </c>
      <c r="H1337" s="3">
        <v>1311.43</v>
      </c>
      <c r="I1337" s="3">
        <v>0.68</v>
      </c>
      <c r="J1337">
        <v>0.17</v>
      </c>
      <c r="K1337">
        <v>2691.94</v>
      </c>
      <c r="L1337" t="s">
        <v>39</v>
      </c>
      <c r="M1337">
        <v>743</v>
      </c>
      <c r="N1337">
        <v>0.56999999999999995</v>
      </c>
      <c r="O1337" s="3">
        <v>589.25</v>
      </c>
      <c r="P1337" s="3">
        <v>0.14000000000000001</v>
      </c>
      <c r="Q1337" s="3">
        <v>674.28</v>
      </c>
      <c r="R1337" s="3">
        <v>0.16</v>
      </c>
      <c r="S1337">
        <v>1</v>
      </c>
      <c r="T1337">
        <v>1052.45</v>
      </c>
      <c r="U1337">
        <v>28</v>
      </c>
      <c r="V1337">
        <v>0</v>
      </c>
      <c r="W1337">
        <v>364.41</v>
      </c>
      <c r="X1337">
        <v>1593.82</v>
      </c>
      <c r="Y1337" t="s">
        <v>36</v>
      </c>
      <c r="Z1337" s="3">
        <v>1819.51</v>
      </c>
      <c r="AA1337" t="s">
        <v>51</v>
      </c>
      <c r="AB1337" t="s">
        <v>33</v>
      </c>
      <c r="AC1337">
        <v>19.899999999999999</v>
      </c>
      <c r="AD1337" t="s">
        <v>34</v>
      </c>
      <c r="AE1337">
        <v>1311.43</v>
      </c>
      <c r="AF1337">
        <v>0</v>
      </c>
    </row>
    <row r="1338" spans="3:32" x14ac:dyDescent="0.35">
      <c r="C1338" s="1">
        <v>44246</v>
      </c>
      <c r="D1338" s="2">
        <v>44228</v>
      </c>
      <c r="E1338">
        <v>1305</v>
      </c>
      <c r="F1338" s="3">
        <v>5119.62</v>
      </c>
      <c r="G1338" s="3">
        <v>2825.89</v>
      </c>
      <c r="H1338" s="3">
        <v>2293.73</v>
      </c>
      <c r="I1338" s="3">
        <v>0.55000000000000004</v>
      </c>
      <c r="J1338">
        <v>0.21</v>
      </c>
      <c r="K1338">
        <v>2178.5700000000002</v>
      </c>
      <c r="L1338" t="s">
        <v>39</v>
      </c>
      <c r="M1338">
        <v>701</v>
      </c>
      <c r="N1338">
        <v>0.21</v>
      </c>
      <c r="O1338" s="3">
        <v>609.70000000000005</v>
      </c>
      <c r="P1338" s="3">
        <v>0.12</v>
      </c>
      <c r="Q1338" s="3">
        <v>711.62</v>
      </c>
      <c r="R1338" s="3">
        <v>0.14000000000000001</v>
      </c>
      <c r="S1338">
        <v>2</v>
      </c>
      <c r="T1338">
        <v>1477.3</v>
      </c>
      <c r="U1338">
        <v>97</v>
      </c>
      <c r="V1338">
        <v>0</v>
      </c>
      <c r="W1338">
        <v>788.11</v>
      </c>
      <c r="X1338">
        <v>2791.94</v>
      </c>
      <c r="Y1338" t="s">
        <v>49</v>
      </c>
      <c r="Z1338" s="3">
        <v>1838.38</v>
      </c>
      <c r="AA1338" t="s">
        <v>48</v>
      </c>
      <c r="AB1338" t="s">
        <v>42</v>
      </c>
      <c r="AC1338">
        <v>27.5</v>
      </c>
      <c r="AD1338" t="s">
        <v>38</v>
      </c>
      <c r="AE1338">
        <v>2293.73</v>
      </c>
      <c r="AF1338">
        <v>1</v>
      </c>
    </row>
    <row r="1339" spans="3:32" x14ac:dyDescent="0.35">
      <c r="C1339" s="1">
        <v>44246</v>
      </c>
      <c r="D1339" s="2">
        <v>44228</v>
      </c>
      <c r="E1339">
        <v>1171</v>
      </c>
      <c r="F1339" s="3">
        <v>3353.2</v>
      </c>
      <c r="G1339" s="3">
        <v>2892.26</v>
      </c>
      <c r="H1339" s="3">
        <v>460.94</v>
      </c>
      <c r="I1339" s="3">
        <v>0.86</v>
      </c>
      <c r="J1339">
        <v>0.33</v>
      </c>
      <c r="K1339">
        <v>2418.31</v>
      </c>
      <c r="L1339" t="s">
        <v>35</v>
      </c>
      <c r="M1339">
        <v>730</v>
      </c>
      <c r="N1339">
        <v>0.43</v>
      </c>
      <c r="O1339" s="3">
        <v>900.04</v>
      </c>
      <c r="P1339" s="3">
        <v>0.27</v>
      </c>
      <c r="Q1339" s="3">
        <v>518.33000000000004</v>
      </c>
      <c r="R1339" s="3">
        <v>0.15</v>
      </c>
      <c r="S1339">
        <v>5</v>
      </c>
      <c r="T1339">
        <v>105.41</v>
      </c>
      <c r="U1339">
        <v>81</v>
      </c>
      <c r="V1339">
        <v>0</v>
      </c>
      <c r="W1339">
        <v>305.76</v>
      </c>
      <c r="X1339">
        <v>1759.46</v>
      </c>
      <c r="Y1339" t="s">
        <v>36</v>
      </c>
      <c r="Z1339" s="3">
        <v>1470.17</v>
      </c>
      <c r="AA1339" t="s">
        <v>45</v>
      </c>
      <c r="AB1339" t="s">
        <v>33</v>
      </c>
      <c r="AC1339">
        <v>16.600000000000001</v>
      </c>
      <c r="AD1339" t="s">
        <v>34</v>
      </c>
      <c r="AE1339">
        <v>460.94</v>
      </c>
      <c r="AF1339">
        <v>0</v>
      </c>
    </row>
    <row r="1340" spans="3:32" x14ac:dyDescent="0.35">
      <c r="C1340" s="1">
        <v>44246</v>
      </c>
      <c r="D1340" s="2">
        <v>44228</v>
      </c>
      <c r="E1340">
        <v>1173</v>
      </c>
      <c r="F1340" s="3">
        <v>4643.6000000000004</v>
      </c>
      <c r="G1340" s="3">
        <v>2515.23</v>
      </c>
      <c r="H1340" s="3">
        <v>2128.37</v>
      </c>
      <c r="I1340" s="3">
        <v>0.54</v>
      </c>
      <c r="J1340">
        <v>0.34</v>
      </c>
      <c r="K1340">
        <v>3965.35</v>
      </c>
      <c r="L1340" t="s">
        <v>39</v>
      </c>
      <c r="M1340">
        <v>649</v>
      </c>
      <c r="N1340">
        <v>0.28999999999999998</v>
      </c>
      <c r="O1340" s="3">
        <v>549.16</v>
      </c>
      <c r="P1340" s="3">
        <v>0.12</v>
      </c>
      <c r="Q1340" s="3">
        <v>44.41</v>
      </c>
      <c r="R1340" s="3">
        <v>0.01</v>
      </c>
      <c r="S1340">
        <v>8</v>
      </c>
      <c r="T1340">
        <v>1070.01</v>
      </c>
      <c r="U1340">
        <v>22</v>
      </c>
      <c r="V1340">
        <v>0</v>
      </c>
      <c r="W1340">
        <v>505.47</v>
      </c>
      <c r="X1340">
        <v>1705.18</v>
      </c>
      <c r="Y1340" t="s">
        <v>36</v>
      </c>
      <c r="Z1340" s="3">
        <v>1359.35</v>
      </c>
      <c r="AA1340" t="s">
        <v>51</v>
      </c>
      <c r="AB1340" t="s">
        <v>33</v>
      </c>
      <c r="AC1340">
        <v>9.5</v>
      </c>
      <c r="AD1340" t="s">
        <v>38</v>
      </c>
      <c r="AE1340">
        <v>2128.37</v>
      </c>
      <c r="AF1340">
        <v>0</v>
      </c>
    </row>
    <row r="1341" spans="3:32" x14ac:dyDescent="0.35">
      <c r="C1341" s="1">
        <v>44246</v>
      </c>
      <c r="D1341" s="2">
        <v>44228</v>
      </c>
      <c r="E1341">
        <v>1216</v>
      </c>
      <c r="F1341" s="3">
        <v>3270.71</v>
      </c>
      <c r="G1341" s="3">
        <v>1664.66</v>
      </c>
      <c r="H1341" s="3">
        <v>1606.05</v>
      </c>
      <c r="I1341" s="3">
        <v>0.51</v>
      </c>
      <c r="J1341">
        <v>0.21</v>
      </c>
      <c r="K1341">
        <v>2844.21</v>
      </c>
      <c r="L1341" t="s">
        <v>39</v>
      </c>
      <c r="M1341">
        <v>636</v>
      </c>
      <c r="N1341">
        <v>0.28999999999999998</v>
      </c>
      <c r="O1341" s="3">
        <v>538.49</v>
      </c>
      <c r="P1341" s="3">
        <v>0.16</v>
      </c>
      <c r="Q1341" s="3">
        <v>445.29</v>
      </c>
      <c r="R1341" s="3">
        <v>0.14000000000000001</v>
      </c>
      <c r="S1341">
        <v>8</v>
      </c>
      <c r="T1341">
        <v>793.09</v>
      </c>
      <c r="U1341">
        <v>50</v>
      </c>
      <c r="V1341">
        <v>0</v>
      </c>
      <c r="W1341">
        <v>570.46</v>
      </c>
      <c r="X1341">
        <v>2114.13</v>
      </c>
      <c r="Y1341" t="s">
        <v>36</v>
      </c>
      <c r="Z1341" s="3">
        <v>1961.73</v>
      </c>
      <c r="AA1341" t="s">
        <v>45</v>
      </c>
      <c r="AB1341" t="s">
        <v>42</v>
      </c>
      <c r="AC1341">
        <v>54.5</v>
      </c>
      <c r="AD1341" t="s">
        <v>34</v>
      </c>
      <c r="AE1341">
        <v>1606.05</v>
      </c>
      <c r="AF1341">
        <v>0</v>
      </c>
    </row>
    <row r="1342" spans="3:32" x14ac:dyDescent="0.35">
      <c r="C1342" s="1">
        <v>44246</v>
      </c>
      <c r="D1342" s="2">
        <v>44228</v>
      </c>
      <c r="E1342">
        <v>1205</v>
      </c>
      <c r="F1342" s="3">
        <v>4841.3999999999996</v>
      </c>
      <c r="G1342" s="3">
        <v>3051.78</v>
      </c>
      <c r="H1342" s="3">
        <v>1789.62</v>
      </c>
      <c r="I1342" s="3">
        <v>0.63</v>
      </c>
      <c r="J1342">
        <v>0.11</v>
      </c>
      <c r="K1342">
        <v>2390</v>
      </c>
      <c r="L1342" t="s">
        <v>35</v>
      </c>
      <c r="M1342">
        <v>623</v>
      </c>
      <c r="N1342">
        <v>0.54</v>
      </c>
      <c r="O1342" s="3">
        <v>765.42</v>
      </c>
      <c r="P1342" s="3">
        <v>0.16</v>
      </c>
      <c r="Q1342" s="3">
        <v>175.4</v>
      </c>
      <c r="R1342" s="3">
        <v>0.04</v>
      </c>
      <c r="S1342">
        <v>9</v>
      </c>
      <c r="T1342">
        <v>1346.77</v>
      </c>
      <c r="U1342">
        <v>54</v>
      </c>
      <c r="V1342">
        <v>0</v>
      </c>
      <c r="W1342">
        <v>749.29</v>
      </c>
      <c r="X1342">
        <v>2426.4899999999998</v>
      </c>
      <c r="Y1342" t="s">
        <v>36</v>
      </c>
      <c r="Z1342" s="3">
        <v>1410.63</v>
      </c>
      <c r="AA1342" t="s">
        <v>48</v>
      </c>
      <c r="AB1342" t="s">
        <v>33</v>
      </c>
      <c r="AC1342">
        <v>47.6</v>
      </c>
      <c r="AD1342" t="s">
        <v>34</v>
      </c>
      <c r="AE1342">
        <v>1789.62</v>
      </c>
      <c r="AF1342">
        <v>0</v>
      </c>
    </row>
    <row r="1343" spans="3:32" x14ac:dyDescent="0.35">
      <c r="C1343" s="1">
        <v>44246</v>
      </c>
      <c r="D1343" s="2">
        <v>44228</v>
      </c>
      <c r="E1343">
        <v>1701</v>
      </c>
      <c r="F1343" s="3">
        <v>2769.28</v>
      </c>
      <c r="G1343" s="3">
        <v>4288.41</v>
      </c>
      <c r="H1343" s="3">
        <v>-1519.13</v>
      </c>
      <c r="I1343" s="3">
        <v>1.55</v>
      </c>
      <c r="J1343">
        <v>0.22</v>
      </c>
      <c r="K1343">
        <v>3359.43</v>
      </c>
      <c r="L1343" t="s">
        <v>35</v>
      </c>
      <c r="M1343">
        <v>763</v>
      </c>
      <c r="N1343">
        <v>0.47</v>
      </c>
      <c r="O1343" s="3">
        <v>487.91</v>
      </c>
      <c r="P1343" s="3">
        <v>0.18</v>
      </c>
      <c r="Q1343" s="3">
        <v>402.89</v>
      </c>
      <c r="R1343" s="3">
        <v>0.15</v>
      </c>
      <c r="S1343">
        <v>8</v>
      </c>
      <c r="T1343">
        <v>1014.57</v>
      </c>
      <c r="U1343">
        <v>23</v>
      </c>
      <c r="V1343">
        <v>0</v>
      </c>
      <c r="W1343">
        <v>835.9</v>
      </c>
      <c r="X1343">
        <v>2541.33</v>
      </c>
      <c r="Y1343" t="s">
        <v>36</v>
      </c>
      <c r="Z1343" s="3">
        <v>1811.58</v>
      </c>
      <c r="AA1343" t="s">
        <v>50</v>
      </c>
      <c r="AB1343" t="s">
        <v>42</v>
      </c>
      <c r="AC1343">
        <v>4.5999999999999996</v>
      </c>
      <c r="AD1343" t="s">
        <v>34</v>
      </c>
      <c r="AE1343">
        <v>0</v>
      </c>
      <c r="AF1343">
        <v>0</v>
      </c>
    </row>
    <row r="1344" spans="3:32" x14ac:dyDescent="0.35">
      <c r="C1344" s="1">
        <v>44246</v>
      </c>
      <c r="D1344" s="2">
        <v>44228</v>
      </c>
      <c r="E1344">
        <v>1043</v>
      </c>
      <c r="F1344" s="3">
        <v>3755.29</v>
      </c>
      <c r="G1344" s="3">
        <v>2668.89</v>
      </c>
      <c r="H1344" s="3">
        <v>1086.4000000000001</v>
      </c>
      <c r="I1344" s="3">
        <v>0.71</v>
      </c>
      <c r="J1344">
        <v>0.08</v>
      </c>
      <c r="K1344">
        <v>2390.84</v>
      </c>
      <c r="L1344" t="s">
        <v>35</v>
      </c>
      <c r="M1344">
        <v>628</v>
      </c>
      <c r="N1344">
        <v>0.27</v>
      </c>
      <c r="O1344" s="3">
        <v>608.92999999999995</v>
      </c>
      <c r="P1344" s="3">
        <v>0.16</v>
      </c>
      <c r="Q1344" s="3">
        <v>391.27</v>
      </c>
      <c r="R1344" s="3">
        <v>0.1</v>
      </c>
      <c r="S1344">
        <v>3</v>
      </c>
      <c r="T1344">
        <v>808.28</v>
      </c>
      <c r="U1344">
        <v>80</v>
      </c>
      <c r="V1344">
        <v>0</v>
      </c>
      <c r="W1344">
        <v>1028.47</v>
      </c>
      <c r="X1344">
        <v>1034.02</v>
      </c>
      <c r="Y1344" t="s">
        <v>36</v>
      </c>
      <c r="Z1344" s="3">
        <v>951.03</v>
      </c>
      <c r="AA1344" t="s">
        <v>32</v>
      </c>
      <c r="AB1344" t="s">
        <v>42</v>
      </c>
      <c r="AC1344">
        <v>4.4000000000000004</v>
      </c>
      <c r="AD1344" t="s">
        <v>38</v>
      </c>
      <c r="AE1344">
        <v>1086.4000000000001</v>
      </c>
      <c r="AF1344">
        <v>0</v>
      </c>
    </row>
    <row r="1345" spans="3:32" x14ac:dyDescent="0.35">
      <c r="C1345" s="1">
        <v>44246</v>
      </c>
      <c r="D1345" s="2">
        <v>44228</v>
      </c>
      <c r="E1345">
        <v>1789</v>
      </c>
      <c r="F1345" s="3">
        <v>4017.66</v>
      </c>
      <c r="G1345" s="3">
        <v>2519.23</v>
      </c>
      <c r="H1345" s="3">
        <v>1498.43</v>
      </c>
      <c r="I1345" s="3">
        <v>0.63</v>
      </c>
      <c r="J1345">
        <v>0.25</v>
      </c>
      <c r="K1345">
        <v>2651.87</v>
      </c>
      <c r="L1345" t="s">
        <v>35</v>
      </c>
      <c r="M1345">
        <v>653</v>
      </c>
      <c r="N1345">
        <v>0.47</v>
      </c>
      <c r="O1345" s="3">
        <v>587.24</v>
      </c>
      <c r="P1345" s="3">
        <v>0.15</v>
      </c>
      <c r="Q1345" s="3">
        <v>697.94</v>
      </c>
      <c r="R1345" s="3">
        <v>0.17</v>
      </c>
      <c r="S1345">
        <v>5</v>
      </c>
      <c r="T1345">
        <v>0</v>
      </c>
      <c r="U1345">
        <v>46</v>
      </c>
      <c r="V1345">
        <v>0</v>
      </c>
      <c r="W1345">
        <v>490.3</v>
      </c>
      <c r="X1345">
        <v>1582.47</v>
      </c>
      <c r="Y1345" t="s">
        <v>31</v>
      </c>
      <c r="Z1345" s="3">
        <v>1321.33</v>
      </c>
      <c r="AA1345" t="s">
        <v>51</v>
      </c>
      <c r="AB1345" t="s">
        <v>42</v>
      </c>
      <c r="AC1345">
        <v>22.7</v>
      </c>
      <c r="AD1345" t="s">
        <v>38</v>
      </c>
      <c r="AE1345">
        <v>1498.43</v>
      </c>
      <c r="AF1345">
        <v>0</v>
      </c>
    </row>
    <row r="1346" spans="3:32" x14ac:dyDescent="0.35">
      <c r="C1346" s="1">
        <v>44246</v>
      </c>
      <c r="D1346" s="2">
        <v>44228</v>
      </c>
      <c r="E1346">
        <v>1198</v>
      </c>
      <c r="F1346" s="3">
        <v>5254.63</v>
      </c>
      <c r="G1346" s="3">
        <v>3690.36</v>
      </c>
      <c r="H1346" s="3">
        <v>1564.27</v>
      </c>
      <c r="I1346" s="3">
        <v>0.7</v>
      </c>
      <c r="J1346">
        <v>0.09</v>
      </c>
      <c r="K1346">
        <v>2301.19</v>
      </c>
      <c r="L1346" t="s">
        <v>35</v>
      </c>
      <c r="M1346">
        <v>624</v>
      </c>
      <c r="N1346">
        <v>0.24</v>
      </c>
      <c r="O1346" s="3">
        <v>525.88</v>
      </c>
      <c r="P1346" s="3">
        <v>0.1</v>
      </c>
      <c r="Q1346" s="3">
        <v>0</v>
      </c>
      <c r="R1346" s="3">
        <v>0</v>
      </c>
      <c r="S1346">
        <v>8</v>
      </c>
      <c r="T1346">
        <v>1115.73</v>
      </c>
      <c r="U1346">
        <v>77</v>
      </c>
      <c r="V1346">
        <v>0</v>
      </c>
      <c r="W1346">
        <v>402</v>
      </c>
      <c r="X1346">
        <v>2631.39</v>
      </c>
      <c r="Y1346" t="s">
        <v>36</v>
      </c>
      <c r="Z1346" s="3">
        <v>681.8</v>
      </c>
      <c r="AA1346" t="s">
        <v>37</v>
      </c>
      <c r="AB1346" t="s">
        <v>44</v>
      </c>
      <c r="AC1346">
        <v>87.5</v>
      </c>
      <c r="AD1346" t="s">
        <v>43</v>
      </c>
      <c r="AE1346">
        <v>1564.27</v>
      </c>
      <c r="AF1346">
        <v>0</v>
      </c>
    </row>
    <row r="1347" spans="3:32" x14ac:dyDescent="0.35">
      <c r="C1347" s="1">
        <v>44246</v>
      </c>
      <c r="D1347" s="2">
        <v>44228</v>
      </c>
      <c r="E1347">
        <v>1940</v>
      </c>
      <c r="F1347" s="3">
        <v>4358.13</v>
      </c>
      <c r="G1347" s="3">
        <v>3525.91</v>
      </c>
      <c r="H1347" s="3">
        <v>832.22</v>
      </c>
      <c r="I1347" s="3">
        <v>0.81</v>
      </c>
      <c r="J1347">
        <v>0.24</v>
      </c>
      <c r="K1347">
        <v>3825.04</v>
      </c>
      <c r="L1347" t="s">
        <v>35</v>
      </c>
      <c r="M1347">
        <v>755</v>
      </c>
      <c r="N1347">
        <v>0.31</v>
      </c>
      <c r="O1347" s="3">
        <v>726.38</v>
      </c>
      <c r="P1347" s="3">
        <v>0.17</v>
      </c>
      <c r="Q1347" s="3">
        <v>95.86</v>
      </c>
      <c r="R1347" s="3">
        <v>0.02</v>
      </c>
      <c r="S1347">
        <v>5</v>
      </c>
      <c r="T1347">
        <v>925.21</v>
      </c>
      <c r="U1347">
        <v>29</v>
      </c>
      <c r="V1347">
        <v>0</v>
      </c>
      <c r="W1347">
        <v>412.07</v>
      </c>
      <c r="X1347">
        <v>1931.73</v>
      </c>
      <c r="Y1347" t="s">
        <v>36</v>
      </c>
      <c r="Z1347" s="3">
        <v>1046.8599999999999</v>
      </c>
      <c r="AA1347" t="s">
        <v>48</v>
      </c>
      <c r="AB1347" t="s">
        <v>33</v>
      </c>
      <c r="AC1347">
        <v>0.8</v>
      </c>
      <c r="AD1347" t="s">
        <v>34</v>
      </c>
      <c r="AE1347">
        <v>832.22</v>
      </c>
      <c r="AF1347">
        <v>0</v>
      </c>
    </row>
    <row r="1348" spans="3:32" x14ac:dyDescent="0.35">
      <c r="C1348" s="1">
        <v>44246</v>
      </c>
      <c r="D1348" s="2">
        <v>44228</v>
      </c>
      <c r="E1348">
        <v>1346</v>
      </c>
      <c r="F1348" s="3">
        <v>2903.77</v>
      </c>
      <c r="G1348" s="3">
        <v>1357.21</v>
      </c>
      <c r="H1348" s="3">
        <v>1546.56</v>
      </c>
      <c r="I1348" s="3">
        <v>0.47</v>
      </c>
      <c r="J1348">
        <v>0.37</v>
      </c>
      <c r="K1348">
        <v>3195.68</v>
      </c>
      <c r="L1348" t="s">
        <v>35</v>
      </c>
      <c r="M1348">
        <v>628</v>
      </c>
      <c r="N1348">
        <v>0.21</v>
      </c>
      <c r="O1348" s="3">
        <v>742.36</v>
      </c>
      <c r="P1348" s="3">
        <v>0.26</v>
      </c>
      <c r="Q1348" s="3">
        <v>618.21</v>
      </c>
      <c r="R1348" s="3">
        <v>0.21</v>
      </c>
      <c r="S1348">
        <v>4</v>
      </c>
      <c r="T1348">
        <v>763.28</v>
      </c>
      <c r="U1348">
        <v>45</v>
      </c>
      <c r="V1348">
        <v>0</v>
      </c>
      <c r="W1348">
        <v>418.47</v>
      </c>
      <c r="X1348">
        <v>2379.46</v>
      </c>
      <c r="Y1348" t="s">
        <v>31</v>
      </c>
      <c r="Z1348" s="3">
        <v>1538.14</v>
      </c>
      <c r="AA1348" t="s">
        <v>40</v>
      </c>
      <c r="AB1348" t="s">
        <v>33</v>
      </c>
      <c r="AC1348">
        <v>22.3</v>
      </c>
      <c r="AD1348" t="s">
        <v>43</v>
      </c>
      <c r="AE1348">
        <v>1546.56</v>
      </c>
      <c r="AF1348">
        <v>0</v>
      </c>
    </row>
    <row r="1349" spans="3:32" x14ac:dyDescent="0.35">
      <c r="C1349" s="1">
        <v>44246</v>
      </c>
      <c r="D1349" s="2">
        <v>44228</v>
      </c>
      <c r="E1349">
        <v>1114</v>
      </c>
      <c r="F1349" s="3">
        <v>4703.74</v>
      </c>
      <c r="G1349" s="3">
        <v>2549.44</v>
      </c>
      <c r="H1349" s="3">
        <v>2154.3000000000002</v>
      </c>
      <c r="I1349" s="3">
        <v>0.54</v>
      </c>
      <c r="J1349">
        <v>0.36</v>
      </c>
      <c r="K1349">
        <v>3028.03</v>
      </c>
      <c r="L1349" t="s">
        <v>30</v>
      </c>
      <c r="M1349">
        <v>734</v>
      </c>
      <c r="N1349">
        <v>0.46</v>
      </c>
      <c r="O1349" s="3">
        <v>469.28</v>
      </c>
      <c r="P1349" s="3">
        <v>0.1</v>
      </c>
      <c r="Q1349" s="3">
        <v>257.73</v>
      </c>
      <c r="R1349" s="3">
        <v>0.05</v>
      </c>
      <c r="S1349">
        <v>5</v>
      </c>
      <c r="T1349">
        <v>626</v>
      </c>
      <c r="U1349">
        <v>51</v>
      </c>
      <c r="V1349">
        <v>0</v>
      </c>
      <c r="W1349">
        <v>337.08</v>
      </c>
      <c r="X1349">
        <v>2798.89</v>
      </c>
      <c r="Y1349" t="s">
        <v>36</v>
      </c>
      <c r="Z1349" s="3">
        <v>1368.36</v>
      </c>
      <c r="AA1349" t="s">
        <v>41</v>
      </c>
      <c r="AB1349" t="s">
        <v>42</v>
      </c>
      <c r="AC1349">
        <v>94.4</v>
      </c>
      <c r="AD1349" t="s">
        <v>38</v>
      </c>
      <c r="AE1349">
        <v>2154.3000000000002</v>
      </c>
      <c r="AF1349">
        <v>0</v>
      </c>
    </row>
    <row r="1350" spans="3:32" x14ac:dyDescent="0.35">
      <c r="C1350" s="1">
        <v>44246</v>
      </c>
      <c r="D1350" s="2">
        <v>44228</v>
      </c>
      <c r="E1350">
        <v>1845</v>
      </c>
      <c r="F1350" s="3">
        <v>2521.06</v>
      </c>
      <c r="G1350" s="3">
        <v>4569.6400000000003</v>
      </c>
      <c r="H1350" s="3">
        <v>-2048.58</v>
      </c>
      <c r="I1350" s="3">
        <v>1.81</v>
      </c>
      <c r="J1350">
        <v>0.38</v>
      </c>
      <c r="K1350">
        <v>2527.71</v>
      </c>
      <c r="L1350" t="s">
        <v>35</v>
      </c>
      <c r="M1350">
        <v>723</v>
      </c>
      <c r="N1350">
        <v>0.56999999999999995</v>
      </c>
      <c r="O1350" s="3">
        <v>520.34</v>
      </c>
      <c r="P1350" s="3">
        <v>0.21</v>
      </c>
      <c r="Q1350" s="3">
        <v>414</v>
      </c>
      <c r="R1350" s="3">
        <v>0.16</v>
      </c>
      <c r="S1350">
        <v>3</v>
      </c>
      <c r="T1350">
        <v>1269.8</v>
      </c>
      <c r="U1350">
        <v>38</v>
      </c>
      <c r="V1350">
        <v>0</v>
      </c>
      <c r="W1350">
        <v>664.34</v>
      </c>
      <c r="X1350">
        <v>1979.96</v>
      </c>
      <c r="Y1350" t="s">
        <v>49</v>
      </c>
      <c r="Z1350" s="3">
        <v>1242.1300000000001</v>
      </c>
      <c r="AA1350" t="s">
        <v>37</v>
      </c>
      <c r="AB1350" t="s">
        <v>42</v>
      </c>
      <c r="AC1350">
        <v>32.5</v>
      </c>
      <c r="AD1350" t="s">
        <v>43</v>
      </c>
      <c r="AE1350">
        <v>0</v>
      </c>
      <c r="AF1350">
        <v>0</v>
      </c>
    </row>
    <row r="1351" spans="3:32" x14ac:dyDescent="0.35">
      <c r="C1351" s="1">
        <v>44246</v>
      </c>
      <c r="D1351" s="2">
        <v>44228</v>
      </c>
      <c r="E1351">
        <v>1363</v>
      </c>
      <c r="F1351" s="3">
        <v>4823.7299999999996</v>
      </c>
      <c r="G1351" s="3">
        <v>2477.5</v>
      </c>
      <c r="H1351" s="3">
        <v>2346.23</v>
      </c>
      <c r="I1351" s="3">
        <v>0.51</v>
      </c>
      <c r="J1351">
        <v>0.11</v>
      </c>
      <c r="K1351">
        <v>2673.76</v>
      </c>
      <c r="L1351" t="s">
        <v>35</v>
      </c>
      <c r="M1351">
        <v>698</v>
      </c>
      <c r="N1351">
        <v>0.25</v>
      </c>
      <c r="O1351" s="3">
        <v>326.83999999999997</v>
      </c>
      <c r="P1351" s="3">
        <v>7.0000000000000007E-2</v>
      </c>
      <c r="Q1351" s="3">
        <v>378.41</v>
      </c>
      <c r="R1351" s="3">
        <v>0.08</v>
      </c>
      <c r="S1351">
        <v>1</v>
      </c>
      <c r="T1351">
        <v>1665.82</v>
      </c>
      <c r="U1351">
        <v>51</v>
      </c>
      <c r="V1351">
        <v>0</v>
      </c>
      <c r="W1351">
        <v>418.02</v>
      </c>
      <c r="X1351">
        <v>3054.5</v>
      </c>
      <c r="Y1351" t="s">
        <v>36</v>
      </c>
      <c r="Z1351" s="3">
        <v>1778.03</v>
      </c>
      <c r="AA1351" t="s">
        <v>40</v>
      </c>
      <c r="AB1351" t="s">
        <v>42</v>
      </c>
      <c r="AC1351">
        <v>86.4</v>
      </c>
      <c r="AD1351" t="s">
        <v>34</v>
      </c>
      <c r="AE1351">
        <v>2346.23</v>
      </c>
      <c r="AF1351">
        <v>0</v>
      </c>
    </row>
    <row r="1352" spans="3:32" x14ac:dyDescent="0.35">
      <c r="C1352" s="1">
        <v>44276</v>
      </c>
      <c r="D1352" s="2">
        <v>44256</v>
      </c>
      <c r="E1352">
        <v>1998</v>
      </c>
      <c r="F1352" s="3">
        <v>6042.51</v>
      </c>
      <c r="G1352" s="3">
        <v>2246.36</v>
      </c>
      <c r="H1352" s="3">
        <v>3796.15</v>
      </c>
      <c r="I1352" s="3">
        <v>0.37</v>
      </c>
      <c r="J1352">
        <v>0.05</v>
      </c>
      <c r="K1352">
        <v>2185.71</v>
      </c>
      <c r="L1352" t="s">
        <v>30</v>
      </c>
      <c r="M1352">
        <v>620</v>
      </c>
      <c r="N1352">
        <v>0.5</v>
      </c>
      <c r="O1352" s="3">
        <v>419.3</v>
      </c>
      <c r="P1352" s="3">
        <v>7.0000000000000007E-2</v>
      </c>
      <c r="Q1352" s="3">
        <v>579.51</v>
      </c>
      <c r="R1352" s="3">
        <v>0.1</v>
      </c>
      <c r="S1352">
        <v>5</v>
      </c>
      <c r="T1352">
        <v>1513.09</v>
      </c>
      <c r="U1352">
        <v>22</v>
      </c>
      <c r="V1352">
        <v>0</v>
      </c>
      <c r="W1352">
        <v>383.93</v>
      </c>
      <c r="X1352">
        <v>1975.73</v>
      </c>
      <c r="Y1352" t="s">
        <v>36</v>
      </c>
      <c r="Z1352" s="3">
        <v>423.02</v>
      </c>
      <c r="AA1352" t="s">
        <v>40</v>
      </c>
      <c r="AB1352" t="s">
        <v>33</v>
      </c>
      <c r="AC1352">
        <v>27.9</v>
      </c>
      <c r="AD1352" t="s">
        <v>43</v>
      </c>
      <c r="AE1352">
        <v>3796.15</v>
      </c>
      <c r="AF1352">
        <v>1</v>
      </c>
    </row>
    <row r="1353" spans="3:32" x14ac:dyDescent="0.35">
      <c r="C1353" s="1">
        <v>44276</v>
      </c>
      <c r="D1353" s="2">
        <v>44256</v>
      </c>
      <c r="E1353">
        <v>1371</v>
      </c>
      <c r="F1353" s="3">
        <v>3375.82</v>
      </c>
      <c r="G1353" s="3">
        <v>2627.31</v>
      </c>
      <c r="H1353" s="3">
        <v>748.51</v>
      </c>
      <c r="I1353" s="3">
        <v>0.78</v>
      </c>
      <c r="J1353">
        <v>7.0000000000000007E-2</v>
      </c>
      <c r="K1353">
        <v>3402.61</v>
      </c>
      <c r="L1353" t="s">
        <v>35</v>
      </c>
      <c r="M1353">
        <v>661</v>
      </c>
      <c r="N1353">
        <v>0.23</v>
      </c>
      <c r="O1353" s="3">
        <v>885.3</v>
      </c>
      <c r="P1353" s="3">
        <v>0.26</v>
      </c>
      <c r="Q1353" s="3">
        <v>580.03</v>
      </c>
      <c r="R1353" s="3">
        <v>0.17</v>
      </c>
      <c r="S1353">
        <v>2</v>
      </c>
      <c r="T1353">
        <v>532.30999999999995</v>
      </c>
      <c r="U1353">
        <v>87</v>
      </c>
      <c r="V1353">
        <v>1</v>
      </c>
      <c r="W1353">
        <v>459.21</v>
      </c>
      <c r="X1353">
        <v>2665.28</v>
      </c>
      <c r="Y1353" t="s">
        <v>36</v>
      </c>
      <c r="Z1353" s="3">
        <v>1306.3900000000001</v>
      </c>
      <c r="AA1353" t="s">
        <v>37</v>
      </c>
      <c r="AB1353" t="s">
        <v>44</v>
      </c>
      <c r="AC1353">
        <v>23.5</v>
      </c>
      <c r="AD1353" t="s">
        <v>43</v>
      </c>
      <c r="AE1353">
        <v>748.51</v>
      </c>
      <c r="AF1353">
        <v>0</v>
      </c>
    </row>
    <row r="1354" spans="3:32" x14ac:dyDescent="0.35">
      <c r="C1354" s="1">
        <v>44276</v>
      </c>
      <c r="D1354" s="2">
        <v>44256</v>
      </c>
      <c r="E1354">
        <v>1109</v>
      </c>
      <c r="F1354" s="3">
        <v>4870.59</v>
      </c>
      <c r="G1354" s="3">
        <v>3461.87</v>
      </c>
      <c r="H1354" s="3">
        <v>1408.72</v>
      </c>
      <c r="I1354" s="3">
        <v>0.71</v>
      </c>
      <c r="J1354">
        <v>0.22</v>
      </c>
      <c r="K1354">
        <v>2200.37</v>
      </c>
      <c r="L1354" t="s">
        <v>30</v>
      </c>
      <c r="M1354">
        <v>643</v>
      </c>
      <c r="N1354">
        <v>0.25</v>
      </c>
      <c r="O1354" s="3">
        <v>371.28</v>
      </c>
      <c r="P1354" s="3">
        <v>0.08</v>
      </c>
      <c r="Q1354" s="3">
        <v>380.98</v>
      </c>
      <c r="R1354" s="3">
        <v>0.08</v>
      </c>
      <c r="S1354">
        <v>3</v>
      </c>
      <c r="T1354">
        <v>448.36</v>
      </c>
      <c r="U1354">
        <v>81</v>
      </c>
      <c r="V1354">
        <v>0</v>
      </c>
      <c r="W1354">
        <v>254.78</v>
      </c>
      <c r="X1354">
        <v>1622.42</v>
      </c>
      <c r="Y1354" t="s">
        <v>36</v>
      </c>
      <c r="Z1354" s="3">
        <v>1256.79</v>
      </c>
      <c r="AA1354" t="s">
        <v>51</v>
      </c>
      <c r="AB1354" t="s">
        <v>33</v>
      </c>
      <c r="AC1354">
        <v>15.9</v>
      </c>
      <c r="AD1354" t="s">
        <v>34</v>
      </c>
      <c r="AE1354">
        <v>1408.72</v>
      </c>
      <c r="AF1354">
        <v>0</v>
      </c>
    </row>
    <row r="1355" spans="3:32" x14ac:dyDescent="0.35">
      <c r="C1355" s="1">
        <v>44276</v>
      </c>
      <c r="D1355" s="2">
        <v>44256</v>
      </c>
      <c r="E1355">
        <v>1239</v>
      </c>
      <c r="F1355" s="3">
        <v>4030.27</v>
      </c>
      <c r="G1355" s="3">
        <v>4110</v>
      </c>
      <c r="H1355" s="3">
        <v>-79.73</v>
      </c>
      <c r="I1355" s="3">
        <v>1.02</v>
      </c>
      <c r="J1355">
        <v>0.08</v>
      </c>
      <c r="K1355">
        <v>3068.57</v>
      </c>
      <c r="L1355" t="s">
        <v>35</v>
      </c>
      <c r="M1355">
        <v>682</v>
      </c>
      <c r="N1355">
        <v>0.51</v>
      </c>
      <c r="O1355" s="3">
        <v>519.55999999999995</v>
      </c>
      <c r="P1355" s="3">
        <v>0.13</v>
      </c>
      <c r="Q1355" s="3">
        <v>369.45</v>
      </c>
      <c r="R1355" s="3">
        <v>0.09</v>
      </c>
      <c r="S1355">
        <v>6</v>
      </c>
      <c r="T1355">
        <v>1814.19</v>
      </c>
      <c r="U1355">
        <v>82</v>
      </c>
      <c r="V1355">
        <v>0</v>
      </c>
      <c r="W1355">
        <v>647.95000000000005</v>
      </c>
      <c r="X1355">
        <v>1579.39</v>
      </c>
      <c r="Y1355" t="s">
        <v>36</v>
      </c>
      <c r="Z1355" s="3">
        <v>1138.58</v>
      </c>
      <c r="AA1355" t="s">
        <v>45</v>
      </c>
      <c r="AB1355" t="s">
        <v>33</v>
      </c>
      <c r="AC1355">
        <v>95</v>
      </c>
      <c r="AD1355" t="s">
        <v>34</v>
      </c>
      <c r="AE1355">
        <v>0</v>
      </c>
      <c r="AF1355">
        <v>0</v>
      </c>
    </row>
    <row r="1356" spans="3:32" x14ac:dyDescent="0.35">
      <c r="C1356" s="1">
        <v>44276</v>
      </c>
      <c r="D1356" s="2">
        <v>44256</v>
      </c>
      <c r="E1356">
        <v>1624</v>
      </c>
      <c r="F1356" s="3">
        <v>3647.49</v>
      </c>
      <c r="G1356" s="3">
        <v>3318.78</v>
      </c>
      <c r="H1356" s="3">
        <v>328.71</v>
      </c>
      <c r="I1356" s="3">
        <v>0.91</v>
      </c>
      <c r="J1356">
        <v>0.27</v>
      </c>
      <c r="K1356">
        <v>1786.74</v>
      </c>
      <c r="L1356" t="s">
        <v>35</v>
      </c>
      <c r="M1356">
        <v>660</v>
      </c>
      <c r="N1356">
        <v>0.18</v>
      </c>
      <c r="O1356" s="3">
        <v>316.56</v>
      </c>
      <c r="P1356" s="3">
        <v>0.09</v>
      </c>
      <c r="Q1356" s="3">
        <v>1069.32</v>
      </c>
      <c r="R1356" s="3">
        <v>0.28999999999999998</v>
      </c>
      <c r="S1356">
        <v>6</v>
      </c>
      <c r="T1356">
        <v>1287.53</v>
      </c>
      <c r="U1356">
        <v>54</v>
      </c>
      <c r="V1356">
        <v>0</v>
      </c>
      <c r="W1356">
        <v>648.47</v>
      </c>
      <c r="X1356">
        <v>1165.72</v>
      </c>
      <c r="Y1356" t="s">
        <v>36</v>
      </c>
      <c r="Z1356" s="3">
        <v>1431.22</v>
      </c>
      <c r="AA1356" t="s">
        <v>51</v>
      </c>
      <c r="AB1356" t="s">
        <v>44</v>
      </c>
      <c r="AC1356">
        <v>30.1</v>
      </c>
      <c r="AD1356" t="s">
        <v>43</v>
      </c>
      <c r="AE1356">
        <v>328.71</v>
      </c>
      <c r="AF1356">
        <v>0</v>
      </c>
    </row>
    <row r="1357" spans="3:32" x14ac:dyDescent="0.35">
      <c r="C1357" s="1">
        <v>44276</v>
      </c>
      <c r="D1357" s="2">
        <v>44256</v>
      </c>
      <c r="E1357">
        <v>1115</v>
      </c>
      <c r="F1357" s="3">
        <v>5395.68</v>
      </c>
      <c r="G1357" s="3">
        <v>3656.6</v>
      </c>
      <c r="H1357" s="3">
        <v>1739.08</v>
      </c>
      <c r="I1357" s="3">
        <v>0.68</v>
      </c>
      <c r="J1357">
        <v>0.1</v>
      </c>
      <c r="K1357">
        <v>2801.69</v>
      </c>
      <c r="L1357" t="s">
        <v>35</v>
      </c>
      <c r="M1357">
        <v>673</v>
      </c>
      <c r="N1357">
        <v>0.18</v>
      </c>
      <c r="O1357" s="3">
        <v>584.69000000000005</v>
      </c>
      <c r="P1357" s="3">
        <v>0.11</v>
      </c>
      <c r="Q1357" s="3">
        <v>668.13</v>
      </c>
      <c r="R1357" s="3">
        <v>0.12</v>
      </c>
      <c r="S1357">
        <v>5</v>
      </c>
      <c r="T1357">
        <v>1187.26</v>
      </c>
      <c r="U1357">
        <v>51</v>
      </c>
      <c r="V1357">
        <v>0</v>
      </c>
      <c r="W1357">
        <v>519.79999999999995</v>
      </c>
      <c r="X1357">
        <v>1835.08</v>
      </c>
      <c r="Y1357" t="s">
        <v>31</v>
      </c>
      <c r="Z1357" s="3">
        <v>300</v>
      </c>
      <c r="AA1357" t="s">
        <v>41</v>
      </c>
      <c r="AB1357" t="s">
        <v>33</v>
      </c>
      <c r="AC1357">
        <v>56.8</v>
      </c>
      <c r="AD1357" t="s">
        <v>43</v>
      </c>
      <c r="AE1357">
        <v>1739.08</v>
      </c>
      <c r="AF1357">
        <v>0</v>
      </c>
    </row>
    <row r="1358" spans="3:32" x14ac:dyDescent="0.35">
      <c r="C1358" s="1">
        <v>44276</v>
      </c>
      <c r="D1358" s="2">
        <v>44256</v>
      </c>
      <c r="E1358">
        <v>1715</v>
      </c>
      <c r="F1358" s="3">
        <v>826.36</v>
      </c>
      <c r="G1358" s="3">
        <v>3322.15</v>
      </c>
      <c r="H1358" s="3">
        <v>-2495.79</v>
      </c>
      <c r="I1358" s="3">
        <v>4.0199999999999996</v>
      </c>
      <c r="J1358">
        <v>0.36</v>
      </c>
      <c r="K1358">
        <v>2206.9699999999998</v>
      </c>
      <c r="L1358" t="s">
        <v>39</v>
      </c>
      <c r="M1358">
        <v>610</v>
      </c>
      <c r="N1358">
        <v>0.19</v>
      </c>
      <c r="O1358" s="3">
        <v>855.85</v>
      </c>
      <c r="P1358" s="3">
        <v>1.04</v>
      </c>
      <c r="Q1358" s="3">
        <v>446.79</v>
      </c>
      <c r="R1358" s="3">
        <v>0.54</v>
      </c>
      <c r="S1358">
        <v>9</v>
      </c>
      <c r="T1358">
        <v>601.04999999999995</v>
      </c>
      <c r="U1358">
        <v>99</v>
      </c>
      <c r="V1358">
        <v>0</v>
      </c>
      <c r="W1358">
        <v>681.99</v>
      </c>
      <c r="X1358">
        <v>2937.06</v>
      </c>
      <c r="Y1358" t="s">
        <v>36</v>
      </c>
      <c r="Z1358" s="3">
        <v>976.62</v>
      </c>
      <c r="AA1358" t="s">
        <v>46</v>
      </c>
      <c r="AB1358" t="s">
        <v>33</v>
      </c>
      <c r="AC1358">
        <v>36.9</v>
      </c>
      <c r="AD1358" t="s">
        <v>34</v>
      </c>
      <c r="AE1358">
        <v>0</v>
      </c>
      <c r="AF1358">
        <v>0</v>
      </c>
    </row>
    <row r="1359" spans="3:32" x14ac:dyDescent="0.35">
      <c r="C1359" s="1">
        <v>44276</v>
      </c>
      <c r="D1359" s="2">
        <v>44256</v>
      </c>
      <c r="E1359">
        <v>1059</v>
      </c>
      <c r="F1359" s="3">
        <v>3388.47</v>
      </c>
      <c r="G1359" s="3">
        <v>3685.62</v>
      </c>
      <c r="H1359" s="3">
        <v>-297.14999999999998</v>
      </c>
      <c r="I1359" s="3">
        <v>1.0900000000000001</v>
      </c>
      <c r="J1359">
        <v>0.2</v>
      </c>
      <c r="K1359">
        <v>2599.0500000000002</v>
      </c>
      <c r="L1359" t="s">
        <v>39</v>
      </c>
      <c r="M1359">
        <v>598</v>
      </c>
      <c r="N1359">
        <v>0.17</v>
      </c>
      <c r="O1359" s="3">
        <v>593.87</v>
      </c>
      <c r="P1359" s="3">
        <v>0.18</v>
      </c>
      <c r="Q1359" s="3">
        <v>24.05</v>
      </c>
      <c r="R1359" s="3">
        <v>0.01</v>
      </c>
      <c r="S1359">
        <v>9</v>
      </c>
      <c r="T1359">
        <v>732.43</v>
      </c>
      <c r="U1359">
        <v>67</v>
      </c>
      <c r="V1359">
        <v>0</v>
      </c>
      <c r="W1359">
        <v>856.96</v>
      </c>
      <c r="X1359">
        <v>2185.7399999999998</v>
      </c>
      <c r="Y1359" t="s">
        <v>36</v>
      </c>
      <c r="Z1359" s="3">
        <v>1914.44</v>
      </c>
      <c r="AA1359" t="s">
        <v>48</v>
      </c>
      <c r="AB1359" t="s">
        <v>42</v>
      </c>
      <c r="AC1359">
        <v>21.6</v>
      </c>
      <c r="AD1359" t="s">
        <v>34</v>
      </c>
      <c r="AE1359">
        <v>0</v>
      </c>
      <c r="AF1359">
        <v>0</v>
      </c>
    </row>
    <row r="1360" spans="3:32" x14ac:dyDescent="0.35">
      <c r="C1360" s="1">
        <v>44276</v>
      </c>
      <c r="D1360" s="2">
        <v>44256</v>
      </c>
      <c r="E1360">
        <v>1133</v>
      </c>
      <c r="F1360" s="3">
        <v>4157.1499999999996</v>
      </c>
      <c r="G1360" s="3">
        <v>3895.79</v>
      </c>
      <c r="H1360" s="3">
        <v>261.36</v>
      </c>
      <c r="I1360" s="3">
        <v>0.94</v>
      </c>
      <c r="J1360">
        <v>0.08</v>
      </c>
      <c r="K1360">
        <v>3192.36</v>
      </c>
      <c r="L1360" t="s">
        <v>39</v>
      </c>
      <c r="M1360">
        <v>762</v>
      </c>
      <c r="N1360">
        <v>0.43</v>
      </c>
      <c r="O1360" s="3">
        <v>617.78</v>
      </c>
      <c r="P1360" s="3">
        <v>0.15</v>
      </c>
      <c r="Q1360" s="3">
        <v>437.33</v>
      </c>
      <c r="R1360" s="3">
        <v>0.11</v>
      </c>
      <c r="S1360">
        <v>5</v>
      </c>
      <c r="T1360">
        <v>1570.21</v>
      </c>
      <c r="U1360">
        <v>89</v>
      </c>
      <c r="V1360">
        <v>0</v>
      </c>
      <c r="W1360">
        <v>490.03</v>
      </c>
      <c r="X1360">
        <v>2280.87</v>
      </c>
      <c r="Y1360" t="s">
        <v>49</v>
      </c>
      <c r="Z1360" s="3">
        <v>2094.96</v>
      </c>
      <c r="AA1360" t="s">
        <v>46</v>
      </c>
      <c r="AB1360" t="s">
        <v>33</v>
      </c>
      <c r="AC1360">
        <v>79.599999999999994</v>
      </c>
      <c r="AD1360" t="s">
        <v>43</v>
      </c>
      <c r="AE1360">
        <v>261.36</v>
      </c>
      <c r="AF1360">
        <v>0</v>
      </c>
    </row>
    <row r="1361" spans="3:32" x14ac:dyDescent="0.35">
      <c r="C1361" s="1">
        <v>44276</v>
      </c>
      <c r="D1361" s="2">
        <v>44256</v>
      </c>
      <c r="E1361">
        <v>1974</v>
      </c>
      <c r="F1361" s="3">
        <v>4774.8100000000004</v>
      </c>
      <c r="G1361" s="3">
        <v>3451.68</v>
      </c>
      <c r="H1361" s="3">
        <v>1323.13</v>
      </c>
      <c r="I1361" s="3">
        <v>0.72</v>
      </c>
      <c r="J1361">
        <v>0.24</v>
      </c>
      <c r="K1361">
        <v>2483.09</v>
      </c>
      <c r="L1361" t="s">
        <v>35</v>
      </c>
      <c r="M1361">
        <v>663</v>
      </c>
      <c r="N1361">
        <v>0.53</v>
      </c>
      <c r="O1361" s="3">
        <v>633.49</v>
      </c>
      <c r="P1361" s="3">
        <v>0.13</v>
      </c>
      <c r="Q1361" s="3">
        <v>694.53</v>
      </c>
      <c r="R1361" s="3">
        <v>0.15</v>
      </c>
      <c r="S1361">
        <v>7</v>
      </c>
      <c r="T1361">
        <v>1266.24</v>
      </c>
      <c r="U1361">
        <v>88</v>
      </c>
      <c r="V1361">
        <v>0</v>
      </c>
      <c r="W1361">
        <v>690.97</v>
      </c>
      <c r="X1361">
        <v>1026.24</v>
      </c>
      <c r="Y1361" t="s">
        <v>36</v>
      </c>
      <c r="Z1361" s="3">
        <v>1193.2</v>
      </c>
      <c r="AA1361" t="s">
        <v>47</v>
      </c>
      <c r="AB1361" t="s">
        <v>33</v>
      </c>
      <c r="AC1361">
        <v>18.399999999999999</v>
      </c>
      <c r="AD1361" t="s">
        <v>43</v>
      </c>
      <c r="AE1361">
        <v>1323.13</v>
      </c>
      <c r="AF1361">
        <v>0</v>
      </c>
    </row>
    <row r="1362" spans="3:32" x14ac:dyDescent="0.35">
      <c r="C1362" s="1">
        <v>44276</v>
      </c>
      <c r="D1362" s="2">
        <v>44256</v>
      </c>
      <c r="E1362">
        <v>1355</v>
      </c>
      <c r="F1362" s="3">
        <v>3579.27</v>
      </c>
      <c r="G1362" s="3">
        <v>3737.79</v>
      </c>
      <c r="H1362" s="3">
        <v>-158.52000000000001</v>
      </c>
      <c r="I1362" s="3">
        <v>1.04</v>
      </c>
      <c r="J1362">
        <v>0.17</v>
      </c>
      <c r="K1362">
        <v>2366.75</v>
      </c>
      <c r="L1362" t="s">
        <v>35</v>
      </c>
      <c r="M1362">
        <v>731</v>
      </c>
      <c r="N1362">
        <v>0.28000000000000003</v>
      </c>
      <c r="O1362" s="3">
        <v>658.83</v>
      </c>
      <c r="P1362" s="3">
        <v>0.18</v>
      </c>
      <c r="Q1362" s="3">
        <v>524.88</v>
      </c>
      <c r="R1362" s="3">
        <v>0.15</v>
      </c>
      <c r="S1362">
        <v>3</v>
      </c>
      <c r="T1362">
        <v>861.9</v>
      </c>
      <c r="U1362">
        <v>30</v>
      </c>
      <c r="V1362">
        <v>0</v>
      </c>
      <c r="W1362">
        <v>588.54</v>
      </c>
      <c r="X1362">
        <v>3133.75</v>
      </c>
      <c r="Y1362" t="s">
        <v>36</v>
      </c>
      <c r="Z1362" s="3">
        <v>1278.99</v>
      </c>
      <c r="AA1362" t="s">
        <v>32</v>
      </c>
      <c r="AB1362" t="s">
        <v>33</v>
      </c>
      <c r="AC1362">
        <v>43.9</v>
      </c>
      <c r="AD1362" t="s">
        <v>43</v>
      </c>
      <c r="AE1362">
        <v>0</v>
      </c>
      <c r="AF1362">
        <v>0</v>
      </c>
    </row>
    <row r="1363" spans="3:32" x14ac:dyDescent="0.35">
      <c r="C1363" s="1">
        <v>44276</v>
      </c>
      <c r="D1363" s="2">
        <v>44256</v>
      </c>
      <c r="E1363">
        <v>1510</v>
      </c>
      <c r="F1363" s="3">
        <v>6429.44</v>
      </c>
      <c r="G1363" s="3">
        <v>4014.06</v>
      </c>
      <c r="H1363" s="3">
        <v>2415.38</v>
      </c>
      <c r="I1363" s="3">
        <v>0.62</v>
      </c>
      <c r="J1363">
        <v>0.28999999999999998</v>
      </c>
      <c r="K1363">
        <v>2286.0100000000002</v>
      </c>
      <c r="L1363" t="s">
        <v>35</v>
      </c>
      <c r="M1363">
        <v>743</v>
      </c>
      <c r="N1363">
        <v>0.46</v>
      </c>
      <c r="O1363" s="3">
        <v>441.69</v>
      </c>
      <c r="P1363" s="3">
        <v>7.0000000000000007E-2</v>
      </c>
      <c r="Q1363" s="3">
        <v>71.33</v>
      </c>
      <c r="R1363" s="3">
        <v>0.01</v>
      </c>
      <c r="S1363">
        <v>1</v>
      </c>
      <c r="T1363">
        <v>7.62</v>
      </c>
      <c r="U1363">
        <v>51</v>
      </c>
      <c r="V1363">
        <v>0</v>
      </c>
      <c r="W1363">
        <v>136.72</v>
      </c>
      <c r="X1363">
        <v>1790.42</v>
      </c>
      <c r="Y1363" t="s">
        <v>36</v>
      </c>
      <c r="Z1363" s="3">
        <v>811.36</v>
      </c>
      <c r="AA1363" t="s">
        <v>41</v>
      </c>
      <c r="AB1363" t="s">
        <v>33</v>
      </c>
      <c r="AC1363">
        <v>41.4</v>
      </c>
      <c r="AD1363" t="s">
        <v>34</v>
      </c>
      <c r="AE1363">
        <v>2415.38</v>
      </c>
      <c r="AF1363">
        <v>1</v>
      </c>
    </row>
    <row r="1364" spans="3:32" x14ac:dyDescent="0.35">
      <c r="C1364" s="1">
        <v>44276</v>
      </c>
      <c r="D1364" s="2">
        <v>44256</v>
      </c>
      <c r="E1364">
        <v>1245</v>
      </c>
      <c r="F1364" s="3">
        <v>4066</v>
      </c>
      <c r="G1364" s="3">
        <v>3376.66</v>
      </c>
      <c r="H1364" s="3">
        <v>689.34</v>
      </c>
      <c r="I1364" s="3">
        <v>0.83</v>
      </c>
      <c r="J1364">
        <v>0.14000000000000001</v>
      </c>
      <c r="K1364">
        <v>2711.57</v>
      </c>
      <c r="L1364" t="s">
        <v>35</v>
      </c>
      <c r="M1364">
        <v>665</v>
      </c>
      <c r="N1364">
        <v>0.4</v>
      </c>
      <c r="O1364" s="3">
        <v>394.57</v>
      </c>
      <c r="P1364" s="3">
        <v>0.1</v>
      </c>
      <c r="Q1364" s="3">
        <v>104.21</v>
      </c>
      <c r="R1364" s="3">
        <v>0.03</v>
      </c>
      <c r="S1364">
        <v>8</v>
      </c>
      <c r="T1364">
        <v>1177.74</v>
      </c>
      <c r="U1364">
        <v>51</v>
      </c>
      <c r="V1364">
        <v>0</v>
      </c>
      <c r="W1364">
        <v>338.2</v>
      </c>
      <c r="X1364">
        <v>2584.37</v>
      </c>
      <c r="Y1364" t="s">
        <v>36</v>
      </c>
      <c r="Z1364" s="3">
        <v>627.25</v>
      </c>
      <c r="AA1364" t="s">
        <v>40</v>
      </c>
      <c r="AB1364" t="s">
        <v>42</v>
      </c>
      <c r="AC1364">
        <v>33.1</v>
      </c>
      <c r="AD1364" t="s">
        <v>38</v>
      </c>
      <c r="AE1364">
        <v>689.34</v>
      </c>
      <c r="AF1364">
        <v>0</v>
      </c>
    </row>
    <row r="1365" spans="3:32" x14ac:dyDescent="0.35">
      <c r="C1365" s="1">
        <v>44276</v>
      </c>
      <c r="D1365" s="2">
        <v>44256</v>
      </c>
      <c r="E1365">
        <v>1464</v>
      </c>
      <c r="F1365" s="3">
        <v>4958.8100000000004</v>
      </c>
      <c r="G1365" s="3">
        <v>2126</v>
      </c>
      <c r="H1365" s="3">
        <v>2832.81</v>
      </c>
      <c r="I1365" s="3">
        <v>0.43</v>
      </c>
      <c r="J1365">
        <v>0.22</v>
      </c>
      <c r="K1365">
        <v>3190.56</v>
      </c>
      <c r="L1365" t="s">
        <v>30</v>
      </c>
      <c r="M1365">
        <v>700</v>
      </c>
      <c r="N1365">
        <v>0.59</v>
      </c>
      <c r="O1365" s="3">
        <v>654.82000000000005</v>
      </c>
      <c r="P1365" s="3">
        <v>0.13</v>
      </c>
      <c r="Q1365" s="3">
        <v>465.46</v>
      </c>
      <c r="R1365" s="3">
        <v>0.09</v>
      </c>
      <c r="S1365">
        <v>2</v>
      </c>
      <c r="T1365">
        <v>470.96</v>
      </c>
      <c r="U1365">
        <v>61</v>
      </c>
      <c r="V1365">
        <v>0</v>
      </c>
      <c r="W1365">
        <v>528.04</v>
      </c>
      <c r="X1365">
        <v>2718.4</v>
      </c>
      <c r="Y1365" t="s">
        <v>49</v>
      </c>
      <c r="Z1365" s="3">
        <v>2217.06</v>
      </c>
      <c r="AA1365" t="s">
        <v>51</v>
      </c>
      <c r="AB1365" t="s">
        <v>33</v>
      </c>
      <c r="AC1365">
        <v>95.2</v>
      </c>
      <c r="AD1365" t="s">
        <v>43</v>
      </c>
      <c r="AE1365">
        <v>2832.81</v>
      </c>
      <c r="AF1365">
        <v>0</v>
      </c>
    </row>
    <row r="1366" spans="3:32" x14ac:dyDescent="0.35">
      <c r="C1366" s="1">
        <v>44276</v>
      </c>
      <c r="D1366" s="2">
        <v>44256</v>
      </c>
      <c r="E1366">
        <v>1753</v>
      </c>
      <c r="F1366" s="3">
        <v>2989.32</v>
      </c>
      <c r="G1366" s="3">
        <v>2904.95</v>
      </c>
      <c r="H1366" s="3">
        <v>84.37</v>
      </c>
      <c r="I1366" s="3">
        <v>0.97</v>
      </c>
      <c r="J1366">
        <v>0.05</v>
      </c>
      <c r="K1366">
        <v>3147.07</v>
      </c>
      <c r="L1366" t="s">
        <v>39</v>
      </c>
      <c r="M1366">
        <v>710</v>
      </c>
      <c r="N1366">
        <v>0.12</v>
      </c>
      <c r="O1366" s="3">
        <v>227.87</v>
      </c>
      <c r="P1366" s="3">
        <v>0.08</v>
      </c>
      <c r="Q1366" s="3">
        <v>372.47</v>
      </c>
      <c r="R1366" s="3">
        <v>0.12</v>
      </c>
      <c r="S1366">
        <v>9</v>
      </c>
      <c r="T1366">
        <v>782.78</v>
      </c>
      <c r="U1366">
        <v>31</v>
      </c>
      <c r="V1366">
        <v>0</v>
      </c>
      <c r="W1366">
        <v>251.2</v>
      </c>
      <c r="X1366">
        <v>3179.94</v>
      </c>
      <c r="Y1366" t="s">
        <v>36</v>
      </c>
      <c r="Z1366" s="3">
        <v>1924.06</v>
      </c>
      <c r="AA1366" t="s">
        <v>50</v>
      </c>
      <c r="AB1366" t="s">
        <v>44</v>
      </c>
      <c r="AC1366">
        <v>74.2</v>
      </c>
      <c r="AD1366" t="s">
        <v>43</v>
      </c>
      <c r="AE1366">
        <v>84.37</v>
      </c>
      <c r="AF1366">
        <v>0</v>
      </c>
    </row>
    <row r="1367" spans="3:32" x14ac:dyDescent="0.35">
      <c r="C1367" s="1">
        <v>44276</v>
      </c>
      <c r="D1367" s="2">
        <v>44256</v>
      </c>
      <c r="E1367">
        <v>1714</v>
      </c>
      <c r="F1367" s="3">
        <v>3561.39</v>
      </c>
      <c r="G1367" s="3">
        <v>2895.72</v>
      </c>
      <c r="H1367" s="3">
        <v>665.67</v>
      </c>
      <c r="I1367" s="3">
        <v>0.81</v>
      </c>
      <c r="J1367">
        <v>0.24</v>
      </c>
      <c r="K1367">
        <v>3061.8</v>
      </c>
      <c r="L1367" t="s">
        <v>35</v>
      </c>
      <c r="M1367">
        <v>653</v>
      </c>
      <c r="N1367">
        <v>0.23</v>
      </c>
      <c r="O1367" s="3">
        <v>729.18</v>
      </c>
      <c r="P1367" s="3">
        <v>0.2</v>
      </c>
      <c r="Q1367" s="3">
        <v>108.59</v>
      </c>
      <c r="R1367" s="3">
        <v>0.03</v>
      </c>
      <c r="S1367">
        <v>9</v>
      </c>
      <c r="T1367">
        <v>1095.68</v>
      </c>
      <c r="U1367">
        <v>42</v>
      </c>
      <c r="V1367">
        <v>0</v>
      </c>
      <c r="W1367">
        <v>756.39</v>
      </c>
      <c r="X1367">
        <v>1962.73</v>
      </c>
      <c r="Y1367" t="s">
        <v>31</v>
      </c>
      <c r="Z1367" s="3">
        <v>854.55</v>
      </c>
      <c r="AA1367" t="s">
        <v>50</v>
      </c>
      <c r="AB1367" t="s">
        <v>33</v>
      </c>
      <c r="AC1367">
        <v>85.8</v>
      </c>
      <c r="AD1367" t="s">
        <v>38</v>
      </c>
      <c r="AE1367">
        <v>665.67</v>
      </c>
      <c r="AF1367">
        <v>0</v>
      </c>
    </row>
    <row r="1368" spans="3:32" x14ac:dyDescent="0.35">
      <c r="C1368" s="1">
        <v>44276</v>
      </c>
      <c r="D1368" s="2">
        <v>44256</v>
      </c>
      <c r="E1368">
        <v>1041</v>
      </c>
      <c r="F1368" s="3">
        <v>3804.77</v>
      </c>
      <c r="G1368" s="3">
        <v>3021.33</v>
      </c>
      <c r="H1368" s="3">
        <v>783.44</v>
      </c>
      <c r="I1368" s="3">
        <v>0.79</v>
      </c>
      <c r="J1368">
        <v>0.24</v>
      </c>
      <c r="K1368">
        <v>2637.47</v>
      </c>
      <c r="L1368" t="s">
        <v>35</v>
      </c>
      <c r="M1368">
        <v>547</v>
      </c>
      <c r="N1368">
        <v>0.56000000000000005</v>
      </c>
      <c r="O1368" s="3">
        <v>274.52999999999997</v>
      </c>
      <c r="P1368" s="3">
        <v>7.0000000000000007E-2</v>
      </c>
      <c r="Q1368" s="3">
        <v>487.84</v>
      </c>
      <c r="R1368" s="3">
        <v>0.13</v>
      </c>
      <c r="S1368">
        <v>7</v>
      </c>
      <c r="T1368">
        <v>471.83</v>
      </c>
      <c r="U1368">
        <v>79</v>
      </c>
      <c r="V1368">
        <v>1</v>
      </c>
      <c r="W1368">
        <v>762.59</v>
      </c>
      <c r="X1368">
        <v>2012.13</v>
      </c>
      <c r="Y1368" t="s">
        <v>36</v>
      </c>
      <c r="Z1368" s="3">
        <v>1639.38</v>
      </c>
      <c r="AA1368" t="s">
        <v>51</v>
      </c>
      <c r="AB1368" t="s">
        <v>33</v>
      </c>
      <c r="AC1368">
        <v>99.3</v>
      </c>
      <c r="AD1368" t="s">
        <v>34</v>
      </c>
      <c r="AE1368">
        <v>783.44</v>
      </c>
      <c r="AF1368">
        <v>0</v>
      </c>
    </row>
    <row r="1369" spans="3:32" x14ac:dyDescent="0.35">
      <c r="C1369" s="1">
        <v>44276</v>
      </c>
      <c r="D1369" s="2">
        <v>44256</v>
      </c>
      <c r="E1369">
        <v>1272</v>
      </c>
      <c r="F1369" s="3">
        <v>3917.15</v>
      </c>
      <c r="G1369" s="3">
        <v>3508.59</v>
      </c>
      <c r="H1369" s="3">
        <v>408.56</v>
      </c>
      <c r="I1369" s="3">
        <v>0.9</v>
      </c>
      <c r="J1369">
        <v>0.27</v>
      </c>
      <c r="K1369">
        <v>2791.3</v>
      </c>
      <c r="L1369" t="s">
        <v>39</v>
      </c>
      <c r="M1369">
        <v>607</v>
      </c>
      <c r="N1369">
        <v>0.19</v>
      </c>
      <c r="O1369" s="3">
        <v>401.86</v>
      </c>
      <c r="P1369" s="3">
        <v>0.1</v>
      </c>
      <c r="Q1369" s="3">
        <v>294.24</v>
      </c>
      <c r="R1369" s="3">
        <v>0.08</v>
      </c>
      <c r="S1369">
        <v>6</v>
      </c>
      <c r="T1369">
        <v>1613.93</v>
      </c>
      <c r="U1369">
        <v>52</v>
      </c>
      <c r="V1369">
        <v>0</v>
      </c>
      <c r="W1369">
        <v>557.54</v>
      </c>
      <c r="X1369">
        <v>2129.8200000000002</v>
      </c>
      <c r="Y1369" t="s">
        <v>49</v>
      </c>
      <c r="Z1369" s="3">
        <v>1298.92</v>
      </c>
      <c r="AA1369" t="s">
        <v>37</v>
      </c>
      <c r="AB1369" t="s">
        <v>44</v>
      </c>
      <c r="AC1369">
        <v>70.5</v>
      </c>
      <c r="AD1369" t="s">
        <v>43</v>
      </c>
      <c r="AE1369">
        <v>408.56</v>
      </c>
      <c r="AF1369">
        <v>0</v>
      </c>
    </row>
    <row r="1370" spans="3:32" x14ac:dyDescent="0.35">
      <c r="C1370" s="1">
        <v>44276</v>
      </c>
      <c r="D1370" s="2">
        <v>44256</v>
      </c>
      <c r="E1370">
        <v>1009</v>
      </c>
      <c r="F1370" s="3">
        <v>3751.52</v>
      </c>
      <c r="G1370" s="3">
        <v>2984.54</v>
      </c>
      <c r="H1370" s="3">
        <v>766.98</v>
      </c>
      <c r="I1370" s="3">
        <v>0.8</v>
      </c>
      <c r="J1370">
        <v>0.19</v>
      </c>
      <c r="K1370">
        <v>2719.39</v>
      </c>
      <c r="L1370" t="s">
        <v>30</v>
      </c>
      <c r="M1370">
        <v>629</v>
      </c>
      <c r="N1370">
        <v>0.57999999999999996</v>
      </c>
      <c r="O1370" s="3">
        <v>421.5</v>
      </c>
      <c r="P1370" s="3">
        <v>0.11</v>
      </c>
      <c r="Q1370" s="3">
        <v>672.01</v>
      </c>
      <c r="R1370" s="3">
        <v>0.18</v>
      </c>
      <c r="S1370">
        <v>4</v>
      </c>
      <c r="T1370">
        <v>883.99</v>
      </c>
      <c r="U1370">
        <v>87</v>
      </c>
      <c r="V1370">
        <v>0</v>
      </c>
      <c r="W1370">
        <v>496.63</v>
      </c>
      <c r="X1370">
        <v>2406.7600000000002</v>
      </c>
      <c r="Y1370" t="s">
        <v>36</v>
      </c>
      <c r="Z1370" s="3">
        <v>1327.49</v>
      </c>
      <c r="AA1370" t="s">
        <v>45</v>
      </c>
      <c r="AB1370" t="s">
        <v>42</v>
      </c>
      <c r="AC1370">
        <v>35.200000000000003</v>
      </c>
      <c r="AD1370" t="s">
        <v>43</v>
      </c>
      <c r="AE1370">
        <v>766.98</v>
      </c>
      <c r="AF1370">
        <v>0</v>
      </c>
    </row>
    <row r="1371" spans="3:32" x14ac:dyDescent="0.35">
      <c r="C1371" s="1">
        <v>44276</v>
      </c>
      <c r="D1371" s="2">
        <v>44256</v>
      </c>
      <c r="E1371">
        <v>1475</v>
      </c>
      <c r="F1371" s="3">
        <v>5162.0200000000004</v>
      </c>
      <c r="G1371" s="3">
        <v>4104.71</v>
      </c>
      <c r="H1371" s="3">
        <v>1057.31</v>
      </c>
      <c r="I1371" s="3">
        <v>0.8</v>
      </c>
      <c r="J1371">
        <v>0.28000000000000003</v>
      </c>
      <c r="K1371">
        <v>3498.9</v>
      </c>
      <c r="L1371" t="s">
        <v>30</v>
      </c>
      <c r="M1371">
        <v>670</v>
      </c>
      <c r="N1371">
        <v>0.12</v>
      </c>
      <c r="O1371" s="3">
        <v>614.22</v>
      </c>
      <c r="P1371" s="3">
        <v>0.12</v>
      </c>
      <c r="Q1371" s="3">
        <v>614.16999999999996</v>
      </c>
      <c r="R1371" s="3">
        <v>0.12</v>
      </c>
      <c r="S1371">
        <v>9</v>
      </c>
      <c r="T1371">
        <v>880.01</v>
      </c>
      <c r="U1371">
        <v>63</v>
      </c>
      <c r="V1371">
        <v>0</v>
      </c>
      <c r="W1371">
        <v>496.3</v>
      </c>
      <c r="X1371">
        <v>2294.13</v>
      </c>
      <c r="Y1371" t="s">
        <v>36</v>
      </c>
      <c r="Z1371" s="3">
        <v>1573.88</v>
      </c>
      <c r="AA1371" t="s">
        <v>45</v>
      </c>
      <c r="AB1371" t="s">
        <v>44</v>
      </c>
      <c r="AC1371">
        <v>4.7</v>
      </c>
      <c r="AD1371" t="s">
        <v>38</v>
      </c>
      <c r="AE1371">
        <v>1057.31</v>
      </c>
      <c r="AF1371">
        <v>0</v>
      </c>
    </row>
    <row r="1372" spans="3:32" x14ac:dyDescent="0.35">
      <c r="C1372" s="1">
        <v>44276</v>
      </c>
      <c r="D1372" s="2">
        <v>44256</v>
      </c>
      <c r="E1372">
        <v>1598</v>
      </c>
      <c r="F1372" s="3">
        <v>5838.11</v>
      </c>
      <c r="G1372" s="3">
        <v>2553.87</v>
      </c>
      <c r="H1372" s="3">
        <v>3284.24</v>
      </c>
      <c r="I1372" s="3">
        <v>0.44</v>
      </c>
      <c r="J1372">
        <v>0.3</v>
      </c>
      <c r="K1372">
        <v>2958.07</v>
      </c>
      <c r="L1372" t="s">
        <v>30</v>
      </c>
      <c r="M1372">
        <v>699</v>
      </c>
      <c r="N1372">
        <v>0.23</v>
      </c>
      <c r="O1372" s="3">
        <v>548.65</v>
      </c>
      <c r="P1372" s="3">
        <v>0.09</v>
      </c>
      <c r="Q1372" s="3">
        <v>614.75</v>
      </c>
      <c r="R1372" s="3">
        <v>0.11</v>
      </c>
      <c r="S1372">
        <v>9</v>
      </c>
      <c r="T1372">
        <v>1596.93</v>
      </c>
      <c r="U1372">
        <v>98</v>
      </c>
      <c r="V1372">
        <v>0</v>
      </c>
      <c r="W1372">
        <v>626.11</v>
      </c>
      <c r="X1372">
        <v>1211.8800000000001</v>
      </c>
      <c r="Y1372" t="s">
        <v>36</v>
      </c>
      <c r="Z1372" s="3">
        <v>1597.48</v>
      </c>
      <c r="AA1372" t="s">
        <v>51</v>
      </c>
      <c r="AB1372" t="s">
        <v>33</v>
      </c>
      <c r="AC1372">
        <v>6.6</v>
      </c>
      <c r="AD1372" t="s">
        <v>43</v>
      </c>
      <c r="AE1372">
        <v>3284.24</v>
      </c>
      <c r="AF1372">
        <v>1</v>
      </c>
    </row>
    <row r="1373" spans="3:32" x14ac:dyDescent="0.35">
      <c r="C1373" s="1">
        <v>44276</v>
      </c>
      <c r="D1373" s="2">
        <v>44256</v>
      </c>
      <c r="E1373">
        <v>1456</v>
      </c>
      <c r="F1373" s="3">
        <v>4528.21</v>
      </c>
      <c r="G1373" s="3">
        <v>4359.2</v>
      </c>
      <c r="H1373" s="3">
        <v>169.01</v>
      </c>
      <c r="I1373" s="3">
        <v>0.96</v>
      </c>
      <c r="J1373">
        <v>0.14000000000000001</v>
      </c>
      <c r="K1373">
        <v>2205.42</v>
      </c>
      <c r="L1373" t="s">
        <v>35</v>
      </c>
      <c r="M1373">
        <v>693</v>
      </c>
      <c r="N1373">
        <v>0.15</v>
      </c>
      <c r="O1373" s="3">
        <v>590.69000000000005</v>
      </c>
      <c r="P1373" s="3">
        <v>0.13</v>
      </c>
      <c r="Q1373" s="3">
        <v>68.72</v>
      </c>
      <c r="R1373" s="3">
        <v>0.02</v>
      </c>
      <c r="S1373">
        <v>6</v>
      </c>
      <c r="T1373">
        <v>1690.43</v>
      </c>
      <c r="U1373">
        <v>21</v>
      </c>
      <c r="V1373">
        <v>1</v>
      </c>
      <c r="W1373">
        <v>543.1</v>
      </c>
      <c r="X1373">
        <v>2327.4499999999998</v>
      </c>
      <c r="Y1373" t="s">
        <v>36</v>
      </c>
      <c r="Z1373" s="3">
        <v>1080.54</v>
      </c>
      <c r="AA1373" t="s">
        <v>45</v>
      </c>
      <c r="AB1373" t="s">
        <v>44</v>
      </c>
      <c r="AC1373">
        <v>26.2</v>
      </c>
      <c r="AD1373" t="s">
        <v>43</v>
      </c>
      <c r="AE1373">
        <v>169.01</v>
      </c>
      <c r="AF1373">
        <v>0</v>
      </c>
    </row>
    <row r="1374" spans="3:32" x14ac:dyDescent="0.35">
      <c r="C1374" s="1">
        <v>44276</v>
      </c>
      <c r="D1374" s="2">
        <v>44256</v>
      </c>
      <c r="E1374">
        <v>1663</v>
      </c>
      <c r="F1374" s="3">
        <v>4437.1400000000003</v>
      </c>
      <c r="G1374" s="3">
        <v>3601.36</v>
      </c>
      <c r="H1374" s="3">
        <v>835.78</v>
      </c>
      <c r="I1374" s="3">
        <v>0.81</v>
      </c>
      <c r="J1374">
        <v>0.28000000000000003</v>
      </c>
      <c r="K1374">
        <v>2283.7800000000002</v>
      </c>
      <c r="L1374" t="s">
        <v>30</v>
      </c>
      <c r="M1374">
        <v>662</v>
      </c>
      <c r="N1374">
        <v>0.28000000000000003</v>
      </c>
      <c r="O1374" s="3">
        <v>1056.1600000000001</v>
      </c>
      <c r="P1374" s="3">
        <v>0.24</v>
      </c>
      <c r="Q1374" s="3">
        <v>457.57</v>
      </c>
      <c r="R1374" s="3">
        <v>0.1</v>
      </c>
      <c r="S1374">
        <v>2</v>
      </c>
      <c r="T1374">
        <v>1936.39</v>
      </c>
      <c r="U1374">
        <v>79</v>
      </c>
      <c r="V1374">
        <v>0</v>
      </c>
      <c r="W1374">
        <v>294.92</v>
      </c>
      <c r="X1374">
        <v>2149.62</v>
      </c>
      <c r="Y1374" t="s">
        <v>36</v>
      </c>
      <c r="Z1374" s="3">
        <v>1559.28</v>
      </c>
      <c r="AA1374" t="s">
        <v>41</v>
      </c>
      <c r="AB1374" t="s">
        <v>33</v>
      </c>
      <c r="AC1374">
        <v>60</v>
      </c>
      <c r="AD1374" t="s">
        <v>43</v>
      </c>
      <c r="AE1374">
        <v>835.78</v>
      </c>
      <c r="AF1374">
        <v>0</v>
      </c>
    </row>
    <row r="1375" spans="3:32" x14ac:dyDescent="0.35">
      <c r="C1375" s="1">
        <v>44276</v>
      </c>
      <c r="D1375" s="2">
        <v>44256</v>
      </c>
      <c r="E1375">
        <v>1261</v>
      </c>
      <c r="F1375" s="3">
        <v>4705.54</v>
      </c>
      <c r="G1375" s="3">
        <v>3817.16</v>
      </c>
      <c r="H1375" s="3">
        <v>888.38</v>
      </c>
      <c r="I1375" s="3">
        <v>0.81</v>
      </c>
      <c r="J1375">
        <v>0.39</v>
      </c>
      <c r="K1375">
        <v>3401.18</v>
      </c>
      <c r="L1375" t="s">
        <v>39</v>
      </c>
      <c r="M1375">
        <v>579</v>
      </c>
      <c r="N1375">
        <v>0.32</v>
      </c>
      <c r="O1375" s="3">
        <v>613.85</v>
      </c>
      <c r="P1375" s="3">
        <v>0.13</v>
      </c>
      <c r="Q1375" s="3">
        <v>382.81</v>
      </c>
      <c r="R1375" s="3">
        <v>0.08</v>
      </c>
      <c r="S1375">
        <v>5</v>
      </c>
      <c r="T1375">
        <v>909.1</v>
      </c>
      <c r="U1375">
        <v>94</v>
      </c>
      <c r="V1375">
        <v>0</v>
      </c>
      <c r="W1375">
        <v>516.5</v>
      </c>
      <c r="X1375">
        <v>2286.7199999999998</v>
      </c>
      <c r="Y1375" t="s">
        <v>36</v>
      </c>
      <c r="Z1375" s="3">
        <v>1470.24</v>
      </c>
      <c r="AA1375" t="s">
        <v>37</v>
      </c>
      <c r="AB1375" t="s">
        <v>33</v>
      </c>
      <c r="AC1375">
        <v>50.9</v>
      </c>
      <c r="AD1375" t="s">
        <v>38</v>
      </c>
      <c r="AE1375">
        <v>888.38</v>
      </c>
      <c r="AF1375">
        <v>0</v>
      </c>
    </row>
    <row r="1376" spans="3:32" x14ac:dyDescent="0.35">
      <c r="C1376" s="1">
        <v>44276</v>
      </c>
      <c r="D1376" s="2">
        <v>44256</v>
      </c>
      <c r="E1376">
        <v>1526</v>
      </c>
      <c r="F1376" s="3">
        <v>2591.91</v>
      </c>
      <c r="G1376" s="3">
        <v>4083.06</v>
      </c>
      <c r="H1376" s="3">
        <v>-1491.15</v>
      </c>
      <c r="I1376" s="3">
        <v>1.58</v>
      </c>
      <c r="J1376">
        <v>0.32</v>
      </c>
      <c r="K1376">
        <v>3023.08</v>
      </c>
      <c r="L1376" t="s">
        <v>35</v>
      </c>
      <c r="M1376">
        <v>693</v>
      </c>
      <c r="N1376">
        <v>0.17</v>
      </c>
      <c r="O1376" s="3">
        <v>548.17999999999995</v>
      </c>
      <c r="P1376" s="3">
        <v>0.21</v>
      </c>
      <c r="Q1376" s="3">
        <v>113.71</v>
      </c>
      <c r="R1376" s="3">
        <v>0.04</v>
      </c>
      <c r="S1376">
        <v>5</v>
      </c>
      <c r="T1376">
        <v>1199.04</v>
      </c>
      <c r="U1376">
        <v>72</v>
      </c>
      <c r="V1376">
        <v>0</v>
      </c>
      <c r="W1376">
        <v>250.61</v>
      </c>
      <c r="X1376">
        <v>2355.85</v>
      </c>
      <c r="Y1376" t="s">
        <v>36</v>
      </c>
      <c r="Z1376" s="3">
        <v>1545.45</v>
      </c>
      <c r="AA1376" t="s">
        <v>37</v>
      </c>
      <c r="AB1376" t="s">
        <v>33</v>
      </c>
      <c r="AC1376">
        <v>69.099999999999994</v>
      </c>
      <c r="AD1376" t="s">
        <v>38</v>
      </c>
      <c r="AE1376">
        <v>0</v>
      </c>
      <c r="AF1376">
        <v>0</v>
      </c>
    </row>
    <row r="1377" spans="3:32" x14ac:dyDescent="0.35">
      <c r="C1377" s="1">
        <v>44276</v>
      </c>
      <c r="D1377" s="2">
        <v>44256</v>
      </c>
      <c r="E1377">
        <v>1782</v>
      </c>
      <c r="F1377" s="3">
        <v>3329.59</v>
      </c>
      <c r="G1377" s="3">
        <v>3746.8</v>
      </c>
      <c r="H1377" s="3">
        <v>-417.21</v>
      </c>
      <c r="I1377" s="3">
        <v>1.1299999999999999</v>
      </c>
      <c r="J1377">
        <v>0.16</v>
      </c>
      <c r="K1377">
        <v>3195.72</v>
      </c>
      <c r="L1377" t="s">
        <v>30</v>
      </c>
      <c r="M1377">
        <v>765</v>
      </c>
      <c r="N1377">
        <v>0.44</v>
      </c>
      <c r="O1377" s="3">
        <v>835.01</v>
      </c>
      <c r="P1377" s="3">
        <v>0.25</v>
      </c>
      <c r="Q1377" s="3">
        <v>210.45</v>
      </c>
      <c r="R1377" s="3">
        <v>0.06</v>
      </c>
      <c r="S1377">
        <v>5</v>
      </c>
      <c r="T1377">
        <v>660.95</v>
      </c>
      <c r="U1377">
        <v>76</v>
      </c>
      <c r="V1377">
        <v>0</v>
      </c>
      <c r="W1377">
        <v>585.97</v>
      </c>
      <c r="X1377">
        <v>3205.43</v>
      </c>
      <c r="Y1377" t="s">
        <v>36</v>
      </c>
      <c r="Z1377" s="3">
        <v>1156.21</v>
      </c>
      <c r="AA1377" t="s">
        <v>47</v>
      </c>
      <c r="AB1377" t="s">
        <v>33</v>
      </c>
      <c r="AC1377">
        <v>19.399999999999999</v>
      </c>
      <c r="AD1377" t="s">
        <v>38</v>
      </c>
      <c r="AE1377">
        <v>0</v>
      </c>
      <c r="AF1377">
        <v>0</v>
      </c>
    </row>
    <row r="1378" spans="3:32" x14ac:dyDescent="0.35">
      <c r="C1378" s="1">
        <v>44276</v>
      </c>
      <c r="D1378" s="2">
        <v>44256</v>
      </c>
      <c r="E1378">
        <v>1023</v>
      </c>
      <c r="F1378" s="3">
        <v>3412.32</v>
      </c>
      <c r="G1378" s="3">
        <v>3744.9</v>
      </c>
      <c r="H1378" s="3">
        <v>-332.58</v>
      </c>
      <c r="I1378" s="3">
        <v>1.1000000000000001</v>
      </c>
      <c r="J1378">
        <v>0.27</v>
      </c>
      <c r="K1378">
        <v>3278.37</v>
      </c>
      <c r="L1378" t="s">
        <v>39</v>
      </c>
      <c r="M1378">
        <v>656</v>
      </c>
      <c r="N1378">
        <v>0.56999999999999995</v>
      </c>
      <c r="O1378" s="3">
        <v>393.9</v>
      </c>
      <c r="P1378" s="3">
        <v>0.12</v>
      </c>
      <c r="Q1378" s="3">
        <v>468.22</v>
      </c>
      <c r="R1378" s="3">
        <v>0.14000000000000001</v>
      </c>
      <c r="S1378">
        <v>7</v>
      </c>
      <c r="T1378">
        <v>220.79</v>
      </c>
      <c r="U1378">
        <v>55</v>
      </c>
      <c r="V1378">
        <v>0</v>
      </c>
      <c r="W1378">
        <v>327.87</v>
      </c>
      <c r="X1378">
        <v>2762.58</v>
      </c>
      <c r="Y1378" t="s">
        <v>49</v>
      </c>
      <c r="Z1378" s="3">
        <v>1020.83</v>
      </c>
      <c r="AA1378" t="s">
        <v>40</v>
      </c>
      <c r="AB1378" t="s">
        <v>33</v>
      </c>
      <c r="AC1378">
        <v>73</v>
      </c>
      <c r="AD1378" t="s">
        <v>38</v>
      </c>
      <c r="AE1378">
        <v>0</v>
      </c>
      <c r="AF1378">
        <v>0</v>
      </c>
    </row>
    <row r="1379" spans="3:32" x14ac:dyDescent="0.35">
      <c r="C1379" s="1">
        <v>44276</v>
      </c>
      <c r="D1379" s="2">
        <v>44256</v>
      </c>
      <c r="E1379">
        <v>1941</v>
      </c>
      <c r="F1379" s="3">
        <v>4150.8</v>
      </c>
      <c r="G1379" s="3">
        <v>2183.36</v>
      </c>
      <c r="H1379" s="3">
        <v>1967.44</v>
      </c>
      <c r="I1379" s="3">
        <v>0.53</v>
      </c>
      <c r="J1379">
        <v>0.05</v>
      </c>
      <c r="K1379">
        <v>3407.11</v>
      </c>
      <c r="L1379" t="s">
        <v>35</v>
      </c>
      <c r="M1379">
        <v>645</v>
      </c>
      <c r="N1379">
        <v>0.1</v>
      </c>
      <c r="O1379" s="3">
        <v>661.46</v>
      </c>
      <c r="P1379" s="3">
        <v>0.16</v>
      </c>
      <c r="Q1379" s="3">
        <v>152.37</v>
      </c>
      <c r="R1379" s="3">
        <v>0.04</v>
      </c>
      <c r="S1379">
        <v>5</v>
      </c>
      <c r="T1379">
        <v>1216.71</v>
      </c>
      <c r="U1379">
        <v>49</v>
      </c>
      <c r="V1379">
        <v>0</v>
      </c>
      <c r="W1379">
        <v>635.91</v>
      </c>
      <c r="X1379">
        <v>2428.2800000000002</v>
      </c>
      <c r="Y1379" t="s">
        <v>31</v>
      </c>
      <c r="Z1379" s="3">
        <v>804.73</v>
      </c>
      <c r="AA1379" t="s">
        <v>40</v>
      </c>
      <c r="AB1379" t="s">
        <v>33</v>
      </c>
      <c r="AC1379">
        <v>31.1</v>
      </c>
      <c r="AD1379" t="s">
        <v>34</v>
      </c>
      <c r="AE1379">
        <v>1967.44</v>
      </c>
      <c r="AF1379">
        <v>0</v>
      </c>
    </row>
    <row r="1380" spans="3:32" x14ac:dyDescent="0.35">
      <c r="C1380" s="1">
        <v>44276</v>
      </c>
      <c r="D1380" s="2">
        <v>44256</v>
      </c>
      <c r="E1380">
        <v>1296</v>
      </c>
      <c r="F1380" s="3">
        <v>3650.96</v>
      </c>
      <c r="G1380" s="3">
        <v>4767.37</v>
      </c>
      <c r="H1380" s="3">
        <v>-1116.4100000000001</v>
      </c>
      <c r="I1380" s="3">
        <v>1.31</v>
      </c>
      <c r="J1380">
        <v>0.15</v>
      </c>
      <c r="K1380">
        <v>3405.03</v>
      </c>
      <c r="L1380" t="s">
        <v>39</v>
      </c>
      <c r="M1380">
        <v>657</v>
      </c>
      <c r="N1380">
        <v>0.22</v>
      </c>
      <c r="O1380" s="3">
        <v>657.85</v>
      </c>
      <c r="P1380" s="3">
        <v>0.18</v>
      </c>
      <c r="Q1380" s="3">
        <v>438.45</v>
      </c>
      <c r="R1380" s="3">
        <v>0.12</v>
      </c>
      <c r="S1380">
        <v>6</v>
      </c>
      <c r="T1380">
        <v>730.31</v>
      </c>
      <c r="U1380">
        <v>89</v>
      </c>
      <c r="V1380">
        <v>0</v>
      </c>
      <c r="W1380">
        <v>528.55999999999995</v>
      </c>
      <c r="X1380">
        <v>1347.37</v>
      </c>
      <c r="Y1380" t="s">
        <v>36</v>
      </c>
      <c r="Z1380" s="3">
        <v>1990.06</v>
      </c>
      <c r="AA1380" t="s">
        <v>51</v>
      </c>
      <c r="AB1380" t="s">
        <v>33</v>
      </c>
      <c r="AC1380">
        <v>90.5</v>
      </c>
      <c r="AD1380" t="s">
        <v>38</v>
      </c>
      <c r="AE1380">
        <v>0</v>
      </c>
      <c r="AF1380">
        <v>0</v>
      </c>
    </row>
    <row r="1381" spans="3:32" x14ac:dyDescent="0.35">
      <c r="C1381" s="1">
        <v>44276</v>
      </c>
      <c r="D1381" s="2">
        <v>44256</v>
      </c>
      <c r="E1381">
        <v>1198</v>
      </c>
      <c r="F1381" s="3">
        <v>4544.68</v>
      </c>
      <c r="G1381" s="3">
        <v>3178.58</v>
      </c>
      <c r="H1381" s="3">
        <v>1366.1</v>
      </c>
      <c r="I1381" s="3">
        <v>0.7</v>
      </c>
      <c r="J1381">
        <v>0.38</v>
      </c>
      <c r="K1381">
        <v>2807.31</v>
      </c>
      <c r="L1381" t="s">
        <v>39</v>
      </c>
      <c r="M1381">
        <v>671</v>
      </c>
      <c r="N1381">
        <v>0.47</v>
      </c>
      <c r="O1381" s="3">
        <v>521.69000000000005</v>
      </c>
      <c r="P1381" s="3">
        <v>0.11</v>
      </c>
      <c r="Q1381" s="3">
        <v>560.04</v>
      </c>
      <c r="R1381" s="3">
        <v>0.12</v>
      </c>
      <c r="S1381">
        <v>6</v>
      </c>
      <c r="T1381">
        <v>727.37</v>
      </c>
      <c r="U1381">
        <v>68</v>
      </c>
      <c r="V1381">
        <v>0</v>
      </c>
      <c r="W1381">
        <v>301.89999999999998</v>
      </c>
      <c r="X1381">
        <v>1646</v>
      </c>
      <c r="Y1381" t="s">
        <v>36</v>
      </c>
      <c r="Z1381" s="3">
        <v>1030.8</v>
      </c>
      <c r="AA1381" t="s">
        <v>40</v>
      </c>
      <c r="AB1381" t="s">
        <v>44</v>
      </c>
      <c r="AC1381">
        <v>91.8</v>
      </c>
      <c r="AD1381" t="s">
        <v>43</v>
      </c>
      <c r="AE1381">
        <v>1366.1</v>
      </c>
      <c r="AF1381">
        <v>0</v>
      </c>
    </row>
    <row r="1382" spans="3:32" x14ac:dyDescent="0.35">
      <c r="C1382" s="1">
        <v>44276</v>
      </c>
      <c r="D1382" s="2">
        <v>44256</v>
      </c>
      <c r="E1382">
        <v>1114</v>
      </c>
      <c r="F1382" s="3">
        <v>5496.62</v>
      </c>
      <c r="G1382" s="3">
        <v>3475.36</v>
      </c>
      <c r="H1382" s="3">
        <v>2021.26</v>
      </c>
      <c r="I1382" s="3">
        <v>0.63</v>
      </c>
      <c r="J1382">
        <v>0.28000000000000003</v>
      </c>
      <c r="K1382">
        <v>3069.8</v>
      </c>
      <c r="L1382" t="s">
        <v>39</v>
      </c>
      <c r="M1382">
        <v>724</v>
      </c>
      <c r="N1382">
        <v>0.4</v>
      </c>
      <c r="O1382" s="3">
        <v>738.8</v>
      </c>
      <c r="P1382" s="3">
        <v>0.13</v>
      </c>
      <c r="Q1382" s="3">
        <v>651.85</v>
      </c>
      <c r="R1382" s="3">
        <v>0.12</v>
      </c>
      <c r="S1382">
        <v>2</v>
      </c>
      <c r="T1382">
        <v>1993.44</v>
      </c>
      <c r="U1382">
        <v>37</v>
      </c>
      <c r="V1382">
        <v>0</v>
      </c>
      <c r="W1382">
        <v>586.41999999999996</v>
      </c>
      <c r="X1382">
        <v>2355.69</v>
      </c>
      <c r="Y1382" t="s">
        <v>36</v>
      </c>
      <c r="Z1382" s="3">
        <v>828.69</v>
      </c>
      <c r="AA1382" t="s">
        <v>46</v>
      </c>
      <c r="AB1382" t="s">
        <v>33</v>
      </c>
      <c r="AC1382">
        <v>31.5</v>
      </c>
      <c r="AD1382" t="s">
        <v>34</v>
      </c>
      <c r="AE1382">
        <v>2021.26</v>
      </c>
      <c r="AF1382">
        <v>0</v>
      </c>
    </row>
    <row r="1383" spans="3:32" x14ac:dyDescent="0.35">
      <c r="C1383" s="1">
        <v>44276</v>
      </c>
      <c r="D1383" s="2">
        <v>44256</v>
      </c>
      <c r="E1383">
        <v>1271</v>
      </c>
      <c r="F1383" s="3">
        <v>2609.38</v>
      </c>
      <c r="G1383" s="3">
        <v>3289.32</v>
      </c>
      <c r="H1383" s="3">
        <v>-679.94</v>
      </c>
      <c r="I1383" s="3">
        <v>1.26</v>
      </c>
      <c r="J1383">
        <v>0.25</v>
      </c>
      <c r="K1383">
        <v>3313.67</v>
      </c>
      <c r="L1383" t="s">
        <v>39</v>
      </c>
      <c r="M1383">
        <v>716</v>
      </c>
      <c r="N1383">
        <v>0.35</v>
      </c>
      <c r="O1383" s="3">
        <v>345.44</v>
      </c>
      <c r="P1383" s="3">
        <v>0.13</v>
      </c>
      <c r="Q1383" s="3">
        <v>220.63</v>
      </c>
      <c r="R1383" s="3">
        <v>0.08</v>
      </c>
      <c r="S1383">
        <v>7</v>
      </c>
      <c r="T1383">
        <v>860.84</v>
      </c>
      <c r="U1383">
        <v>37</v>
      </c>
      <c r="V1383">
        <v>0</v>
      </c>
      <c r="W1383">
        <v>535.4</v>
      </c>
      <c r="X1383">
        <v>2815.78</v>
      </c>
      <c r="Y1383" t="s">
        <v>36</v>
      </c>
      <c r="Z1383" s="3">
        <v>625.04999999999995</v>
      </c>
      <c r="AA1383" t="s">
        <v>50</v>
      </c>
      <c r="AB1383" t="s">
        <v>33</v>
      </c>
      <c r="AC1383">
        <v>56.5</v>
      </c>
      <c r="AD1383" t="s">
        <v>43</v>
      </c>
      <c r="AE1383">
        <v>0</v>
      </c>
      <c r="AF1383">
        <v>0</v>
      </c>
    </row>
    <row r="1384" spans="3:32" x14ac:dyDescent="0.35">
      <c r="C1384" s="1">
        <v>44276</v>
      </c>
      <c r="D1384" s="2">
        <v>44256</v>
      </c>
      <c r="E1384">
        <v>1011</v>
      </c>
      <c r="F1384" s="3">
        <v>3419.44</v>
      </c>
      <c r="G1384" s="3">
        <v>4156.88</v>
      </c>
      <c r="H1384" s="3">
        <v>-737.44</v>
      </c>
      <c r="I1384" s="3">
        <v>1.22</v>
      </c>
      <c r="J1384">
        <v>0.06</v>
      </c>
      <c r="K1384">
        <v>3276</v>
      </c>
      <c r="L1384" t="s">
        <v>35</v>
      </c>
      <c r="M1384">
        <v>721</v>
      </c>
      <c r="N1384">
        <v>0.36</v>
      </c>
      <c r="O1384" s="3">
        <v>626.20000000000005</v>
      </c>
      <c r="P1384" s="3">
        <v>0.18</v>
      </c>
      <c r="Q1384" s="3">
        <v>0</v>
      </c>
      <c r="R1384" s="3">
        <v>0</v>
      </c>
      <c r="S1384">
        <v>7</v>
      </c>
      <c r="T1384">
        <v>1212.1199999999999</v>
      </c>
      <c r="U1384">
        <v>91</v>
      </c>
      <c r="V1384">
        <v>0</v>
      </c>
      <c r="W1384">
        <v>579.69000000000005</v>
      </c>
      <c r="X1384">
        <v>1418.2</v>
      </c>
      <c r="Y1384" t="s">
        <v>36</v>
      </c>
      <c r="Z1384" s="3">
        <v>1127.28</v>
      </c>
      <c r="AA1384" t="s">
        <v>50</v>
      </c>
      <c r="AB1384" t="s">
        <v>44</v>
      </c>
      <c r="AC1384">
        <v>90.7</v>
      </c>
      <c r="AD1384" t="s">
        <v>43</v>
      </c>
      <c r="AE1384">
        <v>0</v>
      </c>
      <c r="AF1384">
        <v>0</v>
      </c>
    </row>
    <row r="1385" spans="3:32" x14ac:dyDescent="0.35">
      <c r="C1385" s="1">
        <v>44276</v>
      </c>
      <c r="D1385" s="2">
        <v>44256</v>
      </c>
      <c r="E1385">
        <v>1109</v>
      </c>
      <c r="F1385" s="3">
        <v>2880.23</v>
      </c>
      <c r="G1385" s="3">
        <v>2783.31</v>
      </c>
      <c r="H1385" s="3">
        <v>96.92</v>
      </c>
      <c r="I1385" s="3">
        <v>0.97</v>
      </c>
      <c r="J1385">
        <v>0.16</v>
      </c>
      <c r="K1385">
        <v>2630.59</v>
      </c>
      <c r="L1385" t="s">
        <v>35</v>
      </c>
      <c r="M1385">
        <v>579</v>
      </c>
      <c r="N1385">
        <v>0.2</v>
      </c>
      <c r="O1385" s="3">
        <v>340.58</v>
      </c>
      <c r="P1385" s="3">
        <v>0.12</v>
      </c>
      <c r="Q1385" s="3">
        <v>544.57000000000005</v>
      </c>
      <c r="R1385" s="3">
        <v>0.19</v>
      </c>
      <c r="S1385">
        <v>8</v>
      </c>
      <c r="T1385">
        <v>946.64</v>
      </c>
      <c r="U1385">
        <v>98</v>
      </c>
      <c r="V1385">
        <v>0</v>
      </c>
      <c r="W1385">
        <v>372.26</v>
      </c>
      <c r="X1385">
        <v>3117.54</v>
      </c>
      <c r="Y1385" t="s">
        <v>36</v>
      </c>
      <c r="Z1385" s="3">
        <v>1131.94</v>
      </c>
      <c r="AA1385" t="s">
        <v>40</v>
      </c>
      <c r="AB1385" t="s">
        <v>33</v>
      </c>
      <c r="AC1385">
        <v>86</v>
      </c>
      <c r="AD1385" t="s">
        <v>43</v>
      </c>
      <c r="AE1385">
        <v>96.92</v>
      </c>
      <c r="AF1385">
        <v>0</v>
      </c>
    </row>
    <row r="1386" spans="3:32" x14ac:dyDescent="0.35">
      <c r="C1386" s="1">
        <v>44276</v>
      </c>
      <c r="D1386" s="2">
        <v>44256</v>
      </c>
      <c r="E1386">
        <v>1916</v>
      </c>
      <c r="F1386" s="3">
        <v>4004.18</v>
      </c>
      <c r="G1386" s="3">
        <v>3496.17</v>
      </c>
      <c r="H1386" s="3">
        <v>508.01</v>
      </c>
      <c r="I1386" s="3">
        <v>0.87</v>
      </c>
      <c r="J1386">
        <v>0.17</v>
      </c>
      <c r="K1386">
        <v>2965.28</v>
      </c>
      <c r="L1386" t="s">
        <v>39</v>
      </c>
      <c r="M1386">
        <v>712</v>
      </c>
      <c r="N1386">
        <v>0.14000000000000001</v>
      </c>
      <c r="O1386" s="3">
        <v>663.84</v>
      </c>
      <c r="P1386" s="3">
        <v>0.17</v>
      </c>
      <c r="Q1386" s="3">
        <v>509.9</v>
      </c>
      <c r="R1386" s="3">
        <v>0.13</v>
      </c>
      <c r="S1386">
        <v>2</v>
      </c>
      <c r="T1386">
        <v>658.34</v>
      </c>
      <c r="U1386">
        <v>98</v>
      </c>
      <c r="V1386">
        <v>0</v>
      </c>
      <c r="W1386">
        <v>544.49</v>
      </c>
      <c r="X1386">
        <v>3523.85</v>
      </c>
      <c r="Y1386" t="s">
        <v>31</v>
      </c>
      <c r="Z1386" s="3">
        <v>875.04</v>
      </c>
      <c r="AA1386" t="s">
        <v>51</v>
      </c>
      <c r="AB1386" t="s">
        <v>33</v>
      </c>
      <c r="AC1386">
        <v>22.3</v>
      </c>
      <c r="AD1386" t="s">
        <v>43</v>
      </c>
      <c r="AE1386">
        <v>508.01</v>
      </c>
      <c r="AF1386">
        <v>0</v>
      </c>
    </row>
    <row r="1387" spans="3:32" x14ac:dyDescent="0.35">
      <c r="C1387" s="1">
        <v>44276</v>
      </c>
      <c r="D1387" s="2">
        <v>44256</v>
      </c>
      <c r="E1387">
        <v>1522</v>
      </c>
      <c r="F1387" s="3">
        <v>5339.73</v>
      </c>
      <c r="G1387" s="3">
        <v>3734.16</v>
      </c>
      <c r="H1387" s="3">
        <v>1605.57</v>
      </c>
      <c r="I1387" s="3">
        <v>0.7</v>
      </c>
      <c r="J1387">
        <v>0.09</v>
      </c>
      <c r="K1387">
        <v>2643.01</v>
      </c>
      <c r="L1387" t="s">
        <v>30</v>
      </c>
      <c r="M1387">
        <v>727</v>
      </c>
      <c r="N1387">
        <v>0.17</v>
      </c>
      <c r="O1387" s="3">
        <v>420.25</v>
      </c>
      <c r="P1387" s="3">
        <v>0.08</v>
      </c>
      <c r="Q1387" s="3">
        <v>631.29999999999995</v>
      </c>
      <c r="R1387" s="3">
        <v>0.12</v>
      </c>
      <c r="S1387">
        <v>6</v>
      </c>
      <c r="T1387">
        <v>869.7</v>
      </c>
      <c r="U1387">
        <v>97</v>
      </c>
      <c r="V1387">
        <v>0</v>
      </c>
      <c r="W1387">
        <v>459.09</v>
      </c>
      <c r="X1387">
        <v>2084.7199999999998</v>
      </c>
      <c r="Y1387" t="s">
        <v>36</v>
      </c>
      <c r="Z1387" s="3">
        <v>1397.72</v>
      </c>
      <c r="AA1387" t="s">
        <v>32</v>
      </c>
      <c r="AB1387" t="s">
        <v>44</v>
      </c>
      <c r="AC1387">
        <v>54.2</v>
      </c>
      <c r="AD1387" t="s">
        <v>38</v>
      </c>
      <c r="AE1387">
        <v>1605.57</v>
      </c>
      <c r="AF1387">
        <v>0</v>
      </c>
    </row>
    <row r="1388" spans="3:32" x14ac:dyDescent="0.35">
      <c r="C1388" s="1">
        <v>44276</v>
      </c>
      <c r="D1388" s="2">
        <v>44256</v>
      </c>
      <c r="E1388">
        <v>1817</v>
      </c>
      <c r="F1388" s="3">
        <v>4624.1899999999996</v>
      </c>
      <c r="G1388" s="3">
        <v>3486.68</v>
      </c>
      <c r="H1388" s="3">
        <v>1137.51</v>
      </c>
      <c r="I1388" s="3">
        <v>0.75</v>
      </c>
      <c r="J1388">
        <v>0.09</v>
      </c>
      <c r="K1388">
        <v>3333.08</v>
      </c>
      <c r="L1388" t="s">
        <v>35</v>
      </c>
      <c r="M1388">
        <v>662</v>
      </c>
      <c r="N1388">
        <v>0.5</v>
      </c>
      <c r="O1388" s="3">
        <v>742.75</v>
      </c>
      <c r="P1388" s="3">
        <v>0.16</v>
      </c>
      <c r="Q1388" s="3">
        <v>23.81</v>
      </c>
      <c r="R1388" s="3">
        <v>0.01</v>
      </c>
      <c r="S1388">
        <v>3</v>
      </c>
      <c r="T1388">
        <v>1188.3399999999999</v>
      </c>
      <c r="U1388">
        <v>25</v>
      </c>
      <c r="V1388">
        <v>0</v>
      </c>
      <c r="W1388">
        <v>493.62</v>
      </c>
      <c r="X1388">
        <v>2056.17</v>
      </c>
      <c r="Y1388" t="s">
        <v>36</v>
      </c>
      <c r="Z1388" s="3">
        <v>825.84</v>
      </c>
      <c r="AA1388" t="s">
        <v>40</v>
      </c>
      <c r="AB1388" t="s">
        <v>44</v>
      </c>
      <c r="AC1388">
        <v>86.2</v>
      </c>
      <c r="AD1388" t="s">
        <v>34</v>
      </c>
      <c r="AE1388">
        <v>1137.51</v>
      </c>
      <c r="AF1388">
        <v>0</v>
      </c>
    </row>
    <row r="1389" spans="3:32" x14ac:dyDescent="0.35">
      <c r="C1389" s="1">
        <v>44276</v>
      </c>
      <c r="D1389" s="2">
        <v>44256</v>
      </c>
      <c r="E1389">
        <v>1400</v>
      </c>
      <c r="F1389" s="3">
        <v>4950.54</v>
      </c>
      <c r="G1389" s="3">
        <v>2776.35</v>
      </c>
      <c r="H1389" s="3">
        <v>2174.19</v>
      </c>
      <c r="I1389" s="3">
        <v>0.56000000000000005</v>
      </c>
      <c r="J1389">
        <v>0.28999999999999998</v>
      </c>
      <c r="K1389">
        <v>3313.1</v>
      </c>
      <c r="L1389" t="s">
        <v>30</v>
      </c>
      <c r="M1389">
        <v>767</v>
      </c>
      <c r="N1389">
        <v>0.59</v>
      </c>
      <c r="O1389" s="3">
        <v>196.78</v>
      </c>
      <c r="P1389" s="3">
        <v>0.04</v>
      </c>
      <c r="Q1389" s="3">
        <v>366.2</v>
      </c>
      <c r="R1389" s="3">
        <v>7.0000000000000007E-2</v>
      </c>
      <c r="S1389">
        <v>9</v>
      </c>
      <c r="T1389">
        <v>1376.91</v>
      </c>
      <c r="U1389">
        <v>91</v>
      </c>
      <c r="V1389">
        <v>0</v>
      </c>
      <c r="W1389">
        <v>558.82000000000005</v>
      </c>
      <c r="X1389">
        <v>2649.05</v>
      </c>
      <c r="Y1389" t="s">
        <v>36</v>
      </c>
      <c r="Z1389" s="3">
        <v>1159.22</v>
      </c>
      <c r="AA1389" t="s">
        <v>51</v>
      </c>
      <c r="AB1389" t="s">
        <v>33</v>
      </c>
      <c r="AC1389">
        <v>45.1</v>
      </c>
      <c r="AD1389" t="s">
        <v>34</v>
      </c>
      <c r="AE1389">
        <v>2174.19</v>
      </c>
      <c r="AF1389">
        <v>0</v>
      </c>
    </row>
    <row r="1390" spans="3:32" x14ac:dyDescent="0.35">
      <c r="C1390" s="1">
        <v>44276</v>
      </c>
      <c r="D1390" s="2">
        <v>44256</v>
      </c>
      <c r="E1390">
        <v>1334</v>
      </c>
      <c r="F1390" s="3">
        <v>1967.29</v>
      </c>
      <c r="G1390" s="3">
        <v>4420.1899999999996</v>
      </c>
      <c r="H1390" s="3">
        <v>-2452.9</v>
      </c>
      <c r="I1390" s="3">
        <v>2.25</v>
      </c>
      <c r="J1390">
        <v>0.3</v>
      </c>
      <c r="K1390">
        <v>2976.92</v>
      </c>
      <c r="L1390" t="s">
        <v>30</v>
      </c>
      <c r="M1390">
        <v>614</v>
      </c>
      <c r="N1390">
        <v>0.52</v>
      </c>
      <c r="O1390" s="3">
        <v>213.07</v>
      </c>
      <c r="P1390" s="3">
        <v>0.11</v>
      </c>
      <c r="Q1390" s="3">
        <v>540.19000000000005</v>
      </c>
      <c r="R1390" s="3">
        <v>0.27</v>
      </c>
      <c r="S1390">
        <v>5</v>
      </c>
      <c r="T1390">
        <v>1104.52</v>
      </c>
      <c r="U1390">
        <v>36</v>
      </c>
      <c r="V1390">
        <v>0</v>
      </c>
      <c r="W1390">
        <v>376.7</v>
      </c>
      <c r="X1390">
        <v>2463.5</v>
      </c>
      <c r="Y1390" t="s">
        <v>36</v>
      </c>
      <c r="Z1390" s="3">
        <v>853.17</v>
      </c>
      <c r="AA1390" t="s">
        <v>45</v>
      </c>
      <c r="AB1390" t="s">
        <v>33</v>
      </c>
      <c r="AC1390">
        <v>21.1</v>
      </c>
      <c r="AD1390" t="s">
        <v>34</v>
      </c>
      <c r="AE1390">
        <v>0</v>
      </c>
      <c r="AF1390">
        <v>0</v>
      </c>
    </row>
    <row r="1391" spans="3:32" x14ac:dyDescent="0.35">
      <c r="C1391" s="1">
        <v>44276</v>
      </c>
      <c r="D1391" s="2">
        <v>44256</v>
      </c>
      <c r="E1391">
        <v>1505</v>
      </c>
      <c r="F1391" s="3">
        <v>3194.13</v>
      </c>
      <c r="G1391" s="3">
        <v>2422.39</v>
      </c>
      <c r="H1391" s="3">
        <v>771.74</v>
      </c>
      <c r="I1391" s="3">
        <v>0.76</v>
      </c>
      <c r="J1391">
        <v>0.36</v>
      </c>
      <c r="K1391">
        <v>2661.82</v>
      </c>
      <c r="L1391" t="s">
        <v>35</v>
      </c>
      <c r="M1391">
        <v>631</v>
      </c>
      <c r="N1391">
        <v>0.47</v>
      </c>
      <c r="O1391" s="3">
        <v>711.23</v>
      </c>
      <c r="P1391" s="3">
        <v>0.22</v>
      </c>
      <c r="Q1391" s="3">
        <v>245.59</v>
      </c>
      <c r="R1391" s="3">
        <v>0.08</v>
      </c>
      <c r="S1391">
        <v>4</v>
      </c>
      <c r="T1391">
        <v>931.34</v>
      </c>
      <c r="U1391">
        <v>70</v>
      </c>
      <c r="V1391">
        <v>0</v>
      </c>
      <c r="W1391">
        <v>445.98</v>
      </c>
      <c r="X1391">
        <v>3092.43</v>
      </c>
      <c r="Y1391" t="s">
        <v>36</v>
      </c>
      <c r="Z1391" s="3">
        <v>982.03</v>
      </c>
      <c r="AA1391" t="s">
        <v>47</v>
      </c>
      <c r="AB1391" t="s">
        <v>33</v>
      </c>
      <c r="AC1391">
        <v>1.1000000000000001</v>
      </c>
      <c r="AD1391" t="s">
        <v>34</v>
      </c>
      <c r="AE1391">
        <v>771.74</v>
      </c>
      <c r="AF1391">
        <v>0</v>
      </c>
    </row>
    <row r="1392" spans="3:32" x14ac:dyDescent="0.35">
      <c r="C1392" s="1">
        <v>44276</v>
      </c>
      <c r="D1392" s="2">
        <v>44256</v>
      </c>
      <c r="E1392">
        <v>1164</v>
      </c>
      <c r="F1392" s="3">
        <v>4033.04</v>
      </c>
      <c r="G1392" s="3">
        <v>3821.44</v>
      </c>
      <c r="H1392" s="3">
        <v>211.6</v>
      </c>
      <c r="I1392" s="3">
        <v>0.95</v>
      </c>
      <c r="J1392">
        <v>0.33</v>
      </c>
      <c r="K1392">
        <v>2051.4</v>
      </c>
      <c r="L1392" t="s">
        <v>30</v>
      </c>
      <c r="M1392">
        <v>712</v>
      </c>
      <c r="N1392">
        <v>0.28000000000000003</v>
      </c>
      <c r="O1392" s="3">
        <v>791.34</v>
      </c>
      <c r="P1392" s="3">
        <v>0.2</v>
      </c>
      <c r="Q1392" s="3">
        <v>604.20000000000005</v>
      </c>
      <c r="R1392" s="3">
        <v>0.15</v>
      </c>
      <c r="S1392">
        <v>7</v>
      </c>
      <c r="T1392">
        <v>895.79</v>
      </c>
      <c r="U1392">
        <v>51</v>
      </c>
      <c r="V1392">
        <v>0</v>
      </c>
      <c r="W1392">
        <v>593.80999999999995</v>
      </c>
      <c r="X1392">
        <v>1302.5</v>
      </c>
      <c r="Y1392" t="s">
        <v>36</v>
      </c>
      <c r="Z1392" s="3">
        <v>1613.08</v>
      </c>
      <c r="AA1392" t="s">
        <v>41</v>
      </c>
      <c r="AB1392" t="s">
        <v>33</v>
      </c>
      <c r="AC1392">
        <v>7.2</v>
      </c>
      <c r="AD1392" t="s">
        <v>38</v>
      </c>
      <c r="AE1392">
        <v>211.6</v>
      </c>
      <c r="AF1392">
        <v>0</v>
      </c>
    </row>
    <row r="1393" spans="3:32" x14ac:dyDescent="0.35">
      <c r="C1393" s="1">
        <v>44276</v>
      </c>
      <c r="D1393" s="2">
        <v>44256</v>
      </c>
      <c r="E1393">
        <v>1722</v>
      </c>
      <c r="F1393" s="3">
        <v>4773.45</v>
      </c>
      <c r="G1393" s="3">
        <v>2418.8000000000002</v>
      </c>
      <c r="H1393" s="3">
        <v>2354.65</v>
      </c>
      <c r="I1393" s="3">
        <v>0.51</v>
      </c>
      <c r="J1393">
        <v>0.28000000000000003</v>
      </c>
      <c r="K1393">
        <v>2730.76</v>
      </c>
      <c r="L1393" t="s">
        <v>35</v>
      </c>
      <c r="M1393">
        <v>689</v>
      </c>
      <c r="N1393">
        <v>0.24</v>
      </c>
      <c r="O1393" s="3">
        <v>270.37</v>
      </c>
      <c r="P1393" s="3">
        <v>0.06</v>
      </c>
      <c r="Q1393" s="3">
        <v>535.29999999999995</v>
      </c>
      <c r="R1393" s="3">
        <v>0.11</v>
      </c>
      <c r="S1393">
        <v>2</v>
      </c>
      <c r="T1393">
        <v>796.25</v>
      </c>
      <c r="U1393">
        <v>38</v>
      </c>
      <c r="V1393">
        <v>0</v>
      </c>
      <c r="W1393">
        <v>564.98</v>
      </c>
      <c r="X1393">
        <v>2156.35</v>
      </c>
      <c r="Y1393" t="s">
        <v>36</v>
      </c>
      <c r="Z1393" s="3">
        <v>1884.13</v>
      </c>
      <c r="AA1393" t="s">
        <v>47</v>
      </c>
      <c r="AB1393" t="s">
        <v>42</v>
      </c>
      <c r="AC1393">
        <v>52.9</v>
      </c>
      <c r="AD1393" t="s">
        <v>34</v>
      </c>
      <c r="AE1393">
        <v>2354.65</v>
      </c>
      <c r="AF1393">
        <v>0</v>
      </c>
    </row>
    <row r="1394" spans="3:32" x14ac:dyDescent="0.35">
      <c r="C1394" s="1">
        <v>44276</v>
      </c>
      <c r="D1394" s="2">
        <v>44256</v>
      </c>
      <c r="E1394">
        <v>1843</v>
      </c>
      <c r="F1394" s="3">
        <v>3735.57</v>
      </c>
      <c r="G1394" s="3">
        <v>3111.95</v>
      </c>
      <c r="H1394" s="3">
        <v>623.62</v>
      </c>
      <c r="I1394" s="3">
        <v>0.83</v>
      </c>
      <c r="J1394">
        <v>0.19</v>
      </c>
      <c r="K1394">
        <v>2803.2</v>
      </c>
      <c r="L1394" t="s">
        <v>35</v>
      </c>
      <c r="M1394">
        <v>670</v>
      </c>
      <c r="N1394">
        <v>0.31</v>
      </c>
      <c r="O1394" s="3">
        <v>621.03</v>
      </c>
      <c r="P1394" s="3">
        <v>0.17</v>
      </c>
      <c r="Q1394" s="3">
        <v>341.57</v>
      </c>
      <c r="R1394" s="3">
        <v>0.09</v>
      </c>
      <c r="S1394">
        <v>7</v>
      </c>
      <c r="T1394">
        <v>1541.24</v>
      </c>
      <c r="U1394">
        <v>70</v>
      </c>
      <c r="V1394">
        <v>0</v>
      </c>
      <c r="W1394">
        <v>437.4</v>
      </c>
      <c r="X1394">
        <v>1657.14</v>
      </c>
      <c r="Y1394" t="s">
        <v>36</v>
      </c>
      <c r="Z1394" s="3">
        <v>1286.53</v>
      </c>
      <c r="AA1394" t="s">
        <v>32</v>
      </c>
      <c r="AB1394" t="s">
        <v>33</v>
      </c>
      <c r="AC1394">
        <v>32.6</v>
      </c>
      <c r="AD1394" t="s">
        <v>38</v>
      </c>
      <c r="AE1394">
        <v>623.62</v>
      </c>
      <c r="AF1394">
        <v>0</v>
      </c>
    </row>
    <row r="1395" spans="3:32" x14ac:dyDescent="0.35">
      <c r="C1395" s="1">
        <v>44276</v>
      </c>
      <c r="D1395" s="2">
        <v>44256</v>
      </c>
      <c r="E1395">
        <v>1104</v>
      </c>
      <c r="F1395" s="3">
        <v>1566.74</v>
      </c>
      <c r="G1395" s="3">
        <v>3182.21</v>
      </c>
      <c r="H1395" s="3">
        <v>-1615.47</v>
      </c>
      <c r="I1395" s="3">
        <v>2.0299999999999998</v>
      </c>
      <c r="J1395">
        <v>7.0000000000000007E-2</v>
      </c>
      <c r="K1395">
        <v>3533.57</v>
      </c>
      <c r="L1395" t="s">
        <v>35</v>
      </c>
      <c r="M1395">
        <v>727</v>
      </c>
      <c r="N1395">
        <v>0.22</v>
      </c>
      <c r="O1395" s="3">
        <v>358.7</v>
      </c>
      <c r="P1395" s="3">
        <v>0.23</v>
      </c>
      <c r="Q1395" s="3">
        <v>652.28</v>
      </c>
      <c r="R1395" s="3">
        <v>0.42</v>
      </c>
      <c r="S1395">
        <v>3</v>
      </c>
      <c r="T1395">
        <v>1901.75</v>
      </c>
      <c r="U1395">
        <v>53</v>
      </c>
      <c r="V1395">
        <v>0</v>
      </c>
      <c r="W1395">
        <v>465.49</v>
      </c>
      <c r="X1395">
        <v>1871.63</v>
      </c>
      <c r="Y1395" t="s">
        <v>36</v>
      </c>
      <c r="Z1395" s="3">
        <v>1024.9100000000001</v>
      </c>
      <c r="AA1395" t="s">
        <v>45</v>
      </c>
      <c r="AB1395" t="s">
        <v>33</v>
      </c>
      <c r="AC1395">
        <v>45.7</v>
      </c>
      <c r="AD1395" t="s">
        <v>34</v>
      </c>
      <c r="AE1395">
        <v>0</v>
      </c>
      <c r="AF1395">
        <v>0</v>
      </c>
    </row>
    <row r="1396" spans="3:32" x14ac:dyDescent="0.35">
      <c r="C1396" s="1">
        <v>44276</v>
      </c>
      <c r="D1396" s="2">
        <v>44256</v>
      </c>
      <c r="E1396">
        <v>1800</v>
      </c>
      <c r="F1396" s="3">
        <v>1649.18</v>
      </c>
      <c r="G1396" s="3">
        <v>2785.35</v>
      </c>
      <c r="H1396" s="3">
        <v>-1136.17</v>
      </c>
      <c r="I1396" s="3">
        <v>1.69</v>
      </c>
      <c r="J1396">
        <v>0.13</v>
      </c>
      <c r="K1396">
        <v>2418.8000000000002</v>
      </c>
      <c r="L1396" t="s">
        <v>35</v>
      </c>
      <c r="M1396">
        <v>675</v>
      </c>
      <c r="N1396">
        <v>0.23</v>
      </c>
      <c r="O1396" s="3">
        <v>445.31</v>
      </c>
      <c r="P1396" s="3">
        <v>0.27</v>
      </c>
      <c r="Q1396" s="3">
        <v>277.49</v>
      </c>
      <c r="R1396" s="3">
        <v>0.17</v>
      </c>
      <c r="S1396">
        <v>3</v>
      </c>
      <c r="T1396">
        <v>1734.84</v>
      </c>
      <c r="U1396">
        <v>60</v>
      </c>
      <c r="V1396">
        <v>0</v>
      </c>
      <c r="W1396">
        <v>516.30999999999995</v>
      </c>
      <c r="X1396">
        <v>3777.13</v>
      </c>
      <c r="Y1396" t="s">
        <v>36</v>
      </c>
      <c r="Z1396" s="3">
        <v>1432.21</v>
      </c>
      <c r="AA1396" t="s">
        <v>50</v>
      </c>
      <c r="AB1396" t="s">
        <v>33</v>
      </c>
      <c r="AC1396">
        <v>81.7</v>
      </c>
      <c r="AD1396" t="s">
        <v>34</v>
      </c>
      <c r="AE1396">
        <v>0</v>
      </c>
      <c r="AF1396">
        <v>0</v>
      </c>
    </row>
    <row r="1397" spans="3:32" x14ac:dyDescent="0.35">
      <c r="C1397" s="1">
        <v>44276</v>
      </c>
      <c r="D1397" s="2">
        <v>44256</v>
      </c>
      <c r="E1397">
        <v>1659</v>
      </c>
      <c r="F1397" s="3">
        <v>2564.52</v>
      </c>
      <c r="G1397" s="3">
        <v>528.42999999999995</v>
      </c>
      <c r="H1397" s="3">
        <v>2036.09</v>
      </c>
      <c r="I1397" s="3">
        <v>0.21</v>
      </c>
      <c r="J1397">
        <v>0.37</v>
      </c>
      <c r="K1397">
        <v>3710.16</v>
      </c>
      <c r="L1397" t="s">
        <v>35</v>
      </c>
      <c r="M1397">
        <v>634</v>
      </c>
      <c r="N1397">
        <v>0.46</v>
      </c>
      <c r="O1397" s="3">
        <v>446.14</v>
      </c>
      <c r="P1397" s="3">
        <v>0.17</v>
      </c>
      <c r="Q1397" s="3">
        <v>144.37</v>
      </c>
      <c r="R1397" s="3">
        <v>0.06</v>
      </c>
      <c r="S1397">
        <v>8</v>
      </c>
      <c r="T1397">
        <v>632.62</v>
      </c>
      <c r="U1397">
        <v>27</v>
      </c>
      <c r="V1397">
        <v>0</v>
      </c>
      <c r="W1397">
        <v>454.74</v>
      </c>
      <c r="X1397">
        <v>1996.53</v>
      </c>
      <c r="Y1397" t="s">
        <v>31</v>
      </c>
      <c r="Z1397" s="3">
        <v>817.94</v>
      </c>
      <c r="AA1397" t="s">
        <v>40</v>
      </c>
      <c r="AB1397" t="s">
        <v>33</v>
      </c>
      <c r="AC1397">
        <v>78.900000000000006</v>
      </c>
      <c r="AD1397" t="s">
        <v>34</v>
      </c>
      <c r="AE1397">
        <v>2036.09</v>
      </c>
      <c r="AF1397">
        <v>0</v>
      </c>
    </row>
    <row r="1398" spans="3:32" x14ac:dyDescent="0.35">
      <c r="C1398" s="1">
        <v>44276</v>
      </c>
      <c r="D1398" s="2">
        <v>44256</v>
      </c>
      <c r="E1398">
        <v>1637</v>
      </c>
      <c r="F1398" s="3">
        <v>4327.7700000000004</v>
      </c>
      <c r="G1398" s="3">
        <v>3154.73</v>
      </c>
      <c r="H1398" s="3">
        <v>1173.04</v>
      </c>
      <c r="I1398" s="3">
        <v>0.73</v>
      </c>
      <c r="J1398">
        <v>0.33</v>
      </c>
      <c r="K1398">
        <v>3359.46</v>
      </c>
      <c r="L1398" t="s">
        <v>35</v>
      </c>
      <c r="M1398">
        <v>608</v>
      </c>
      <c r="N1398">
        <v>0.31</v>
      </c>
      <c r="O1398" s="3">
        <v>717.15</v>
      </c>
      <c r="P1398" s="3">
        <v>0.17</v>
      </c>
      <c r="Q1398" s="3">
        <v>104.91</v>
      </c>
      <c r="R1398" s="3">
        <v>0.02</v>
      </c>
      <c r="S1398">
        <v>3</v>
      </c>
      <c r="T1398">
        <v>1091.82</v>
      </c>
      <c r="U1398">
        <v>23</v>
      </c>
      <c r="V1398">
        <v>0</v>
      </c>
      <c r="W1398">
        <v>443.4</v>
      </c>
      <c r="X1398">
        <v>2752.42</v>
      </c>
      <c r="Y1398" t="s">
        <v>36</v>
      </c>
      <c r="Z1398" s="3">
        <v>1140.7</v>
      </c>
      <c r="AA1398" t="s">
        <v>40</v>
      </c>
      <c r="AB1398" t="s">
        <v>33</v>
      </c>
      <c r="AC1398">
        <v>37.5</v>
      </c>
      <c r="AD1398" t="s">
        <v>43</v>
      </c>
      <c r="AE1398">
        <v>1173.04</v>
      </c>
      <c r="AF1398">
        <v>0</v>
      </c>
    </row>
    <row r="1399" spans="3:32" x14ac:dyDescent="0.35">
      <c r="C1399" s="1">
        <v>44276</v>
      </c>
      <c r="D1399" s="2">
        <v>44256</v>
      </c>
      <c r="E1399">
        <v>1383</v>
      </c>
      <c r="F1399" s="3">
        <v>6719.71</v>
      </c>
      <c r="G1399" s="3">
        <v>3624.44</v>
      </c>
      <c r="H1399" s="3">
        <v>3095.27</v>
      </c>
      <c r="I1399" s="3">
        <v>0.54</v>
      </c>
      <c r="J1399">
        <v>0.21</v>
      </c>
      <c r="K1399">
        <v>3402.32</v>
      </c>
      <c r="L1399" t="s">
        <v>39</v>
      </c>
      <c r="M1399">
        <v>656</v>
      </c>
      <c r="N1399">
        <v>0.45</v>
      </c>
      <c r="O1399" s="3">
        <v>804.08</v>
      </c>
      <c r="P1399" s="3">
        <v>0.12</v>
      </c>
      <c r="Q1399" s="3">
        <v>386.81</v>
      </c>
      <c r="R1399" s="3">
        <v>0.06</v>
      </c>
      <c r="S1399">
        <v>8</v>
      </c>
      <c r="T1399">
        <v>2035.45</v>
      </c>
      <c r="U1399">
        <v>41</v>
      </c>
      <c r="V1399">
        <v>0</v>
      </c>
      <c r="W1399">
        <v>303.37</v>
      </c>
      <c r="X1399">
        <v>2541.14</v>
      </c>
      <c r="Y1399" t="s">
        <v>36</v>
      </c>
      <c r="Z1399" s="3">
        <v>1357.32</v>
      </c>
      <c r="AA1399" t="s">
        <v>46</v>
      </c>
      <c r="AB1399" t="s">
        <v>42</v>
      </c>
      <c r="AC1399">
        <v>47.2</v>
      </c>
      <c r="AD1399" t="s">
        <v>43</v>
      </c>
      <c r="AE1399">
        <v>3095.27</v>
      </c>
      <c r="AF1399">
        <v>0</v>
      </c>
    </row>
    <row r="1400" spans="3:32" x14ac:dyDescent="0.35">
      <c r="C1400" s="1">
        <v>44276</v>
      </c>
      <c r="D1400" s="2">
        <v>44256</v>
      </c>
      <c r="E1400">
        <v>1140</v>
      </c>
      <c r="F1400" s="3">
        <v>4527.17</v>
      </c>
      <c r="G1400" s="3">
        <v>3254.12</v>
      </c>
      <c r="H1400" s="3">
        <v>1273.05</v>
      </c>
      <c r="I1400" s="3">
        <v>0.72</v>
      </c>
      <c r="J1400">
        <v>0.27</v>
      </c>
      <c r="K1400">
        <v>2388.4299999999998</v>
      </c>
      <c r="L1400" t="s">
        <v>35</v>
      </c>
      <c r="M1400">
        <v>661</v>
      </c>
      <c r="N1400">
        <v>0.28000000000000003</v>
      </c>
      <c r="O1400" s="3">
        <v>728.01</v>
      </c>
      <c r="P1400" s="3">
        <v>0.16</v>
      </c>
      <c r="Q1400" s="3">
        <v>657.83</v>
      </c>
      <c r="R1400" s="3">
        <v>0.15</v>
      </c>
      <c r="S1400">
        <v>8</v>
      </c>
      <c r="T1400">
        <v>1083.8699999999999</v>
      </c>
      <c r="U1400">
        <v>26</v>
      </c>
      <c r="V1400">
        <v>0</v>
      </c>
      <c r="W1400">
        <v>709.98</v>
      </c>
      <c r="X1400">
        <v>2444.3200000000002</v>
      </c>
      <c r="Y1400" t="s">
        <v>36</v>
      </c>
      <c r="Z1400" s="3">
        <v>1572.03</v>
      </c>
      <c r="AA1400" t="s">
        <v>46</v>
      </c>
      <c r="AB1400" t="s">
        <v>42</v>
      </c>
      <c r="AC1400">
        <v>57.7</v>
      </c>
      <c r="AD1400" t="s">
        <v>34</v>
      </c>
      <c r="AE1400">
        <v>1273.05</v>
      </c>
      <c r="AF1400">
        <v>0</v>
      </c>
    </row>
    <row r="1401" spans="3:32" x14ac:dyDescent="0.35">
      <c r="C1401" s="1">
        <v>44276</v>
      </c>
      <c r="D1401" s="2">
        <v>44256</v>
      </c>
      <c r="E1401">
        <v>1443</v>
      </c>
      <c r="F1401" s="3">
        <v>4861.04</v>
      </c>
      <c r="G1401" s="3">
        <v>4084.19</v>
      </c>
      <c r="H1401" s="3">
        <v>776.85</v>
      </c>
      <c r="I1401" s="3">
        <v>0.84</v>
      </c>
      <c r="J1401">
        <v>0.24</v>
      </c>
      <c r="K1401">
        <v>2800.26</v>
      </c>
      <c r="L1401" t="s">
        <v>35</v>
      </c>
      <c r="M1401">
        <v>578</v>
      </c>
      <c r="N1401">
        <v>0.17</v>
      </c>
      <c r="O1401" s="3">
        <v>471.2</v>
      </c>
      <c r="P1401" s="3">
        <v>0.1</v>
      </c>
      <c r="Q1401" s="3">
        <v>645.87</v>
      </c>
      <c r="R1401" s="3">
        <v>0.13</v>
      </c>
      <c r="S1401">
        <v>7</v>
      </c>
      <c r="T1401">
        <v>1675.17</v>
      </c>
      <c r="U1401">
        <v>61</v>
      </c>
      <c r="V1401">
        <v>0</v>
      </c>
      <c r="W1401">
        <v>977.44</v>
      </c>
      <c r="X1401">
        <v>1453.88</v>
      </c>
      <c r="Y1401" t="s">
        <v>36</v>
      </c>
      <c r="Z1401" s="3">
        <v>1457.29</v>
      </c>
      <c r="AA1401" t="s">
        <v>46</v>
      </c>
      <c r="AB1401" t="s">
        <v>33</v>
      </c>
      <c r="AC1401">
        <v>30.4</v>
      </c>
      <c r="AD1401" t="s">
        <v>43</v>
      </c>
      <c r="AE1401">
        <v>776.85</v>
      </c>
      <c r="AF1401">
        <v>0</v>
      </c>
    </row>
    <row r="1402" spans="3:32" x14ac:dyDescent="0.35">
      <c r="C1402" s="1">
        <v>44306</v>
      </c>
      <c r="D1402" s="2">
        <v>44287</v>
      </c>
      <c r="E1402">
        <v>1058</v>
      </c>
      <c r="F1402" s="3">
        <v>4422.9399999999996</v>
      </c>
      <c r="G1402" s="3">
        <v>2989.14</v>
      </c>
      <c r="H1402" s="3">
        <v>1433.8</v>
      </c>
      <c r="I1402" s="3">
        <v>0.68</v>
      </c>
      <c r="J1402">
        <v>0.32</v>
      </c>
      <c r="K1402">
        <v>2506.1999999999998</v>
      </c>
      <c r="L1402" t="s">
        <v>35</v>
      </c>
      <c r="M1402">
        <v>662</v>
      </c>
      <c r="N1402">
        <v>0.38</v>
      </c>
      <c r="O1402" s="3">
        <v>440.32</v>
      </c>
      <c r="P1402" s="3">
        <v>0.1</v>
      </c>
      <c r="Q1402" s="3">
        <v>326.25</v>
      </c>
      <c r="R1402" s="3">
        <v>7.0000000000000007E-2</v>
      </c>
      <c r="S1402">
        <v>9</v>
      </c>
      <c r="T1402">
        <v>322.35000000000002</v>
      </c>
      <c r="U1402">
        <v>90</v>
      </c>
      <c r="V1402">
        <v>0</v>
      </c>
      <c r="W1402">
        <v>809.16</v>
      </c>
      <c r="X1402">
        <v>1000</v>
      </c>
      <c r="Y1402" t="s">
        <v>36</v>
      </c>
      <c r="Z1402" s="3">
        <v>1618.9</v>
      </c>
      <c r="AA1402" t="s">
        <v>48</v>
      </c>
      <c r="AB1402" t="s">
        <v>44</v>
      </c>
      <c r="AC1402">
        <v>27.3</v>
      </c>
      <c r="AD1402" t="s">
        <v>38</v>
      </c>
      <c r="AE1402">
        <v>1433.8</v>
      </c>
      <c r="AF1402">
        <v>0</v>
      </c>
    </row>
    <row r="1403" spans="3:32" x14ac:dyDescent="0.35">
      <c r="C1403" s="1">
        <v>44306</v>
      </c>
      <c r="D1403" s="2">
        <v>44287</v>
      </c>
      <c r="E1403">
        <v>1938</v>
      </c>
      <c r="F1403" s="3">
        <v>4023.87</v>
      </c>
      <c r="G1403" s="3">
        <v>1360.32</v>
      </c>
      <c r="H1403" s="3">
        <v>2663.55</v>
      </c>
      <c r="I1403" s="3">
        <v>0.34</v>
      </c>
      <c r="J1403">
        <v>0.17</v>
      </c>
      <c r="K1403">
        <v>3357.66</v>
      </c>
      <c r="L1403" t="s">
        <v>39</v>
      </c>
      <c r="M1403">
        <v>740</v>
      </c>
      <c r="N1403">
        <v>0.21</v>
      </c>
      <c r="O1403" s="3">
        <v>470.65</v>
      </c>
      <c r="P1403" s="3">
        <v>0.12</v>
      </c>
      <c r="Q1403" s="3">
        <v>0</v>
      </c>
      <c r="R1403" s="3">
        <v>0</v>
      </c>
      <c r="S1403">
        <v>7</v>
      </c>
      <c r="T1403">
        <v>2018.03</v>
      </c>
      <c r="U1403">
        <v>77</v>
      </c>
      <c r="V1403">
        <v>0</v>
      </c>
      <c r="W1403">
        <v>830.19</v>
      </c>
      <c r="X1403">
        <v>2651.21</v>
      </c>
      <c r="Y1403" t="s">
        <v>36</v>
      </c>
      <c r="Z1403" s="3">
        <v>851.6</v>
      </c>
      <c r="AA1403" t="s">
        <v>47</v>
      </c>
      <c r="AB1403" t="s">
        <v>33</v>
      </c>
      <c r="AC1403">
        <v>87</v>
      </c>
      <c r="AD1403" t="s">
        <v>34</v>
      </c>
      <c r="AE1403">
        <v>2663.55</v>
      </c>
      <c r="AF1403">
        <v>0</v>
      </c>
    </row>
    <row r="1404" spans="3:32" x14ac:dyDescent="0.35">
      <c r="C1404" s="1">
        <v>44306</v>
      </c>
      <c r="D1404" s="2">
        <v>44287</v>
      </c>
      <c r="E1404">
        <v>1532</v>
      </c>
      <c r="F1404" s="3">
        <v>3192.65</v>
      </c>
      <c r="G1404" s="3">
        <v>2536.0700000000002</v>
      </c>
      <c r="H1404" s="3">
        <v>656.58</v>
      </c>
      <c r="I1404" s="3">
        <v>0.79</v>
      </c>
      <c r="J1404">
        <v>0.15</v>
      </c>
      <c r="K1404">
        <v>3016.3</v>
      </c>
      <c r="L1404" t="s">
        <v>39</v>
      </c>
      <c r="M1404">
        <v>629</v>
      </c>
      <c r="N1404">
        <v>0.28000000000000003</v>
      </c>
      <c r="O1404" s="3">
        <v>428.2</v>
      </c>
      <c r="P1404" s="3">
        <v>0.13</v>
      </c>
      <c r="Q1404" s="3">
        <v>110.83</v>
      </c>
      <c r="R1404" s="3">
        <v>0.03</v>
      </c>
      <c r="S1404">
        <v>4</v>
      </c>
      <c r="T1404">
        <v>1500.46</v>
      </c>
      <c r="U1404">
        <v>68</v>
      </c>
      <c r="V1404">
        <v>0</v>
      </c>
      <c r="W1404">
        <v>397.23</v>
      </c>
      <c r="X1404">
        <v>2430.85</v>
      </c>
      <c r="Y1404" t="s">
        <v>36</v>
      </c>
      <c r="Z1404" s="3">
        <v>1639.1</v>
      </c>
      <c r="AA1404" t="s">
        <v>46</v>
      </c>
      <c r="AB1404" t="s">
        <v>42</v>
      </c>
      <c r="AC1404">
        <v>28.1</v>
      </c>
      <c r="AD1404" t="s">
        <v>43</v>
      </c>
      <c r="AE1404">
        <v>656.58</v>
      </c>
      <c r="AF1404">
        <v>0</v>
      </c>
    </row>
    <row r="1405" spans="3:32" x14ac:dyDescent="0.35">
      <c r="C1405" s="1">
        <v>44306</v>
      </c>
      <c r="D1405" s="2">
        <v>44287</v>
      </c>
      <c r="E1405">
        <v>1183</v>
      </c>
      <c r="F1405" s="3">
        <v>4628.88</v>
      </c>
      <c r="G1405" s="3">
        <v>3948.03</v>
      </c>
      <c r="H1405" s="3">
        <v>680.85</v>
      </c>
      <c r="I1405" s="3">
        <v>0.85</v>
      </c>
      <c r="J1405">
        <v>0.21</v>
      </c>
      <c r="K1405">
        <v>2901.07</v>
      </c>
      <c r="L1405" t="s">
        <v>39</v>
      </c>
      <c r="M1405">
        <v>684</v>
      </c>
      <c r="N1405">
        <v>0.55000000000000004</v>
      </c>
      <c r="O1405" s="3">
        <v>721.14</v>
      </c>
      <c r="P1405" s="3">
        <v>0.16</v>
      </c>
      <c r="Q1405" s="3">
        <v>455.05</v>
      </c>
      <c r="R1405" s="3">
        <v>0.1</v>
      </c>
      <c r="S1405">
        <v>2</v>
      </c>
      <c r="T1405">
        <v>1553.77</v>
      </c>
      <c r="U1405">
        <v>55</v>
      </c>
      <c r="V1405">
        <v>0</v>
      </c>
      <c r="W1405">
        <v>731.04</v>
      </c>
      <c r="X1405">
        <v>2352.0500000000002</v>
      </c>
      <c r="Y1405" t="s">
        <v>36</v>
      </c>
      <c r="Z1405" s="3">
        <v>1376.24</v>
      </c>
      <c r="AA1405" t="s">
        <v>46</v>
      </c>
      <c r="AB1405" t="s">
        <v>44</v>
      </c>
      <c r="AC1405">
        <v>99</v>
      </c>
      <c r="AD1405" t="s">
        <v>38</v>
      </c>
      <c r="AE1405">
        <v>680.85</v>
      </c>
      <c r="AF1405">
        <v>0</v>
      </c>
    </row>
    <row r="1406" spans="3:32" x14ac:dyDescent="0.35">
      <c r="C1406" s="1">
        <v>44306</v>
      </c>
      <c r="D1406" s="2">
        <v>44287</v>
      </c>
      <c r="E1406">
        <v>1563</v>
      </c>
      <c r="F1406" s="3">
        <v>5012.67</v>
      </c>
      <c r="G1406" s="3">
        <v>2133.7199999999998</v>
      </c>
      <c r="H1406" s="3">
        <v>2878.95</v>
      </c>
      <c r="I1406" s="3">
        <v>0.43</v>
      </c>
      <c r="J1406">
        <v>0.05</v>
      </c>
      <c r="K1406">
        <v>3351.43</v>
      </c>
      <c r="L1406" t="s">
        <v>35</v>
      </c>
      <c r="M1406">
        <v>626</v>
      </c>
      <c r="N1406">
        <v>0.4</v>
      </c>
      <c r="O1406" s="3">
        <v>408.36</v>
      </c>
      <c r="P1406" s="3">
        <v>0.08</v>
      </c>
      <c r="Q1406" s="3">
        <v>284.12</v>
      </c>
      <c r="R1406" s="3">
        <v>0.06</v>
      </c>
      <c r="S1406">
        <v>1</v>
      </c>
      <c r="T1406">
        <v>1458.97</v>
      </c>
      <c r="U1406">
        <v>98</v>
      </c>
      <c r="V1406">
        <v>0</v>
      </c>
      <c r="W1406">
        <v>605.61</v>
      </c>
      <c r="X1406">
        <v>1511.97</v>
      </c>
      <c r="Y1406" t="s">
        <v>36</v>
      </c>
      <c r="Z1406" s="3">
        <v>785.35</v>
      </c>
      <c r="AA1406" t="s">
        <v>32</v>
      </c>
      <c r="AB1406" t="s">
        <v>33</v>
      </c>
      <c r="AC1406">
        <v>6.1</v>
      </c>
      <c r="AD1406" t="s">
        <v>34</v>
      </c>
      <c r="AE1406">
        <v>2878.95</v>
      </c>
      <c r="AF1406">
        <v>0</v>
      </c>
    </row>
    <row r="1407" spans="3:32" x14ac:dyDescent="0.35">
      <c r="C1407" s="1">
        <v>44306</v>
      </c>
      <c r="D1407" s="2">
        <v>44287</v>
      </c>
      <c r="E1407">
        <v>1713</v>
      </c>
      <c r="F1407" s="3">
        <v>5064.66</v>
      </c>
      <c r="G1407" s="3">
        <v>2634.9</v>
      </c>
      <c r="H1407" s="3">
        <v>2429.7600000000002</v>
      </c>
      <c r="I1407" s="3">
        <v>0.52</v>
      </c>
      <c r="J1407">
        <v>0.33</v>
      </c>
      <c r="K1407">
        <v>2879.74</v>
      </c>
      <c r="L1407" t="s">
        <v>35</v>
      </c>
      <c r="M1407">
        <v>666</v>
      </c>
      <c r="N1407">
        <v>0.19</v>
      </c>
      <c r="O1407" s="3">
        <v>588.41</v>
      </c>
      <c r="P1407" s="3">
        <v>0.12</v>
      </c>
      <c r="Q1407" s="3">
        <v>41.33</v>
      </c>
      <c r="R1407" s="3">
        <v>0.01</v>
      </c>
      <c r="S1407">
        <v>6</v>
      </c>
      <c r="T1407">
        <v>888</v>
      </c>
      <c r="U1407">
        <v>88</v>
      </c>
      <c r="V1407">
        <v>0</v>
      </c>
      <c r="W1407">
        <v>681.37</v>
      </c>
      <c r="X1407">
        <v>2533.7399999999998</v>
      </c>
      <c r="Y1407" t="s">
        <v>36</v>
      </c>
      <c r="Z1407" s="3">
        <v>786.12</v>
      </c>
      <c r="AA1407" t="s">
        <v>45</v>
      </c>
      <c r="AB1407" t="s">
        <v>42</v>
      </c>
      <c r="AC1407">
        <v>46.7</v>
      </c>
      <c r="AD1407" t="s">
        <v>34</v>
      </c>
      <c r="AE1407">
        <v>2429.7600000000002</v>
      </c>
      <c r="AF1407">
        <v>0</v>
      </c>
    </row>
    <row r="1408" spans="3:32" x14ac:dyDescent="0.35">
      <c r="C1408" s="1">
        <v>44306</v>
      </c>
      <c r="D1408" s="2">
        <v>44287</v>
      </c>
      <c r="E1408">
        <v>1899</v>
      </c>
      <c r="F1408" s="3">
        <v>4037.48</v>
      </c>
      <c r="G1408" s="3">
        <v>4470.87</v>
      </c>
      <c r="H1408" s="3">
        <v>-433.39</v>
      </c>
      <c r="I1408" s="3">
        <v>1.1100000000000001</v>
      </c>
      <c r="J1408">
        <v>0.35</v>
      </c>
      <c r="K1408">
        <v>2176.1799999999998</v>
      </c>
      <c r="L1408" t="s">
        <v>30</v>
      </c>
      <c r="M1408">
        <v>607</v>
      </c>
      <c r="N1408">
        <v>0.38</v>
      </c>
      <c r="O1408" s="3">
        <v>347.79</v>
      </c>
      <c r="P1408" s="3">
        <v>0.09</v>
      </c>
      <c r="Q1408" s="3">
        <v>493.97</v>
      </c>
      <c r="R1408" s="3">
        <v>0.12</v>
      </c>
      <c r="S1408">
        <v>9</v>
      </c>
      <c r="T1408">
        <v>1708.83</v>
      </c>
      <c r="U1408">
        <v>80</v>
      </c>
      <c r="V1408">
        <v>0</v>
      </c>
      <c r="W1408">
        <v>256.04000000000002</v>
      </c>
      <c r="X1408">
        <v>2766.76</v>
      </c>
      <c r="Y1408" t="s">
        <v>49</v>
      </c>
      <c r="Z1408" s="3">
        <v>787.68</v>
      </c>
      <c r="AA1408" t="s">
        <v>41</v>
      </c>
      <c r="AB1408" t="s">
        <v>44</v>
      </c>
      <c r="AC1408">
        <v>68.400000000000006</v>
      </c>
      <c r="AD1408" t="s">
        <v>34</v>
      </c>
      <c r="AE1408">
        <v>0</v>
      </c>
      <c r="AF1408">
        <v>0</v>
      </c>
    </row>
    <row r="1409" spans="3:32" x14ac:dyDescent="0.35">
      <c r="C1409" s="1">
        <v>44306</v>
      </c>
      <c r="D1409" s="2">
        <v>44287</v>
      </c>
      <c r="E1409">
        <v>1247</v>
      </c>
      <c r="F1409" s="3">
        <v>4168.96</v>
      </c>
      <c r="G1409" s="3">
        <v>1741.8</v>
      </c>
      <c r="H1409" s="3">
        <v>2427.16</v>
      </c>
      <c r="I1409" s="3">
        <v>0.42</v>
      </c>
      <c r="J1409">
        <v>0.22</v>
      </c>
      <c r="K1409">
        <v>3065.08</v>
      </c>
      <c r="L1409" t="s">
        <v>39</v>
      </c>
      <c r="M1409">
        <v>697</v>
      </c>
      <c r="N1409">
        <v>0.22</v>
      </c>
      <c r="O1409" s="3">
        <v>397.98</v>
      </c>
      <c r="P1409" s="3">
        <v>0.1</v>
      </c>
      <c r="Q1409" s="3">
        <v>199.46</v>
      </c>
      <c r="R1409" s="3">
        <v>0.05</v>
      </c>
      <c r="S1409">
        <v>6</v>
      </c>
      <c r="T1409">
        <v>1746.02</v>
      </c>
      <c r="U1409">
        <v>39</v>
      </c>
      <c r="V1409">
        <v>0</v>
      </c>
      <c r="W1409">
        <v>435.08</v>
      </c>
      <c r="X1409">
        <v>2063.83</v>
      </c>
      <c r="Y1409" t="s">
        <v>36</v>
      </c>
      <c r="Z1409" s="3">
        <v>1684.58</v>
      </c>
      <c r="AA1409" t="s">
        <v>50</v>
      </c>
      <c r="AB1409" t="s">
        <v>44</v>
      </c>
      <c r="AC1409">
        <v>7.2</v>
      </c>
      <c r="AD1409" t="s">
        <v>34</v>
      </c>
      <c r="AE1409">
        <v>2427.16</v>
      </c>
      <c r="AF1409">
        <v>0</v>
      </c>
    </row>
    <row r="1410" spans="3:32" x14ac:dyDescent="0.35">
      <c r="C1410" s="1">
        <v>44306</v>
      </c>
      <c r="D1410" s="2">
        <v>44287</v>
      </c>
      <c r="E1410">
        <v>1539</v>
      </c>
      <c r="F1410" s="3">
        <v>5185.59</v>
      </c>
      <c r="G1410" s="3">
        <v>3419.63</v>
      </c>
      <c r="H1410" s="3">
        <v>1765.96</v>
      </c>
      <c r="I1410" s="3">
        <v>0.66</v>
      </c>
      <c r="J1410">
        <v>0.39</v>
      </c>
      <c r="K1410">
        <v>3413.38</v>
      </c>
      <c r="L1410" t="s">
        <v>35</v>
      </c>
      <c r="M1410">
        <v>643</v>
      </c>
      <c r="N1410">
        <v>0.17</v>
      </c>
      <c r="O1410" s="3">
        <v>345.78</v>
      </c>
      <c r="P1410" s="3">
        <v>7.0000000000000007E-2</v>
      </c>
      <c r="Q1410" s="3">
        <v>103.79</v>
      </c>
      <c r="R1410" s="3">
        <v>0.02</v>
      </c>
      <c r="S1410">
        <v>7</v>
      </c>
      <c r="T1410">
        <v>968.76</v>
      </c>
      <c r="U1410">
        <v>56</v>
      </c>
      <c r="V1410">
        <v>0</v>
      </c>
      <c r="W1410">
        <v>431.81</v>
      </c>
      <c r="X1410">
        <v>1348.42</v>
      </c>
      <c r="Y1410" t="s">
        <v>36</v>
      </c>
      <c r="Z1410" s="3">
        <v>1160.43</v>
      </c>
      <c r="AA1410" t="s">
        <v>46</v>
      </c>
      <c r="AB1410" t="s">
        <v>33</v>
      </c>
      <c r="AC1410">
        <v>84.3</v>
      </c>
      <c r="AD1410" t="s">
        <v>38</v>
      </c>
      <c r="AE1410">
        <v>1765.96</v>
      </c>
      <c r="AF1410">
        <v>0</v>
      </c>
    </row>
    <row r="1411" spans="3:32" x14ac:dyDescent="0.35">
      <c r="C1411" s="1">
        <v>44306</v>
      </c>
      <c r="D1411" s="2">
        <v>44287</v>
      </c>
      <c r="E1411">
        <v>1584</v>
      </c>
      <c r="F1411" s="3">
        <v>2028.96</v>
      </c>
      <c r="G1411" s="3">
        <v>2455.96</v>
      </c>
      <c r="H1411" s="3">
        <v>-427</v>
      </c>
      <c r="I1411" s="3">
        <v>1.21</v>
      </c>
      <c r="J1411">
        <v>0.05</v>
      </c>
      <c r="K1411">
        <v>2857.71</v>
      </c>
      <c r="L1411" t="s">
        <v>35</v>
      </c>
      <c r="M1411">
        <v>760</v>
      </c>
      <c r="N1411">
        <v>0.37</v>
      </c>
      <c r="O1411" s="3">
        <v>383.61</v>
      </c>
      <c r="P1411" s="3">
        <v>0.19</v>
      </c>
      <c r="Q1411" s="3">
        <v>277.89</v>
      </c>
      <c r="R1411" s="3">
        <v>0.14000000000000001</v>
      </c>
      <c r="S1411">
        <v>7</v>
      </c>
      <c r="T1411">
        <v>532.38</v>
      </c>
      <c r="U1411">
        <v>49</v>
      </c>
      <c r="V1411">
        <v>0</v>
      </c>
      <c r="W1411">
        <v>284.66000000000003</v>
      </c>
      <c r="X1411">
        <v>1363.82</v>
      </c>
      <c r="Y1411" t="s">
        <v>36</v>
      </c>
      <c r="Z1411" s="3">
        <v>1498.03</v>
      </c>
      <c r="AA1411" t="s">
        <v>46</v>
      </c>
      <c r="AB1411" t="s">
        <v>33</v>
      </c>
      <c r="AC1411">
        <v>17.899999999999999</v>
      </c>
      <c r="AD1411" t="s">
        <v>34</v>
      </c>
      <c r="AE1411">
        <v>0</v>
      </c>
      <c r="AF1411">
        <v>0</v>
      </c>
    </row>
    <row r="1412" spans="3:32" x14ac:dyDescent="0.35">
      <c r="C1412" s="1">
        <v>44306</v>
      </c>
      <c r="D1412" s="2">
        <v>44287</v>
      </c>
      <c r="E1412">
        <v>1805</v>
      </c>
      <c r="F1412" s="3">
        <v>2474.88</v>
      </c>
      <c r="G1412" s="3">
        <v>3324.07</v>
      </c>
      <c r="H1412" s="3">
        <v>-849.19</v>
      </c>
      <c r="I1412" s="3">
        <v>1.34</v>
      </c>
      <c r="J1412">
        <v>0.16</v>
      </c>
      <c r="K1412">
        <v>2767.98</v>
      </c>
      <c r="L1412" t="s">
        <v>35</v>
      </c>
      <c r="M1412">
        <v>696</v>
      </c>
      <c r="N1412">
        <v>0.44</v>
      </c>
      <c r="O1412" s="3">
        <v>752.33</v>
      </c>
      <c r="P1412" s="3">
        <v>0.3</v>
      </c>
      <c r="Q1412" s="3">
        <v>684.6</v>
      </c>
      <c r="R1412" s="3">
        <v>0.28000000000000003</v>
      </c>
      <c r="S1412">
        <v>6</v>
      </c>
      <c r="T1412">
        <v>814.24</v>
      </c>
      <c r="U1412">
        <v>87</v>
      </c>
      <c r="V1412">
        <v>0</v>
      </c>
      <c r="W1412">
        <v>501.4</v>
      </c>
      <c r="X1412">
        <v>3600.13</v>
      </c>
      <c r="Y1412" t="s">
        <v>36</v>
      </c>
      <c r="Z1412" s="3">
        <v>1247.33</v>
      </c>
      <c r="AA1412" t="s">
        <v>48</v>
      </c>
      <c r="AB1412" t="s">
        <v>33</v>
      </c>
      <c r="AC1412">
        <v>21.3</v>
      </c>
      <c r="AD1412" t="s">
        <v>43</v>
      </c>
      <c r="AE1412">
        <v>0</v>
      </c>
      <c r="AF1412">
        <v>0</v>
      </c>
    </row>
    <row r="1413" spans="3:32" x14ac:dyDescent="0.35">
      <c r="C1413" s="1">
        <v>44306</v>
      </c>
      <c r="D1413" s="2">
        <v>44287</v>
      </c>
      <c r="E1413">
        <v>1890</v>
      </c>
      <c r="F1413" s="3">
        <v>4433.49</v>
      </c>
      <c r="G1413" s="3">
        <v>3215.15</v>
      </c>
      <c r="H1413" s="3">
        <v>1218.3399999999999</v>
      </c>
      <c r="I1413" s="3">
        <v>0.73</v>
      </c>
      <c r="J1413">
        <v>0.18</v>
      </c>
      <c r="K1413">
        <v>1791.71</v>
      </c>
      <c r="L1413" t="s">
        <v>39</v>
      </c>
      <c r="M1413">
        <v>717</v>
      </c>
      <c r="N1413">
        <v>0.57999999999999996</v>
      </c>
      <c r="O1413" s="3">
        <v>501.06</v>
      </c>
      <c r="P1413" s="3">
        <v>0.11</v>
      </c>
      <c r="Q1413" s="3">
        <v>972.17</v>
      </c>
      <c r="R1413" s="3">
        <v>0.22</v>
      </c>
      <c r="S1413">
        <v>5</v>
      </c>
      <c r="T1413">
        <v>1240.81</v>
      </c>
      <c r="U1413">
        <v>84</v>
      </c>
      <c r="V1413">
        <v>0</v>
      </c>
      <c r="W1413">
        <v>956.16</v>
      </c>
      <c r="X1413">
        <v>1757.93</v>
      </c>
      <c r="Y1413" t="s">
        <v>49</v>
      </c>
      <c r="Z1413" s="3">
        <v>1076.1400000000001</v>
      </c>
      <c r="AA1413" t="s">
        <v>45</v>
      </c>
      <c r="AB1413" t="s">
        <v>33</v>
      </c>
      <c r="AC1413">
        <v>31.2</v>
      </c>
      <c r="AD1413" t="s">
        <v>34</v>
      </c>
      <c r="AE1413">
        <v>1218.3399999999999</v>
      </c>
      <c r="AF1413">
        <v>0</v>
      </c>
    </row>
    <row r="1414" spans="3:32" x14ac:dyDescent="0.35">
      <c r="C1414" s="1">
        <v>44306</v>
      </c>
      <c r="D1414" s="2">
        <v>44287</v>
      </c>
      <c r="E1414">
        <v>1863</v>
      </c>
      <c r="F1414" s="3">
        <v>2318.4499999999998</v>
      </c>
      <c r="G1414" s="3">
        <v>3228.69</v>
      </c>
      <c r="H1414" s="3">
        <v>-910.24</v>
      </c>
      <c r="I1414" s="3">
        <v>1.39</v>
      </c>
      <c r="J1414">
        <v>0.21</v>
      </c>
      <c r="K1414">
        <v>2082.23</v>
      </c>
      <c r="L1414" t="s">
        <v>35</v>
      </c>
      <c r="M1414">
        <v>653</v>
      </c>
      <c r="N1414">
        <v>0.17</v>
      </c>
      <c r="O1414" s="3">
        <v>256.51</v>
      </c>
      <c r="P1414" s="3">
        <v>0.11</v>
      </c>
      <c r="Q1414" s="3">
        <v>624.72</v>
      </c>
      <c r="R1414" s="3">
        <v>0.27</v>
      </c>
      <c r="S1414">
        <v>5</v>
      </c>
      <c r="T1414">
        <v>855.91</v>
      </c>
      <c r="U1414">
        <v>32</v>
      </c>
      <c r="V1414">
        <v>0</v>
      </c>
      <c r="W1414">
        <v>702.33</v>
      </c>
      <c r="X1414">
        <v>2617.33</v>
      </c>
      <c r="Y1414" t="s">
        <v>31</v>
      </c>
      <c r="Z1414" s="3">
        <v>1204.3900000000001</v>
      </c>
      <c r="AA1414" t="s">
        <v>40</v>
      </c>
      <c r="AB1414" t="s">
        <v>33</v>
      </c>
      <c r="AC1414">
        <v>12.5</v>
      </c>
      <c r="AD1414" t="s">
        <v>43</v>
      </c>
      <c r="AE1414">
        <v>0</v>
      </c>
      <c r="AF1414">
        <v>0</v>
      </c>
    </row>
    <row r="1415" spans="3:32" x14ac:dyDescent="0.35">
      <c r="C1415" s="1">
        <v>44306</v>
      </c>
      <c r="D1415" s="2">
        <v>44287</v>
      </c>
      <c r="E1415">
        <v>1024</v>
      </c>
      <c r="F1415" s="3">
        <v>4071.25</v>
      </c>
      <c r="G1415" s="3">
        <v>3059.63</v>
      </c>
      <c r="H1415" s="3">
        <v>1011.62</v>
      </c>
      <c r="I1415" s="3">
        <v>0.75</v>
      </c>
      <c r="J1415">
        <v>0.06</v>
      </c>
      <c r="K1415">
        <v>2289.1999999999998</v>
      </c>
      <c r="L1415" t="s">
        <v>35</v>
      </c>
      <c r="M1415">
        <v>662</v>
      </c>
      <c r="N1415">
        <v>0.1</v>
      </c>
      <c r="O1415" s="3">
        <v>581.74</v>
      </c>
      <c r="P1415" s="3">
        <v>0.14000000000000001</v>
      </c>
      <c r="Q1415" s="3">
        <v>109.74</v>
      </c>
      <c r="R1415" s="3">
        <v>0.03</v>
      </c>
      <c r="S1415">
        <v>2</v>
      </c>
      <c r="T1415">
        <v>1060.1600000000001</v>
      </c>
      <c r="U1415">
        <v>67</v>
      </c>
      <c r="V1415">
        <v>0</v>
      </c>
      <c r="W1415">
        <v>291</v>
      </c>
      <c r="X1415">
        <v>2144.12</v>
      </c>
      <c r="Y1415" t="s">
        <v>36</v>
      </c>
      <c r="Z1415" s="3">
        <v>1464.41</v>
      </c>
      <c r="AA1415" t="s">
        <v>48</v>
      </c>
      <c r="AB1415" t="s">
        <v>44</v>
      </c>
      <c r="AC1415">
        <v>63.8</v>
      </c>
      <c r="AD1415" t="s">
        <v>34</v>
      </c>
      <c r="AE1415">
        <v>1011.62</v>
      </c>
      <c r="AF1415">
        <v>0</v>
      </c>
    </row>
    <row r="1416" spans="3:32" x14ac:dyDescent="0.35">
      <c r="C1416" s="1">
        <v>44306</v>
      </c>
      <c r="D1416" s="2">
        <v>44287</v>
      </c>
      <c r="E1416">
        <v>1329</v>
      </c>
      <c r="F1416" s="3">
        <v>2165.5700000000002</v>
      </c>
      <c r="G1416" s="3">
        <v>3373.54</v>
      </c>
      <c r="H1416" s="3">
        <v>-1207.97</v>
      </c>
      <c r="I1416" s="3">
        <v>1.56</v>
      </c>
      <c r="J1416">
        <v>0.08</v>
      </c>
      <c r="K1416">
        <v>2678.1</v>
      </c>
      <c r="L1416" t="s">
        <v>35</v>
      </c>
      <c r="M1416">
        <v>687</v>
      </c>
      <c r="N1416">
        <v>0.56000000000000005</v>
      </c>
      <c r="O1416" s="3">
        <v>288.95999999999998</v>
      </c>
      <c r="P1416" s="3">
        <v>0.13</v>
      </c>
      <c r="Q1416" s="3">
        <v>126.86</v>
      </c>
      <c r="R1416" s="3">
        <v>0.06</v>
      </c>
      <c r="S1416">
        <v>2</v>
      </c>
      <c r="T1416">
        <v>1642.24</v>
      </c>
      <c r="U1416">
        <v>40</v>
      </c>
      <c r="V1416">
        <v>0</v>
      </c>
      <c r="W1416">
        <v>538.03</v>
      </c>
      <c r="X1416">
        <v>1691.66</v>
      </c>
      <c r="Y1416" t="s">
        <v>36</v>
      </c>
      <c r="Z1416" s="3">
        <v>1514.34</v>
      </c>
      <c r="AA1416" t="s">
        <v>47</v>
      </c>
      <c r="AB1416" t="s">
        <v>44</v>
      </c>
      <c r="AC1416">
        <v>62.2</v>
      </c>
      <c r="AD1416" t="s">
        <v>34</v>
      </c>
      <c r="AE1416">
        <v>0</v>
      </c>
      <c r="AF1416">
        <v>0</v>
      </c>
    </row>
    <row r="1417" spans="3:32" x14ac:dyDescent="0.35">
      <c r="C1417" s="1">
        <v>44306</v>
      </c>
      <c r="D1417" s="2">
        <v>44287</v>
      </c>
      <c r="E1417">
        <v>1401</v>
      </c>
      <c r="F1417" s="3">
        <v>3960.08</v>
      </c>
      <c r="G1417" s="3">
        <v>3798.98</v>
      </c>
      <c r="H1417" s="3">
        <v>161.1</v>
      </c>
      <c r="I1417" s="3">
        <v>0.96</v>
      </c>
      <c r="J1417">
        <v>0.21</v>
      </c>
      <c r="K1417">
        <v>2606.62</v>
      </c>
      <c r="L1417" t="s">
        <v>39</v>
      </c>
      <c r="M1417">
        <v>613</v>
      </c>
      <c r="N1417">
        <v>0.44</v>
      </c>
      <c r="O1417" s="3">
        <v>329.81</v>
      </c>
      <c r="P1417" s="3">
        <v>0.08</v>
      </c>
      <c r="Q1417" s="3">
        <v>665.16</v>
      </c>
      <c r="R1417" s="3">
        <v>0.17</v>
      </c>
      <c r="S1417">
        <v>4</v>
      </c>
      <c r="T1417">
        <v>1201.82</v>
      </c>
      <c r="U1417">
        <v>90</v>
      </c>
      <c r="V1417">
        <v>0</v>
      </c>
      <c r="W1417">
        <v>422.67</v>
      </c>
      <c r="X1417">
        <v>3145.91</v>
      </c>
      <c r="Y1417" t="s">
        <v>36</v>
      </c>
      <c r="Z1417" s="3">
        <v>1367.16</v>
      </c>
      <c r="AA1417" t="s">
        <v>45</v>
      </c>
      <c r="AB1417" t="s">
        <v>44</v>
      </c>
      <c r="AC1417">
        <v>74.8</v>
      </c>
      <c r="AD1417" t="s">
        <v>43</v>
      </c>
      <c r="AE1417">
        <v>161.1</v>
      </c>
      <c r="AF1417">
        <v>0</v>
      </c>
    </row>
    <row r="1418" spans="3:32" x14ac:dyDescent="0.35">
      <c r="C1418" s="1">
        <v>44306</v>
      </c>
      <c r="D1418" s="2">
        <v>44287</v>
      </c>
      <c r="E1418">
        <v>1966</v>
      </c>
      <c r="F1418" s="3">
        <v>3050.34</v>
      </c>
      <c r="G1418" s="3">
        <v>2828.2</v>
      </c>
      <c r="H1418" s="3">
        <v>222.14</v>
      </c>
      <c r="I1418" s="3">
        <v>0.93</v>
      </c>
      <c r="J1418">
        <v>7.0000000000000007E-2</v>
      </c>
      <c r="K1418">
        <v>2491.38</v>
      </c>
      <c r="L1418" t="s">
        <v>30</v>
      </c>
      <c r="M1418">
        <v>645</v>
      </c>
      <c r="N1418">
        <v>0.45</v>
      </c>
      <c r="O1418" s="3">
        <v>768.89</v>
      </c>
      <c r="P1418" s="3">
        <v>0.25</v>
      </c>
      <c r="Q1418" s="3">
        <v>183.52</v>
      </c>
      <c r="R1418" s="3">
        <v>0.06</v>
      </c>
      <c r="S1418">
        <v>5</v>
      </c>
      <c r="T1418">
        <v>1675.32</v>
      </c>
      <c r="U1418">
        <v>46</v>
      </c>
      <c r="V1418">
        <v>0</v>
      </c>
      <c r="W1418">
        <v>126.12</v>
      </c>
      <c r="X1418">
        <v>1091.55</v>
      </c>
      <c r="Y1418" t="s">
        <v>36</v>
      </c>
      <c r="Z1418" s="3">
        <v>461.83</v>
      </c>
      <c r="AA1418" t="s">
        <v>47</v>
      </c>
      <c r="AB1418" t="s">
        <v>44</v>
      </c>
      <c r="AC1418">
        <v>51.1</v>
      </c>
      <c r="AD1418" t="s">
        <v>38</v>
      </c>
      <c r="AE1418">
        <v>222.14</v>
      </c>
      <c r="AF1418">
        <v>0</v>
      </c>
    </row>
    <row r="1419" spans="3:32" x14ac:dyDescent="0.35">
      <c r="C1419" s="1">
        <v>44306</v>
      </c>
      <c r="D1419" s="2">
        <v>44287</v>
      </c>
      <c r="E1419">
        <v>1447</v>
      </c>
      <c r="F1419" s="3">
        <v>2020.14</v>
      </c>
      <c r="G1419" s="3">
        <v>2332.4899999999998</v>
      </c>
      <c r="H1419" s="3">
        <v>-312.35000000000002</v>
      </c>
      <c r="I1419" s="3">
        <v>1.1499999999999999</v>
      </c>
      <c r="J1419">
        <v>0.33</v>
      </c>
      <c r="K1419">
        <v>2101.46</v>
      </c>
      <c r="L1419" t="s">
        <v>35</v>
      </c>
      <c r="M1419">
        <v>648</v>
      </c>
      <c r="N1419">
        <v>0.39</v>
      </c>
      <c r="O1419" s="3">
        <v>503.84</v>
      </c>
      <c r="P1419" s="3">
        <v>0.25</v>
      </c>
      <c r="Q1419" s="3">
        <v>400.53</v>
      </c>
      <c r="R1419" s="3">
        <v>0.2</v>
      </c>
      <c r="S1419">
        <v>4</v>
      </c>
      <c r="T1419">
        <v>1122.77</v>
      </c>
      <c r="U1419">
        <v>93</v>
      </c>
      <c r="V1419">
        <v>0</v>
      </c>
      <c r="W1419">
        <v>505.9</v>
      </c>
      <c r="X1419">
        <v>1988.27</v>
      </c>
      <c r="Y1419" t="s">
        <v>36</v>
      </c>
      <c r="Z1419" s="3">
        <v>1151.33</v>
      </c>
      <c r="AA1419" t="s">
        <v>48</v>
      </c>
      <c r="AB1419" t="s">
        <v>33</v>
      </c>
      <c r="AC1419">
        <v>31</v>
      </c>
      <c r="AD1419" t="s">
        <v>43</v>
      </c>
      <c r="AE1419">
        <v>0</v>
      </c>
      <c r="AF1419">
        <v>0</v>
      </c>
    </row>
    <row r="1420" spans="3:32" x14ac:dyDescent="0.35">
      <c r="C1420" s="1">
        <v>44306</v>
      </c>
      <c r="D1420" s="2">
        <v>44287</v>
      </c>
      <c r="E1420">
        <v>1998</v>
      </c>
      <c r="F1420" s="3">
        <v>5075.96</v>
      </c>
      <c r="G1420" s="3">
        <v>1993.4</v>
      </c>
      <c r="H1420" s="3">
        <v>3082.56</v>
      </c>
      <c r="I1420" s="3">
        <v>0.39</v>
      </c>
      <c r="J1420">
        <v>0.24</v>
      </c>
      <c r="K1420">
        <v>3256.95</v>
      </c>
      <c r="L1420" t="s">
        <v>35</v>
      </c>
      <c r="M1420">
        <v>690</v>
      </c>
      <c r="N1420">
        <v>0.59</v>
      </c>
      <c r="O1420" s="3">
        <v>586.24</v>
      </c>
      <c r="P1420" s="3">
        <v>0.12</v>
      </c>
      <c r="Q1420" s="3">
        <v>608.30999999999995</v>
      </c>
      <c r="R1420" s="3">
        <v>0.12</v>
      </c>
      <c r="S1420">
        <v>2</v>
      </c>
      <c r="T1420">
        <v>1829.03</v>
      </c>
      <c r="U1420">
        <v>25</v>
      </c>
      <c r="V1420">
        <v>0</v>
      </c>
      <c r="W1420">
        <v>602.5</v>
      </c>
      <c r="X1420">
        <v>1862.87</v>
      </c>
      <c r="Y1420" t="s">
        <v>36</v>
      </c>
      <c r="Z1420" s="3">
        <v>539.61</v>
      </c>
      <c r="AA1420" t="s">
        <v>32</v>
      </c>
      <c r="AB1420" t="s">
        <v>33</v>
      </c>
      <c r="AC1420">
        <v>7.5</v>
      </c>
      <c r="AD1420" t="s">
        <v>34</v>
      </c>
      <c r="AE1420">
        <v>3082.56</v>
      </c>
      <c r="AF1420">
        <v>0</v>
      </c>
    </row>
    <row r="1421" spans="3:32" x14ac:dyDescent="0.35">
      <c r="C1421" s="1">
        <v>44306</v>
      </c>
      <c r="D1421" s="2">
        <v>44287</v>
      </c>
      <c r="E1421">
        <v>1092</v>
      </c>
      <c r="F1421" s="3">
        <v>3966.3</v>
      </c>
      <c r="G1421" s="3">
        <v>3114.97</v>
      </c>
      <c r="H1421" s="3">
        <v>851.33</v>
      </c>
      <c r="I1421" s="3">
        <v>0.79</v>
      </c>
      <c r="J1421">
        <v>0.3</v>
      </c>
      <c r="K1421">
        <v>2121.94</v>
      </c>
      <c r="L1421" t="s">
        <v>39</v>
      </c>
      <c r="M1421">
        <v>651</v>
      </c>
      <c r="N1421">
        <v>0.51</v>
      </c>
      <c r="O1421" s="3">
        <v>536.9</v>
      </c>
      <c r="P1421" s="3">
        <v>0.14000000000000001</v>
      </c>
      <c r="Q1421" s="3">
        <v>127.84</v>
      </c>
      <c r="R1421" s="3">
        <v>0.03</v>
      </c>
      <c r="S1421">
        <v>6</v>
      </c>
      <c r="T1421">
        <v>1268.22</v>
      </c>
      <c r="U1421">
        <v>44</v>
      </c>
      <c r="V1421">
        <v>0</v>
      </c>
      <c r="W1421">
        <v>725.75</v>
      </c>
      <c r="X1421">
        <v>2375.0700000000002</v>
      </c>
      <c r="Y1421" t="s">
        <v>36</v>
      </c>
      <c r="Z1421" s="3">
        <v>1223.42</v>
      </c>
      <c r="AA1421" t="s">
        <v>50</v>
      </c>
      <c r="AB1421" t="s">
        <v>42</v>
      </c>
      <c r="AC1421">
        <v>47.9</v>
      </c>
      <c r="AD1421" t="s">
        <v>38</v>
      </c>
      <c r="AE1421">
        <v>851.33</v>
      </c>
      <c r="AF1421">
        <v>0</v>
      </c>
    </row>
    <row r="1422" spans="3:32" x14ac:dyDescent="0.35">
      <c r="C1422" s="1">
        <v>44306</v>
      </c>
      <c r="D1422" s="2">
        <v>44287</v>
      </c>
      <c r="E1422">
        <v>1711</v>
      </c>
      <c r="F1422" s="3">
        <v>2189.5500000000002</v>
      </c>
      <c r="G1422" s="3">
        <v>2535.2399999999998</v>
      </c>
      <c r="H1422" s="3">
        <v>-345.69</v>
      </c>
      <c r="I1422" s="3">
        <v>1.1599999999999999</v>
      </c>
      <c r="J1422">
        <v>0.23</v>
      </c>
      <c r="K1422">
        <v>2722.12</v>
      </c>
      <c r="L1422" t="s">
        <v>35</v>
      </c>
      <c r="M1422">
        <v>652</v>
      </c>
      <c r="N1422">
        <v>0.34</v>
      </c>
      <c r="O1422" s="3">
        <v>332.8</v>
      </c>
      <c r="P1422" s="3">
        <v>0.15</v>
      </c>
      <c r="Q1422" s="3">
        <v>226.15</v>
      </c>
      <c r="R1422" s="3">
        <v>0.1</v>
      </c>
      <c r="S1422">
        <v>4</v>
      </c>
      <c r="T1422">
        <v>899.51</v>
      </c>
      <c r="U1422">
        <v>70</v>
      </c>
      <c r="V1422">
        <v>0</v>
      </c>
      <c r="W1422">
        <v>919.02</v>
      </c>
      <c r="X1422">
        <v>1000</v>
      </c>
      <c r="Y1422" t="s">
        <v>36</v>
      </c>
      <c r="Z1422" s="3">
        <v>1459.77</v>
      </c>
      <c r="AA1422" t="s">
        <v>32</v>
      </c>
      <c r="AB1422" t="s">
        <v>33</v>
      </c>
      <c r="AC1422">
        <v>24.1</v>
      </c>
      <c r="AD1422" t="s">
        <v>34</v>
      </c>
      <c r="AE1422">
        <v>0</v>
      </c>
      <c r="AF1422">
        <v>0</v>
      </c>
    </row>
    <row r="1423" spans="3:32" x14ac:dyDescent="0.35">
      <c r="C1423" s="1">
        <v>44306</v>
      </c>
      <c r="D1423" s="2">
        <v>44287</v>
      </c>
      <c r="E1423">
        <v>1201</v>
      </c>
      <c r="F1423" s="3">
        <v>3960.15</v>
      </c>
      <c r="G1423" s="3">
        <v>3003.6</v>
      </c>
      <c r="H1423" s="3">
        <v>956.55</v>
      </c>
      <c r="I1423" s="3">
        <v>0.76</v>
      </c>
      <c r="J1423">
        <v>0.1</v>
      </c>
      <c r="K1423">
        <v>2530.88</v>
      </c>
      <c r="L1423" t="s">
        <v>35</v>
      </c>
      <c r="M1423">
        <v>659</v>
      </c>
      <c r="N1423">
        <v>0.1</v>
      </c>
      <c r="O1423" s="3">
        <v>505.32</v>
      </c>
      <c r="P1423" s="3">
        <v>0.13</v>
      </c>
      <c r="Q1423" s="3">
        <v>731.34</v>
      </c>
      <c r="R1423" s="3">
        <v>0.18</v>
      </c>
      <c r="S1423">
        <v>6</v>
      </c>
      <c r="T1423">
        <v>1300.3599999999999</v>
      </c>
      <c r="U1423">
        <v>87</v>
      </c>
      <c r="V1423">
        <v>0</v>
      </c>
      <c r="W1423">
        <v>483.63</v>
      </c>
      <c r="X1423">
        <v>2978.59</v>
      </c>
      <c r="Y1423" t="s">
        <v>36</v>
      </c>
      <c r="Z1423" s="3">
        <v>609.78</v>
      </c>
      <c r="AA1423" t="s">
        <v>41</v>
      </c>
      <c r="AB1423" t="s">
        <v>42</v>
      </c>
      <c r="AC1423">
        <v>56.2</v>
      </c>
      <c r="AD1423" t="s">
        <v>43</v>
      </c>
      <c r="AE1423">
        <v>956.55</v>
      </c>
      <c r="AF1423">
        <v>0</v>
      </c>
    </row>
    <row r="1424" spans="3:32" x14ac:dyDescent="0.35">
      <c r="C1424" s="1">
        <v>44306</v>
      </c>
      <c r="D1424" s="2">
        <v>44287</v>
      </c>
      <c r="E1424">
        <v>1581</v>
      </c>
      <c r="F1424" s="3">
        <v>3152.04</v>
      </c>
      <c r="G1424" s="3">
        <v>3012.22</v>
      </c>
      <c r="H1424" s="3">
        <v>139.82</v>
      </c>
      <c r="I1424" s="3">
        <v>0.96</v>
      </c>
      <c r="J1424">
        <v>0.23</v>
      </c>
      <c r="K1424">
        <v>3085.78</v>
      </c>
      <c r="L1424" t="s">
        <v>35</v>
      </c>
      <c r="M1424">
        <v>756</v>
      </c>
      <c r="N1424">
        <v>0.49</v>
      </c>
      <c r="O1424" s="3">
        <v>412.07</v>
      </c>
      <c r="P1424" s="3">
        <v>0.13</v>
      </c>
      <c r="Q1424" s="3">
        <v>200.26</v>
      </c>
      <c r="R1424" s="3">
        <v>0.06</v>
      </c>
      <c r="S1424">
        <v>3</v>
      </c>
      <c r="T1424">
        <v>401.59</v>
      </c>
      <c r="U1424">
        <v>25</v>
      </c>
      <c r="V1424">
        <v>0</v>
      </c>
      <c r="W1424">
        <v>477.32</v>
      </c>
      <c r="X1424">
        <v>2404.96</v>
      </c>
      <c r="Y1424" t="s">
        <v>36</v>
      </c>
      <c r="Z1424" s="3">
        <v>990.81</v>
      </c>
      <c r="AA1424" t="s">
        <v>37</v>
      </c>
      <c r="AB1424" t="s">
        <v>33</v>
      </c>
      <c r="AC1424">
        <v>66.8</v>
      </c>
      <c r="AD1424" t="s">
        <v>38</v>
      </c>
      <c r="AE1424">
        <v>139.82</v>
      </c>
      <c r="AF1424">
        <v>0</v>
      </c>
    </row>
    <row r="1425" spans="3:32" x14ac:dyDescent="0.35">
      <c r="C1425" s="1">
        <v>44306</v>
      </c>
      <c r="D1425" s="2">
        <v>44287</v>
      </c>
      <c r="E1425">
        <v>1907</v>
      </c>
      <c r="F1425" s="3">
        <v>3484.28</v>
      </c>
      <c r="G1425" s="3">
        <v>3353.56</v>
      </c>
      <c r="H1425" s="3">
        <v>130.72</v>
      </c>
      <c r="I1425" s="3">
        <v>0.96</v>
      </c>
      <c r="J1425">
        <v>0.36</v>
      </c>
      <c r="K1425">
        <v>2879.33</v>
      </c>
      <c r="L1425" t="s">
        <v>35</v>
      </c>
      <c r="M1425">
        <v>670</v>
      </c>
      <c r="N1425">
        <v>0.4</v>
      </c>
      <c r="O1425" s="3">
        <v>150.47999999999999</v>
      </c>
      <c r="P1425" s="3">
        <v>0.04</v>
      </c>
      <c r="Q1425" s="3">
        <v>87.9</v>
      </c>
      <c r="R1425" s="3">
        <v>0.03</v>
      </c>
      <c r="S1425">
        <v>8</v>
      </c>
      <c r="T1425">
        <v>1054.3599999999999</v>
      </c>
      <c r="U1425">
        <v>54</v>
      </c>
      <c r="V1425">
        <v>0</v>
      </c>
      <c r="W1425">
        <v>342.67</v>
      </c>
      <c r="X1425">
        <v>2959.94</v>
      </c>
      <c r="Y1425" t="s">
        <v>36</v>
      </c>
      <c r="Z1425" s="3">
        <v>1703.61</v>
      </c>
      <c r="AA1425" t="s">
        <v>32</v>
      </c>
      <c r="AB1425" t="s">
        <v>33</v>
      </c>
      <c r="AC1425">
        <v>16.3</v>
      </c>
      <c r="AD1425" t="s">
        <v>38</v>
      </c>
      <c r="AE1425">
        <v>130.72</v>
      </c>
      <c r="AF1425">
        <v>0</v>
      </c>
    </row>
    <row r="1426" spans="3:32" x14ac:dyDescent="0.35">
      <c r="C1426" s="1">
        <v>44306</v>
      </c>
      <c r="D1426" s="2">
        <v>44287</v>
      </c>
      <c r="E1426">
        <v>1372</v>
      </c>
      <c r="F1426" s="3">
        <v>3427.36</v>
      </c>
      <c r="G1426" s="3">
        <v>2559.4699999999998</v>
      </c>
      <c r="H1426" s="3">
        <v>867.89</v>
      </c>
      <c r="I1426" s="3">
        <v>0.75</v>
      </c>
      <c r="J1426">
        <v>0.39</v>
      </c>
      <c r="K1426">
        <v>3041.6</v>
      </c>
      <c r="L1426" t="s">
        <v>30</v>
      </c>
      <c r="M1426">
        <v>587</v>
      </c>
      <c r="N1426">
        <v>0.57999999999999996</v>
      </c>
      <c r="O1426" s="3">
        <v>491.47</v>
      </c>
      <c r="P1426" s="3">
        <v>0.14000000000000001</v>
      </c>
      <c r="Q1426" s="3">
        <v>315.95</v>
      </c>
      <c r="R1426" s="3">
        <v>0.09</v>
      </c>
      <c r="S1426">
        <v>6</v>
      </c>
      <c r="T1426">
        <v>998.34</v>
      </c>
      <c r="U1426">
        <v>70</v>
      </c>
      <c r="V1426">
        <v>0</v>
      </c>
      <c r="W1426">
        <v>551.35</v>
      </c>
      <c r="X1426">
        <v>2810.04</v>
      </c>
      <c r="Y1426" t="s">
        <v>36</v>
      </c>
      <c r="Z1426" s="3">
        <v>1754.23</v>
      </c>
      <c r="AA1426" t="s">
        <v>40</v>
      </c>
      <c r="AB1426" t="s">
        <v>33</v>
      </c>
      <c r="AC1426">
        <v>52.7</v>
      </c>
      <c r="AD1426" t="s">
        <v>38</v>
      </c>
      <c r="AE1426">
        <v>867.89</v>
      </c>
      <c r="AF1426">
        <v>0</v>
      </c>
    </row>
    <row r="1427" spans="3:32" x14ac:dyDescent="0.35">
      <c r="C1427" s="1">
        <v>44306</v>
      </c>
      <c r="D1427" s="2">
        <v>44287</v>
      </c>
      <c r="E1427">
        <v>1612</v>
      </c>
      <c r="F1427" s="3">
        <v>4775.53</v>
      </c>
      <c r="G1427" s="3">
        <v>2634.8</v>
      </c>
      <c r="H1427" s="3">
        <v>2140.73</v>
      </c>
      <c r="I1427" s="3">
        <v>0.55000000000000004</v>
      </c>
      <c r="J1427">
        <v>0.28000000000000003</v>
      </c>
      <c r="K1427">
        <v>2831.12</v>
      </c>
      <c r="L1427" t="s">
        <v>35</v>
      </c>
      <c r="M1427">
        <v>626</v>
      </c>
      <c r="N1427">
        <v>0.56000000000000005</v>
      </c>
      <c r="O1427" s="3">
        <v>555.02</v>
      </c>
      <c r="P1427" s="3">
        <v>0.12</v>
      </c>
      <c r="Q1427" s="3">
        <v>371.65</v>
      </c>
      <c r="R1427" s="3">
        <v>0.08</v>
      </c>
      <c r="S1427">
        <v>5</v>
      </c>
      <c r="T1427">
        <v>1588.77</v>
      </c>
      <c r="U1427">
        <v>36</v>
      </c>
      <c r="V1427">
        <v>0</v>
      </c>
      <c r="W1427">
        <v>814.6</v>
      </c>
      <c r="X1427">
        <v>1176.76</v>
      </c>
      <c r="Y1427" t="s">
        <v>36</v>
      </c>
      <c r="Z1427" s="3">
        <v>869.09</v>
      </c>
      <c r="AA1427" t="s">
        <v>32</v>
      </c>
      <c r="AB1427" t="s">
        <v>33</v>
      </c>
      <c r="AC1427">
        <v>73.7</v>
      </c>
      <c r="AD1427" t="s">
        <v>38</v>
      </c>
      <c r="AE1427">
        <v>2140.73</v>
      </c>
      <c r="AF1427">
        <v>0</v>
      </c>
    </row>
    <row r="1428" spans="3:32" x14ac:dyDescent="0.35">
      <c r="C1428" s="1">
        <v>44306</v>
      </c>
      <c r="D1428" s="2">
        <v>44287</v>
      </c>
      <c r="E1428">
        <v>1904</v>
      </c>
      <c r="F1428" s="3">
        <v>3303.22</v>
      </c>
      <c r="G1428" s="3">
        <v>1881.78</v>
      </c>
      <c r="H1428" s="3">
        <v>1421.44</v>
      </c>
      <c r="I1428" s="3">
        <v>0.56999999999999995</v>
      </c>
      <c r="J1428">
        <v>0.1</v>
      </c>
      <c r="K1428">
        <v>2168.7600000000002</v>
      </c>
      <c r="L1428" t="s">
        <v>35</v>
      </c>
      <c r="M1428">
        <v>663</v>
      </c>
      <c r="N1428">
        <v>0.13</v>
      </c>
      <c r="O1428" s="3">
        <v>363.79</v>
      </c>
      <c r="P1428" s="3">
        <v>0.11</v>
      </c>
      <c r="Q1428" s="3">
        <v>20.9</v>
      </c>
      <c r="R1428" s="3">
        <v>0.01</v>
      </c>
      <c r="S1428">
        <v>1</v>
      </c>
      <c r="T1428">
        <v>152.38</v>
      </c>
      <c r="U1428">
        <v>58</v>
      </c>
      <c r="V1428">
        <v>0</v>
      </c>
      <c r="W1428">
        <v>504.4</v>
      </c>
      <c r="X1428">
        <v>3227.41</v>
      </c>
      <c r="Y1428" t="s">
        <v>36</v>
      </c>
      <c r="Z1428" s="3">
        <v>2052.41</v>
      </c>
      <c r="AA1428" t="s">
        <v>47</v>
      </c>
      <c r="AB1428" t="s">
        <v>44</v>
      </c>
      <c r="AC1428">
        <v>37.700000000000003</v>
      </c>
      <c r="AD1428" t="s">
        <v>34</v>
      </c>
      <c r="AE1428">
        <v>1421.44</v>
      </c>
      <c r="AF1428">
        <v>0</v>
      </c>
    </row>
    <row r="1429" spans="3:32" x14ac:dyDescent="0.35">
      <c r="C1429" s="1">
        <v>44306</v>
      </c>
      <c r="D1429" s="2">
        <v>44287</v>
      </c>
      <c r="E1429">
        <v>1642</v>
      </c>
      <c r="F1429" s="3">
        <v>3883.98</v>
      </c>
      <c r="G1429" s="3">
        <v>4760.54</v>
      </c>
      <c r="H1429" s="3">
        <v>-876.56</v>
      </c>
      <c r="I1429" s="3">
        <v>1.23</v>
      </c>
      <c r="J1429">
        <v>0.33</v>
      </c>
      <c r="K1429">
        <v>1777.72</v>
      </c>
      <c r="L1429" t="s">
        <v>35</v>
      </c>
      <c r="M1429">
        <v>578</v>
      </c>
      <c r="N1429">
        <v>0.45</v>
      </c>
      <c r="O1429" s="3">
        <v>448.72</v>
      </c>
      <c r="P1429" s="3">
        <v>0.12</v>
      </c>
      <c r="Q1429" s="3">
        <v>315.16000000000003</v>
      </c>
      <c r="R1429" s="3">
        <v>0.08</v>
      </c>
      <c r="S1429">
        <v>8</v>
      </c>
      <c r="T1429">
        <v>814.04</v>
      </c>
      <c r="U1429">
        <v>93</v>
      </c>
      <c r="V1429">
        <v>0</v>
      </c>
      <c r="W1429">
        <v>585.99</v>
      </c>
      <c r="X1429">
        <v>2390.4899999999998</v>
      </c>
      <c r="Y1429" t="s">
        <v>36</v>
      </c>
      <c r="Z1429" s="3">
        <v>1385.15</v>
      </c>
      <c r="AA1429" t="s">
        <v>46</v>
      </c>
      <c r="AB1429" t="s">
        <v>33</v>
      </c>
      <c r="AC1429">
        <v>48.7</v>
      </c>
      <c r="AD1429" t="s">
        <v>34</v>
      </c>
      <c r="AE1429">
        <v>0</v>
      </c>
      <c r="AF1429">
        <v>0</v>
      </c>
    </row>
    <row r="1430" spans="3:32" x14ac:dyDescent="0.35">
      <c r="C1430" s="1">
        <v>44306</v>
      </c>
      <c r="D1430" s="2">
        <v>44287</v>
      </c>
      <c r="E1430">
        <v>1989</v>
      </c>
      <c r="F1430" s="3">
        <v>3970.05</v>
      </c>
      <c r="G1430" s="3">
        <v>1029.22</v>
      </c>
      <c r="H1430" s="3">
        <v>2940.83</v>
      </c>
      <c r="I1430" s="3">
        <v>0.26</v>
      </c>
      <c r="J1430">
        <v>0.19</v>
      </c>
      <c r="K1430">
        <v>3863.85</v>
      </c>
      <c r="L1430" t="s">
        <v>35</v>
      </c>
      <c r="M1430">
        <v>706</v>
      </c>
      <c r="N1430">
        <v>0.27</v>
      </c>
      <c r="O1430" s="3">
        <v>387.07</v>
      </c>
      <c r="P1430" s="3">
        <v>0.1</v>
      </c>
      <c r="Q1430" s="3">
        <v>750.56</v>
      </c>
      <c r="R1430" s="3">
        <v>0.19</v>
      </c>
      <c r="S1430">
        <v>8</v>
      </c>
      <c r="T1430">
        <v>657.88</v>
      </c>
      <c r="U1430">
        <v>62</v>
      </c>
      <c r="V1430">
        <v>0</v>
      </c>
      <c r="W1430">
        <v>561.13</v>
      </c>
      <c r="X1430">
        <v>1806.79</v>
      </c>
      <c r="Y1430" t="s">
        <v>36</v>
      </c>
      <c r="Z1430" s="3">
        <v>1107.69</v>
      </c>
      <c r="AA1430" t="s">
        <v>47</v>
      </c>
      <c r="AB1430" t="s">
        <v>33</v>
      </c>
      <c r="AC1430">
        <v>70.3</v>
      </c>
      <c r="AD1430" t="s">
        <v>43</v>
      </c>
      <c r="AE1430">
        <v>2940.83</v>
      </c>
      <c r="AF1430">
        <v>0</v>
      </c>
    </row>
    <row r="1431" spans="3:32" x14ac:dyDescent="0.35">
      <c r="C1431" s="1">
        <v>44306</v>
      </c>
      <c r="D1431" s="2">
        <v>44287</v>
      </c>
      <c r="E1431">
        <v>1519</v>
      </c>
      <c r="F1431" s="3">
        <v>2597.0300000000002</v>
      </c>
      <c r="G1431" s="3">
        <v>4030.72</v>
      </c>
      <c r="H1431" s="3">
        <v>-1433.69</v>
      </c>
      <c r="I1431" s="3">
        <v>1.55</v>
      </c>
      <c r="J1431">
        <v>0.35</v>
      </c>
      <c r="K1431">
        <v>2296.27</v>
      </c>
      <c r="L1431" t="s">
        <v>35</v>
      </c>
      <c r="M1431">
        <v>772</v>
      </c>
      <c r="N1431">
        <v>0.22</v>
      </c>
      <c r="O1431" s="3">
        <v>574.15</v>
      </c>
      <c r="P1431" s="3">
        <v>0.22</v>
      </c>
      <c r="Q1431" s="3">
        <v>332.43</v>
      </c>
      <c r="R1431" s="3">
        <v>0.13</v>
      </c>
      <c r="S1431">
        <v>2</v>
      </c>
      <c r="T1431">
        <v>1070.81</v>
      </c>
      <c r="U1431">
        <v>78</v>
      </c>
      <c r="V1431">
        <v>0</v>
      </c>
      <c r="W1431">
        <v>525.80999999999995</v>
      </c>
      <c r="X1431">
        <v>2011.39</v>
      </c>
      <c r="Y1431" t="s">
        <v>36</v>
      </c>
      <c r="Z1431" s="3">
        <v>1209.5899999999999</v>
      </c>
      <c r="AA1431" t="s">
        <v>50</v>
      </c>
      <c r="AB1431" t="s">
        <v>42</v>
      </c>
      <c r="AC1431">
        <v>18.3</v>
      </c>
      <c r="AD1431" t="s">
        <v>43</v>
      </c>
      <c r="AE1431">
        <v>0</v>
      </c>
      <c r="AF1431">
        <v>0</v>
      </c>
    </row>
    <row r="1432" spans="3:32" x14ac:dyDescent="0.35">
      <c r="C1432" s="1">
        <v>44306</v>
      </c>
      <c r="D1432" s="2">
        <v>44287</v>
      </c>
      <c r="E1432">
        <v>1151</v>
      </c>
      <c r="F1432" s="3">
        <v>4443.96</v>
      </c>
      <c r="G1432" s="3">
        <v>1866.36</v>
      </c>
      <c r="H1432" s="3">
        <v>2577.6</v>
      </c>
      <c r="I1432" s="3">
        <v>0.42</v>
      </c>
      <c r="J1432">
        <v>0.38</v>
      </c>
      <c r="K1432">
        <v>2084.6</v>
      </c>
      <c r="L1432" t="s">
        <v>35</v>
      </c>
      <c r="M1432">
        <v>681</v>
      </c>
      <c r="N1432">
        <v>0.18</v>
      </c>
      <c r="O1432" s="3">
        <v>448.94</v>
      </c>
      <c r="P1432" s="3">
        <v>0.1</v>
      </c>
      <c r="Q1432" s="3">
        <v>419.96</v>
      </c>
      <c r="R1432" s="3">
        <v>0.09</v>
      </c>
      <c r="S1432">
        <v>4</v>
      </c>
      <c r="T1432">
        <v>1858.57</v>
      </c>
      <c r="U1432">
        <v>46</v>
      </c>
      <c r="V1432">
        <v>0</v>
      </c>
      <c r="W1432">
        <v>461.75</v>
      </c>
      <c r="X1432">
        <v>1671.16</v>
      </c>
      <c r="Y1432" t="s">
        <v>36</v>
      </c>
      <c r="Z1432" s="3">
        <v>1818.73</v>
      </c>
      <c r="AA1432" t="s">
        <v>47</v>
      </c>
      <c r="AB1432" t="s">
        <v>44</v>
      </c>
      <c r="AC1432">
        <v>22.8</v>
      </c>
      <c r="AD1432" t="s">
        <v>38</v>
      </c>
      <c r="AE1432">
        <v>2577.6</v>
      </c>
      <c r="AF1432">
        <v>1</v>
      </c>
    </row>
    <row r="1433" spans="3:32" x14ac:dyDescent="0.35">
      <c r="C1433" s="1">
        <v>44306</v>
      </c>
      <c r="D1433" s="2">
        <v>44287</v>
      </c>
      <c r="E1433">
        <v>1937</v>
      </c>
      <c r="F1433" s="3">
        <v>5015.16</v>
      </c>
      <c r="G1433" s="3">
        <v>3358.93</v>
      </c>
      <c r="H1433" s="3">
        <v>1656.23</v>
      </c>
      <c r="I1433" s="3">
        <v>0.67</v>
      </c>
      <c r="J1433">
        <v>0.13</v>
      </c>
      <c r="K1433">
        <v>2791.2</v>
      </c>
      <c r="L1433" t="s">
        <v>35</v>
      </c>
      <c r="M1433">
        <v>636</v>
      </c>
      <c r="N1433">
        <v>0.27</v>
      </c>
      <c r="O1433" s="3">
        <v>266.83</v>
      </c>
      <c r="P1433" s="3">
        <v>0.05</v>
      </c>
      <c r="Q1433" s="3">
        <v>496.37</v>
      </c>
      <c r="R1433" s="3">
        <v>0.1</v>
      </c>
      <c r="S1433">
        <v>1</v>
      </c>
      <c r="T1433">
        <v>780.44</v>
      </c>
      <c r="U1433">
        <v>64</v>
      </c>
      <c r="V1433">
        <v>0</v>
      </c>
      <c r="W1433">
        <v>254.41</v>
      </c>
      <c r="X1433">
        <v>1502.41</v>
      </c>
      <c r="Y1433" t="s">
        <v>36</v>
      </c>
      <c r="Z1433" s="3">
        <v>1752.12</v>
      </c>
      <c r="AA1433" t="s">
        <v>46</v>
      </c>
      <c r="AB1433" t="s">
        <v>44</v>
      </c>
      <c r="AC1433">
        <v>14.5</v>
      </c>
      <c r="AD1433" t="s">
        <v>34</v>
      </c>
      <c r="AE1433">
        <v>1656.23</v>
      </c>
      <c r="AF1433">
        <v>0</v>
      </c>
    </row>
    <row r="1434" spans="3:32" x14ac:dyDescent="0.35">
      <c r="C1434" s="1">
        <v>44306</v>
      </c>
      <c r="D1434" s="2">
        <v>44287</v>
      </c>
      <c r="E1434">
        <v>1739</v>
      </c>
      <c r="F1434" s="3">
        <v>5537.14</v>
      </c>
      <c r="G1434" s="3">
        <v>4005.47</v>
      </c>
      <c r="H1434" s="3">
        <v>1531.67</v>
      </c>
      <c r="I1434" s="3">
        <v>0.72</v>
      </c>
      <c r="J1434">
        <v>0.37</v>
      </c>
      <c r="K1434">
        <v>2762.2</v>
      </c>
      <c r="L1434" t="s">
        <v>39</v>
      </c>
      <c r="M1434">
        <v>650</v>
      </c>
      <c r="N1434">
        <v>0.42</v>
      </c>
      <c r="O1434" s="3">
        <v>397.25</v>
      </c>
      <c r="P1434" s="3">
        <v>7.0000000000000007E-2</v>
      </c>
      <c r="Q1434" s="3">
        <v>587.07000000000005</v>
      </c>
      <c r="R1434" s="3">
        <v>0.11</v>
      </c>
      <c r="S1434">
        <v>5</v>
      </c>
      <c r="T1434">
        <v>494.49</v>
      </c>
      <c r="U1434">
        <v>61</v>
      </c>
      <c r="V1434">
        <v>0</v>
      </c>
      <c r="W1434">
        <v>506.1</v>
      </c>
      <c r="X1434">
        <v>1085.07</v>
      </c>
      <c r="Y1434" t="s">
        <v>36</v>
      </c>
      <c r="Z1434" s="3">
        <v>1913.06</v>
      </c>
      <c r="AA1434" t="s">
        <v>37</v>
      </c>
      <c r="AB1434" t="s">
        <v>33</v>
      </c>
      <c r="AC1434">
        <v>55.4</v>
      </c>
      <c r="AD1434" t="s">
        <v>38</v>
      </c>
      <c r="AE1434">
        <v>1531.67</v>
      </c>
      <c r="AF1434">
        <v>0</v>
      </c>
    </row>
    <row r="1435" spans="3:32" x14ac:dyDescent="0.35">
      <c r="C1435" s="1">
        <v>44306</v>
      </c>
      <c r="D1435" s="2">
        <v>44287</v>
      </c>
      <c r="E1435">
        <v>1079</v>
      </c>
      <c r="F1435" s="3">
        <v>3679.64</v>
      </c>
      <c r="G1435" s="3">
        <v>3078.32</v>
      </c>
      <c r="H1435" s="3">
        <v>601.32000000000005</v>
      </c>
      <c r="I1435" s="3">
        <v>0.84</v>
      </c>
      <c r="J1435">
        <v>0.37</v>
      </c>
      <c r="K1435">
        <v>3644.96</v>
      </c>
      <c r="L1435" t="s">
        <v>35</v>
      </c>
      <c r="M1435">
        <v>720</v>
      </c>
      <c r="N1435">
        <v>0.56999999999999995</v>
      </c>
      <c r="O1435" s="3">
        <v>459</v>
      </c>
      <c r="P1435" s="3">
        <v>0.12</v>
      </c>
      <c r="Q1435" s="3">
        <v>628.83000000000004</v>
      </c>
      <c r="R1435" s="3">
        <v>0.17</v>
      </c>
      <c r="S1435">
        <v>1</v>
      </c>
      <c r="T1435">
        <v>1512.55</v>
      </c>
      <c r="U1435">
        <v>63</v>
      </c>
      <c r="V1435">
        <v>0</v>
      </c>
      <c r="W1435">
        <v>652.48</v>
      </c>
      <c r="X1435">
        <v>1901.71</v>
      </c>
      <c r="Y1435" t="s">
        <v>36</v>
      </c>
      <c r="Z1435" s="3">
        <v>1461.53</v>
      </c>
      <c r="AA1435" t="s">
        <v>46</v>
      </c>
      <c r="AB1435" t="s">
        <v>42</v>
      </c>
      <c r="AC1435">
        <v>94.9</v>
      </c>
      <c r="AD1435" t="s">
        <v>34</v>
      </c>
      <c r="AE1435">
        <v>601.32000000000005</v>
      </c>
      <c r="AF1435">
        <v>0</v>
      </c>
    </row>
    <row r="1436" spans="3:32" x14ac:dyDescent="0.35">
      <c r="C1436" s="1">
        <v>44306</v>
      </c>
      <c r="D1436" s="2">
        <v>44287</v>
      </c>
      <c r="E1436">
        <v>1907</v>
      </c>
      <c r="F1436" s="3">
        <v>5004.97</v>
      </c>
      <c r="G1436" s="3">
        <v>1825.76</v>
      </c>
      <c r="H1436" s="3">
        <v>3179.21</v>
      </c>
      <c r="I1436" s="3">
        <v>0.36</v>
      </c>
      <c r="J1436">
        <v>0.22</v>
      </c>
      <c r="K1436">
        <v>2035.99</v>
      </c>
      <c r="L1436" t="s">
        <v>30</v>
      </c>
      <c r="M1436">
        <v>658</v>
      </c>
      <c r="N1436">
        <v>0.35</v>
      </c>
      <c r="O1436" s="3">
        <v>628.51</v>
      </c>
      <c r="P1436" s="3">
        <v>0.13</v>
      </c>
      <c r="Q1436" s="3">
        <v>179.45</v>
      </c>
      <c r="R1436" s="3">
        <v>0.04</v>
      </c>
      <c r="S1436">
        <v>6</v>
      </c>
      <c r="T1436">
        <v>975</v>
      </c>
      <c r="U1436">
        <v>53</v>
      </c>
      <c r="V1436">
        <v>0</v>
      </c>
      <c r="W1436">
        <v>324.83999999999997</v>
      </c>
      <c r="X1436">
        <v>1382.04</v>
      </c>
      <c r="Y1436" t="s">
        <v>36</v>
      </c>
      <c r="Z1436" s="3">
        <v>1383.42</v>
      </c>
      <c r="AA1436" t="s">
        <v>46</v>
      </c>
      <c r="AB1436" t="s">
        <v>33</v>
      </c>
      <c r="AC1436">
        <v>6.1</v>
      </c>
      <c r="AD1436" t="s">
        <v>34</v>
      </c>
      <c r="AE1436">
        <v>3179.21</v>
      </c>
      <c r="AF1436">
        <v>1</v>
      </c>
    </row>
    <row r="1437" spans="3:32" x14ac:dyDescent="0.35">
      <c r="C1437" s="1">
        <v>44306</v>
      </c>
      <c r="D1437" s="2">
        <v>44287</v>
      </c>
      <c r="E1437">
        <v>1290</v>
      </c>
      <c r="F1437" s="3">
        <v>2688.93</v>
      </c>
      <c r="G1437" s="3">
        <v>2756.73</v>
      </c>
      <c r="H1437" s="3">
        <v>-67.8</v>
      </c>
      <c r="I1437" s="3">
        <v>1.03</v>
      </c>
      <c r="J1437">
        <v>0.2</v>
      </c>
      <c r="K1437">
        <v>3028.94</v>
      </c>
      <c r="L1437" t="s">
        <v>35</v>
      </c>
      <c r="M1437">
        <v>727</v>
      </c>
      <c r="N1437">
        <v>0.38</v>
      </c>
      <c r="O1437" s="3">
        <v>278.12</v>
      </c>
      <c r="P1437" s="3">
        <v>0.1</v>
      </c>
      <c r="Q1437" s="3">
        <v>511.15</v>
      </c>
      <c r="R1437" s="3">
        <v>0.19</v>
      </c>
      <c r="S1437">
        <v>4</v>
      </c>
      <c r="T1437">
        <v>667.01</v>
      </c>
      <c r="U1437">
        <v>32</v>
      </c>
      <c r="V1437">
        <v>0</v>
      </c>
      <c r="W1437">
        <v>659.31</v>
      </c>
      <c r="X1437">
        <v>2452.23</v>
      </c>
      <c r="Y1437" t="s">
        <v>36</v>
      </c>
      <c r="Z1437" s="3">
        <v>1039.8499999999999</v>
      </c>
      <c r="AA1437" t="s">
        <v>51</v>
      </c>
      <c r="AB1437" t="s">
        <v>33</v>
      </c>
      <c r="AC1437">
        <v>40.299999999999997</v>
      </c>
      <c r="AD1437" t="s">
        <v>34</v>
      </c>
      <c r="AE1437">
        <v>0</v>
      </c>
      <c r="AF1437">
        <v>0</v>
      </c>
    </row>
    <row r="1438" spans="3:32" x14ac:dyDescent="0.35">
      <c r="C1438" s="1">
        <v>44306</v>
      </c>
      <c r="D1438" s="2">
        <v>44287</v>
      </c>
      <c r="E1438">
        <v>1176</v>
      </c>
      <c r="F1438" s="3">
        <v>3027.25</v>
      </c>
      <c r="G1438" s="3">
        <v>1786.86</v>
      </c>
      <c r="H1438" s="3">
        <v>1240.3900000000001</v>
      </c>
      <c r="I1438" s="3">
        <v>0.59</v>
      </c>
      <c r="J1438">
        <v>0.35</v>
      </c>
      <c r="K1438">
        <v>2487.5300000000002</v>
      </c>
      <c r="L1438" t="s">
        <v>35</v>
      </c>
      <c r="M1438">
        <v>789</v>
      </c>
      <c r="N1438">
        <v>0.4</v>
      </c>
      <c r="O1438" s="3">
        <v>524.13</v>
      </c>
      <c r="P1438" s="3">
        <v>0.17</v>
      </c>
      <c r="Q1438" s="3">
        <v>0</v>
      </c>
      <c r="R1438" s="3">
        <v>0</v>
      </c>
      <c r="S1438">
        <v>8</v>
      </c>
      <c r="T1438">
        <v>1565.65</v>
      </c>
      <c r="U1438">
        <v>99</v>
      </c>
      <c r="V1438">
        <v>0</v>
      </c>
      <c r="W1438">
        <v>450.17</v>
      </c>
      <c r="X1438">
        <v>1929.83</v>
      </c>
      <c r="Y1438" t="s">
        <v>36</v>
      </c>
      <c r="Z1438" s="3">
        <v>634.21</v>
      </c>
      <c r="AA1438" t="s">
        <v>41</v>
      </c>
      <c r="AB1438" t="s">
        <v>42</v>
      </c>
      <c r="AC1438">
        <v>20.8</v>
      </c>
      <c r="AD1438" t="s">
        <v>38</v>
      </c>
      <c r="AE1438">
        <v>1240.3900000000001</v>
      </c>
      <c r="AF1438">
        <v>0</v>
      </c>
    </row>
    <row r="1439" spans="3:32" x14ac:dyDescent="0.35">
      <c r="C1439" s="1">
        <v>44306</v>
      </c>
      <c r="D1439" s="2">
        <v>44287</v>
      </c>
      <c r="E1439">
        <v>1725</v>
      </c>
      <c r="F1439" s="3">
        <v>4947.25</v>
      </c>
      <c r="G1439" s="3">
        <v>3407.54</v>
      </c>
      <c r="H1439" s="3">
        <v>1539.71</v>
      </c>
      <c r="I1439" s="3">
        <v>0.69</v>
      </c>
      <c r="J1439">
        <v>0.09</v>
      </c>
      <c r="K1439">
        <v>2457.66</v>
      </c>
      <c r="L1439" t="s">
        <v>30</v>
      </c>
      <c r="M1439">
        <v>771</v>
      </c>
      <c r="N1439">
        <v>0.45</v>
      </c>
      <c r="O1439" s="3">
        <v>491.53</v>
      </c>
      <c r="P1439" s="3">
        <v>0.1</v>
      </c>
      <c r="Q1439" s="3">
        <v>172.2</v>
      </c>
      <c r="R1439" s="3">
        <v>0.03</v>
      </c>
      <c r="S1439">
        <v>2</v>
      </c>
      <c r="T1439">
        <v>1527.53</v>
      </c>
      <c r="U1439">
        <v>41</v>
      </c>
      <c r="V1439">
        <v>0</v>
      </c>
      <c r="W1439">
        <v>569.48</v>
      </c>
      <c r="X1439">
        <v>3025.66</v>
      </c>
      <c r="Y1439" t="s">
        <v>49</v>
      </c>
      <c r="Z1439" s="3">
        <v>1167.4000000000001</v>
      </c>
      <c r="AA1439" t="s">
        <v>41</v>
      </c>
      <c r="AB1439" t="s">
        <v>33</v>
      </c>
      <c r="AC1439">
        <v>78.900000000000006</v>
      </c>
      <c r="AD1439" t="s">
        <v>38</v>
      </c>
      <c r="AE1439">
        <v>1539.71</v>
      </c>
      <c r="AF1439">
        <v>0</v>
      </c>
    </row>
    <row r="1440" spans="3:32" x14ac:dyDescent="0.35">
      <c r="C1440" s="1">
        <v>44306</v>
      </c>
      <c r="D1440" s="2">
        <v>44287</v>
      </c>
      <c r="E1440">
        <v>1198</v>
      </c>
      <c r="F1440" s="3">
        <v>3363.76</v>
      </c>
      <c r="G1440" s="3">
        <v>3213.84</v>
      </c>
      <c r="H1440" s="3">
        <v>149.91999999999999</v>
      </c>
      <c r="I1440" s="3">
        <v>0.96</v>
      </c>
      <c r="J1440">
        <v>0.26</v>
      </c>
      <c r="K1440">
        <v>2592.6999999999998</v>
      </c>
      <c r="L1440" t="s">
        <v>35</v>
      </c>
      <c r="M1440">
        <v>649</v>
      </c>
      <c r="N1440">
        <v>0.49</v>
      </c>
      <c r="O1440" s="3">
        <v>543.25</v>
      </c>
      <c r="P1440" s="3">
        <v>0.16</v>
      </c>
      <c r="Q1440" s="3">
        <v>220.61</v>
      </c>
      <c r="R1440" s="3">
        <v>7.0000000000000007E-2</v>
      </c>
      <c r="S1440">
        <v>2</v>
      </c>
      <c r="T1440">
        <v>1741.18</v>
      </c>
      <c r="U1440">
        <v>89</v>
      </c>
      <c r="V1440">
        <v>0</v>
      </c>
      <c r="W1440">
        <v>414.45</v>
      </c>
      <c r="X1440">
        <v>3281.33</v>
      </c>
      <c r="Y1440" t="s">
        <v>36</v>
      </c>
      <c r="Z1440" s="3">
        <v>882.74</v>
      </c>
      <c r="AA1440" t="s">
        <v>40</v>
      </c>
      <c r="AB1440" t="s">
        <v>44</v>
      </c>
      <c r="AC1440">
        <v>85.2</v>
      </c>
      <c r="AD1440" t="s">
        <v>34</v>
      </c>
      <c r="AE1440">
        <v>149.91999999999999</v>
      </c>
      <c r="AF1440">
        <v>0</v>
      </c>
    </row>
    <row r="1441" spans="3:32" x14ac:dyDescent="0.35">
      <c r="C1441" s="1">
        <v>44306</v>
      </c>
      <c r="D1441" s="2">
        <v>44287</v>
      </c>
      <c r="E1441">
        <v>1243</v>
      </c>
      <c r="F1441" s="3">
        <v>3381.03</v>
      </c>
      <c r="G1441" s="3">
        <v>1078.69</v>
      </c>
      <c r="H1441" s="3">
        <v>2302.34</v>
      </c>
      <c r="I1441" s="3">
        <v>0.32</v>
      </c>
      <c r="J1441">
        <v>0.33</v>
      </c>
      <c r="K1441">
        <v>3309.37</v>
      </c>
      <c r="L1441" t="s">
        <v>35</v>
      </c>
      <c r="M1441">
        <v>622</v>
      </c>
      <c r="N1441">
        <v>0.39</v>
      </c>
      <c r="O1441" s="3">
        <v>589.76</v>
      </c>
      <c r="P1441" s="3">
        <v>0.17</v>
      </c>
      <c r="Q1441" s="3">
        <v>697.88</v>
      </c>
      <c r="R1441" s="3">
        <v>0.21</v>
      </c>
      <c r="S1441">
        <v>5</v>
      </c>
      <c r="T1441">
        <v>1150.27</v>
      </c>
      <c r="U1441">
        <v>45</v>
      </c>
      <c r="V1441">
        <v>0</v>
      </c>
      <c r="W1441">
        <v>510.56</v>
      </c>
      <c r="X1441">
        <v>1817.64</v>
      </c>
      <c r="Y1441" t="s">
        <v>36</v>
      </c>
      <c r="Z1441" s="3">
        <v>763.13</v>
      </c>
      <c r="AA1441" t="s">
        <v>32</v>
      </c>
      <c r="AB1441" t="s">
        <v>33</v>
      </c>
      <c r="AC1441">
        <v>95.8</v>
      </c>
      <c r="AD1441" t="s">
        <v>43</v>
      </c>
      <c r="AE1441">
        <v>2302.34</v>
      </c>
      <c r="AF1441">
        <v>0</v>
      </c>
    </row>
    <row r="1442" spans="3:32" x14ac:dyDescent="0.35">
      <c r="C1442" s="1">
        <v>44306</v>
      </c>
      <c r="D1442" s="2">
        <v>44287</v>
      </c>
      <c r="E1442">
        <v>1355</v>
      </c>
      <c r="F1442" s="3">
        <v>2966.28</v>
      </c>
      <c r="G1442" s="3">
        <v>2983.76</v>
      </c>
      <c r="H1442" s="3">
        <v>-17.48</v>
      </c>
      <c r="I1442" s="3">
        <v>1.01</v>
      </c>
      <c r="J1442">
        <v>0.4</v>
      </c>
      <c r="K1442">
        <v>2893.95</v>
      </c>
      <c r="L1442" t="s">
        <v>35</v>
      </c>
      <c r="M1442">
        <v>688</v>
      </c>
      <c r="N1442">
        <v>0.36</v>
      </c>
      <c r="O1442" s="3">
        <v>853.81</v>
      </c>
      <c r="P1442" s="3">
        <v>0.28999999999999998</v>
      </c>
      <c r="Q1442" s="3">
        <v>154.93</v>
      </c>
      <c r="R1442" s="3">
        <v>0.05</v>
      </c>
      <c r="S1442">
        <v>1</v>
      </c>
      <c r="T1442">
        <v>0</v>
      </c>
      <c r="U1442">
        <v>65</v>
      </c>
      <c r="V1442">
        <v>0</v>
      </c>
      <c r="W1442">
        <v>448.78</v>
      </c>
      <c r="X1442">
        <v>1501.02</v>
      </c>
      <c r="Y1442" t="s">
        <v>36</v>
      </c>
      <c r="Z1442" s="3">
        <v>300</v>
      </c>
      <c r="AA1442" t="s">
        <v>32</v>
      </c>
      <c r="AB1442" t="s">
        <v>33</v>
      </c>
      <c r="AC1442">
        <v>58.6</v>
      </c>
      <c r="AD1442" t="s">
        <v>38</v>
      </c>
      <c r="AE1442">
        <v>0</v>
      </c>
      <c r="AF1442">
        <v>0</v>
      </c>
    </row>
    <row r="1443" spans="3:32" x14ac:dyDescent="0.35">
      <c r="C1443" s="1">
        <v>44306</v>
      </c>
      <c r="D1443" s="2">
        <v>44287</v>
      </c>
      <c r="E1443">
        <v>1369</v>
      </c>
      <c r="F1443" s="3">
        <v>5728.95</v>
      </c>
      <c r="G1443" s="3">
        <v>3384.51</v>
      </c>
      <c r="H1443" s="3">
        <v>2344.44</v>
      </c>
      <c r="I1443" s="3">
        <v>0.59</v>
      </c>
      <c r="J1443">
        <v>0.23</v>
      </c>
      <c r="K1443">
        <v>3399.42</v>
      </c>
      <c r="L1443" t="s">
        <v>35</v>
      </c>
      <c r="M1443">
        <v>669</v>
      </c>
      <c r="N1443">
        <v>0.15</v>
      </c>
      <c r="O1443" s="3">
        <v>504.6</v>
      </c>
      <c r="P1443" s="3">
        <v>0.09</v>
      </c>
      <c r="Q1443" s="3">
        <v>396.79</v>
      </c>
      <c r="R1443" s="3">
        <v>7.0000000000000007E-2</v>
      </c>
      <c r="S1443">
        <v>2</v>
      </c>
      <c r="T1443">
        <v>1484.63</v>
      </c>
      <c r="U1443">
        <v>97</v>
      </c>
      <c r="V1443">
        <v>0</v>
      </c>
      <c r="W1443">
        <v>408.29</v>
      </c>
      <c r="X1443">
        <v>1952.16</v>
      </c>
      <c r="Y1443" t="s">
        <v>31</v>
      </c>
      <c r="Z1443" s="3">
        <v>975.52</v>
      </c>
      <c r="AA1443" t="s">
        <v>37</v>
      </c>
      <c r="AB1443" t="s">
        <v>33</v>
      </c>
      <c r="AC1443">
        <v>75.8</v>
      </c>
      <c r="AD1443" t="s">
        <v>38</v>
      </c>
      <c r="AE1443">
        <v>2344.44</v>
      </c>
      <c r="AF1443">
        <v>0</v>
      </c>
    </row>
    <row r="1444" spans="3:32" x14ac:dyDescent="0.35">
      <c r="C1444" s="1">
        <v>44306</v>
      </c>
      <c r="D1444" s="2">
        <v>44287</v>
      </c>
      <c r="E1444">
        <v>1189</v>
      </c>
      <c r="F1444" s="3">
        <v>4472.3</v>
      </c>
      <c r="G1444" s="3">
        <v>1589.72</v>
      </c>
      <c r="H1444" s="3">
        <v>2882.58</v>
      </c>
      <c r="I1444" s="3">
        <v>0.36</v>
      </c>
      <c r="J1444">
        <v>0.32</v>
      </c>
      <c r="K1444">
        <v>2483.3200000000002</v>
      </c>
      <c r="L1444" t="s">
        <v>39</v>
      </c>
      <c r="M1444">
        <v>567</v>
      </c>
      <c r="N1444">
        <v>0.15</v>
      </c>
      <c r="O1444" s="3">
        <v>929.23</v>
      </c>
      <c r="P1444" s="3">
        <v>0.21</v>
      </c>
      <c r="Q1444" s="3">
        <v>98.37</v>
      </c>
      <c r="R1444" s="3">
        <v>0.02</v>
      </c>
      <c r="S1444">
        <v>9</v>
      </c>
      <c r="T1444">
        <v>1452.67</v>
      </c>
      <c r="U1444">
        <v>43</v>
      </c>
      <c r="V1444">
        <v>0</v>
      </c>
      <c r="W1444">
        <v>498.59</v>
      </c>
      <c r="X1444">
        <v>3726.45</v>
      </c>
      <c r="Y1444" t="s">
        <v>36</v>
      </c>
      <c r="Z1444" s="3">
        <v>979.45</v>
      </c>
      <c r="AA1444" t="s">
        <v>45</v>
      </c>
      <c r="AB1444" t="s">
        <v>33</v>
      </c>
      <c r="AC1444">
        <v>44.6</v>
      </c>
      <c r="AD1444" t="s">
        <v>34</v>
      </c>
      <c r="AE1444">
        <v>2882.58</v>
      </c>
      <c r="AF1444">
        <v>1</v>
      </c>
    </row>
    <row r="1445" spans="3:32" x14ac:dyDescent="0.35">
      <c r="C1445" s="1">
        <v>44306</v>
      </c>
      <c r="D1445" s="2">
        <v>44287</v>
      </c>
      <c r="E1445">
        <v>1124</v>
      </c>
      <c r="F1445" s="3">
        <v>4716.63</v>
      </c>
      <c r="G1445" s="3">
        <v>3242.59</v>
      </c>
      <c r="H1445" s="3">
        <v>1474.04</v>
      </c>
      <c r="I1445" s="3">
        <v>0.69</v>
      </c>
      <c r="J1445">
        <v>0.15</v>
      </c>
      <c r="K1445">
        <v>2632.95</v>
      </c>
      <c r="L1445" t="s">
        <v>30</v>
      </c>
      <c r="M1445">
        <v>722</v>
      </c>
      <c r="N1445">
        <v>0.56999999999999995</v>
      </c>
      <c r="O1445" s="3">
        <v>637.74</v>
      </c>
      <c r="P1445" s="3">
        <v>0.14000000000000001</v>
      </c>
      <c r="Q1445" s="3">
        <v>602.55999999999995</v>
      </c>
      <c r="R1445" s="3">
        <v>0.13</v>
      </c>
      <c r="S1445">
        <v>6</v>
      </c>
      <c r="T1445">
        <v>787.82</v>
      </c>
      <c r="U1445">
        <v>48</v>
      </c>
      <c r="V1445">
        <v>0</v>
      </c>
      <c r="W1445">
        <v>458</v>
      </c>
      <c r="X1445">
        <v>2415.08</v>
      </c>
      <c r="Y1445" t="s">
        <v>31</v>
      </c>
      <c r="Z1445" s="3">
        <v>1670.3</v>
      </c>
      <c r="AA1445" t="s">
        <v>32</v>
      </c>
      <c r="AB1445" t="s">
        <v>44</v>
      </c>
      <c r="AC1445">
        <v>61.7</v>
      </c>
      <c r="AD1445" t="s">
        <v>43</v>
      </c>
      <c r="AE1445">
        <v>1474.04</v>
      </c>
      <c r="AF1445">
        <v>0</v>
      </c>
    </row>
    <row r="1446" spans="3:32" x14ac:dyDescent="0.35">
      <c r="C1446" s="1">
        <v>44306</v>
      </c>
      <c r="D1446" s="2">
        <v>44287</v>
      </c>
      <c r="E1446">
        <v>1419</v>
      </c>
      <c r="F1446" s="3">
        <v>3788.48</v>
      </c>
      <c r="G1446" s="3">
        <v>3132.75</v>
      </c>
      <c r="H1446" s="3">
        <v>655.73</v>
      </c>
      <c r="I1446" s="3">
        <v>0.83</v>
      </c>
      <c r="J1446">
        <v>0.32</v>
      </c>
      <c r="K1446">
        <v>3528.79</v>
      </c>
      <c r="L1446" t="s">
        <v>35</v>
      </c>
      <c r="M1446">
        <v>651</v>
      </c>
      <c r="N1446">
        <v>0.56999999999999995</v>
      </c>
      <c r="O1446" s="3">
        <v>403.45</v>
      </c>
      <c r="P1446" s="3">
        <v>0.11</v>
      </c>
      <c r="Q1446" s="3">
        <v>314.11</v>
      </c>
      <c r="R1446" s="3">
        <v>0.08</v>
      </c>
      <c r="S1446">
        <v>3</v>
      </c>
      <c r="T1446">
        <v>740.87</v>
      </c>
      <c r="U1446">
        <v>44</v>
      </c>
      <c r="V1446">
        <v>0</v>
      </c>
      <c r="W1446">
        <v>76.83</v>
      </c>
      <c r="X1446">
        <v>1083.46</v>
      </c>
      <c r="Y1446" t="s">
        <v>36</v>
      </c>
      <c r="Z1446" s="3">
        <v>1220.31</v>
      </c>
      <c r="AA1446" t="s">
        <v>46</v>
      </c>
      <c r="AB1446" t="s">
        <v>33</v>
      </c>
      <c r="AC1446">
        <v>5.3</v>
      </c>
      <c r="AD1446" t="s">
        <v>34</v>
      </c>
      <c r="AE1446">
        <v>655.73</v>
      </c>
      <c r="AF1446">
        <v>0</v>
      </c>
    </row>
    <row r="1447" spans="3:32" x14ac:dyDescent="0.35">
      <c r="C1447" s="1">
        <v>44306</v>
      </c>
      <c r="D1447" s="2">
        <v>44287</v>
      </c>
      <c r="E1447">
        <v>1668</v>
      </c>
      <c r="F1447" s="3">
        <v>2482.4299999999998</v>
      </c>
      <c r="G1447" s="3">
        <v>3409.37</v>
      </c>
      <c r="H1447" s="3">
        <v>-926.94</v>
      </c>
      <c r="I1447" s="3">
        <v>1.37</v>
      </c>
      <c r="J1447">
        <v>0.11</v>
      </c>
      <c r="K1447">
        <v>2947.33</v>
      </c>
      <c r="L1447" t="s">
        <v>35</v>
      </c>
      <c r="M1447">
        <v>744</v>
      </c>
      <c r="N1447">
        <v>0.24</v>
      </c>
      <c r="O1447" s="3">
        <v>840.11</v>
      </c>
      <c r="P1447" s="3">
        <v>0.34</v>
      </c>
      <c r="Q1447" s="3">
        <v>294.95</v>
      </c>
      <c r="R1447" s="3">
        <v>0.12</v>
      </c>
      <c r="S1447">
        <v>1</v>
      </c>
      <c r="T1447">
        <v>569.85</v>
      </c>
      <c r="U1447">
        <v>76</v>
      </c>
      <c r="V1447">
        <v>0</v>
      </c>
      <c r="W1447">
        <v>780.3</v>
      </c>
      <c r="X1447">
        <v>2376.9299999999998</v>
      </c>
      <c r="Y1447" t="s">
        <v>36</v>
      </c>
      <c r="Z1447" s="3">
        <v>1375.99</v>
      </c>
      <c r="AA1447" t="s">
        <v>41</v>
      </c>
      <c r="AB1447" t="s">
        <v>33</v>
      </c>
      <c r="AC1447">
        <v>89.4</v>
      </c>
      <c r="AD1447" t="s">
        <v>38</v>
      </c>
      <c r="AE1447">
        <v>0</v>
      </c>
      <c r="AF1447">
        <v>0</v>
      </c>
    </row>
    <row r="1448" spans="3:32" x14ac:dyDescent="0.35">
      <c r="C1448" s="1">
        <v>44306</v>
      </c>
      <c r="D1448" s="2">
        <v>44287</v>
      </c>
      <c r="E1448">
        <v>1047</v>
      </c>
      <c r="F1448" s="3">
        <v>4873</v>
      </c>
      <c r="G1448" s="3">
        <v>3477.82</v>
      </c>
      <c r="H1448" s="3">
        <v>1395.18</v>
      </c>
      <c r="I1448" s="3">
        <v>0.71</v>
      </c>
      <c r="J1448">
        <v>0.24</v>
      </c>
      <c r="K1448">
        <v>3437.07</v>
      </c>
      <c r="L1448" t="s">
        <v>30</v>
      </c>
      <c r="M1448">
        <v>653</v>
      </c>
      <c r="N1448">
        <v>0.17</v>
      </c>
      <c r="O1448" s="3">
        <v>378.11</v>
      </c>
      <c r="P1448" s="3">
        <v>0.08</v>
      </c>
      <c r="Q1448" s="3">
        <v>563.35</v>
      </c>
      <c r="R1448" s="3">
        <v>0.12</v>
      </c>
      <c r="S1448">
        <v>8</v>
      </c>
      <c r="T1448">
        <v>776.84</v>
      </c>
      <c r="U1448">
        <v>57</v>
      </c>
      <c r="V1448">
        <v>0</v>
      </c>
      <c r="W1448">
        <v>315.63</v>
      </c>
      <c r="X1448">
        <v>2119.9299999999998</v>
      </c>
      <c r="Y1448" t="s">
        <v>36</v>
      </c>
      <c r="Z1448" s="3">
        <v>1972.01</v>
      </c>
      <c r="AA1448" t="s">
        <v>32</v>
      </c>
      <c r="AB1448" t="s">
        <v>33</v>
      </c>
      <c r="AC1448">
        <v>12.5</v>
      </c>
      <c r="AD1448" t="s">
        <v>43</v>
      </c>
      <c r="AE1448">
        <v>1395.18</v>
      </c>
      <c r="AF1448">
        <v>0</v>
      </c>
    </row>
    <row r="1449" spans="3:32" x14ac:dyDescent="0.35">
      <c r="C1449" s="1">
        <v>44306</v>
      </c>
      <c r="D1449" s="2">
        <v>44287</v>
      </c>
      <c r="E1449">
        <v>1422</v>
      </c>
      <c r="F1449" s="3">
        <v>3145.64</v>
      </c>
      <c r="G1449" s="3">
        <v>2968.69</v>
      </c>
      <c r="H1449" s="3">
        <v>176.95</v>
      </c>
      <c r="I1449" s="3">
        <v>0.94</v>
      </c>
      <c r="J1449">
        <v>0.05</v>
      </c>
      <c r="K1449">
        <v>3104.11</v>
      </c>
      <c r="L1449" t="s">
        <v>35</v>
      </c>
      <c r="M1449">
        <v>630</v>
      </c>
      <c r="N1449">
        <v>0.4</v>
      </c>
      <c r="O1449" s="3">
        <v>524.76</v>
      </c>
      <c r="P1449" s="3">
        <v>0.17</v>
      </c>
      <c r="Q1449" s="3">
        <v>566.24</v>
      </c>
      <c r="R1449" s="3">
        <v>0.18</v>
      </c>
      <c r="S1449">
        <v>1</v>
      </c>
      <c r="T1449">
        <v>270.5</v>
      </c>
      <c r="U1449">
        <v>23</v>
      </c>
      <c r="V1449">
        <v>0</v>
      </c>
      <c r="W1449">
        <v>702.69</v>
      </c>
      <c r="X1449">
        <v>2086.69</v>
      </c>
      <c r="Y1449" t="s">
        <v>36</v>
      </c>
      <c r="Z1449" s="3">
        <v>1251.21</v>
      </c>
      <c r="AA1449" t="s">
        <v>40</v>
      </c>
      <c r="AB1449" t="s">
        <v>44</v>
      </c>
      <c r="AC1449">
        <v>73.2</v>
      </c>
      <c r="AD1449" t="s">
        <v>34</v>
      </c>
      <c r="AE1449">
        <v>176.95</v>
      </c>
      <c r="AF1449">
        <v>0</v>
      </c>
    </row>
    <row r="1450" spans="3:32" x14ac:dyDescent="0.35">
      <c r="C1450" s="1">
        <v>44306</v>
      </c>
      <c r="D1450" s="2">
        <v>44287</v>
      </c>
      <c r="E1450">
        <v>1972</v>
      </c>
      <c r="F1450" s="3">
        <v>3981.14</v>
      </c>
      <c r="G1450" s="3">
        <v>2555.0500000000002</v>
      </c>
      <c r="H1450" s="3">
        <v>1426.09</v>
      </c>
      <c r="I1450" s="3">
        <v>0.64</v>
      </c>
      <c r="J1450">
        <v>0.15</v>
      </c>
      <c r="K1450">
        <v>3392.84</v>
      </c>
      <c r="L1450" t="s">
        <v>35</v>
      </c>
      <c r="M1450">
        <v>659</v>
      </c>
      <c r="N1450">
        <v>0.6</v>
      </c>
      <c r="O1450" s="3">
        <v>325.47000000000003</v>
      </c>
      <c r="P1450" s="3">
        <v>0.08</v>
      </c>
      <c r="Q1450" s="3">
        <v>802.38</v>
      </c>
      <c r="R1450" s="3">
        <v>0.2</v>
      </c>
      <c r="S1450">
        <v>4</v>
      </c>
      <c r="T1450">
        <v>29.48</v>
      </c>
      <c r="U1450">
        <v>40</v>
      </c>
      <c r="V1450">
        <v>0</v>
      </c>
      <c r="W1450">
        <v>117.47</v>
      </c>
      <c r="X1450">
        <v>3458.21</v>
      </c>
      <c r="Y1450" t="s">
        <v>36</v>
      </c>
      <c r="Z1450" s="3">
        <v>1707.07</v>
      </c>
      <c r="AA1450" t="s">
        <v>46</v>
      </c>
      <c r="AB1450" t="s">
        <v>33</v>
      </c>
      <c r="AC1450">
        <v>14.8</v>
      </c>
      <c r="AD1450" t="s">
        <v>34</v>
      </c>
      <c r="AE1450">
        <v>1426.09</v>
      </c>
      <c r="AF1450">
        <v>0</v>
      </c>
    </row>
    <row r="1451" spans="3:32" x14ac:dyDescent="0.35">
      <c r="C1451" s="1">
        <v>44306</v>
      </c>
      <c r="D1451" s="2">
        <v>44287</v>
      </c>
      <c r="E1451">
        <v>1010</v>
      </c>
      <c r="F1451" s="3">
        <v>5648.44</v>
      </c>
      <c r="G1451" s="3">
        <v>2333.81</v>
      </c>
      <c r="H1451" s="3">
        <v>3314.63</v>
      </c>
      <c r="I1451" s="3">
        <v>0.41</v>
      </c>
      <c r="J1451">
        <v>0.34</v>
      </c>
      <c r="K1451">
        <v>3674.57</v>
      </c>
      <c r="L1451" t="s">
        <v>35</v>
      </c>
      <c r="M1451">
        <v>641</v>
      </c>
      <c r="N1451">
        <v>0.47</v>
      </c>
      <c r="O1451" s="3">
        <v>121.07</v>
      </c>
      <c r="P1451" s="3">
        <v>0.02</v>
      </c>
      <c r="Q1451" s="3">
        <v>262.16000000000003</v>
      </c>
      <c r="R1451" s="3">
        <v>0.05</v>
      </c>
      <c r="S1451">
        <v>2</v>
      </c>
      <c r="T1451">
        <v>1290.21</v>
      </c>
      <c r="U1451">
        <v>60</v>
      </c>
      <c r="V1451">
        <v>0</v>
      </c>
      <c r="W1451">
        <v>499.09</v>
      </c>
      <c r="X1451">
        <v>1602.6</v>
      </c>
      <c r="Y1451" t="s">
        <v>36</v>
      </c>
      <c r="Z1451" s="3">
        <v>1918.23</v>
      </c>
      <c r="AA1451" t="s">
        <v>32</v>
      </c>
      <c r="AB1451" t="s">
        <v>33</v>
      </c>
      <c r="AC1451">
        <v>33.6</v>
      </c>
      <c r="AD1451" t="s">
        <v>38</v>
      </c>
      <c r="AE1451">
        <v>3314.63</v>
      </c>
      <c r="AF1451">
        <v>0</v>
      </c>
    </row>
    <row r="1452" spans="3:32" x14ac:dyDescent="0.35">
      <c r="C1452" s="1">
        <v>44336</v>
      </c>
      <c r="D1452" s="2">
        <v>44317</v>
      </c>
      <c r="E1452">
        <v>1334</v>
      </c>
      <c r="F1452" s="3">
        <v>4012.76</v>
      </c>
      <c r="G1452" s="3">
        <v>2193.69</v>
      </c>
      <c r="H1452" s="3">
        <v>1819.07</v>
      </c>
      <c r="I1452" s="3">
        <v>0.55000000000000004</v>
      </c>
      <c r="J1452">
        <v>0.3</v>
      </c>
      <c r="K1452">
        <v>3328.25</v>
      </c>
      <c r="L1452" t="s">
        <v>35</v>
      </c>
      <c r="M1452">
        <v>617</v>
      </c>
      <c r="N1452">
        <v>0.53</v>
      </c>
      <c r="O1452" s="3">
        <v>720.24</v>
      </c>
      <c r="P1452" s="3">
        <v>0.18</v>
      </c>
      <c r="Q1452" s="3">
        <v>0</v>
      </c>
      <c r="R1452" s="3">
        <v>0</v>
      </c>
      <c r="S1452">
        <v>6</v>
      </c>
      <c r="T1452">
        <v>1168.02</v>
      </c>
      <c r="U1452">
        <v>96</v>
      </c>
      <c r="V1452">
        <v>0</v>
      </c>
      <c r="W1452">
        <v>183.69</v>
      </c>
      <c r="X1452">
        <v>1375.03</v>
      </c>
      <c r="Y1452" t="s">
        <v>31</v>
      </c>
      <c r="Z1452" s="3">
        <v>489.72</v>
      </c>
      <c r="AA1452" t="s">
        <v>51</v>
      </c>
      <c r="AB1452" t="s">
        <v>44</v>
      </c>
      <c r="AC1452">
        <v>65.400000000000006</v>
      </c>
      <c r="AD1452" t="s">
        <v>43</v>
      </c>
      <c r="AE1452">
        <v>1819.07</v>
      </c>
      <c r="AF1452">
        <v>0</v>
      </c>
    </row>
    <row r="1453" spans="3:32" x14ac:dyDescent="0.35">
      <c r="C1453" s="1">
        <v>44336</v>
      </c>
      <c r="D1453" s="2">
        <v>44317</v>
      </c>
      <c r="E1453">
        <v>1260</v>
      </c>
      <c r="F1453" s="3">
        <v>4976.0200000000004</v>
      </c>
      <c r="G1453" s="3">
        <v>3902.74</v>
      </c>
      <c r="H1453" s="3">
        <v>1073.28</v>
      </c>
      <c r="I1453" s="3">
        <v>0.78</v>
      </c>
      <c r="J1453">
        <v>0.27</v>
      </c>
      <c r="K1453">
        <v>2370.54</v>
      </c>
      <c r="L1453" t="s">
        <v>35</v>
      </c>
      <c r="M1453">
        <v>535</v>
      </c>
      <c r="N1453">
        <v>0.43</v>
      </c>
      <c r="O1453" s="3">
        <v>1151.8699999999999</v>
      </c>
      <c r="P1453" s="3">
        <v>0.23</v>
      </c>
      <c r="Q1453" s="3">
        <v>318.52</v>
      </c>
      <c r="R1453" s="3">
        <v>0.06</v>
      </c>
      <c r="S1453">
        <v>5</v>
      </c>
      <c r="T1453">
        <v>592.64</v>
      </c>
      <c r="U1453">
        <v>58</v>
      </c>
      <c r="V1453">
        <v>0</v>
      </c>
      <c r="W1453">
        <v>346.96</v>
      </c>
      <c r="X1453">
        <v>2214.83</v>
      </c>
      <c r="Y1453" t="s">
        <v>36</v>
      </c>
      <c r="Z1453" s="3">
        <v>815.3</v>
      </c>
      <c r="AA1453" t="s">
        <v>37</v>
      </c>
      <c r="AB1453" t="s">
        <v>33</v>
      </c>
      <c r="AC1453">
        <v>93.5</v>
      </c>
      <c r="AD1453" t="s">
        <v>34</v>
      </c>
      <c r="AE1453">
        <v>1073.28</v>
      </c>
      <c r="AF1453">
        <v>0</v>
      </c>
    </row>
    <row r="1454" spans="3:32" x14ac:dyDescent="0.35">
      <c r="C1454" s="1">
        <v>44336</v>
      </c>
      <c r="D1454" s="2">
        <v>44317</v>
      </c>
      <c r="E1454">
        <v>1433</v>
      </c>
      <c r="F1454" s="3">
        <v>4364.93</v>
      </c>
      <c r="G1454" s="3">
        <v>2068.6</v>
      </c>
      <c r="H1454" s="3">
        <v>2296.33</v>
      </c>
      <c r="I1454" s="3">
        <v>0.47</v>
      </c>
      <c r="J1454">
        <v>0.32</v>
      </c>
      <c r="K1454">
        <v>2835.57</v>
      </c>
      <c r="L1454" t="s">
        <v>35</v>
      </c>
      <c r="M1454">
        <v>630</v>
      </c>
      <c r="N1454">
        <v>0.18</v>
      </c>
      <c r="O1454" s="3">
        <v>524.35</v>
      </c>
      <c r="P1454" s="3">
        <v>0.12</v>
      </c>
      <c r="Q1454" s="3">
        <v>0</v>
      </c>
      <c r="R1454" s="3">
        <v>0</v>
      </c>
      <c r="S1454">
        <v>8</v>
      </c>
      <c r="T1454">
        <v>1337.57</v>
      </c>
      <c r="U1454">
        <v>47</v>
      </c>
      <c r="V1454">
        <v>0</v>
      </c>
      <c r="W1454">
        <v>773.77</v>
      </c>
      <c r="X1454">
        <v>2679.95</v>
      </c>
      <c r="Y1454" t="s">
        <v>36</v>
      </c>
      <c r="Z1454" s="3">
        <v>1535.82</v>
      </c>
      <c r="AA1454" t="s">
        <v>41</v>
      </c>
      <c r="AB1454" t="s">
        <v>33</v>
      </c>
      <c r="AC1454">
        <v>18.899999999999999</v>
      </c>
      <c r="AD1454" t="s">
        <v>34</v>
      </c>
      <c r="AE1454">
        <v>2296.33</v>
      </c>
      <c r="AF1454">
        <v>0</v>
      </c>
    </row>
    <row r="1455" spans="3:32" x14ac:dyDescent="0.35">
      <c r="C1455" s="1">
        <v>44336</v>
      </c>
      <c r="D1455" s="2">
        <v>44317</v>
      </c>
      <c r="E1455">
        <v>1542</v>
      </c>
      <c r="F1455" s="3">
        <v>4199.72</v>
      </c>
      <c r="G1455" s="3">
        <v>3447.17</v>
      </c>
      <c r="H1455" s="3">
        <v>752.55</v>
      </c>
      <c r="I1455" s="3">
        <v>0.82</v>
      </c>
      <c r="J1455">
        <v>0.38</v>
      </c>
      <c r="K1455">
        <v>2524.56</v>
      </c>
      <c r="L1455" t="s">
        <v>39</v>
      </c>
      <c r="M1455">
        <v>637</v>
      </c>
      <c r="N1455">
        <v>0.3</v>
      </c>
      <c r="O1455" s="3">
        <v>781.35</v>
      </c>
      <c r="P1455" s="3">
        <v>0.19</v>
      </c>
      <c r="Q1455" s="3">
        <v>401.6</v>
      </c>
      <c r="R1455" s="3">
        <v>0.1</v>
      </c>
      <c r="S1455">
        <v>3</v>
      </c>
      <c r="T1455">
        <v>1139.96</v>
      </c>
      <c r="U1455">
        <v>53</v>
      </c>
      <c r="V1455">
        <v>0</v>
      </c>
      <c r="W1455">
        <v>586.16999999999996</v>
      </c>
      <c r="X1455">
        <v>1683.32</v>
      </c>
      <c r="Y1455" t="s">
        <v>36</v>
      </c>
      <c r="Z1455" s="3">
        <v>977.54</v>
      </c>
      <c r="AA1455" t="s">
        <v>48</v>
      </c>
      <c r="AB1455" t="s">
        <v>44</v>
      </c>
      <c r="AC1455">
        <v>12.2</v>
      </c>
      <c r="AD1455" t="s">
        <v>43</v>
      </c>
      <c r="AE1455">
        <v>752.55</v>
      </c>
      <c r="AF1455">
        <v>0</v>
      </c>
    </row>
    <row r="1456" spans="3:32" x14ac:dyDescent="0.35">
      <c r="C1456" s="1">
        <v>44336</v>
      </c>
      <c r="D1456" s="2">
        <v>44317</v>
      </c>
      <c r="E1456">
        <v>1543</v>
      </c>
      <c r="F1456" s="3">
        <v>2824.81</v>
      </c>
      <c r="G1456" s="3">
        <v>3960.22</v>
      </c>
      <c r="H1456" s="3">
        <v>-1135.4100000000001</v>
      </c>
      <c r="I1456" s="3">
        <v>1.4</v>
      </c>
      <c r="J1456">
        <v>0.11</v>
      </c>
      <c r="K1456">
        <v>2458.0700000000002</v>
      </c>
      <c r="L1456" t="s">
        <v>35</v>
      </c>
      <c r="M1456">
        <v>636</v>
      </c>
      <c r="N1456">
        <v>0.46</v>
      </c>
      <c r="O1456" s="3">
        <v>610.99</v>
      </c>
      <c r="P1456" s="3">
        <v>0.22</v>
      </c>
      <c r="Q1456" s="3">
        <v>212.63</v>
      </c>
      <c r="R1456" s="3">
        <v>0.08</v>
      </c>
      <c r="S1456">
        <v>7</v>
      </c>
      <c r="T1456">
        <v>260.04000000000002</v>
      </c>
      <c r="U1456">
        <v>38</v>
      </c>
      <c r="V1456">
        <v>0</v>
      </c>
      <c r="W1456">
        <v>758.35</v>
      </c>
      <c r="X1456">
        <v>2567.7399999999998</v>
      </c>
      <c r="Y1456" t="s">
        <v>49</v>
      </c>
      <c r="Z1456" s="3">
        <v>1712.07</v>
      </c>
      <c r="AA1456" t="s">
        <v>45</v>
      </c>
      <c r="AB1456" t="s">
        <v>42</v>
      </c>
      <c r="AC1456">
        <v>79.8</v>
      </c>
      <c r="AD1456" t="s">
        <v>34</v>
      </c>
      <c r="AE1456">
        <v>0</v>
      </c>
      <c r="AF1456">
        <v>0</v>
      </c>
    </row>
    <row r="1457" spans="3:32" x14ac:dyDescent="0.35">
      <c r="C1457" s="1">
        <v>44336</v>
      </c>
      <c r="D1457" s="2">
        <v>44317</v>
      </c>
      <c r="E1457">
        <v>1540</v>
      </c>
      <c r="F1457" s="3">
        <v>2556.4699999999998</v>
      </c>
      <c r="G1457" s="3">
        <v>2812.86</v>
      </c>
      <c r="H1457" s="3">
        <v>-256.39</v>
      </c>
      <c r="I1457" s="3">
        <v>1.1000000000000001</v>
      </c>
      <c r="J1457">
        <v>0.13</v>
      </c>
      <c r="K1457">
        <v>3929.76</v>
      </c>
      <c r="L1457" t="s">
        <v>39</v>
      </c>
      <c r="M1457">
        <v>636</v>
      </c>
      <c r="N1457">
        <v>0.31</v>
      </c>
      <c r="O1457" s="3">
        <v>708.7</v>
      </c>
      <c r="P1457" s="3">
        <v>0.28000000000000003</v>
      </c>
      <c r="Q1457" s="3">
        <v>419.84</v>
      </c>
      <c r="R1457" s="3">
        <v>0.16</v>
      </c>
      <c r="S1457">
        <v>6</v>
      </c>
      <c r="T1457">
        <v>1187.26</v>
      </c>
      <c r="U1457">
        <v>59</v>
      </c>
      <c r="V1457">
        <v>0</v>
      </c>
      <c r="W1457">
        <v>821.83</v>
      </c>
      <c r="X1457">
        <v>1948.5</v>
      </c>
      <c r="Y1457" t="s">
        <v>36</v>
      </c>
      <c r="Z1457" s="3">
        <v>878.22</v>
      </c>
      <c r="AA1457" t="s">
        <v>50</v>
      </c>
      <c r="AB1457" t="s">
        <v>42</v>
      </c>
      <c r="AC1457">
        <v>85.4</v>
      </c>
      <c r="AD1457" t="s">
        <v>34</v>
      </c>
      <c r="AE1457">
        <v>0</v>
      </c>
      <c r="AF1457">
        <v>0</v>
      </c>
    </row>
    <row r="1458" spans="3:32" x14ac:dyDescent="0.35">
      <c r="C1458" s="1">
        <v>44336</v>
      </c>
      <c r="D1458" s="2">
        <v>44317</v>
      </c>
      <c r="E1458">
        <v>1808</v>
      </c>
      <c r="F1458" s="3">
        <v>4352.97</v>
      </c>
      <c r="G1458" s="3">
        <v>3363.07</v>
      </c>
      <c r="H1458" s="3">
        <v>989.9</v>
      </c>
      <c r="I1458" s="3">
        <v>0.77</v>
      </c>
      <c r="J1458">
        <v>0.18</v>
      </c>
      <c r="K1458">
        <v>2907.32</v>
      </c>
      <c r="L1458" t="s">
        <v>30</v>
      </c>
      <c r="M1458">
        <v>752</v>
      </c>
      <c r="N1458">
        <v>0.59</v>
      </c>
      <c r="O1458" s="3">
        <v>385</v>
      </c>
      <c r="P1458" s="3">
        <v>0.09</v>
      </c>
      <c r="Q1458" s="3">
        <v>254.44</v>
      </c>
      <c r="R1458" s="3">
        <v>0.06</v>
      </c>
      <c r="S1458">
        <v>3</v>
      </c>
      <c r="T1458">
        <v>1281.1099999999999</v>
      </c>
      <c r="U1458">
        <v>79</v>
      </c>
      <c r="V1458">
        <v>0</v>
      </c>
      <c r="W1458">
        <v>755.9</v>
      </c>
      <c r="X1458">
        <v>2622.08</v>
      </c>
      <c r="Y1458" t="s">
        <v>36</v>
      </c>
      <c r="Z1458" s="3">
        <v>2067.8200000000002</v>
      </c>
      <c r="AA1458" t="s">
        <v>45</v>
      </c>
      <c r="AB1458" t="s">
        <v>42</v>
      </c>
      <c r="AC1458">
        <v>3</v>
      </c>
      <c r="AD1458" t="s">
        <v>34</v>
      </c>
      <c r="AE1458">
        <v>989.9</v>
      </c>
      <c r="AF1458">
        <v>0</v>
      </c>
    </row>
    <row r="1459" spans="3:32" x14ac:dyDescent="0.35">
      <c r="C1459" s="1">
        <v>44336</v>
      </c>
      <c r="D1459" s="2">
        <v>44317</v>
      </c>
      <c r="E1459">
        <v>1166</v>
      </c>
      <c r="F1459" s="3">
        <v>3307.47</v>
      </c>
      <c r="G1459" s="3">
        <v>2863.66</v>
      </c>
      <c r="H1459" s="3">
        <v>443.81</v>
      </c>
      <c r="I1459" s="3">
        <v>0.87</v>
      </c>
      <c r="J1459">
        <v>0.15</v>
      </c>
      <c r="K1459">
        <v>3004.1</v>
      </c>
      <c r="L1459" t="s">
        <v>35</v>
      </c>
      <c r="M1459">
        <v>767</v>
      </c>
      <c r="N1459">
        <v>0.2</v>
      </c>
      <c r="O1459" s="3">
        <v>691.94</v>
      </c>
      <c r="P1459" s="3">
        <v>0.21</v>
      </c>
      <c r="Q1459" s="3">
        <v>584.53</v>
      </c>
      <c r="R1459" s="3">
        <v>0.18</v>
      </c>
      <c r="S1459">
        <v>1</v>
      </c>
      <c r="T1459">
        <v>957.52</v>
      </c>
      <c r="U1459">
        <v>80</v>
      </c>
      <c r="V1459">
        <v>0</v>
      </c>
      <c r="W1459">
        <v>0</v>
      </c>
      <c r="X1459">
        <v>1617.28</v>
      </c>
      <c r="Y1459" t="s">
        <v>36</v>
      </c>
      <c r="Z1459" s="3">
        <v>731.88</v>
      </c>
      <c r="AA1459" t="s">
        <v>48</v>
      </c>
      <c r="AB1459" t="s">
        <v>33</v>
      </c>
      <c r="AC1459">
        <v>47.4</v>
      </c>
      <c r="AD1459" t="s">
        <v>34</v>
      </c>
      <c r="AE1459">
        <v>443.81</v>
      </c>
      <c r="AF1459">
        <v>0</v>
      </c>
    </row>
    <row r="1460" spans="3:32" x14ac:dyDescent="0.35">
      <c r="C1460" s="1">
        <v>44336</v>
      </c>
      <c r="D1460" s="2">
        <v>44317</v>
      </c>
      <c r="E1460">
        <v>1191</v>
      </c>
      <c r="F1460" s="3">
        <v>3612.44</v>
      </c>
      <c r="G1460" s="3">
        <v>1431.29</v>
      </c>
      <c r="H1460" s="3">
        <v>2181.15</v>
      </c>
      <c r="I1460" s="3">
        <v>0.4</v>
      </c>
      <c r="J1460">
        <v>0.23</v>
      </c>
      <c r="K1460">
        <v>3033.22</v>
      </c>
      <c r="L1460" t="s">
        <v>30</v>
      </c>
      <c r="M1460">
        <v>665</v>
      </c>
      <c r="N1460">
        <v>0.27</v>
      </c>
      <c r="O1460" s="3">
        <v>638.41</v>
      </c>
      <c r="P1460" s="3">
        <v>0.18</v>
      </c>
      <c r="Q1460" s="3">
        <v>589.41</v>
      </c>
      <c r="R1460" s="3">
        <v>0.16</v>
      </c>
      <c r="S1460">
        <v>7</v>
      </c>
      <c r="T1460">
        <v>899.72</v>
      </c>
      <c r="U1460">
        <v>22</v>
      </c>
      <c r="V1460">
        <v>0</v>
      </c>
      <c r="W1460">
        <v>488.22</v>
      </c>
      <c r="X1460">
        <v>1459.98</v>
      </c>
      <c r="Y1460" t="s">
        <v>36</v>
      </c>
      <c r="Z1460" s="3">
        <v>828.3</v>
      </c>
      <c r="AA1460" t="s">
        <v>48</v>
      </c>
      <c r="AB1460" t="s">
        <v>33</v>
      </c>
      <c r="AC1460">
        <v>61.3</v>
      </c>
      <c r="AD1460" t="s">
        <v>43</v>
      </c>
      <c r="AE1460">
        <v>2181.15</v>
      </c>
      <c r="AF1460">
        <v>0</v>
      </c>
    </row>
    <row r="1461" spans="3:32" x14ac:dyDescent="0.35">
      <c r="C1461" s="1">
        <v>44336</v>
      </c>
      <c r="D1461" s="2">
        <v>44317</v>
      </c>
      <c r="E1461">
        <v>1522</v>
      </c>
      <c r="F1461" s="3">
        <v>4676.6099999999997</v>
      </c>
      <c r="G1461" s="3">
        <v>3509.3</v>
      </c>
      <c r="H1461" s="3">
        <v>1167.31</v>
      </c>
      <c r="I1461" s="3">
        <v>0.75</v>
      </c>
      <c r="J1461">
        <v>0.12</v>
      </c>
      <c r="K1461">
        <v>2844.99</v>
      </c>
      <c r="L1461" t="s">
        <v>35</v>
      </c>
      <c r="M1461">
        <v>748</v>
      </c>
      <c r="N1461">
        <v>0.54</v>
      </c>
      <c r="O1461" s="3">
        <v>335.43</v>
      </c>
      <c r="P1461" s="3">
        <v>7.0000000000000007E-2</v>
      </c>
      <c r="Q1461" s="3">
        <v>556.09</v>
      </c>
      <c r="R1461" s="3">
        <v>0.12</v>
      </c>
      <c r="S1461">
        <v>1</v>
      </c>
      <c r="T1461">
        <v>1281.8800000000001</v>
      </c>
      <c r="U1461">
        <v>20</v>
      </c>
      <c r="V1461">
        <v>0</v>
      </c>
      <c r="W1461">
        <v>473.87</v>
      </c>
      <c r="X1461">
        <v>1000</v>
      </c>
      <c r="Y1461" t="s">
        <v>36</v>
      </c>
      <c r="Z1461" s="3">
        <v>768.47</v>
      </c>
      <c r="AA1461" t="s">
        <v>32</v>
      </c>
      <c r="AB1461" t="s">
        <v>42</v>
      </c>
      <c r="AC1461">
        <v>78.7</v>
      </c>
      <c r="AD1461" t="s">
        <v>34</v>
      </c>
      <c r="AE1461">
        <v>1167.31</v>
      </c>
      <c r="AF1461">
        <v>0</v>
      </c>
    </row>
    <row r="1462" spans="3:32" x14ac:dyDescent="0.35">
      <c r="C1462" s="1">
        <v>44336</v>
      </c>
      <c r="D1462" s="2">
        <v>44317</v>
      </c>
      <c r="E1462">
        <v>1192</v>
      </c>
      <c r="F1462" s="3">
        <v>2049.7800000000002</v>
      </c>
      <c r="G1462" s="3">
        <v>2352.66</v>
      </c>
      <c r="H1462" s="3">
        <v>-302.88</v>
      </c>
      <c r="I1462" s="3">
        <v>1.1499999999999999</v>
      </c>
      <c r="J1462">
        <v>0.35</v>
      </c>
      <c r="K1462">
        <v>3051.1</v>
      </c>
      <c r="L1462" t="s">
        <v>30</v>
      </c>
      <c r="M1462">
        <v>655</v>
      </c>
      <c r="N1462">
        <v>0.23</v>
      </c>
      <c r="O1462" s="3">
        <v>456.42</v>
      </c>
      <c r="P1462" s="3">
        <v>0.22</v>
      </c>
      <c r="Q1462" s="3">
        <v>465.79</v>
      </c>
      <c r="R1462" s="3">
        <v>0.23</v>
      </c>
      <c r="S1462">
        <v>5</v>
      </c>
      <c r="T1462">
        <v>1429.13</v>
      </c>
      <c r="U1462">
        <v>32</v>
      </c>
      <c r="V1462">
        <v>0</v>
      </c>
      <c r="W1462">
        <v>308.75</v>
      </c>
      <c r="X1462">
        <v>3726.68</v>
      </c>
      <c r="Y1462" t="s">
        <v>36</v>
      </c>
      <c r="Z1462" s="3">
        <v>1697.84</v>
      </c>
      <c r="AA1462" t="s">
        <v>47</v>
      </c>
      <c r="AB1462" t="s">
        <v>33</v>
      </c>
      <c r="AC1462">
        <v>0.6</v>
      </c>
      <c r="AD1462" t="s">
        <v>34</v>
      </c>
      <c r="AE1462">
        <v>0</v>
      </c>
      <c r="AF1462">
        <v>0</v>
      </c>
    </row>
    <row r="1463" spans="3:32" x14ac:dyDescent="0.35">
      <c r="C1463" s="1">
        <v>44336</v>
      </c>
      <c r="D1463" s="2">
        <v>44317</v>
      </c>
      <c r="E1463">
        <v>1846</v>
      </c>
      <c r="F1463" s="3">
        <v>4486.17</v>
      </c>
      <c r="G1463" s="3">
        <v>5136.07</v>
      </c>
      <c r="H1463" s="3">
        <v>-649.9</v>
      </c>
      <c r="I1463" s="3">
        <v>1.1399999999999999</v>
      </c>
      <c r="J1463">
        <v>0.34</v>
      </c>
      <c r="K1463">
        <v>2876.22</v>
      </c>
      <c r="L1463" t="s">
        <v>35</v>
      </c>
      <c r="M1463">
        <v>693</v>
      </c>
      <c r="N1463">
        <v>0.54</v>
      </c>
      <c r="O1463" s="3">
        <v>549.95000000000005</v>
      </c>
      <c r="P1463" s="3">
        <v>0.12</v>
      </c>
      <c r="Q1463" s="3">
        <v>238.33</v>
      </c>
      <c r="R1463" s="3">
        <v>0.05</v>
      </c>
      <c r="S1463">
        <v>5</v>
      </c>
      <c r="T1463">
        <v>278.77999999999997</v>
      </c>
      <c r="U1463">
        <v>85</v>
      </c>
      <c r="V1463">
        <v>0</v>
      </c>
      <c r="W1463">
        <v>494.15</v>
      </c>
      <c r="X1463">
        <v>2084.9899999999998</v>
      </c>
      <c r="Y1463" t="s">
        <v>36</v>
      </c>
      <c r="Z1463" s="3">
        <v>632.41</v>
      </c>
      <c r="AA1463" t="s">
        <v>47</v>
      </c>
      <c r="AB1463" t="s">
        <v>33</v>
      </c>
      <c r="AC1463">
        <v>2.5</v>
      </c>
      <c r="AD1463" t="s">
        <v>34</v>
      </c>
      <c r="AE1463">
        <v>0</v>
      </c>
      <c r="AF1463">
        <v>0</v>
      </c>
    </row>
    <row r="1464" spans="3:32" x14ac:dyDescent="0.35">
      <c r="C1464" s="1">
        <v>44336</v>
      </c>
      <c r="D1464" s="2">
        <v>44317</v>
      </c>
      <c r="E1464">
        <v>1840</v>
      </c>
      <c r="F1464" s="3">
        <v>4637.24</v>
      </c>
      <c r="G1464" s="3">
        <v>2556.4499999999998</v>
      </c>
      <c r="H1464" s="3">
        <v>2080.79</v>
      </c>
      <c r="I1464" s="3">
        <v>0.55000000000000004</v>
      </c>
      <c r="J1464">
        <v>0.33</v>
      </c>
      <c r="K1464">
        <v>3080.45</v>
      </c>
      <c r="L1464" t="s">
        <v>35</v>
      </c>
      <c r="M1464">
        <v>620</v>
      </c>
      <c r="N1464">
        <v>0.17</v>
      </c>
      <c r="O1464" s="3">
        <v>560.37</v>
      </c>
      <c r="P1464" s="3">
        <v>0.12</v>
      </c>
      <c r="Q1464" s="3">
        <v>385.03</v>
      </c>
      <c r="R1464" s="3">
        <v>0.08</v>
      </c>
      <c r="S1464">
        <v>4</v>
      </c>
      <c r="T1464">
        <v>835.79</v>
      </c>
      <c r="U1464">
        <v>31</v>
      </c>
      <c r="V1464">
        <v>0</v>
      </c>
      <c r="W1464">
        <v>522.51</v>
      </c>
      <c r="X1464">
        <v>1738.23</v>
      </c>
      <c r="Y1464" t="s">
        <v>36</v>
      </c>
      <c r="Z1464" s="3">
        <v>946.59</v>
      </c>
      <c r="AA1464" t="s">
        <v>51</v>
      </c>
      <c r="AB1464" t="s">
        <v>44</v>
      </c>
      <c r="AC1464">
        <v>75.400000000000006</v>
      </c>
      <c r="AD1464" t="s">
        <v>34</v>
      </c>
      <c r="AE1464">
        <v>2080.79</v>
      </c>
      <c r="AF1464">
        <v>0</v>
      </c>
    </row>
    <row r="1465" spans="3:32" x14ac:dyDescent="0.35">
      <c r="C1465" s="1">
        <v>44336</v>
      </c>
      <c r="D1465" s="2">
        <v>44317</v>
      </c>
      <c r="E1465">
        <v>1661</v>
      </c>
      <c r="F1465" s="3">
        <v>4611</v>
      </c>
      <c r="G1465" s="3">
        <v>2383.5300000000002</v>
      </c>
      <c r="H1465" s="3">
        <v>2227.4699999999998</v>
      </c>
      <c r="I1465" s="3">
        <v>0.52</v>
      </c>
      <c r="J1465">
        <v>0.25</v>
      </c>
      <c r="K1465">
        <v>2740.38</v>
      </c>
      <c r="L1465" t="s">
        <v>35</v>
      </c>
      <c r="M1465">
        <v>706</v>
      </c>
      <c r="N1465">
        <v>0.18</v>
      </c>
      <c r="O1465" s="3">
        <v>329.77</v>
      </c>
      <c r="P1465" s="3">
        <v>7.0000000000000007E-2</v>
      </c>
      <c r="Q1465" s="3">
        <v>379.26</v>
      </c>
      <c r="R1465" s="3">
        <v>0.08</v>
      </c>
      <c r="S1465">
        <v>8</v>
      </c>
      <c r="T1465">
        <v>806.13</v>
      </c>
      <c r="U1465">
        <v>25</v>
      </c>
      <c r="V1465">
        <v>0</v>
      </c>
      <c r="W1465">
        <v>0</v>
      </c>
      <c r="X1465">
        <v>2056.08</v>
      </c>
      <c r="Y1465" t="s">
        <v>36</v>
      </c>
      <c r="Z1465" s="3">
        <v>733.48</v>
      </c>
      <c r="AA1465" t="s">
        <v>46</v>
      </c>
      <c r="AB1465" t="s">
        <v>33</v>
      </c>
      <c r="AC1465">
        <v>20.9</v>
      </c>
      <c r="AD1465" t="s">
        <v>34</v>
      </c>
      <c r="AE1465">
        <v>2227.4699999999998</v>
      </c>
      <c r="AF1465">
        <v>0</v>
      </c>
    </row>
    <row r="1466" spans="3:32" x14ac:dyDescent="0.35">
      <c r="C1466" s="1">
        <v>44336</v>
      </c>
      <c r="D1466" s="2">
        <v>44317</v>
      </c>
      <c r="E1466">
        <v>1805</v>
      </c>
      <c r="F1466" s="3">
        <v>2995.55</v>
      </c>
      <c r="G1466" s="3">
        <v>2425.14</v>
      </c>
      <c r="H1466" s="3">
        <v>570.41</v>
      </c>
      <c r="I1466" s="3">
        <v>0.81</v>
      </c>
      <c r="J1466">
        <v>0.13</v>
      </c>
      <c r="K1466">
        <v>3368.69</v>
      </c>
      <c r="L1466" t="s">
        <v>35</v>
      </c>
      <c r="M1466">
        <v>726</v>
      </c>
      <c r="N1466">
        <v>0.21</v>
      </c>
      <c r="O1466" s="3">
        <v>555.74</v>
      </c>
      <c r="P1466" s="3">
        <v>0.19</v>
      </c>
      <c r="Q1466" s="3">
        <v>381.08</v>
      </c>
      <c r="R1466" s="3">
        <v>0.13</v>
      </c>
      <c r="S1466">
        <v>7</v>
      </c>
      <c r="T1466">
        <v>836.35</v>
      </c>
      <c r="U1466">
        <v>67</v>
      </c>
      <c r="V1466">
        <v>0</v>
      </c>
      <c r="W1466">
        <v>452.34</v>
      </c>
      <c r="X1466">
        <v>2129.96</v>
      </c>
      <c r="Y1466" t="s">
        <v>36</v>
      </c>
      <c r="Z1466" s="3">
        <v>1484.33</v>
      </c>
      <c r="AA1466" t="s">
        <v>47</v>
      </c>
      <c r="AB1466" t="s">
        <v>42</v>
      </c>
      <c r="AC1466">
        <v>46.5</v>
      </c>
      <c r="AD1466" t="s">
        <v>34</v>
      </c>
      <c r="AE1466">
        <v>570.41</v>
      </c>
      <c r="AF1466">
        <v>0</v>
      </c>
    </row>
    <row r="1467" spans="3:32" x14ac:dyDescent="0.35">
      <c r="C1467" s="1">
        <v>44336</v>
      </c>
      <c r="D1467" s="2">
        <v>44317</v>
      </c>
      <c r="E1467">
        <v>1318</v>
      </c>
      <c r="F1467" s="3">
        <v>3073.53</v>
      </c>
      <c r="G1467" s="3">
        <v>2900.26</v>
      </c>
      <c r="H1467" s="3">
        <v>173.27</v>
      </c>
      <c r="I1467" s="3">
        <v>0.94</v>
      </c>
      <c r="J1467">
        <v>0.33</v>
      </c>
      <c r="K1467">
        <v>2697.23</v>
      </c>
      <c r="L1467" t="s">
        <v>35</v>
      </c>
      <c r="M1467">
        <v>639</v>
      </c>
      <c r="N1467">
        <v>0.39</v>
      </c>
      <c r="O1467" s="3">
        <v>760.16</v>
      </c>
      <c r="P1467" s="3">
        <v>0.25</v>
      </c>
      <c r="Q1467" s="3">
        <v>514.88</v>
      </c>
      <c r="R1467" s="3">
        <v>0.17</v>
      </c>
      <c r="S1467">
        <v>3</v>
      </c>
      <c r="T1467">
        <v>1455.76</v>
      </c>
      <c r="U1467">
        <v>67</v>
      </c>
      <c r="V1467">
        <v>0</v>
      </c>
      <c r="W1467">
        <v>548.34</v>
      </c>
      <c r="X1467">
        <v>1938.53</v>
      </c>
      <c r="Y1467" t="s">
        <v>36</v>
      </c>
      <c r="Z1467" s="3">
        <v>1136.74</v>
      </c>
      <c r="AA1467" t="s">
        <v>32</v>
      </c>
      <c r="AB1467" t="s">
        <v>33</v>
      </c>
      <c r="AC1467">
        <v>1.1000000000000001</v>
      </c>
      <c r="AD1467" t="s">
        <v>34</v>
      </c>
      <c r="AE1467">
        <v>173.27</v>
      </c>
      <c r="AF1467">
        <v>0</v>
      </c>
    </row>
    <row r="1468" spans="3:32" x14ac:dyDescent="0.35">
      <c r="C1468" s="1">
        <v>44336</v>
      </c>
      <c r="D1468" s="2">
        <v>44317</v>
      </c>
      <c r="E1468">
        <v>1662</v>
      </c>
      <c r="F1468" s="3">
        <v>2967.7</v>
      </c>
      <c r="G1468" s="3">
        <v>3150.82</v>
      </c>
      <c r="H1468" s="3">
        <v>-183.12</v>
      </c>
      <c r="I1468" s="3">
        <v>1.06</v>
      </c>
      <c r="J1468">
        <v>0.38</v>
      </c>
      <c r="K1468">
        <v>2662.94</v>
      </c>
      <c r="L1468" t="s">
        <v>30</v>
      </c>
      <c r="M1468">
        <v>610</v>
      </c>
      <c r="N1468">
        <v>0.37</v>
      </c>
      <c r="O1468" s="3">
        <v>530.85</v>
      </c>
      <c r="P1468" s="3">
        <v>0.18</v>
      </c>
      <c r="Q1468" s="3">
        <v>331.37</v>
      </c>
      <c r="R1468" s="3">
        <v>0.11</v>
      </c>
      <c r="S1468">
        <v>1</v>
      </c>
      <c r="T1468">
        <v>155.63</v>
      </c>
      <c r="U1468">
        <v>47</v>
      </c>
      <c r="V1468">
        <v>0</v>
      </c>
      <c r="W1468">
        <v>374.25</v>
      </c>
      <c r="X1468">
        <v>3095.39</v>
      </c>
      <c r="Y1468" t="s">
        <v>31</v>
      </c>
      <c r="Z1468" s="3">
        <v>871.38</v>
      </c>
      <c r="AA1468" t="s">
        <v>37</v>
      </c>
      <c r="AB1468" t="s">
        <v>42</v>
      </c>
      <c r="AC1468">
        <v>34.1</v>
      </c>
      <c r="AD1468" t="s">
        <v>43</v>
      </c>
      <c r="AE1468">
        <v>0</v>
      </c>
      <c r="AF1468">
        <v>0</v>
      </c>
    </row>
    <row r="1469" spans="3:32" x14ac:dyDescent="0.35">
      <c r="C1469" s="1">
        <v>44336</v>
      </c>
      <c r="D1469" s="2">
        <v>44317</v>
      </c>
      <c r="E1469">
        <v>1939</v>
      </c>
      <c r="F1469" s="3">
        <v>4331.97</v>
      </c>
      <c r="G1469" s="3">
        <v>2657.92</v>
      </c>
      <c r="H1469" s="3">
        <v>1674.05</v>
      </c>
      <c r="I1469" s="3">
        <v>0.61</v>
      </c>
      <c r="J1469">
        <v>0.23</v>
      </c>
      <c r="K1469">
        <v>3543.98</v>
      </c>
      <c r="L1469" t="s">
        <v>30</v>
      </c>
      <c r="M1469">
        <v>710</v>
      </c>
      <c r="N1469">
        <v>0.35</v>
      </c>
      <c r="O1469" s="3">
        <v>336.06</v>
      </c>
      <c r="P1469" s="3">
        <v>0.08</v>
      </c>
      <c r="Q1469" s="3">
        <v>488.54</v>
      </c>
      <c r="R1469" s="3">
        <v>0.11</v>
      </c>
      <c r="S1469">
        <v>5</v>
      </c>
      <c r="T1469">
        <v>1396.12</v>
      </c>
      <c r="U1469">
        <v>69</v>
      </c>
      <c r="V1469">
        <v>0</v>
      </c>
      <c r="W1469">
        <v>710.67</v>
      </c>
      <c r="X1469">
        <v>2073.34</v>
      </c>
      <c r="Y1469" t="s">
        <v>36</v>
      </c>
      <c r="Z1469" s="3">
        <v>1332.97</v>
      </c>
      <c r="AA1469" t="s">
        <v>37</v>
      </c>
      <c r="AB1469" t="s">
        <v>33</v>
      </c>
      <c r="AC1469">
        <v>99.5</v>
      </c>
      <c r="AD1469" t="s">
        <v>43</v>
      </c>
      <c r="AE1469">
        <v>1674.05</v>
      </c>
      <c r="AF1469">
        <v>0</v>
      </c>
    </row>
    <row r="1470" spans="3:32" x14ac:dyDescent="0.35">
      <c r="C1470" s="1">
        <v>44336</v>
      </c>
      <c r="D1470" s="2">
        <v>44317</v>
      </c>
      <c r="E1470">
        <v>1999</v>
      </c>
      <c r="F1470" s="3">
        <v>3294.98</v>
      </c>
      <c r="G1470" s="3">
        <v>3410.53</v>
      </c>
      <c r="H1470" s="3">
        <v>-115.55</v>
      </c>
      <c r="I1470" s="3">
        <v>1.04</v>
      </c>
      <c r="J1470">
        <v>0.28000000000000003</v>
      </c>
      <c r="K1470">
        <v>2859.43</v>
      </c>
      <c r="L1470" t="s">
        <v>39</v>
      </c>
      <c r="M1470">
        <v>757</v>
      </c>
      <c r="N1470">
        <v>0.51</v>
      </c>
      <c r="O1470" s="3">
        <v>436.89</v>
      </c>
      <c r="P1470" s="3">
        <v>0.13</v>
      </c>
      <c r="Q1470" s="3">
        <v>449.3</v>
      </c>
      <c r="R1470" s="3">
        <v>0.14000000000000001</v>
      </c>
      <c r="S1470">
        <v>1</v>
      </c>
      <c r="T1470">
        <v>1335.86</v>
      </c>
      <c r="U1470">
        <v>27</v>
      </c>
      <c r="V1470">
        <v>0</v>
      </c>
      <c r="W1470">
        <v>280.83</v>
      </c>
      <c r="X1470">
        <v>2369.41</v>
      </c>
      <c r="Y1470" t="s">
        <v>36</v>
      </c>
      <c r="Z1470" s="3">
        <v>1498.07</v>
      </c>
      <c r="AA1470" t="s">
        <v>50</v>
      </c>
      <c r="AB1470" t="s">
        <v>33</v>
      </c>
      <c r="AC1470">
        <v>56.1</v>
      </c>
      <c r="AD1470" t="s">
        <v>34</v>
      </c>
      <c r="AE1470">
        <v>0</v>
      </c>
      <c r="AF1470">
        <v>0</v>
      </c>
    </row>
    <row r="1471" spans="3:32" x14ac:dyDescent="0.35">
      <c r="C1471" s="1">
        <v>44336</v>
      </c>
      <c r="D1471" s="2">
        <v>44317</v>
      </c>
      <c r="E1471">
        <v>1993</v>
      </c>
      <c r="F1471" s="3">
        <v>4343.6499999999996</v>
      </c>
      <c r="G1471" s="3">
        <v>3986.25</v>
      </c>
      <c r="H1471" s="3">
        <v>357.4</v>
      </c>
      <c r="I1471" s="3">
        <v>0.92</v>
      </c>
      <c r="J1471">
        <v>0.34</v>
      </c>
      <c r="K1471">
        <v>3611.01</v>
      </c>
      <c r="L1471" t="s">
        <v>39</v>
      </c>
      <c r="M1471">
        <v>669</v>
      </c>
      <c r="N1471">
        <v>0.37</v>
      </c>
      <c r="O1471" s="3">
        <v>450.61</v>
      </c>
      <c r="P1471" s="3">
        <v>0.1</v>
      </c>
      <c r="Q1471" s="3">
        <v>415.11</v>
      </c>
      <c r="R1471" s="3">
        <v>0.1</v>
      </c>
      <c r="S1471">
        <v>1</v>
      </c>
      <c r="T1471">
        <v>339.21</v>
      </c>
      <c r="U1471">
        <v>63</v>
      </c>
      <c r="V1471">
        <v>0</v>
      </c>
      <c r="W1471">
        <v>417.59</v>
      </c>
      <c r="X1471">
        <v>1000</v>
      </c>
      <c r="Y1471" t="s">
        <v>36</v>
      </c>
      <c r="Z1471" s="3">
        <v>787.34</v>
      </c>
      <c r="AA1471" t="s">
        <v>32</v>
      </c>
      <c r="AB1471" t="s">
        <v>42</v>
      </c>
      <c r="AC1471">
        <v>17.399999999999999</v>
      </c>
      <c r="AD1471" t="s">
        <v>38</v>
      </c>
      <c r="AE1471">
        <v>357.4</v>
      </c>
      <c r="AF1471">
        <v>0</v>
      </c>
    </row>
    <row r="1472" spans="3:32" x14ac:dyDescent="0.35">
      <c r="C1472" s="1">
        <v>44336</v>
      </c>
      <c r="D1472" s="2">
        <v>44317</v>
      </c>
      <c r="E1472">
        <v>1770</v>
      </c>
      <c r="F1472" s="3">
        <v>4092.78</v>
      </c>
      <c r="G1472" s="3">
        <v>2170.1</v>
      </c>
      <c r="H1472" s="3">
        <v>1922.68</v>
      </c>
      <c r="I1472" s="3">
        <v>0.53</v>
      </c>
      <c r="J1472">
        <v>0.25</v>
      </c>
      <c r="K1472">
        <v>2732.78</v>
      </c>
      <c r="L1472" t="s">
        <v>39</v>
      </c>
      <c r="M1472">
        <v>775</v>
      </c>
      <c r="N1472">
        <v>0.46</v>
      </c>
      <c r="O1472" s="3">
        <v>636.61</v>
      </c>
      <c r="P1472" s="3">
        <v>0.16</v>
      </c>
      <c r="Q1472" s="3">
        <v>261.25</v>
      </c>
      <c r="R1472" s="3">
        <v>0.06</v>
      </c>
      <c r="S1472">
        <v>7</v>
      </c>
      <c r="T1472">
        <v>0</v>
      </c>
      <c r="U1472">
        <v>53</v>
      </c>
      <c r="V1472">
        <v>0</v>
      </c>
      <c r="W1472">
        <v>490.89</v>
      </c>
      <c r="X1472">
        <v>2090.77</v>
      </c>
      <c r="Y1472" t="s">
        <v>36</v>
      </c>
      <c r="Z1472" s="3">
        <v>1402.29</v>
      </c>
      <c r="AA1472" t="s">
        <v>51</v>
      </c>
      <c r="AB1472" t="s">
        <v>42</v>
      </c>
      <c r="AC1472">
        <v>0.5</v>
      </c>
      <c r="AD1472" t="s">
        <v>38</v>
      </c>
      <c r="AE1472">
        <v>1922.68</v>
      </c>
      <c r="AF1472">
        <v>0</v>
      </c>
    </row>
    <row r="1473" spans="3:32" x14ac:dyDescent="0.35">
      <c r="C1473" s="1">
        <v>44336</v>
      </c>
      <c r="D1473" s="2">
        <v>44317</v>
      </c>
      <c r="E1473">
        <v>1170</v>
      </c>
      <c r="F1473" s="3">
        <v>6765.29</v>
      </c>
      <c r="G1473" s="3">
        <v>3730.73</v>
      </c>
      <c r="H1473" s="3">
        <v>3034.56</v>
      </c>
      <c r="I1473" s="3">
        <v>0.55000000000000004</v>
      </c>
      <c r="J1473">
        <v>0.19</v>
      </c>
      <c r="K1473">
        <v>2929.86</v>
      </c>
      <c r="L1473" t="s">
        <v>35</v>
      </c>
      <c r="M1473">
        <v>695</v>
      </c>
      <c r="N1473">
        <v>0.28000000000000003</v>
      </c>
      <c r="O1473" s="3">
        <v>469.69</v>
      </c>
      <c r="P1473" s="3">
        <v>7.0000000000000007E-2</v>
      </c>
      <c r="Q1473" s="3">
        <v>675.44</v>
      </c>
      <c r="R1473" s="3">
        <v>0.1</v>
      </c>
      <c r="S1473">
        <v>6</v>
      </c>
      <c r="T1473">
        <v>587.79999999999995</v>
      </c>
      <c r="U1473">
        <v>38</v>
      </c>
      <c r="V1473">
        <v>0</v>
      </c>
      <c r="W1473">
        <v>283.02</v>
      </c>
      <c r="X1473">
        <v>2108.7199999999998</v>
      </c>
      <c r="Y1473" t="s">
        <v>49</v>
      </c>
      <c r="Z1473" s="3">
        <v>1131.3699999999999</v>
      </c>
      <c r="AA1473" t="s">
        <v>51</v>
      </c>
      <c r="AB1473" t="s">
        <v>42</v>
      </c>
      <c r="AC1473">
        <v>25.9</v>
      </c>
      <c r="AD1473" t="s">
        <v>38</v>
      </c>
      <c r="AE1473">
        <v>3034.56</v>
      </c>
      <c r="AF1473">
        <v>1</v>
      </c>
    </row>
    <row r="1474" spans="3:32" x14ac:dyDescent="0.35">
      <c r="C1474" s="1">
        <v>44336</v>
      </c>
      <c r="D1474" s="2">
        <v>44317</v>
      </c>
      <c r="E1474">
        <v>1210</v>
      </c>
      <c r="F1474" s="3">
        <v>5437.7</v>
      </c>
      <c r="G1474" s="3">
        <v>3823.37</v>
      </c>
      <c r="H1474" s="3">
        <v>1614.33</v>
      </c>
      <c r="I1474" s="3">
        <v>0.7</v>
      </c>
      <c r="J1474">
        <v>0.38</v>
      </c>
      <c r="K1474">
        <v>2935.26</v>
      </c>
      <c r="L1474" t="s">
        <v>35</v>
      </c>
      <c r="M1474">
        <v>703</v>
      </c>
      <c r="N1474">
        <v>0.6</v>
      </c>
      <c r="O1474" s="3">
        <v>848.4</v>
      </c>
      <c r="P1474" s="3">
        <v>0.16</v>
      </c>
      <c r="Q1474" s="3">
        <v>220</v>
      </c>
      <c r="R1474" s="3">
        <v>0.04</v>
      </c>
      <c r="S1474">
        <v>8</v>
      </c>
      <c r="T1474">
        <v>490.42</v>
      </c>
      <c r="U1474">
        <v>36</v>
      </c>
      <c r="V1474">
        <v>0</v>
      </c>
      <c r="W1474">
        <v>316.42</v>
      </c>
      <c r="X1474">
        <v>2391.4899999999998</v>
      </c>
      <c r="Y1474" t="s">
        <v>36</v>
      </c>
      <c r="Z1474" s="3">
        <v>1591.37</v>
      </c>
      <c r="AA1474" t="s">
        <v>37</v>
      </c>
      <c r="AB1474" t="s">
        <v>33</v>
      </c>
      <c r="AC1474">
        <v>46.4</v>
      </c>
      <c r="AD1474" t="s">
        <v>43</v>
      </c>
      <c r="AE1474">
        <v>1614.33</v>
      </c>
      <c r="AF1474">
        <v>0</v>
      </c>
    </row>
    <row r="1475" spans="3:32" x14ac:dyDescent="0.35">
      <c r="C1475" s="1">
        <v>44336</v>
      </c>
      <c r="D1475" s="2">
        <v>44317</v>
      </c>
      <c r="E1475">
        <v>1100</v>
      </c>
      <c r="F1475" s="3">
        <v>2507.5100000000002</v>
      </c>
      <c r="G1475" s="3">
        <v>3366.3</v>
      </c>
      <c r="H1475" s="3">
        <v>-858.79</v>
      </c>
      <c r="I1475" s="3">
        <v>1.34</v>
      </c>
      <c r="J1475">
        <v>0.13</v>
      </c>
      <c r="K1475">
        <v>2304.5</v>
      </c>
      <c r="L1475" t="s">
        <v>39</v>
      </c>
      <c r="M1475">
        <v>696</v>
      </c>
      <c r="N1475">
        <v>0.54</v>
      </c>
      <c r="O1475" s="3">
        <v>535.16</v>
      </c>
      <c r="P1475" s="3">
        <v>0.21</v>
      </c>
      <c r="Q1475" s="3">
        <v>10.7</v>
      </c>
      <c r="R1475" s="3">
        <v>0</v>
      </c>
      <c r="S1475">
        <v>2</v>
      </c>
      <c r="T1475">
        <v>2086.0700000000002</v>
      </c>
      <c r="U1475">
        <v>92</v>
      </c>
      <c r="V1475">
        <v>0</v>
      </c>
      <c r="W1475">
        <v>533.04</v>
      </c>
      <c r="X1475">
        <v>1273.83</v>
      </c>
      <c r="Y1475" t="s">
        <v>31</v>
      </c>
      <c r="Z1475" s="3">
        <v>1182.6500000000001</v>
      </c>
      <c r="AA1475" t="s">
        <v>47</v>
      </c>
      <c r="AB1475" t="s">
        <v>33</v>
      </c>
      <c r="AC1475">
        <v>14.3</v>
      </c>
      <c r="AD1475" t="s">
        <v>34</v>
      </c>
      <c r="AE1475">
        <v>0</v>
      </c>
      <c r="AF1475">
        <v>0</v>
      </c>
    </row>
    <row r="1476" spans="3:32" x14ac:dyDescent="0.35">
      <c r="C1476" s="1">
        <v>44336</v>
      </c>
      <c r="D1476" s="2">
        <v>44317</v>
      </c>
      <c r="E1476">
        <v>1999</v>
      </c>
      <c r="F1476" s="3">
        <v>4511.83</v>
      </c>
      <c r="G1476" s="3">
        <v>3233.72</v>
      </c>
      <c r="H1476" s="3">
        <v>1278.1099999999999</v>
      </c>
      <c r="I1476" s="3">
        <v>0.72</v>
      </c>
      <c r="J1476">
        <v>0.3</v>
      </c>
      <c r="K1476">
        <v>2771.39</v>
      </c>
      <c r="L1476" t="s">
        <v>35</v>
      </c>
      <c r="M1476">
        <v>626</v>
      </c>
      <c r="N1476">
        <v>0.17</v>
      </c>
      <c r="O1476" s="3">
        <v>545.89</v>
      </c>
      <c r="P1476" s="3">
        <v>0.12</v>
      </c>
      <c r="Q1476" s="3">
        <v>320.97000000000003</v>
      </c>
      <c r="R1476" s="3">
        <v>7.0000000000000007E-2</v>
      </c>
      <c r="S1476">
        <v>1</v>
      </c>
      <c r="T1476">
        <v>1196.3</v>
      </c>
      <c r="U1476">
        <v>71</v>
      </c>
      <c r="V1476">
        <v>0</v>
      </c>
      <c r="W1476">
        <v>742.36</v>
      </c>
      <c r="X1476">
        <v>2255.2800000000002</v>
      </c>
      <c r="Y1476" t="s">
        <v>49</v>
      </c>
      <c r="Z1476" s="3">
        <v>1021.9</v>
      </c>
      <c r="AA1476" t="s">
        <v>41</v>
      </c>
      <c r="AB1476" t="s">
        <v>33</v>
      </c>
      <c r="AC1476">
        <v>71.2</v>
      </c>
      <c r="AD1476" t="s">
        <v>38</v>
      </c>
      <c r="AE1476">
        <v>1278.1099999999999</v>
      </c>
      <c r="AF1476">
        <v>0</v>
      </c>
    </row>
    <row r="1477" spans="3:32" x14ac:dyDescent="0.35">
      <c r="C1477" s="1">
        <v>44336</v>
      </c>
      <c r="D1477" s="2">
        <v>44317</v>
      </c>
      <c r="E1477">
        <v>1402</v>
      </c>
      <c r="F1477" s="3">
        <v>4191.84</v>
      </c>
      <c r="G1477" s="3">
        <v>3619.19</v>
      </c>
      <c r="H1477" s="3">
        <v>572.65</v>
      </c>
      <c r="I1477" s="3">
        <v>0.86</v>
      </c>
      <c r="J1477">
        <v>0.31</v>
      </c>
      <c r="K1477">
        <v>2389.4499999999998</v>
      </c>
      <c r="L1477" t="s">
        <v>35</v>
      </c>
      <c r="M1477">
        <v>620</v>
      </c>
      <c r="N1477">
        <v>0.48</v>
      </c>
      <c r="O1477" s="3">
        <v>541.70000000000005</v>
      </c>
      <c r="P1477" s="3">
        <v>0.13</v>
      </c>
      <c r="Q1477" s="3">
        <v>151.97</v>
      </c>
      <c r="R1477" s="3">
        <v>0.04</v>
      </c>
      <c r="S1477">
        <v>8</v>
      </c>
      <c r="T1477">
        <v>1406.53</v>
      </c>
      <c r="U1477">
        <v>74</v>
      </c>
      <c r="V1477">
        <v>0</v>
      </c>
      <c r="W1477">
        <v>333.91</v>
      </c>
      <c r="X1477">
        <v>1731.74</v>
      </c>
      <c r="Y1477" t="s">
        <v>36</v>
      </c>
      <c r="Z1477" s="3">
        <v>1013.94</v>
      </c>
      <c r="AA1477" t="s">
        <v>37</v>
      </c>
      <c r="AB1477" t="s">
        <v>42</v>
      </c>
      <c r="AC1477">
        <v>37.4</v>
      </c>
      <c r="AD1477" t="s">
        <v>34</v>
      </c>
      <c r="AE1477">
        <v>572.65</v>
      </c>
      <c r="AF1477">
        <v>0</v>
      </c>
    </row>
    <row r="1478" spans="3:32" x14ac:dyDescent="0.35">
      <c r="C1478" s="1">
        <v>44336</v>
      </c>
      <c r="D1478" s="2">
        <v>44317</v>
      </c>
      <c r="E1478">
        <v>1222</v>
      </c>
      <c r="F1478" s="3">
        <v>2599.5500000000002</v>
      </c>
      <c r="G1478" s="3">
        <v>3789.75</v>
      </c>
      <c r="H1478" s="3">
        <v>-1190.2</v>
      </c>
      <c r="I1478" s="3">
        <v>1.46</v>
      </c>
      <c r="J1478">
        <v>0.33</v>
      </c>
      <c r="K1478">
        <v>3159.22</v>
      </c>
      <c r="L1478" t="s">
        <v>35</v>
      </c>
      <c r="M1478">
        <v>661</v>
      </c>
      <c r="N1478">
        <v>0.54</v>
      </c>
      <c r="O1478" s="3">
        <v>711.83</v>
      </c>
      <c r="P1478" s="3">
        <v>0.27</v>
      </c>
      <c r="Q1478" s="3">
        <v>613.67999999999995</v>
      </c>
      <c r="R1478" s="3">
        <v>0.24</v>
      </c>
      <c r="S1478">
        <v>6</v>
      </c>
      <c r="T1478">
        <v>1012.33</v>
      </c>
      <c r="U1478">
        <v>43</v>
      </c>
      <c r="V1478">
        <v>0</v>
      </c>
      <c r="W1478">
        <v>566.23</v>
      </c>
      <c r="X1478">
        <v>2455.42</v>
      </c>
      <c r="Y1478" t="s">
        <v>36</v>
      </c>
      <c r="Z1478" s="3">
        <v>863.18</v>
      </c>
      <c r="AA1478" t="s">
        <v>45</v>
      </c>
      <c r="AB1478" t="s">
        <v>33</v>
      </c>
      <c r="AC1478">
        <v>17.399999999999999</v>
      </c>
      <c r="AD1478" t="s">
        <v>34</v>
      </c>
      <c r="AE1478">
        <v>0</v>
      </c>
      <c r="AF1478">
        <v>0</v>
      </c>
    </row>
    <row r="1479" spans="3:32" x14ac:dyDescent="0.35">
      <c r="C1479" s="1">
        <v>44336</v>
      </c>
      <c r="D1479" s="2">
        <v>44317</v>
      </c>
      <c r="E1479">
        <v>1540</v>
      </c>
      <c r="F1479" s="3">
        <v>4289.3500000000004</v>
      </c>
      <c r="G1479" s="3">
        <v>1883.55</v>
      </c>
      <c r="H1479" s="3">
        <v>2405.8000000000002</v>
      </c>
      <c r="I1479" s="3">
        <v>0.44</v>
      </c>
      <c r="J1479">
        <v>0.36</v>
      </c>
      <c r="K1479">
        <v>2570.89</v>
      </c>
      <c r="L1479" t="s">
        <v>39</v>
      </c>
      <c r="M1479">
        <v>725</v>
      </c>
      <c r="N1479">
        <v>0.49</v>
      </c>
      <c r="O1479" s="3">
        <v>596.78</v>
      </c>
      <c r="P1479" s="3">
        <v>0.14000000000000001</v>
      </c>
      <c r="Q1479" s="3">
        <v>617.49</v>
      </c>
      <c r="R1479" s="3">
        <v>0.14000000000000001</v>
      </c>
      <c r="S1479">
        <v>5</v>
      </c>
      <c r="T1479">
        <v>1321.22</v>
      </c>
      <c r="U1479">
        <v>87</v>
      </c>
      <c r="V1479">
        <v>0</v>
      </c>
      <c r="W1479">
        <v>172.05</v>
      </c>
      <c r="X1479">
        <v>3274.46</v>
      </c>
      <c r="Y1479" t="s">
        <v>36</v>
      </c>
      <c r="Z1479" s="3">
        <v>991.98</v>
      </c>
      <c r="AA1479" t="s">
        <v>51</v>
      </c>
      <c r="AB1479" t="s">
        <v>33</v>
      </c>
      <c r="AC1479">
        <v>41.9</v>
      </c>
      <c r="AD1479" t="s">
        <v>43</v>
      </c>
      <c r="AE1479">
        <v>2405.8000000000002</v>
      </c>
      <c r="AF1479">
        <v>0</v>
      </c>
    </row>
    <row r="1480" spans="3:32" x14ac:dyDescent="0.35">
      <c r="C1480" s="1">
        <v>44336</v>
      </c>
      <c r="D1480" s="2">
        <v>44317</v>
      </c>
      <c r="E1480">
        <v>1533</v>
      </c>
      <c r="F1480" s="3">
        <v>4845.09</v>
      </c>
      <c r="G1480" s="3">
        <v>3014.68</v>
      </c>
      <c r="H1480" s="3">
        <v>1830.41</v>
      </c>
      <c r="I1480" s="3">
        <v>0.62</v>
      </c>
      <c r="J1480">
        <v>0.39</v>
      </c>
      <c r="K1480">
        <v>2727.51</v>
      </c>
      <c r="L1480" t="s">
        <v>35</v>
      </c>
      <c r="M1480">
        <v>727</v>
      </c>
      <c r="N1480">
        <v>0.38</v>
      </c>
      <c r="O1480" s="3">
        <v>853.23</v>
      </c>
      <c r="P1480" s="3">
        <v>0.18</v>
      </c>
      <c r="Q1480" s="3">
        <v>459.05</v>
      </c>
      <c r="R1480" s="3">
        <v>0.09</v>
      </c>
      <c r="S1480">
        <v>9</v>
      </c>
      <c r="T1480">
        <v>1105.21</v>
      </c>
      <c r="U1480">
        <v>79</v>
      </c>
      <c r="V1480">
        <v>0</v>
      </c>
      <c r="W1480">
        <v>803.94</v>
      </c>
      <c r="X1480">
        <v>1677.34</v>
      </c>
      <c r="Y1480" t="s">
        <v>49</v>
      </c>
      <c r="Z1480" s="3">
        <v>1198.73</v>
      </c>
      <c r="AA1480" t="s">
        <v>47</v>
      </c>
      <c r="AB1480" t="s">
        <v>44</v>
      </c>
      <c r="AC1480">
        <v>80</v>
      </c>
      <c r="AD1480" t="s">
        <v>34</v>
      </c>
      <c r="AE1480">
        <v>1830.41</v>
      </c>
      <c r="AF1480">
        <v>0</v>
      </c>
    </row>
    <row r="1481" spans="3:32" x14ac:dyDescent="0.35">
      <c r="C1481" s="1">
        <v>44336</v>
      </c>
      <c r="D1481" s="2">
        <v>44317</v>
      </c>
      <c r="E1481">
        <v>1929</v>
      </c>
      <c r="F1481" s="3">
        <v>2557.58</v>
      </c>
      <c r="G1481" s="3">
        <v>3116.78</v>
      </c>
      <c r="H1481" s="3">
        <v>-559.20000000000005</v>
      </c>
      <c r="I1481" s="3">
        <v>1.22</v>
      </c>
      <c r="J1481">
        <v>0.06</v>
      </c>
      <c r="K1481">
        <v>2115.2600000000002</v>
      </c>
      <c r="L1481" t="s">
        <v>39</v>
      </c>
      <c r="M1481">
        <v>685</v>
      </c>
      <c r="N1481">
        <v>0.47</v>
      </c>
      <c r="O1481" s="3">
        <v>517.01</v>
      </c>
      <c r="P1481" s="3">
        <v>0.2</v>
      </c>
      <c r="Q1481" s="3">
        <v>371.61</v>
      </c>
      <c r="R1481" s="3">
        <v>0.15</v>
      </c>
      <c r="S1481">
        <v>2</v>
      </c>
      <c r="T1481">
        <v>1223.6400000000001</v>
      </c>
      <c r="U1481">
        <v>33</v>
      </c>
      <c r="V1481">
        <v>0</v>
      </c>
      <c r="W1481">
        <v>647.54</v>
      </c>
      <c r="X1481">
        <v>2443.87</v>
      </c>
      <c r="Y1481" t="s">
        <v>36</v>
      </c>
      <c r="Z1481" s="3">
        <v>1127.0899999999999</v>
      </c>
      <c r="AA1481" t="s">
        <v>46</v>
      </c>
      <c r="AB1481" t="s">
        <v>42</v>
      </c>
      <c r="AC1481">
        <v>37.200000000000003</v>
      </c>
      <c r="AD1481" t="s">
        <v>34</v>
      </c>
      <c r="AE1481">
        <v>0</v>
      </c>
      <c r="AF1481">
        <v>0</v>
      </c>
    </row>
    <row r="1482" spans="3:32" x14ac:dyDescent="0.35">
      <c r="C1482" s="1">
        <v>44336</v>
      </c>
      <c r="D1482" s="2">
        <v>44317</v>
      </c>
      <c r="E1482">
        <v>1627</v>
      </c>
      <c r="F1482" s="3">
        <v>2435.41</v>
      </c>
      <c r="G1482" s="3">
        <v>2695.54</v>
      </c>
      <c r="H1482" s="3">
        <v>-260.13</v>
      </c>
      <c r="I1482" s="3">
        <v>1.1100000000000001</v>
      </c>
      <c r="J1482">
        <v>0.06</v>
      </c>
      <c r="K1482">
        <v>2527.42</v>
      </c>
      <c r="L1482" t="s">
        <v>35</v>
      </c>
      <c r="M1482">
        <v>692</v>
      </c>
      <c r="N1482">
        <v>0.31</v>
      </c>
      <c r="O1482" s="3">
        <v>745.68</v>
      </c>
      <c r="P1482" s="3">
        <v>0.31</v>
      </c>
      <c r="Q1482" s="3">
        <v>394.69</v>
      </c>
      <c r="R1482" s="3">
        <v>0.16</v>
      </c>
      <c r="S1482">
        <v>4</v>
      </c>
      <c r="T1482">
        <v>1314.19</v>
      </c>
      <c r="U1482">
        <v>46</v>
      </c>
      <c r="V1482">
        <v>0</v>
      </c>
      <c r="W1482">
        <v>332.73</v>
      </c>
      <c r="X1482">
        <v>2472.63</v>
      </c>
      <c r="Y1482" t="s">
        <v>36</v>
      </c>
      <c r="Z1482" s="3">
        <v>1311.05</v>
      </c>
      <c r="AA1482" t="s">
        <v>32</v>
      </c>
      <c r="AB1482" t="s">
        <v>44</v>
      </c>
      <c r="AC1482">
        <v>25.2</v>
      </c>
      <c r="AD1482" t="s">
        <v>38</v>
      </c>
      <c r="AE1482">
        <v>0</v>
      </c>
      <c r="AF1482">
        <v>0</v>
      </c>
    </row>
    <row r="1483" spans="3:32" x14ac:dyDescent="0.35">
      <c r="C1483" s="1">
        <v>44336</v>
      </c>
      <c r="D1483" s="2">
        <v>44317</v>
      </c>
      <c r="E1483">
        <v>1077</v>
      </c>
      <c r="F1483" s="3">
        <v>3989.19</v>
      </c>
      <c r="G1483" s="3">
        <v>2281.7399999999998</v>
      </c>
      <c r="H1483" s="3">
        <v>1707.45</v>
      </c>
      <c r="I1483" s="3">
        <v>0.56999999999999995</v>
      </c>
      <c r="J1483">
        <v>0.18</v>
      </c>
      <c r="K1483">
        <v>3204.29</v>
      </c>
      <c r="L1483" t="s">
        <v>35</v>
      </c>
      <c r="M1483">
        <v>655</v>
      </c>
      <c r="N1483">
        <v>0.31</v>
      </c>
      <c r="O1483" s="3">
        <v>350.61</v>
      </c>
      <c r="P1483" s="3">
        <v>0.09</v>
      </c>
      <c r="Q1483" s="3">
        <v>610.64</v>
      </c>
      <c r="R1483" s="3">
        <v>0.15</v>
      </c>
      <c r="S1483">
        <v>6</v>
      </c>
      <c r="T1483">
        <v>1244.17</v>
      </c>
      <c r="U1483">
        <v>65</v>
      </c>
      <c r="V1483">
        <v>0</v>
      </c>
      <c r="W1483">
        <v>360.17</v>
      </c>
      <c r="X1483">
        <v>1888.61</v>
      </c>
      <c r="Y1483" t="s">
        <v>36</v>
      </c>
      <c r="Z1483" s="3">
        <v>1843.39</v>
      </c>
      <c r="AA1483" t="s">
        <v>51</v>
      </c>
      <c r="AB1483" t="s">
        <v>33</v>
      </c>
      <c r="AC1483">
        <v>82.3</v>
      </c>
      <c r="AD1483" t="s">
        <v>34</v>
      </c>
      <c r="AE1483">
        <v>1707.45</v>
      </c>
      <c r="AF1483">
        <v>0</v>
      </c>
    </row>
    <row r="1484" spans="3:32" x14ac:dyDescent="0.35">
      <c r="C1484" s="1">
        <v>44336</v>
      </c>
      <c r="D1484" s="2">
        <v>44317</v>
      </c>
      <c r="E1484">
        <v>1581</v>
      </c>
      <c r="F1484" s="3">
        <v>1024.42</v>
      </c>
      <c r="G1484" s="3">
        <v>2498.8000000000002</v>
      </c>
      <c r="H1484" s="3">
        <v>-1474.38</v>
      </c>
      <c r="I1484" s="3">
        <v>2.44</v>
      </c>
      <c r="J1484">
        <v>0.32</v>
      </c>
      <c r="K1484">
        <v>2382.2399999999998</v>
      </c>
      <c r="L1484" t="s">
        <v>39</v>
      </c>
      <c r="M1484">
        <v>660</v>
      </c>
      <c r="N1484">
        <v>0.22</v>
      </c>
      <c r="O1484" s="3">
        <v>521.61</v>
      </c>
      <c r="P1484" s="3">
        <v>0.51</v>
      </c>
      <c r="Q1484" s="3">
        <v>104.59</v>
      </c>
      <c r="R1484" s="3">
        <v>0.1</v>
      </c>
      <c r="S1484">
        <v>3</v>
      </c>
      <c r="T1484">
        <v>488.82</v>
      </c>
      <c r="U1484">
        <v>22</v>
      </c>
      <c r="V1484">
        <v>0</v>
      </c>
      <c r="W1484">
        <v>263.01</v>
      </c>
      <c r="X1484">
        <v>1919.07</v>
      </c>
      <c r="Y1484" t="s">
        <v>36</v>
      </c>
      <c r="Z1484" s="3">
        <v>1113.3399999999999</v>
      </c>
      <c r="AA1484" t="s">
        <v>40</v>
      </c>
      <c r="AB1484" t="s">
        <v>42</v>
      </c>
      <c r="AC1484">
        <v>6.1</v>
      </c>
      <c r="AD1484" t="s">
        <v>34</v>
      </c>
      <c r="AE1484">
        <v>0</v>
      </c>
      <c r="AF1484">
        <v>0</v>
      </c>
    </row>
    <row r="1485" spans="3:32" x14ac:dyDescent="0.35">
      <c r="C1485" s="1">
        <v>44336</v>
      </c>
      <c r="D1485" s="2">
        <v>44317</v>
      </c>
      <c r="E1485">
        <v>1196</v>
      </c>
      <c r="F1485" s="3">
        <v>3260.1</v>
      </c>
      <c r="G1485" s="3">
        <v>3222.86</v>
      </c>
      <c r="H1485" s="3">
        <v>37.24</v>
      </c>
      <c r="I1485" s="3">
        <v>0.99</v>
      </c>
      <c r="J1485">
        <v>0.3</v>
      </c>
      <c r="K1485">
        <v>2911.17</v>
      </c>
      <c r="L1485" t="s">
        <v>35</v>
      </c>
      <c r="M1485">
        <v>755</v>
      </c>
      <c r="N1485">
        <v>0.18</v>
      </c>
      <c r="O1485" s="3">
        <v>524.16999999999996</v>
      </c>
      <c r="P1485" s="3">
        <v>0.16</v>
      </c>
      <c r="Q1485" s="3">
        <v>399.3</v>
      </c>
      <c r="R1485" s="3">
        <v>0.12</v>
      </c>
      <c r="S1485">
        <v>6</v>
      </c>
      <c r="T1485">
        <v>488.06</v>
      </c>
      <c r="U1485">
        <v>95</v>
      </c>
      <c r="V1485">
        <v>0</v>
      </c>
      <c r="W1485">
        <v>324.37</v>
      </c>
      <c r="X1485">
        <v>2662.79</v>
      </c>
      <c r="Y1485" t="s">
        <v>36</v>
      </c>
      <c r="Z1485" s="3">
        <v>1377.67</v>
      </c>
      <c r="AA1485" t="s">
        <v>46</v>
      </c>
      <c r="AB1485" t="s">
        <v>42</v>
      </c>
      <c r="AC1485">
        <v>2.6</v>
      </c>
      <c r="AD1485" t="s">
        <v>34</v>
      </c>
      <c r="AE1485">
        <v>37.24</v>
      </c>
      <c r="AF1485">
        <v>0</v>
      </c>
    </row>
    <row r="1486" spans="3:32" x14ac:dyDescent="0.35">
      <c r="C1486" s="1">
        <v>44336</v>
      </c>
      <c r="D1486" s="2">
        <v>44317</v>
      </c>
      <c r="E1486">
        <v>1140</v>
      </c>
      <c r="F1486" s="3">
        <v>5916.09</v>
      </c>
      <c r="G1486" s="3">
        <v>2101.5</v>
      </c>
      <c r="H1486" s="3">
        <v>3814.59</v>
      </c>
      <c r="I1486" s="3">
        <v>0.36</v>
      </c>
      <c r="J1486">
        <v>0.21</v>
      </c>
      <c r="K1486">
        <v>2597.5700000000002</v>
      </c>
      <c r="L1486" t="s">
        <v>30</v>
      </c>
      <c r="M1486">
        <v>643</v>
      </c>
      <c r="N1486">
        <v>0.23</v>
      </c>
      <c r="O1486" s="3">
        <v>520.76</v>
      </c>
      <c r="P1486" s="3">
        <v>0.09</v>
      </c>
      <c r="Q1486" s="3">
        <v>297.99</v>
      </c>
      <c r="R1486" s="3">
        <v>0.05</v>
      </c>
      <c r="S1486">
        <v>3</v>
      </c>
      <c r="T1486">
        <v>319.74</v>
      </c>
      <c r="U1486">
        <v>77</v>
      </c>
      <c r="V1486">
        <v>0</v>
      </c>
      <c r="W1486">
        <v>564.99</v>
      </c>
      <c r="X1486">
        <v>2153.4699999999998</v>
      </c>
      <c r="Y1486" t="s">
        <v>36</v>
      </c>
      <c r="Z1486" s="3">
        <v>1300.04</v>
      </c>
      <c r="AA1486" t="s">
        <v>50</v>
      </c>
      <c r="AB1486" t="s">
        <v>33</v>
      </c>
      <c r="AC1486">
        <v>3.7</v>
      </c>
      <c r="AD1486" t="s">
        <v>34</v>
      </c>
      <c r="AE1486">
        <v>3814.59</v>
      </c>
      <c r="AF1486">
        <v>1</v>
      </c>
    </row>
    <row r="1487" spans="3:32" x14ac:dyDescent="0.35">
      <c r="C1487" s="1">
        <v>44336</v>
      </c>
      <c r="D1487" s="2">
        <v>44317</v>
      </c>
      <c r="E1487">
        <v>1623</v>
      </c>
      <c r="F1487" s="3">
        <v>7382.84</v>
      </c>
      <c r="G1487" s="3">
        <v>2688.05</v>
      </c>
      <c r="H1487" s="3">
        <v>4694.79</v>
      </c>
      <c r="I1487" s="3">
        <v>0.36</v>
      </c>
      <c r="J1487">
        <v>0.15</v>
      </c>
      <c r="K1487">
        <v>3337.38</v>
      </c>
      <c r="L1487" t="s">
        <v>39</v>
      </c>
      <c r="M1487">
        <v>691</v>
      </c>
      <c r="N1487">
        <v>0.51</v>
      </c>
      <c r="O1487" s="3">
        <v>710.41</v>
      </c>
      <c r="P1487" s="3">
        <v>0.1</v>
      </c>
      <c r="Q1487" s="3">
        <v>414.45</v>
      </c>
      <c r="R1487" s="3">
        <v>0.06</v>
      </c>
      <c r="S1487">
        <v>1</v>
      </c>
      <c r="T1487">
        <v>218.98</v>
      </c>
      <c r="U1487">
        <v>26</v>
      </c>
      <c r="V1487">
        <v>0</v>
      </c>
      <c r="W1487">
        <v>174.72</v>
      </c>
      <c r="X1487">
        <v>3173.19</v>
      </c>
      <c r="Y1487" t="s">
        <v>36</v>
      </c>
      <c r="Z1487" s="3">
        <v>1382.94</v>
      </c>
      <c r="AA1487" t="s">
        <v>51</v>
      </c>
      <c r="AB1487" t="s">
        <v>44</v>
      </c>
      <c r="AC1487">
        <v>39.6</v>
      </c>
      <c r="AD1487" t="s">
        <v>38</v>
      </c>
      <c r="AE1487">
        <v>4694.79</v>
      </c>
      <c r="AF1487">
        <v>1</v>
      </c>
    </row>
    <row r="1488" spans="3:32" x14ac:dyDescent="0.35">
      <c r="C1488" s="1">
        <v>44336</v>
      </c>
      <c r="D1488" s="2">
        <v>44317</v>
      </c>
      <c r="E1488">
        <v>1612</v>
      </c>
      <c r="F1488" s="3">
        <v>3046.87</v>
      </c>
      <c r="G1488" s="3">
        <v>1118.74</v>
      </c>
      <c r="H1488" s="3">
        <v>1928.13</v>
      </c>
      <c r="I1488" s="3">
        <v>0.37</v>
      </c>
      <c r="J1488">
        <v>0.06</v>
      </c>
      <c r="K1488">
        <v>3262.97</v>
      </c>
      <c r="L1488" t="s">
        <v>35</v>
      </c>
      <c r="M1488">
        <v>677</v>
      </c>
      <c r="N1488">
        <v>0.13</v>
      </c>
      <c r="O1488" s="3">
        <v>726.88</v>
      </c>
      <c r="P1488" s="3">
        <v>0.24</v>
      </c>
      <c r="Q1488" s="3">
        <v>667.63</v>
      </c>
      <c r="R1488" s="3">
        <v>0.22</v>
      </c>
      <c r="S1488">
        <v>4</v>
      </c>
      <c r="T1488">
        <v>1747.81</v>
      </c>
      <c r="U1488">
        <v>79</v>
      </c>
      <c r="V1488">
        <v>0</v>
      </c>
      <c r="W1488">
        <v>812.07</v>
      </c>
      <c r="X1488">
        <v>2362.46</v>
      </c>
      <c r="Y1488" t="s">
        <v>36</v>
      </c>
      <c r="Z1488" s="3">
        <v>1359.5</v>
      </c>
      <c r="AA1488" t="s">
        <v>51</v>
      </c>
      <c r="AB1488" t="s">
        <v>33</v>
      </c>
      <c r="AC1488">
        <v>74.7</v>
      </c>
      <c r="AD1488" t="s">
        <v>34</v>
      </c>
      <c r="AE1488">
        <v>1928.13</v>
      </c>
      <c r="AF1488">
        <v>0</v>
      </c>
    </row>
    <row r="1489" spans="3:32" x14ac:dyDescent="0.35">
      <c r="C1489" s="1">
        <v>44336</v>
      </c>
      <c r="D1489" s="2">
        <v>44317</v>
      </c>
      <c r="E1489">
        <v>1480</v>
      </c>
      <c r="F1489" s="3">
        <v>4827.87</v>
      </c>
      <c r="G1489" s="3">
        <v>3453.24</v>
      </c>
      <c r="H1489" s="3">
        <v>1374.63</v>
      </c>
      <c r="I1489" s="3">
        <v>0.72</v>
      </c>
      <c r="J1489">
        <v>0.16</v>
      </c>
      <c r="K1489">
        <v>1983.43</v>
      </c>
      <c r="L1489" t="s">
        <v>35</v>
      </c>
      <c r="M1489">
        <v>636</v>
      </c>
      <c r="N1489">
        <v>0.6</v>
      </c>
      <c r="O1489" s="3">
        <v>771.44</v>
      </c>
      <c r="P1489" s="3">
        <v>0.16</v>
      </c>
      <c r="Q1489" s="3">
        <v>435.15</v>
      </c>
      <c r="R1489" s="3">
        <v>0.09</v>
      </c>
      <c r="S1489">
        <v>8</v>
      </c>
      <c r="T1489">
        <v>278.02999999999997</v>
      </c>
      <c r="U1489">
        <v>55</v>
      </c>
      <c r="V1489">
        <v>0</v>
      </c>
      <c r="W1489">
        <v>317.74</v>
      </c>
      <c r="X1489">
        <v>1803.97</v>
      </c>
      <c r="Y1489" t="s">
        <v>36</v>
      </c>
      <c r="Z1489" s="3">
        <v>1576.44</v>
      </c>
      <c r="AA1489" t="s">
        <v>51</v>
      </c>
      <c r="AB1489" t="s">
        <v>33</v>
      </c>
      <c r="AC1489">
        <v>87.6</v>
      </c>
      <c r="AD1489" t="s">
        <v>34</v>
      </c>
      <c r="AE1489">
        <v>1374.63</v>
      </c>
      <c r="AF1489">
        <v>0</v>
      </c>
    </row>
    <row r="1490" spans="3:32" x14ac:dyDescent="0.35">
      <c r="C1490" s="1">
        <v>44336</v>
      </c>
      <c r="D1490" s="2">
        <v>44317</v>
      </c>
      <c r="E1490">
        <v>1914</v>
      </c>
      <c r="F1490" s="3">
        <v>5544.6</v>
      </c>
      <c r="G1490" s="3">
        <v>3234.95</v>
      </c>
      <c r="H1490" s="3">
        <v>2309.65</v>
      </c>
      <c r="I1490" s="3">
        <v>0.57999999999999996</v>
      </c>
      <c r="J1490">
        <v>0.28000000000000003</v>
      </c>
      <c r="K1490">
        <v>2594.4</v>
      </c>
      <c r="L1490" t="s">
        <v>35</v>
      </c>
      <c r="M1490">
        <v>694</v>
      </c>
      <c r="N1490">
        <v>0.22</v>
      </c>
      <c r="O1490" s="3">
        <v>177.33</v>
      </c>
      <c r="P1490" s="3">
        <v>0.03</v>
      </c>
      <c r="Q1490" s="3">
        <v>246.07</v>
      </c>
      <c r="R1490" s="3">
        <v>0.04</v>
      </c>
      <c r="S1490">
        <v>8</v>
      </c>
      <c r="T1490">
        <v>1259.3399999999999</v>
      </c>
      <c r="U1490">
        <v>40</v>
      </c>
      <c r="V1490">
        <v>0</v>
      </c>
      <c r="W1490">
        <v>170.47</v>
      </c>
      <c r="X1490">
        <v>1000</v>
      </c>
      <c r="Y1490" t="s">
        <v>31</v>
      </c>
      <c r="Z1490" s="3">
        <v>1228.1099999999999</v>
      </c>
      <c r="AA1490" t="s">
        <v>41</v>
      </c>
      <c r="AB1490" t="s">
        <v>44</v>
      </c>
      <c r="AC1490">
        <v>7.7</v>
      </c>
      <c r="AD1490" t="s">
        <v>38</v>
      </c>
      <c r="AE1490">
        <v>2309.65</v>
      </c>
      <c r="AF1490">
        <v>0</v>
      </c>
    </row>
    <row r="1491" spans="3:32" x14ac:dyDescent="0.35">
      <c r="C1491" s="1">
        <v>44336</v>
      </c>
      <c r="D1491" s="2">
        <v>44317</v>
      </c>
      <c r="E1491">
        <v>1082</v>
      </c>
      <c r="F1491" s="3">
        <v>2672.62</v>
      </c>
      <c r="G1491" s="3">
        <v>2790.32</v>
      </c>
      <c r="H1491" s="3">
        <v>-117.7</v>
      </c>
      <c r="I1491" s="3">
        <v>1.04</v>
      </c>
      <c r="J1491">
        <v>0.37</v>
      </c>
      <c r="K1491">
        <v>2300.87</v>
      </c>
      <c r="L1491" t="s">
        <v>30</v>
      </c>
      <c r="M1491">
        <v>649</v>
      </c>
      <c r="N1491">
        <v>0.28000000000000003</v>
      </c>
      <c r="O1491" s="3">
        <v>694.19</v>
      </c>
      <c r="P1491" s="3">
        <v>0.26</v>
      </c>
      <c r="Q1491" s="3">
        <v>0</v>
      </c>
      <c r="R1491" s="3">
        <v>0</v>
      </c>
      <c r="S1491">
        <v>4</v>
      </c>
      <c r="T1491">
        <v>59.57</v>
      </c>
      <c r="U1491">
        <v>71</v>
      </c>
      <c r="V1491">
        <v>0</v>
      </c>
      <c r="W1491">
        <v>579.22</v>
      </c>
      <c r="X1491">
        <v>1276.3499999999999</v>
      </c>
      <c r="Y1491" t="s">
        <v>36</v>
      </c>
      <c r="Z1491" s="3">
        <v>813.88</v>
      </c>
      <c r="AA1491" t="s">
        <v>37</v>
      </c>
      <c r="AB1491" t="s">
        <v>33</v>
      </c>
      <c r="AC1491">
        <v>28</v>
      </c>
      <c r="AD1491" t="s">
        <v>34</v>
      </c>
      <c r="AE1491">
        <v>0</v>
      </c>
      <c r="AF1491">
        <v>0</v>
      </c>
    </row>
    <row r="1492" spans="3:32" x14ac:dyDescent="0.35">
      <c r="C1492" s="1">
        <v>44336</v>
      </c>
      <c r="D1492" s="2">
        <v>44317</v>
      </c>
      <c r="E1492">
        <v>1626</v>
      </c>
      <c r="F1492" s="3">
        <v>1399.55</v>
      </c>
      <c r="G1492" s="3">
        <v>3514.61</v>
      </c>
      <c r="H1492" s="3">
        <v>-2115.06</v>
      </c>
      <c r="I1492" s="3">
        <v>2.5099999999999998</v>
      </c>
      <c r="J1492">
        <v>0.26</v>
      </c>
      <c r="K1492">
        <v>3216.5</v>
      </c>
      <c r="L1492" t="s">
        <v>35</v>
      </c>
      <c r="M1492">
        <v>707</v>
      </c>
      <c r="N1492">
        <v>0.42</v>
      </c>
      <c r="O1492" s="3">
        <v>430.8</v>
      </c>
      <c r="P1492" s="3">
        <v>0.31</v>
      </c>
      <c r="Q1492" s="3">
        <v>295.8</v>
      </c>
      <c r="R1492" s="3">
        <v>0.21</v>
      </c>
      <c r="S1492">
        <v>4</v>
      </c>
      <c r="T1492">
        <v>1039.4100000000001</v>
      </c>
      <c r="U1492">
        <v>45</v>
      </c>
      <c r="V1492">
        <v>0</v>
      </c>
      <c r="W1492">
        <v>225.26</v>
      </c>
      <c r="X1492">
        <v>2899.09</v>
      </c>
      <c r="Y1492" t="s">
        <v>36</v>
      </c>
      <c r="Z1492" s="3">
        <v>617.94000000000005</v>
      </c>
      <c r="AA1492" t="s">
        <v>32</v>
      </c>
      <c r="AB1492" t="s">
        <v>33</v>
      </c>
      <c r="AC1492">
        <v>27</v>
      </c>
      <c r="AD1492" t="s">
        <v>34</v>
      </c>
      <c r="AE1492">
        <v>0</v>
      </c>
      <c r="AF1492">
        <v>0</v>
      </c>
    </row>
    <row r="1493" spans="3:32" x14ac:dyDescent="0.35">
      <c r="C1493" s="1">
        <v>44336</v>
      </c>
      <c r="D1493" s="2">
        <v>44317</v>
      </c>
      <c r="E1493">
        <v>1549</v>
      </c>
      <c r="F1493" s="3">
        <v>4668.2</v>
      </c>
      <c r="G1493" s="3">
        <v>2212.88</v>
      </c>
      <c r="H1493" s="3">
        <v>2455.3200000000002</v>
      </c>
      <c r="I1493" s="3">
        <v>0.47</v>
      </c>
      <c r="J1493">
        <v>0.1</v>
      </c>
      <c r="K1493">
        <v>2906.03</v>
      </c>
      <c r="L1493" t="s">
        <v>39</v>
      </c>
      <c r="M1493">
        <v>769</v>
      </c>
      <c r="N1493">
        <v>0.13</v>
      </c>
      <c r="O1493" s="3">
        <v>797.65</v>
      </c>
      <c r="P1493" s="3">
        <v>0.17</v>
      </c>
      <c r="Q1493" s="3">
        <v>162.04</v>
      </c>
      <c r="R1493" s="3">
        <v>0.03</v>
      </c>
      <c r="S1493">
        <v>9</v>
      </c>
      <c r="T1493">
        <v>153.74</v>
      </c>
      <c r="U1493">
        <v>78</v>
      </c>
      <c r="V1493">
        <v>0</v>
      </c>
      <c r="W1493">
        <v>686.09</v>
      </c>
      <c r="X1493">
        <v>3188.51</v>
      </c>
      <c r="Y1493" t="s">
        <v>31</v>
      </c>
      <c r="Z1493" s="3">
        <v>1279.32</v>
      </c>
      <c r="AA1493" t="s">
        <v>48</v>
      </c>
      <c r="AB1493" t="s">
        <v>33</v>
      </c>
      <c r="AC1493">
        <v>3.1</v>
      </c>
      <c r="AD1493" t="s">
        <v>38</v>
      </c>
      <c r="AE1493">
        <v>2455.3200000000002</v>
      </c>
      <c r="AF1493">
        <v>0</v>
      </c>
    </row>
    <row r="1494" spans="3:32" x14ac:dyDescent="0.35">
      <c r="C1494" s="1">
        <v>44336</v>
      </c>
      <c r="D1494" s="2">
        <v>44317</v>
      </c>
      <c r="E1494">
        <v>1164</v>
      </c>
      <c r="F1494" s="3">
        <v>2888.28</v>
      </c>
      <c r="G1494" s="3">
        <v>2936.03</v>
      </c>
      <c r="H1494" s="3">
        <v>-47.75</v>
      </c>
      <c r="I1494" s="3">
        <v>1.02</v>
      </c>
      <c r="J1494">
        <v>0.39</v>
      </c>
      <c r="K1494">
        <v>2773.58</v>
      </c>
      <c r="L1494" t="s">
        <v>35</v>
      </c>
      <c r="M1494">
        <v>632</v>
      </c>
      <c r="N1494">
        <v>0.19</v>
      </c>
      <c r="O1494" s="3">
        <v>686.65</v>
      </c>
      <c r="P1494" s="3">
        <v>0.24</v>
      </c>
      <c r="Q1494" s="3">
        <v>791.5</v>
      </c>
      <c r="R1494" s="3">
        <v>0.27</v>
      </c>
      <c r="S1494">
        <v>2</v>
      </c>
      <c r="T1494">
        <v>854.66</v>
      </c>
      <c r="U1494">
        <v>92</v>
      </c>
      <c r="V1494">
        <v>0</v>
      </c>
      <c r="W1494">
        <v>356.08</v>
      </c>
      <c r="X1494">
        <v>1933.95</v>
      </c>
      <c r="Y1494" t="s">
        <v>36</v>
      </c>
      <c r="Z1494" s="3">
        <v>1064.8</v>
      </c>
      <c r="AA1494" t="s">
        <v>51</v>
      </c>
      <c r="AB1494" t="s">
        <v>42</v>
      </c>
      <c r="AC1494">
        <v>27.6</v>
      </c>
      <c r="AD1494" t="s">
        <v>34</v>
      </c>
      <c r="AE1494">
        <v>0</v>
      </c>
      <c r="AF1494">
        <v>0</v>
      </c>
    </row>
    <row r="1495" spans="3:32" x14ac:dyDescent="0.35">
      <c r="C1495" s="1">
        <v>44336</v>
      </c>
      <c r="D1495" s="2">
        <v>44317</v>
      </c>
      <c r="E1495">
        <v>1988</v>
      </c>
      <c r="F1495" s="3">
        <v>2569.0100000000002</v>
      </c>
      <c r="G1495" s="3">
        <v>3005.39</v>
      </c>
      <c r="H1495" s="3">
        <v>-436.38</v>
      </c>
      <c r="I1495" s="3">
        <v>1.17</v>
      </c>
      <c r="J1495">
        <v>0.33</v>
      </c>
      <c r="K1495">
        <v>3074.57</v>
      </c>
      <c r="L1495" t="s">
        <v>39</v>
      </c>
      <c r="M1495">
        <v>633</v>
      </c>
      <c r="N1495">
        <v>0.34</v>
      </c>
      <c r="O1495" s="3">
        <v>544.4</v>
      </c>
      <c r="P1495" s="3">
        <v>0.21</v>
      </c>
      <c r="Q1495" s="3">
        <v>179.75</v>
      </c>
      <c r="R1495" s="3">
        <v>7.0000000000000007E-2</v>
      </c>
      <c r="S1495">
        <v>4</v>
      </c>
      <c r="T1495">
        <v>1045.05</v>
      </c>
      <c r="U1495">
        <v>56</v>
      </c>
      <c r="V1495">
        <v>0</v>
      </c>
      <c r="W1495">
        <v>201.06</v>
      </c>
      <c r="X1495">
        <v>2195.44</v>
      </c>
      <c r="Y1495" t="s">
        <v>36</v>
      </c>
      <c r="Z1495" s="3">
        <v>1352.61</v>
      </c>
      <c r="AA1495" t="s">
        <v>40</v>
      </c>
      <c r="AB1495" t="s">
        <v>33</v>
      </c>
      <c r="AC1495">
        <v>65.5</v>
      </c>
      <c r="AD1495" t="s">
        <v>38</v>
      </c>
      <c r="AE1495">
        <v>0</v>
      </c>
      <c r="AF1495">
        <v>0</v>
      </c>
    </row>
    <row r="1496" spans="3:32" x14ac:dyDescent="0.35">
      <c r="C1496" s="1">
        <v>44336</v>
      </c>
      <c r="D1496" s="2">
        <v>44317</v>
      </c>
      <c r="E1496">
        <v>1885</v>
      </c>
      <c r="F1496" s="3">
        <v>4534.09</v>
      </c>
      <c r="G1496" s="3">
        <v>2518.38</v>
      </c>
      <c r="H1496" s="3">
        <v>2015.71</v>
      </c>
      <c r="I1496" s="3">
        <v>0.56000000000000005</v>
      </c>
      <c r="J1496">
        <v>0.09</v>
      </c>
      <c r="K1496">
        <v>3354.12</v>
      </c>
      <c r="L1496" t="s">
        <v>35</v>
      </c>
      <c r="M1496">
        <v>716</v>
      </c>
      <c r="N1496">
        <v>0.46</v>
      </c>
      <c r="O1496" s="3">
        <v>278.32</v>
      </c>
      <c r="P1496" s="3">
        <v>0.06</v>
      </c>
      <c r="Q1496" s="3">
        <v>597.13</v>
      </c>
      <c r="R1496" s="3">
        <v>0.13</v>
      </c>
      <c r="S1496">
        <v>3</v>
      </c>
      <c r="T1496">
        <v>837.61</v>
      </c>
      <c r="U1496">
        <v>62</v>
      </c>
      <c r="V1496">
        <v>0</v>
      </c>
      <c r="W1496">
        <v>452.87</v>
      </c>
      <c r="X1496">
        <v>1969.49</v>
      </c>
      <c r="Y1496" t="s">
        <v>31</v>
      </c>
      <c r="Z1496" s="3">
        <v>651.28</v>
      </c>
      <c r="AA1496" t="s">
        <v>48</v>
      </c>
      <c r="AB1496" t="s">
        <v>33</v>
      </c>
      <c r="AC1496">
        <v>84</v>
      </c>
      <c r="AD1496" t="s">
        <v>34</v>
      </c>
      <c r="AE1496">
        <v>2015.71</v>
      </c>
      <c r="AF1496">
        <v>0</v>
      </c>
    </row>
    <row r="1497" spans="3:32" x14ac:dyDescent="0.35">
      <c r="C1497" s="1">
        <v>44336</v>
      </c>
      <c r="D1497" s="2">
        <v>44317</v>
      </c>
      <c r="E1497">
        <v>1623</v>
      </c>
      <c r="F1497" s="3">
        <v>4348.67</v>
      </c>
      <c r="G1497" s="3">
        <v>2319.5500000000002</v>
      </c>
      <c r="H1497" s="3">
        <v>2029.12</v>
      </c>
      <c r="I1497" s="3">
        <v>0.53</v>
      </c>
      <c r="J1497">
        <v>0.28999999999999998</v>
      </c>
      <c r="K1497">
        <v>1793.65</v>
      </c>
      <c r="L1497" t="s">
        <v>35</v>
      </c>
      <c r="M1497">
        <v>628</v>
      </c>
      <c r="N1497">
        <v>0.36</v>
      </c>
      <c r="O1497" s="3">
        <v>309.35000000000002</v>
      </c>
      <c r="P1497" s="3">
        <v>7.0000000000000007E-2</v>
      </c>
      <c r="Q1497" s="3">
        <v>519.73</v>
      </c>
      <c r="R1497" s="3">
        <v>0.12</v>
      </c>
      <c r="S1497">
        <v>3</v>
      </c>
      <c r="T1497">
        <v>517.86</v>
      </c>
      <c r="U1497">
        <v>41</v>
      </c>
      <c r="V1497">
        <v>0</v>
      </c>
      <c r="W1497">
        <v>324.08</v>
      </c>
      <c r="X1497">
        <v>1977.47</v>
      </c>
      <c r="Y1497" t="s">
        <v>36</v>
      </c>
      <c r="Z1497" s="3">
        <v>398.92</v>
      </c>
      <c r="AA1497" t="s">
        <v>50</v>
      </c>
      <c r="AB1497" t="s">
        <v>33</v>
      </c>
      <c r="AC1497">
        <v>13.6</v>
      </c>
      <c r="AD1497" t="s">
        <v>34</v>
      </c>
      <c r="AE1497">
        <v>2029.12</v>
      </c>
      <c r="AF1497">
        <v>1</v>
      </c>
    </row>
    <row r="1498" spans="3:32" x14ac:dyDescent="0.35">
      <c r="C1498" s="1">
        <v>44336</v>
      </c>
      <c r="D1498" s="2">
        <v>44317</v>
      </c>
      <c r="E1498">
        <v>1667</v>
      </c>
      <c r="F1498" s="3">
        <v>4207.24</v>
      </c>
      <c r="G1498" s="3">
        <v>3409.25</v>
      </c>
      <c r="H1498" s="3">
        <v>797.99</v>
      </c>
      <c r="I1498" s="3">
        <v>0.81</v>
      </c>
      <c r="J1498">
        <v>0.27</v>
      </c>
      <c r="K1498">
        <v>3005.56</v>
      </c>
      <c r="L1498" t="s">
        <v>39</v>
      </c>
      <c r="M1498">
        <v>658</v>
      </c>
      <c r="N1498">
        <v>0.2</v>
      </c>
      <c r="O1498" s="3">
        <v>298.73</v>
      </c>
      <c r="P1498" s="3">
        <v>7.0000000000000007E-2</v>
      </c>
      <c r="Q1498" s="3">
        <v>610.19000000000005</v>
      </c>
      <c r="R1498" s="3">
        <v>0.15</v>
      </c>
      <c r="S1498">
        <v>1</v>
      </c>
      <c r="T1498">
        <v>1578.22</v>
      </c>
      <c r="U1498">
        <v>35</v>
      </c>
      <c r="V1498">
        <v>0</v>
      </c>
      <c r="W1498">
        <v>245.45</v>
      </c>
      <c r="X1498">
        <v>2125.75</v>
      </c>
      <c r="Y1498" t="s">
        <v>36</v>
      </c>
      <c r="Z1498" s="3">
        <v>1166.55</v>
      </c>
      <c r="AA1498" t="s">
        <v>37</v>
      </c>
      <c r="AB1498" t="s">
        <v>33</v>
      </c>
      <c r="AC1498">
        <v>92.5</v>
      </c>
      <c r="AD1498" t="s">
        <v>38</v>
      </c>
      <c r="AE1498">
        <v>797.99</v>
      </c>
      <c r="AF1498">
        <v>0</v>
      </c>
    </row>
    <row r="1499" spans="3:32" x14ac:dyDescent="0.35">
      <c r="C1499" s="1">
        <v>44336</v>
      </c>
      <c r="D1499" s="2">
        <v>44317</v>
      </c>
      <c r="E1499">
        <v>1126</v>
      </c>
      <c r="F1499" s="3">
        <v>3323.18</v>
      </c>
      <c r="G1499" s="3">
        <v>2835.22</v>
      </c>
      <c r="H1499" s="3">
        <v>487.96</v>
      </c>
      <c r="I1499" s="3">
        <v>0.85</v>
      </c>
      <c r="J1499">
        <v>0.34</v>
      </c>
      <c r="K1499">
        <v>2140.7399999999998</v>
      </c>
      <c r="L1499" t="s">
        <v>35</v>
      </c>
      <c r="M1499">
        <v>632</v>
      </c>
      <c r="N1499">
        <v>0.33</v>
      </c>
      <c r="O1499" s="3">
        <v>309.13</v>
      </c>
      <c r="P1499" s="3">
        <v>0.09</v>
      </c>
      <c r="Q1499" s="3">
        <v>728.45</v>
      </c>
      <c r="R1499" s="3">
        <v>0.22</v>
      </c>
      <c r="S1499">
        <v>1</v>
      </c>
      <c r="T1499">
        <v>967.05</v>
      </c>
      <c r="U1499">
        <v>63</v>
      </c>
      <c r="V1499">
        <v>0</v>
      </c>
      <c r="W1499">
        <v>347.36</v>
      </c>
      <c r="X1499">
        <v>1975.94</v>
      </c>
      <c r="Y1499" t="s">
        <v>49</v>
      </c>
      <c r="Z1499" s="3">
        <v>1730.98</v>
      </c>
      <c r="AA1499" t="s">
        <v>50</v>
      </c>
      <c r="AB1499" t="s">
        <v>33</v>
      </c>
      <c r="AC1499">
        <v>46.5</v>
      </c>
      <c r="AD1499" t="s">
        <v>34</v>
      </c>
      <c r="AE1499">
        <v>487.96</v>
      </c>
      <c r="AF1499">
        <v>0</v>
      </c>
    </row>
    <row r="1500" spans="3:32" x14ac:dyDescent="0.35">
      <c r="C1500" s="1">
        <v>44336</v>
      </c>
      <c r="D1500" s="2">
        <v>44317</v>
      </c>
      <c r="E1500">
        <v>1755</v>
      </c>
      <c r="F1500" s="3">
        <v>5234.7700000000004</v>
      </c>
      <c r="G1500" s="3">
        <v>2789.89</v>
      </c>
      <c r="H1500" s="3">
        <v>2444.88</v>
      </c>
      <c r="I1500" s="3">
        <v>0.53</v>
      </c>
      <c r="J1500">
        <v>0.19</v>
      </c>
      <c r="K1500">
        <v>2344.17</v>
      </c>
      <c r="L1500" t="s">
        <v>35</v>
      </c>
      <c r="M1500">
        <v>686</v>
      </c>
      <c r="N1500">
        <v>0.56999999999999995</v>
      </c>
      <c r="O1500" s="3">
        <v>527.26</v>
      </c>
      <c r="P1500" s="3">
        <v>0.1</v>
      </c>
      <c r="Q1500" s="3">
        <v>697.75</v>
      </c>
      <c r="R1500" s="3">
        <v>0.13</v>
      </c>
      <c r="S1500">
        <v>8</v>
      </c>
      <c r="T1500">
        <v>1408.05</v>
      </c>
      <c r="U1500">
        <v>54</v>
      </c>
      <c r="V1500">
        <v>0</v>
      </c>
      <c r="W1500">
        <v>43.36</v>
      </c>
      <c r="X1500">
        <v>1939.32</v>
      </c>
      <c r="Y1500" t="s">
        <v>36</v>
      </c>
      <c r="Z1500" s="3">
        <v>996.99</v>
      </c>
      <c r="AA1500" t="s">
        <v>40</v>
      </c>
      <c r="AB1500" t="s">
        <v>42</v>
      </c>
      <c r="AC1500">
        <v>22.4</v>
      </c>
      <c r="AD1500" t="s">
        <v>34</v>
      </c>
      <c r="AE1500">
        <v>2444.88</v>
      </c>
      <c r="AF1500">
        <v>1</v>
      </c>
    </row>
    <row r="1501" spans="3:32" x14ac:dyDescent="0.35">
      <c r="C1501" s="1">
        <v>44336</v>
      </c>
      <c r="D1501" s="2">
        <v>44317</v>
      </c>
      <c r="E1501">
        <v>1134</v>
      </c>
      <c r="F1501" s="3">
        <v>3965.94</v>
      </c>
      <c r="G1501" s="3">
        <v>3729.55</v>
      </c>
      <c r="H1501" s="3">
        <v>236.39</v>
      </c>
      <c r="I1501" s="3">
        <v>0.94</v>
      </c>
      <c r="J1501">
        <v>0.24</v>
      </c>
      <c r="K1501">
        <v>2727.19</v>
      </c>
      <c r="L1501" t="s">
        <v>35</v>
      </c>
      <c r="M1501">
        <v>811</v>
      </c>
      <c r="N1501">
        <v>0.19</v>
      </c>
      <c r="O1501" s="3">
        <v>551.28</v>
      </c>
      <c r="P1501" s="3">
        <v>0.14000000000000001</v>
      </c>
      <c r="Q1501" s="3">
        <v>614.36</v>
      </c>
      <c r="R1501" s="3">
        <v>0.15</v>
      </c>
      <c r="S1501">
        <v>9</v>
      </c>
      <c r="T1501">
        <v>748.35</v>
      </c>
      <c r="U1501">
        <v>24</v>
      </c>
      <c r="V1501">
        <v>0</v>
      </c>
      <c r="W1501">
        <v>500.59</v>
      </c>
      <c r="X1501">
        <v>2381.94</v>
      </c>
      <c r="Y1501" t="s">
        <v>31</v>
      </c>
      <c r="Z1501" s="3">
        <v>382.8</v>
      </c>
      <c r="AA1501" t="s">
        <v>40</v>
      </c>
      <c r="AB1501" t="s">
        <v>33</v>
      </c>
      <c r="AC1501">
        <v>90.9</v>
      </c>
      <c r="AD1501" t="s">
        <v>38</v>
      </c>
      <c r="AE1501">
        <v>236.39</v>
      </c>
      <c r="AF1501">
        <v>0</v>
      </c>
    </row>
    <row r="1502" spans="3:32" x14ac:dyDescent="0.35">
      <c r="C1502" s="1">
        <v>44366</v>
      </c>
      <c r="D1502" s="2">
        <v>44348</v>
      </c>
      <c r="E1502">
        <v>1256</v>
      </c>
      <c r="F1502" s="3">
        <v>3163.61</v>
      </c>
      <c r="G1502" s="3">
        <v>4000.56</v>
      </c>
      <c r="H1502" s="3">
        <v>-836.95</v>
      </c>
      <c r="I1502" s="3">
        <v>1.26</v>
      </c>
      <c r="J1502">
        <v>0.22</v>
      </c>
      <c r="K1502">
        <v>2749.02</v>
      </c>
      <c r="L1502" t="s">
        <v>39</v>
      </c>
      <c r="M1502">
        <v>619</v>
      </c>
      <c r="N1502">
        <v>0.28999999999999998</v>
      </c>
      <c r="O1502" s="3">
        <v>377.91</v>
      </c>
      <c r="P1502" s="3">
        <v>0.12</v>
      </c>
      <c r="Q1502" s="3">
        <v>686.52</v>
      </c>
      <c r="R1502" s="3">
        <v>0.22</v>
      </c>
      <c r="S1502">
        <v>6</v>
      </c>
      <c r="T1502">
        <v>1411.56</v>
      </c>
      <c r="U1502">
        <v>96</v>
      </c>
      <c r="V1502">
        <v>0</v>
      </c>
      <c r="W1502">
        <v>220.76</v>
      </c>
      <c r="X1502">
        <v>2389.84</v>
      </c>
      <c r="Y1502" t="s">
        <v>36</v>
      </c>
      <c r="Z1502" s="3">
        <v>1197.82</v>
      </c>
      <c r="AA1502" t="s">
        <v>51</v>
      </c>
      <c r="AB1502" t="s">
        <v>44</v>
      </c>
      <c r="AC1502">
        <v>89.5</v>
      </c>
      <c r="AD1502" t="s">
        <v>34</v>
      </c>
      <c r="AE1502">
        <v>0</v>
      </c>
      <c r="AF1502">
        <v>0</v>
      </c>
    </row>
    <row r="1503" spans="3:32" x14ac:dyDescent="0.35">
      <c r="C1503" s="1">
        <v>44366</v>
      </c>
      <c r="D1503" s="2">
        <v>44348</v>
      </c>
      <c r="E1503">
        <v>1277</v>
      </c>
      <c r="F1503" s="3">
        <v>3874.19</v>
      </c>
      <c r="G1503" s="3">
        <v>2673.9</v>
      </c>
      <c r="H1503" s="3">
        <v>1200.29</v>
      </c>
      <c r="I1503" s="3">
        <v>0.69</v>
      </c>
      <c r="J1503">
        <v>0.06</v>
      </c>
      <c r="K1503">
        <v>3160.19</v>
      </c>
      <c r="L1503" t="s">
        <v>30</v>
      </c>
      <c r="M1503">
        <v>709</v>
      </c>
      <c r="N1503">
        <v>0.42</v>
      </c>
      <c r="O1503" s="3">
        <v>359.9</v>
      </c>
      <c r="P1503" s="3">
        <v>0.09</v>
      </c>
      <c r="Q1503" s="3">
        <v>0</v>
      </c>
      <c r="R1503" s="3">
        <v>0</v>
      </c>
      <c r="S1503">
        <v>9</v>
      </c>
      <c r="T1503">
        <v>192.49</v>
      </c>
      <c r="U1503">
        <v>21</v>
      </c>
      <c r="V1503">
        <v>0</v>
      </c>
      <c r="W1503">
        <v>826.7</v>
      </c>
      <c r="X1503">
        <v>2111.3000000000002</v>
      </c>
      <c r="Y1503" t="s">
        <v>36</v>
      </c>
      <c r="Z1503" s="3">
        <v>1239.3399999999999</v>
      </c>
      <c r="AA1503" t="s">
        <v>45</v>
      </c>
      <c r="AB1503" t="s">
        <v>33</v>
      </c>
      <c r="AC1503">
        <v>22.5</v>
      </c>
      <c r="AD1503" t="s">
        <v>43</v>
      </c>
      <c r="AE1503">
        <v>1200.29</v>
      </c>
      <c r="AF1503">
        <v>0</v>
      </c>
    </row>
    <row r="1504" spans="3:32" x14ac:dyDescent="0.35">
      <c r="C1504" s="1">
        <v>44366</v>
      </c>
      <c r="D1504" s="2">
        <v>44348</v>
      </c>
      <c r="E1504">
        <v>1469</v>
      </c>
      <c r="F1504" s="3">
        <v>4424.01</v>
      </c>
      <c r="G1504" s="3">
        <v>3273.45</v>
      </c>
      <c r="H1504" s="3">
        <v>1150.56</v>
      </c>
      <c r="I1504" s="3">
        <v>0.74</v>
      </c>
      <c r="J1504">
        <v>0.39</v>
      </c>
      <c r="K1504">
        <v>2313.13</v>
      </c>
      <c r="L1504" t="s">
        <v>35</v>
      </c>
      <c r="M1504">
        <v>734</v>
      </c>
      <c r="N1504">
        <v>0.41</v>
      </c>
      <c r="O1504" s="3">
        <v>399.9</v>
      </c>
      <c r="P1504" s="3">
        <v>0.09</v>
      </c>
      <c r="Q1504" s="3">
        <v>448.44</v>
      </c>
      <c r="R1504" s="3">
        <v>0.1</v>
      </c>
      <c r="S1504">
        <v>6</v>
      </c>
      <c r="T1504">
        <v>1072.04</v>
      </c>
      <c r="U1504">
        <v>51</v>
      </c>
      <c r="V1504">
        <v>0</v>
      </c>
      <c r="W1504">
        <v>688.96</v>
      </c>
      <c r="X1504">
        <v>1000</v>
      </c>
      <c r="Y1504" t="s">
        <v>36</v>
      </c>
      <c r="Z1504" s="3">
        <v>1040.46</v>
      </c>
      <c r="AA1504" t="s">
        <v>32</v>
      </c>
      <c r="AB1504" t="s">
        <v>42</v>
      </c>
      <c r="AC1504">
        <v>42.1</v>
      </c>
      <c r="AD1504" t="s">
        <v>34</v>
      </c>
      <c r="AE1504">
        <v>1150.56</v>
      </c>
      <c r="AF1504">
        <v>0</v>
      </c>
    </row>
    <row r="1505" spans="3:32" x14ac:dyDescent="0.35">
      <c r="C1505" s="1">
        <v>44366</v>
      </c>
      <c r="D1505" s="2">
        <v>44348</v>
      </c>
      <c r="E1505">
        <v>1018</v>
      </c>
      <c r="F1505" s="3">
        <v>3727.2</v>
      </c>
      <c r="G1505" s="3">
        <v>2866.51</v>
      </c>
      <c r="H1505" s="3">
        <v>860.69</v>
      </c>
      <c r="I1505" s="3">
        <v>0.77</v>
      </c>
      <c r="J1505">
        <v>0.34</v>
      </c>
      <c r="K1505">
        <v>3024.36</v>
      </c>
      <c r="L1505" t="s">
        <v>35</v>
      </c>
      <c r="M1505">
        <v>756</v>
      </c>
      <c r="N1505">
        <v>0.37</v>
      </c>
      <c r="O1505" s="3">
        <v>715.66</v>
      </c>
      <c r="P1505" s="3">
        <v>0.19</v>
      </c>
      <c r="Q1505" s="3">
        <v>651.91999999999996</v>
      </c>
      <c r="R1505" s="3">
        <v>0.17</v>
      </c>
      <c r="S1505">
        <v>2</v>
      </c>
      <c r="T1505">
        <v>767.64</v>
      </c>
      <c r="U1505">
        <v>85</v>
      </c>
      <c r="V1505">
        <v>0</v>
      </c>
      <c r="W1505">
        <v>233.62</v>
      </c>
      <c r="X1505">
        <v>2389.16</v>
      </c>
      <c r="Y1505" t="s">
        <v>49</v>
      </c>
      <c r="Z1505" s="3">
        <v>819.47</v>
      </c>
      <c r="AA1505" t="s">
        <v>47</v>
      </c>
      <c r="AB1505" t="s">
        <v>44</v>
      </c>
      <c r="AC1505">
        <v>8.9</v>
      </c>
      <c r="AD1505" t="s">
        <v>34</v>
      </c>
      <c r="AE1505">
        <v>860.69</v>
      </c>
      <c r="AF1505">
        <v>0</v>
      </c>
    </row>
    <row r="1506" spans="3:32" x14ac:dyDescent="0.35">
      <c r="C1506" s="1">
        <v>44366</v>
      </c>
      <c r="D1506" s="2">
        <v>44348</v>
      </c>
      <c r="E1506">
        <v>1158</v>
      </c>
      <c r="F1506" s="3">
        <v>3652.62</v>
      </c>
      <c r="G1506" s="3">
        <v>3357.22</v>
      </c>
      <c r="H1506" s="3">
        <v>295.39999999999998</v>
      </c>
      <c r="I1506" s="3">
        <v>0.92</v>
      </c>
      <c r="J1506">
        <v>0.26</v>
      </c>
      <c r="K1506">
        <v>2534.2399999999998</v>
      </c>
      <c r="L1506" t="s">
        <v>35</v>
      </c>
      <c r="M1506">
        <v>637</v>
      </c>
      <c r="N1506">
        <v>0.56000000000000005</v>
      </c>
      <c r="O1506" s="3">
        <v>125.84</v>
      </c>
      <c r="P1506" s="3">
        <v>0.03</v>
      </c>
      <c r="Q1506" s="3">
        <v>0</v>
      </c>
      <c r="R1506" s="3">
        <v>0</v>
      </c>
      <c r="S1506">
        <v>1</v>
      </c>
      <c r="T1506">
        <v>647</v>
      </c>
      <c r="U1506">
        <v>75</v>
      </c>
      <c r="V1506">
        <v>0</v>
      </c>
      <c r="W1506">
        <v>343.91</v>
      </c>
      <c r="X1506">
        <v>2069.21</v>
      </c>
      <c r="Y1506" t="s">
        <v>36</v>
      </c>
      <c r="Z1506" s="3">
        <v>441.35</v>
      </c>
      <c r="AA1506" t="s">
        <v>50</v>
      </c>
      <c r="AB1506" t="s">
        <v>33</v>
      </c>
      <c r="AC1506">
        <v>1.3</v>
      </c>
      <c r="AD1506" t="s">
        <v>34</v>
      </c>
      <c r="AE1506">
        <v>295.39999999999998</v>
      </c>
      <c r="AF1506">
        <v>0</v>
      </c>
    </row>
    <row r="1507" spans="3:32" x14ac:dyDescent="0.35">
      <c r="C1507" s="1">
        <v>44366</v>
      </c>
      <c r="D1507" s="2">
        <v>44348</v>
      </c>
      <c r="E1507">
        <v>1382</v>
      </c>
      <c r="F1507" s="3">
        <v>1949.72</v>
      </c>
      <c r="G1507" s="3">
        <v>3154.76</v>
      </c>
      <c r="H1507" s="3">
        <v>-1205.04</v>
      </c>
      <c r="I1507" s="3">
        <v>1.62</v>
      </c>
      <c r="J1507">
        <v>0.16</v>
      </c>
      <c r="K1507">
        <v>3199.38</v>
      </c>
      <c r="L1507" t="s">
        <v>35</v>
      </c>
      <c r="M1507">
        <v>571</v>
      </c>
      <c r="N1507">
        <v>0.48</v>
      </c>
      <c r="O1507" s="3">
        <v>902.18</v>
      </c>
      <c r="P1507" s="3">
        <v>0.46</v>
      </c>
      <c r="Q1507" s="3">
        <v>280.87</v>
      </c>
      <c r="R1507" s="3">
        <v>0.14000000000000001</v>
      </c>
      <c r="S1507">
        <v>8</v>
      </c>
      <c r="T1507">
        <v>1081.5899999999999</v>
      </c>
      <c r="U1507">
        <v>35</v>
      </c>
      <c r="V1507">
        <v>0</v>
      </c>
      <c r="W1507">
        <v>627.5</v>
      </c>
      <c r="X1507">
        <v>1474.79</v>
      </c>
      <c r="Y1507" t="s">
        <v>36</v>
      </c>
      <c r="Z1507" s="3">
        <v>1390.28</v>
      </c>
      <c r="AA1507" t="s">
        <v>48</v>
      </c>
      <c r="AB1507" t="s">
        <v>33</v>
      </c>
      <c r="AC1507">
        <v>12.2</v>
      </c>
      <c r="AD1507" t="s">
        <v>38</v>
      </c>
      <c r="AE1507">
        <v>0</v>
      </c>
      <c r="AF1507">
        <v>0</v>
      </c>
    </row>
    <row r="1508" spans="3:32" x14ac:dyDescent="0.35">
      <c r="C1508" s="1">
        <v>44366</v>
      </c>
      <c r="D1508" s="2">
        <v>44348</v>
      </c>
      <c r="E1508">
        <v>1242</v>
      </c>
      <c r="F1508" s="3">
        <v>3857.32</v>
      </c>
      <c r="G1508" s="3">
        <v>2481.91</v>
      </c>
      <c r="H1508" s="3">
        <v>1375.41</v>
      </c>
      <c r="I1508" s="3">
        <v>0.64</v>
      </c>
      <c r="J1508">
        <v>0.05</v>
      </c>
      <c r="K1508">
        <v>3051.46</v>
      </c>
      <c r="L1508" t="s">
        <v>35</v>
      </c>
      <c r="M1508">
        <v>673</v>
      </c>
      <c r="N1508">
        <v>0.24</v>
      </c>
      <c r="O1508" s="3">
        <v>471.35</v>
      </c>
      <c r="P1508" s="3">
        <v>0.12</v>
      </c>
      <c r="Q1508" s="3">
        <v>404.3</v>
      </c>
      <c r="R1508" s="3">
        <v>0.1</v>
      </c>
      <c r="S1508">
        <v>6</v>
      </c>
      <c r="T1508">
        <v>865.15</v>
      </c>
      <c r="U1508">
        <v>65</v>
      </c>
      <c r="V1508">
        <v>0</v>
      </c>
      <c r="W1508">
        <v>540.70000000000005</v>
      </c>
      <c r="X1508">
        <v>1551.91</v>
      </c>
      <c r="Y1508" t="s">
        <v>36</v>
      </c>
      <c r="Z1508" s="3">
        <v>1688.72</v>
      </c>
      <c r="AA1508" t="s">
        <v>51</v>
      </c>
      <c r="AB1508" t="s">
        <v>33</v>
      </c>
      <c r="AC1508">
        <v>56.3</v>
      </c>
      <c r="AD1508" t="s">
        <v>38</v>
      </c>
      <c r="AE1508">
        <v>1375.41</v>
      </c>
      <c r="AF1508">
        <v>0</v>
      </c>
    </row>
    <row r="1509" spans="3:32" x14ac:dyDescent="0.35">
      <c r="C1509" s="1">
        <v>44366</v>
      </c>
      <c r="D1509" s="2">
        <v>44348</v>
      </c>
      <c r="E1509">
        <v>1646</v>
      </c>
      <c r="F1509" s="3">
        <v>3968.25</v>
      </c>
      <c r="G1509" s="3">
        <v>2563.71</v>
      </c>
      <c r="H1509" s="3">
        <v>1404.54</v>
      </c>
      <c r="I1509" s="3">
        <v>0.65</v>
      </c>
      <c r="J1509">
        <v>0.11</v>
      </c>
      <c r="K1509">
        <v>2079.96</v>
      </c>
      <c r="L1509" t="s">
        <v>39</v>
      </c>
      <c r="M1509">
        <v>747</v>
      </c>
      <c r="N1509">
        <v>0.51</v>
      </c>
      <c r="O1509" s="3">
        <v>452.51</v>
      </c>
      <c r="P1509" s="3">
        <v>0.11</v>
      </c>
      <c r="Q1509" s="3">
        <v>308.08</v>
      </c>
      <c r="R1509" s="3">
        <v>0.08</v>
      </c>
      <c r="S1509">
        <v>4</v>
      </c>
      <c r="T1509">
        <v>1536.58</v>
      </c>
      <c r="U1509">
        <v>98</v>
      </c>
      <c r="V1509">
        <v>0</v>
      </c>
      <c r="W1509">
        <v>534.71</v>
      </c>
      <c r="X1509">
        <v>2564.27</v>
      </c>
      <c r="Y1509" t="s">
        <v>36</v>
      </c>
      <c r="Z1509" s="3">
        <v>1096.1199999999999</v>
      </c>
      <c r="AA1509" t="s">
        <v>37</v>
      </c>
      <c r="AB1509" t="s">
        <v>33</v>
      </c>
      <c r="AC1509">
        <v>86.6</v>
      </c>
      <c r="AD1509" t="s">
        <v>34</v>
      </c>
      <c r="AE1509">
        <v>1404.54</v>
      </c>
      <c r="AF1509">
        <v>0</v>
      </c>
    </row>
    <row r="1510" spans="3:32" x14ac:dyDescent="0.35">
      <c r="C1510" s="1">
        <v>44366</v>
      </c>
      <c r="D1510" s="2">
        <v>44348</v>
      </c>
      <c r="E1510">
        <v>1046</v>
      </c>
      <c r="F1510" s="3">
        <v>4419.3900000000003</v>
      </c>
      <c r="G1510" s="3">
        <v>2683.77</v>
      </c>
      <c r="H1510" s="3">
        <v>1735.62</v>
      </c>
      <c r="I1510" s="3">
        <v>0.61</v>
      </c>
      <c r="J1510">
        <v>0.1</v>
      </c>
      <c r="K1510">
        <v>2570.54</v>
      </c>
      <c r="L1510" t="s">
        <v>35</v>
      </c>
      <c r="M1510">
        <v>614</v>
      </c>
      <c r="N1510">
        <v>0.39</v>
      </c>
      <c r="O1510" s="3">
        <v>346.06</v>
      </c>
      <c r="P1510" s="3">
        <v>0.08</v>
      </c>
      <c r="Q1510" s="3">
        <v>141.72</v>
      </c>
      <c r="R1510" s="3">
        <v>0.03</v>
      </c>
      <c r="S1510">
        <v>9</v>
      </c>
      <c r="T1510">
        <v>158.29</v>
      </c>
      <c r="U1510">
        <v>79</v>
      </c>
      <c r="V1510">
        <v>0</v>
      </c>
      <c r="W1510">
        <v>363.8</v>
      </c>
      <c r="X1510">
        <v>2300.21</v>
      </c>
      <c r="Y1510" t="s">
        <v>36</v>
      </c>
      <c r="Z1510" s="3">
        <v>1687.28</v>
      </c>
      <c r="AA1510" t="s">
        <v>37</v>
      </c>
      <c r="AB1510" t="s">
        <v>44</v>
      </c>
      <c r="AC1510">
        <v>7.2</v>
      </c>
      <c r="AD1510" t="s">
        <v>34</v>
      </c>
      <c r="AE1510">
        <v>1735.62</v>
      </c>
      <c r="AF1510">
        <v>0</v>
      </c>
    </row>
    <row r="1511" spans="3:32" x14ac:dyDescent="0.35">
      <c r="C1511" s="1">
        <v>44366</v>
      </c>
      <c r="D1511" s="2">
        <v>44348</v>
      </c>
      <c r="E1511">
        <v>1172</v>
      </c>
      <c r="F1511" s="3">
        <v>3641.92</v>
      </c>
      <c r="G1511" s="3">
        <v>3614.64</v>
      </c>
      <c r="H1511" s="3">
        <v>27.28</v>
      </c>
      <c r="I1511" s="3">
        <v>0.99</v>
      </c>
      <c r="J1511">
        <v>0.17</v>
      </c>
      <c r="K1511">
        <v>3297.79</v>
      </c>
      <c r="L1511" t="s">
        <v>35</v>
      </c>
      <c r="M1511">
        <v>677</v>
      </c>
      <c r="N1511">
        <v>0.6</v>
      </c>
      <c r="O1511" s="3">
        <v>734.86</v>
      </c>
      <c r="P1511" s="3">
        <v>0.2</v>
      </c>
      <c r="Q1511" s="3">
        <v>315.18</v>
      </c>
      <c r="R1511" s="3">
        <v>0.09</v>
      </c>
      <c r="S1511">
        <v>1</v>
      </c>
      <c r="T1511">
        <v>611.53</v>
      </c>
      <c r="U1511">
        <v>45</v>
      </c>
      <c r="V1511">
        <v>0</v>
      </c>
      <c r="W1511">
        <v>777.72</v>
      </c>
      <c r="X1511">
        <v>2058</v>
      </c>
      <c r="Y1511" t="s">
        <v>49</v>
      </c>
      <c r="Z1511" s="3">
        <v>1414.52</v>
      </c>
      <c r="AA1511" t="s">
        <v>40</v>
      </c>
      <c r="AB1511" t="s">
        <v>42</v>
      </c>
      <c r="AC1511">
        <v>88.6</v>
      </c>
      <c r="AD1511" t="s">
        <v>43</v>
      </c>
      <c r="AE1511">
        <v>27.28</v>
      </c>
      <c r="AF1511">
        <v>0</v>
      </c>
    </row>
    <row r="1512" spans="3:32" x14ac:dyDescent="0.35">
      <c r="C1512" s="1">
        <v>44366</v>
      </c>
      <c r="D1512" s="2">
        <v>44348</v>
      </c>
      <c r="E1512">
        <v>1163</v>
      </c>
      <c r="F1512" s="3">
        <v>3501.07</v>
      </c>
      <c r="G1512" s="3">
        <v>2589.2399999999998</v>
      </c>
      <c r="H1512" s="3">
        <v>911.83</v>
      </c>
      <c r="I1512" s="3">
        <v>0.74</v>
      </c>
      <c r="J1512">
        <v>0.31</v>
      </c>
      <c r="K1512">
        <v>2950.98</v>
      </c>
      <c r="L1512" t="s">
        <v>35</v>
      </c>
      <c r="M1512">
        <v>656</v>
      </c>
      <c r="N1512">
        <v>0.12</v>
      </c>
      <c r="O1512" s="3">
        <v>677.77</v>
      </c>
      <c r="P1512" s="3">
        <v>0.19</v>
      </c>
      <c r="Q1512" s="3">
        <v>88.48</v>
      </c>
      <c r="R1512" s="3">
        <v>0.03</v>
      </c>
      <c r="S1512">
        <v>3</v>
      </c>
      <c r="T1512">
        <v>1859.19</v>
      </c>
      <c r="U1512">
        <v>38</v>
      </c>
      <c r="V1512">
        <v>0</v>
      </c>
      <c r="W1512">
        <v>725.98</v>
      </c>
      <c r="X1512">
        <v>2385.9699999999998</v>
      </c>
      <c r="Y1512" t="s">
        <v>36</v>
      </c>
      <c r="Z1512" s="3">
        <v>1541.38</v>
      </c>
      <c r="AA1512" t="s">
        <v>41</v>
      </c>
      <c r="AB1512" t="s">
        <v>33</v>
      </c>
      <c r="AC1512">
        <v>10.9</v>
      </c>
      <c r="AD1512" t="s">
        <v>43</v>
      </c>
      <c r="AE1512">
        <v>911.83</v>
      </c>
      <c r="AF1512">
        <v>0</v>
      </c>
    </row>
    <row r="1513" spans="3:32" x14ac:dyDescent="0.35">
      <c r="C1513" s="1">
        <v>44366</v>
      </c>
      <c r="D1513" s="2">
        <v>44348</v>
      </c>
      <c r="E1513">
        <v>1371</v>
      </c>
      <c r="F1513" s="3">
        <v>3570.72</v>
      </c>
      <c r="G1513" s="3">
        <v>3579.36</v>
      </c>
      <c r="H1513" s="3">
        <v>-8.64</v>
      </c>
      <c r="I1513" s="3">
        <v>1</v>
      </c>
      <c r="J1513">
        <v>0.34</v>
      </c>
      <c r="K1513">
        <v>3143.54</v>
      </c>
      <c r="L1513" t="s">
        <v>30</v>
      </c>
      <c r="M1513">
        <v>757</v>
      </c>
      <c r="N1513">
        <v>0.13</v>
      </c>
      <c r="O1513" s="3">
        <v>497.05</v>
      </c>
      <c r="P1513" s="3">
        <v>0.14000000000000001</v>
      </c>
      <c r="Q1513" s="3">
        <v>652.28</v>
      </c>
      <c r="R1513" s="3">
        <v>0.18</v>
      </c>
      <c r="S1513">
        <v>6</v>
      </c>
      <c r="T1513">
        <v>2139.66</v>
      </c>
      <c r="U1513">
        <v>24</v>
      </c>
      <c r="V1513">
        <v>0</v>
      </c>
      <c r="W1513">
        <v>670.55</v>
      </c>
      <c r="X1513">
        <v>2347.54</v>
      </c>
      <c r="Y1513" t="s">
        <v>36</v>
      </c>
      <c r="Z1513" s="3">
        <v>1185.05</v>
      </c>
      <c r="AA1513" t="s">
        <v>45</v>
      </c>
      <c r="AB1513" t="s">
        <v>33</v>
      </c>
      <c r="AC1513">
        <v>21.4</v>
      </c>
      <c r="AD1513" t="s">
        <v>43</v>
      </c>
      <c r="AE1513">
        <v>0</v>
      </c>
      <c r="AF1513">
        <v>0</v>
      </c>
    </row>
    <row r="1514" spans="3:32" x14ac:dyDescent="0.35">
      <c r="C1514" s="1">
        <v>44366</v>
      </c>
      <c r="D1514" s="2">
        <v>44348</v>
      </c>
      <c r="E1514">
        <v>1580</v>
      </c>
      <c r="F1514" s="3">
        <v>3826.08</v>
      </c>
      <c r="G1514" s="3">
        <v>3000.03</v>
      </c>
      <c r="H1514" s="3">
        <v>826.05</v>
      </c>
      <c r="I1514" s="3">
        <v>0.78</v>
      </c>
      <c r="J1514">
        <v>0.37</v>
      </c>
      <c r="K1514">
        <v>3665.75</v>
      </c>
      <c r="L1514" t="s">
        <v>35</v>
      </c>
      <c r="M1514">
        <v>724</v>
      </c>
      <c r="N1514">
        <v>0.53</v>
      </c>
      <c r="O1514" s="3">
        <v>435.31</v>
      </c>
      <c r="P1514" s="3">
        <v>0.11</v>
      </c>
      <c r="Q1514" s="3">
        <v>433.2</v>
      </c>
      <c r="R1514" s="3">
        <v>0.11</v>
      </c>
      <c r="S1514">
        <v>1</v>
      </c>
      <c r="T1514">
        <v>1791.71</v>
      </c>
      <c r="U1514">
        <v>63</v>
      </c>
      <c r="V1514">
        <v>0</v>
      </c>
      <c r="W1514">
        <v>482.85</v>
      </c>
      <c r="X1514">
        <v>1147.55</v>
      </c>
      <c r="Y1514" t="s">
        <v>49</v>
      </c>
      <c r="Z1514" s="3">
        <v>1521.49</v>
      </c>
      <c r="AA1514" t="s">
        <v>40</v>
      </c>
      <c r="AB1514" t="s">
        <v>42</v>
      </c>
      <c r="AC1514">
        <v>1.2</v>
      </c>
      <c r="AD1514" t="s">
        <v>34</v>
      </c>
      <c r="AE1514">
        <v>826.05</v>
      </c>
      <c r="AF1514">
        <v>0</v>
      </c>
    </row>
    <row r="1515" spans="3:32" x14ac:dyDescent="0.35">
      <c r="C1515" s="1">
        <v>44366</v>
      </c>
      <c r="D1515" s="2">
        <v>44348</v>
      </c>
      <c r="E1515">
        <v>1206</v>
      </c>
      <c r="F1515" s="3">
        <v>4865.3100000000004</v>
      </c>
      <c r="G1515" s="3">
        <v>4036.2</v>
      </c>
      <c r="H1515" s="3">
        <v>829.11</v>
      </c>
      <c r="I1515" s="3">
        <v>0.83</v>
      </c>
      <c r="J1515">
        <v>0.23</v>
      </c>
      <c r="K1515">
        <v>2249.48</v>
      </c>
      <c r="L1515" t="s">
        <v>35</v>
      </c>
      <c r="M1515">
        <v>667</v>
      </c>
      <c r="N1515">
        <v>0.4</v>
      </c>
      <c r="O1515" s="3">
        <v>595.98</v>
      </c>
      <c r="P1515" s="3">
        <v>0.12</v>
      </c>
      <c r="Q1515" s="3">
        <v>579.20000000000005</v>
      </c>
      <c r="R1515" s="3">
        <v>0.12</v>
      </c>
      <c r="S1515">
        <v>4</v>
      </c>
      <c r="T1515">
        <v>862.97</v>
      </c>
      <c r="U1515">
        <v>62</v>
      </c>
      <c r="V1515">
        <v>0</v>
      </c>
      <c r="W1515">
        <v>312.48</v>
      </c>
      <c r="X1515">
        <v>3217.77</v>
      </c>
      <c r="Y1515" t="s">
        <v>36</v>
      </c>
      <c r="Z1515" s="3">
        <v>1387.64</v>
      </c>
      <c r="AA1515" t="s">
        <v>47</v>
      </c>
      <c r="AB1515" t="s">
        <v>33</v>
      </c>
      <c r="AC1515">
        <v>41.6</v>
      </c>
      <c r="AD1515" t="s">
        <v>34</v>
      </c>
      <c r="AE1515">
        <v>829.11</v>
      </c>
      <c r="AF1515">
        <v>0</v>
      </c>
    </row>
    <row r="1516" spans="3:32" x14ac:dyDescent="0.35">
      <c r="C1516" s="1">
        <v>44366</v>
      </c>
      <c r="D1516" s="2">
        <v>44348</v>
      </c>
      <c r="E1516">
        <v>1477</v>
      </c>
      <c r="F1516" s="3">
        <v>3897.53</v>
      </c>
      <c r="G1516" s="3">
        <v>3466.13</v>
      </c>
      <c r="H1516" s="3">
        <v>431.4</v>
      </c>
      <c r="I1516" s="3">
        <v>0.89</v>
      </c>
      <c r="J1516">
        <v>0.34</v>
      </c>
      <c r="K1516">
        <v>2947.79</v>
      </c>
      <c r="L1516" t="s">
        <v>39</v>
      </c>
      <c r="M1516">
        <v>776</v>
      </c>
      <c r="N1516">
        <v>0.44</v>
      </c>
      <c r="O1516" s="3">
        <v>636.59</v>
      </c>
      <c r="P1516" s="3">
        <v>0.16</v>
      </c>
      <c r="Q1516" s="3">
        <v>410.64</v>
      </c>
      <c r="R1516" s="3">
        <v>0.11</v>
      </c>
      <c r="S1516">
        <v>1</v>
      </c>
      <c r="T1516">
        <v>1205.4100000000001</v>
      </c>
      <c r="U1516">
        <v>72</v>
      </c>
      <c r="V1516">
        <v>0</v>
      </c>
      <c r="W1516">
        <v>683.09</v>
      </c>
      <c r="X1516">
        <v>1954.33</v>
      </c>
      <c r="Y1516" t="s">
        <v>36</v>
      </c>
      <c r="Z1516" s="3">
        <v>1887.04</v>
      </c>
      <c r="AA1516" t="s">
        <v>45</v>
      </c>
      <c r="AB1516" t="s">
        <v>44</v>
      </c>
      <c r="AC1516">
        <v>30.7</v>
      </c>
      <c r="AD1516" t="s">
        <v>38</v>
      </c>
      <c r="AE1516">
        <v>431.4</v>
      </c>
      <c r="AF1516">
        <v>0</v>
      </c>
    </row>
    <row r="1517" spans="3:32" x14ac:dyDescent="0.35">
      <c r="C1517" s="1">
        <v>44366</v>
      </c>
      <c r="D1517" s="2">
        <v>44348</v>
      </c>
      <c r="E1517">
        <v>1783</v>
      </c>
      <c r="F1517" s="3">
        <v>4492.58</v>
      </c>
      <c r="G1517" s="3">
        <v>2890.4</v>
      </c>
      <c r="H1517" s="3">
        <v>1602.18</v>
      </c>
      <c r="I1517" s="3">
        <v>0.64</v>
      </c>
      <c r="J1517">
        <v>7.0000000000000007E-2</v>
      </c>
      <c r="K1517">
        <v>2955.42</v>
      </c>
      <c r="L1517" t="s">
        <v>35</v>
      </c>
      <c r="M1517">
        <v>595</v>
      </c>
      <c r="N1517">
        <v>0.37</v>
      </c>
      <c r="O1517" s="3">
        <v>672.05</v>
      </c>
      <c r="P1517" s="3">
        <v>0.15</v>
      </c>
      <c r="Q1517" s="3">
        <v>393.81</v>
      </c>
      <c r="R1517" s="3">
        <v>0.09</v>
      </c>
      <c r="S1517">
        <v>8</v>
      </c>
      <c r="T1517">
        <v>448.07</v>
      </c>
      <c r="U1517">
        <v>56</v>
      </c>
      <c r="V1517">
        <v>0</v>
      </c>
      <c r="W1517">
        <v>758.18</v>
      </c>
      <c r="X1517">
        <v>1672.06</v>
      </c>
      <c r="Y1517" t="s">
        <v>36</v>
      </c>
      <c r="Z1517" s="3">
        <v>1200.94</v>
      </c>
      <c r="AA1517" t="s">
        <v>32</v>
      </c>
      <c r="AB1517" t="s">
        <v>33</v>
      </c>
      <c r="AC1517">
        <v>18.100000000000001</v>
      </c>
      <c r="AD1517" t="s">
        <v>34</v>
      </c>
      <c r="AE1517">
        <v>1602.18</v>
      </c>
      <c r="AF1517">
        <v>0</v>
      </c>
    </row>
    <row r="1518" spans="3:32" x14ac:dyDescent="0.35">
      <c r="C1518" s="1">
        <v>44366</v>
      </c>
      <c r="D1518" s="2">
        <v>44348</v>
      </c>
      <c r="E1518">
        <v>1154</v>
      </c>
      <c r="F1518" s="3">
        <v>2554.4699999999998</v>
      </c>
      <c r="G1518" s="3">
        <v>2592.84</v>
      </c>
      <c r="H1518" s="3">
        <v>-38.369999999999997</v>
      </c>
      <c r="I1518" s="3">
        <v>1.02</v>
      </c>
      <c r="J1518">
        <v>0.17</v>
      </c>
      <c r="K1518">
        <v>2302.62</v>
      </c>
      <c r="L1518" t="s">
        <v>30</v>
      </c>
      <c r="M1518">
        <v>677</v>
      </c>
      <c r="N1518">
        <v>0.38</v>
      </c>
      <c r="O1518" s="3">
        <v>812.38</v>
      </c>
      <c r="P1518" s="3">
        <v>0.32</v>
      </c>
      <c r="Q1518" s="3">
        <v>409.2</v>
      </c>
      <c r="R1518" s="3">
        <v>0.16</v>
      </c>
      <c r="S1518">
        <v>4</v>
      </c>
      <c r="T1518">
        <v>1326.54</v>
      </c>
      <c r="U1518">
        <v>55</v>
      </c>
      <c r="V1518">
        <v>0</v>
      </c>
      <c r="W1518">
        <v>664.84</v>
      </c>
      <c r="X1518">
        <v>2385.37</v>
      </c>
      <c r="Y1518" t="s">
        <v>36</v>
      </c>
      <c r="Z1518" s="3">
        <v>665.78</v>
      </c>
      <c r="AA1518" t="s">
        <v>40</v>
      </c>
      <c r="AB1518" t="s">
        <v>33</v>
      </c>
      <c r="AC1518">
        <v>87</v>
      </c>
      <c r="AD1518" t="s">
        <v>34</v>
      </c>
      <c r="AE1518">
        <v>0</v>
      </c>
      <c r="AF1518">
        <v>0</v>
      </c>
    </row>
    <row r="1519" spans="3:32" x14ac:dyDescent="0.35">
      <c r="C1519" s="1">
        <v>44366</v>
      </c>
      <c r="D1519" s="2">
        <v>44348</v>
      </c>
      <c r="E1519">
        <v>1272</v>
      </c>
      <c r="F1519" s="3">
        <v>5027.2299999999996</v>
      </c>
      <c r="G1519" s="3">
        <v>2414.1999999999998</v>
      </c>
      <c r="H1519" s="3">
        <v>2613.0300000000002</v>
      </c>
      <c r="I1519" s="3">
        <v>0.48</v>
      </c>
      <c r="J1519">
        <v>0.19</v>
      </c>
      <c r="K1519">
        <v>2370.73</v>
      </c>
      <c r="L1519" t="s">
        <v>35</v>
      </c>
      <c r="M1519">
        <v>654</v>
      </c>
      <c r="N1519">
        <v>0.47</v>
      </c>
      <c r="O1519" s="3">
        <v>799.65</v>
      </c>
      <c r="P1519" s="3">
        <v>0.16</v>
      </c>
      <c r="Q1519" s="3">
        <v>0</v>
      </c>
      <c r="R1519" s="3">
        <v>0</v>
      </c>
      <c r="S1519">
        <v>6</v>
      </c>
      <c r="T1519">
        <v>1149</v>
      </c>
      <c r="U1519">
        <v>23</v>
      </c>
      <c r="V1519">
        <v>0</v>
      </c>
      <c r="W1519">
        <v>340.38</v>
      </c>
      <c r="X1519">
        <v>1000</v>
      </c>
      <c r="Y1519" t="s">
        <v>31</v>
      </c>
      <c r="Z1519" s="3">
        <v>1245.73</v>
      </c>
      <c r="AA1519" t="s">
        <v>46</v>
      </c>
      <c r="AB1519" t="s">
        <v>44</v>
      </c>
      <c r="AC1519">
        <v>31</v>
      </c>
      <c r="AD1519" t="s">
        <v>38</v>
      </c>
      <c r="AE1519">
        <v>2613.0300000000002</v>
      </c>
      <c r="AF1519">
        <v>1</v>
      </c>
    </row>
    <row r="1520" spans="3:32" x14ac:dyDescent="0.35">
      <c r="C1520" s="1">
        <v>44366</v>
      </c>
      <c r="D1520" s="2">
        <v>44348</v>
      </c>
      <c r="E1520">
        <v>1892</v>
      </c>
      <c r="F1520" s="3">
        <v>2298.41</v>
      </c>
      <c r="G1520" s="3">
        <v>3206.4</v>
      </c>
      <c r="H1520" s="3">
        <v>-907.99</v>
      </c>
      <c r="I1520" s="3">
        <v>1.4</v>
      </c>
      <c r="J1520">
        <v>0.05</v>
      </c>
      <c r="K1520">
        <v>1981.61</v>
      </c>
      <c r="L1520" t="s">
        <v>35</v>
      </c>
      <c r="M1520">
        <v>694</v>
      </c>
      <c r="N1520">
        <v>0.38</v>
      </c>
      <c r="O1520" s="3">
        <v>536.02</v>
      </c>
      <c r="P1520" s="3">
        <v>0.23</v>
      </c>
      <c r="Q1520" s="3">
        <v>406.04</v>
      </c>
      <c r="R1520" s="3">
        <v>0.18</v>
      </c>
      <c r="S1520">
        <v>1</v>
      </c>
      <c r="T1520">
        <v>766.07</v>
      </c>
      <c r="U1520">
        <v>25</v>
      </c>
      <c r="V1520">
        <v>0</v>
      </c>
      <c r="W1520">
        <v>343.67</v>
      </c>
      <c r="X1520">
        <v>2791.09</v>
      </c>
      <c r="Y1520" t="s">
        <v>31</v>
      </c>
      <c r="Z1520" s="3">
        <v>1752.5</v>
      </c>
      <c r="AA1520" t="s">
        <v>45</v>
      </c>
      <c r="AB1520" t="s">
        <v>42</v>
      </c>
      <c r="AC1520">
        <v>59.5</v>
      </c>
      <c r="AD1520" t="s">
        <v>43</v>
      </c>
      <c r="AE1520">
        <v>0</v>
      </c>
      <c r="AF1520">
        <v>0</v>
      </c>
    </row>
    <row r="1521" spans="3:32" x14ac:dyDescent="0.35">
      <c r="C1521" s="1">
        <v>44366</v>
      </c>
      <c r="D1521" s="2">
        <v>44348</v>
      </c>
      <c r="E1521">
        <v>1308</v>
      </c>
      <c r="F1521" s="3">
        <v>4248.1099999999997</v>
      </c>
      <c r="G1521" s="3">
        <v>2131.5100000000002</v>
      </c>
      <c r="H1521" s="3">
        <v>2116.6</v>
      </c>
      <c r="I1521" s="3">
        <v>0.5</v>
      </c>
      <c r="J1521">
        <v>0.1</v>
      </c>
      <c r="K1521">
        <v>3344.46</v>
      </c>
      <c r="L1521" t="s">
        <v>30</v>
      </c>
      <c r="M1521">
        <v>669</v>
      </c>
      <c r="N1521">
        <v>0.56000000000000005</v>
      </c>
      <c r="O1521" s="3">
        <v>412.01</v>
      </c>
      <c r="P1521" s="3">
        <v>0.1</v>
      </c>
      <c r="Q1521" s="3">
        <v>114.23</v>
      </c>
      <c r="R1521" s="3">
        <v>0.03</v>
      </c>
      <c r="S1521">
        <v>7</v>
      </c>
      <c r="T1521">
        <v>630.96</v>
      </c>
      <c r="U1521">
        <v>50</v>
      </c>
      <c r="V1521">
        <v>0</v>
      </c>
      <c r="W1521">
        <v>388.82</v>
      </c>
      <c r="X1521">
        <v>1788.89</v>
      </c>
      <c r="Y1521" t="s">
        <v>31</v>
      </c>
      <c r="Z1521" s="3">
        <v>1311.82</v>
      </c>
      <c r="AA1521" t="s">
        <v>50</v>
      </c>
      <c r="AB1521" t="s">
        <v>33</v>
      </c>
      <c r="AC1521">
        <v>99.1</v>
      </c>
      <c r="AD1521" t="s">
        <v>38</v>
      </c>
      <c r="AE1521">
        <v>2116.6</v>
      </c>
      <c r="AF1521">
        <v>0</v>
      </c>
    </row>
    <row r="1522" spans="3:32" x14ac:dyDescent="0.35">
      <c r="C1522" s="1">
        <v>44366</v>
      </c>
      <c r="D1522" s="2">
        <v>44348</v>
      </c>
      <c r="E1522">
        <v>1438</v>
      </c>
      <c r="F1522" s="3">
        <v>4044.89</v>
      </c>
      <c r="G1522" s="3">
        <v>3931.32</v>
      </c>
      <c r="H1522" s="3">
        <v>113.57</v>
      </c>
      <c r="I1522" s="3">
        <v>0.97</v>
      </c>
      <c r="J1522">
        <v>0.12</v>
      </c>
      <c r="K1522">
        <v>2357.84</v>
      </c>
      <c r="L1522" t="s">
        <v>30</v>
      </c>
      <c r="M1522">
        <v>694</v>
      </c>
      <c r="N1522">
        <v>0.55000000000000004</v>
      </c>
      <c r="O1522" s="3">
        <v>512.04999999999995</v>
      </c>
      <c r="P1522" s="3">
        <v>0.13</v>
      </c>
      <c r="Q1522" s="3">
        <v>498.89</v>
      </c>
      <c r="R1522" s="3">
        <v>0.12</v>
      </c>
      <c r="S1522">
        <v>8</v>
      </c>
      <c r="T1522">
        <v>1070.1099999999999</v>
      </c>
      <c r="U1522">
        <v>23</v>
      </c>
      <c r="V1522">
        <v>0</v>
      </c>
      <c r="W1522">
        <v>408.87</v>
      </c>
      <c r="X1522">
        <v>2483.5100000000002</v>
      </c>
      <c r="Y1522" t="s">
        <v>36</v>
      </c>
      <c r="Z1522" s="3">
        <v>1299.58</v>
      </c>
      <c r="AA1522" t="s">
        <v>37</v>
      </c>
      <c r="AB1522" t="s">
        <v>44</v>
      </c>
      <c r="AC1522">
        <v>9.4</v>
      </c>
      <c r="AD1522" t="s">
        <v>34</v>
      </c>
      <c r="AE1522">
        <v>113.57</v>
      </c>
      <c r="AF1522">
        <v>0</v>
      </c>
    </row>
    <row r="1523" spans="3:32" x14ac:dyDescent="0.35">
      <c r="C1523" s="1">
        <v>44366</v>
      </c>
      <c r="D1523" s="2">
        <v>44348</v>
      </c>
      <c r="E1523">
        <v>1818</v>
      </c>
      <c r="F1523" s="3">
        <v>5974.57</v>
      </c>
      <c r="G1523" s="3">
        <v>1624.47</v>
      </c>
      <c r="H1523" s="3">
        <v>4350.1000000000004</v>
      </c>
      <c r="I1523" s="3">
        <v>0.27</v>
      </c>
      <c r="J1523">
        <v>0.39</v>
      </c>
      <c r="K1523">
        <v>2564.67</v>
      </c>
      <c r="L1523" t="s">
        <v>30</v>
      </c>
      <c r="M1523">
        <v>563</v>
      </c>
      <c r="N1523">
        <v>0.56000000000000005</v>
      </c>
      <c r="O1523" s="3">
        <v>835.81</v>
      </c>
      <c r="P1523" s="3">
        <v>0.14000000000000001</v>
      </c>
      <c r="Q1523" s="3">
        <v>423.93</v>
      </c>
      <c r="R1523" s="3">
        <v>7.0000000000000007E-2</v>
      </c>
      <c r="S1523">
        <v>7</v>
      </c>
      <c r="T1523">
        <v>989.68</v>
      </c>
      <c r="U1523">
        <v>51</v>
      </c>
      <c r="V1523">
        <v>0</v>
      </c>
      <c r="W1523">
        <v>341.6</v>
      </c>
      <c r="X1523">
        <v>1990.01</v>
      </c>
      <c r="Y1523" t="s">
        <v>31</v>
      </c>
      <c r="Z1523" s="3">
        <v>1029.17</v>
      </c>
      <c r="AA1523" t="s">
        <v>41</v>
      </c>
      <c r="AB1523" t="s">
        <v>44</v>
      </c>
      <c r="AC1523">
        <v>87.1</v>
      </c>
      <c r="AD1523" t="s">
        <v>43</v>
      </c>
      <c r="AE1523">
        <v>4350.1000000000004</v>
      </c>
      <c r="AF1523">
        <v>1</v>
      </c>
    </row>
    <row r="1524" spans="3:32" x14ac:dyDescent="0.35">
      <c r="C1524" s="1">
        <v>44366</v>
      </c>
      <c r="D1524" s="2">
        <v>44348</v>
      </c>
      <c r="E1524">
        <v>1862</v>
      </c>
      <c r="F1524" s="3">
        <v>3679.44</v>
      </c>
      <c r="G1524" s="3">
        <v>2667.59</v>
      </c>
      <c r="H1524" s="3">
        <v>1011.85</v>
      </c>
      <c r="I1524" s="3">
        <v>0.72</v>
      </c>
      <c r="J1524">
        <v>0.38</v>
      </c>
      <c r="K1524">
        <v>1988.35</v>
      </c>
      <c r="L1524" t="s">
        <v>35</v>
      </c>
      <c r="M1524">
        <v>649</v>
      </c>
      <c r="N1524">
        <v>0.4</v>
      </c>
      <c r="O1524" s="3">
        <v>658.16</v>
      </c>
      <c r="P1524" s="3">
        <v>0.18</v>
      </c>
      <c r="Q1524" s="3">
        <v>322.48</v>
      </c>
      <c r="R1524" s="3">
        <v>0.09</v>
      </c>
      <c r="S1524">
        <v>6</v>
      </c>
      <c r="T1524">
        <v>1093.22</v>
      </c>
      <c r="U1524">
        <v>66</v>
      </c>
      <c r="V1524">
        <v>0</v>
      </c>
      <c r="W1524">
        <v>564.48</v>
      </c>
      <c r="X1524">
        <v>1488.86</v>
      </c>
      <c r="Y1524" t="s">
        <v>36</v>
      </c>
      <c r="Z1524" s="3">
        <v>1552.8</v>
      </c>
      <c r="AA1524" t="s">
        <v>32</v>
      </c>
      <c r="AB1524" t="s">
        <v>33</v>
      </c>
      <c r="AC1524">
        <v>17.5</v>
      </c>
      <c r="AD1524" t="s">
        <v>43</v>
      </c>
      <c r="AE1524">
        <v>1011.85</v>
      </c>
      <c r="AF1524">
        <v>0</v>
      </c>
    </row>
    <row r="1525" spans="3:32" x14ac:dyDescent="0.35">
      <c r="C1525" s="1">
        <v>44366</v>
      </c>
      <c r="D1525" s="2">
        <v>44348</v>
      </c>
      <c r="E1525">
        <v>1969</v>
      </c>
      <c r="F1525" s="3">
        <v>4012.58</v>
      </c>
      <c r="G1525" s="3">
        <v>2304.5100000000002</v>
      </c>
      <c r="H1525" s="3">
        <v>1708.07</v>
      </c>
      <c r="I1525" s="3">
        <v>0.56999999999999995</v>
      </c>
      <c r="J1525">
        <v>0.25</v>
      </c>
      <c r="K1525">
        <v>2901.53</v>
      </c>
      <c r="L1525" t="s">
        <v>35</v>
      </c>
      <c r="M1525">
        <v>715</v>
      </c>
      <c r="N1525">
        <v>0.22</v>
      </c>
      <c r="O1525" s="3">
        <v>595.51</v>
      </c>
      <c r="P1525" s="3">
        <v>0.15</v>
      </c>
      <c r="Q1525" s="3">
        <v>82.17</v>
      </c>
      <c r="R1525" s="3">
        <v>0.02</v>
      </c>
      <c r="S1525">
        <v>4</v>
      </c>
      <c r="T1525">
        <v>917.92</v>
      </c>
      <c r="U1525">
        <v>25</v>
      </c>
      <c r="V1525">
        <v>0</v>
      </c>
      <c r="W1525">
        <v>720.59</v>
      </c>
      <c r="X1525">
        <v>3054.16</v>
      </c>
      <c r="Y1525" t="s">
        <v>36</v>
      </c>
      <c r="Z1525" s="3">
        <v>1313.88</v>
      </c>
      <c r="AA1525" t="s">
        <v>32</v>
      </c>
      <c r="AB1525" t="s">
        <v>33</v>
      </c>
      <c r="AC1525">
        <v>43.2</v>
      </c>
      <c r="AD1525" t="s">
        <v>43</v>
      </c>
      <c r="AE1525">
        <v>1708.07</v>
      </c>
      <c r="AF1525">
        <v>0</v>
      </c>
    </row>
    <row r="1526" spans="3:32" x14ac:dyDescent="0.35">
      <c r="C1526" s="1">
        <v>44366</v>
      </c>
      <c r="D1526" s="2">
        <v>44348</v>
      </c>
      <c r="E1526">
        <v>1973</v>
      </c>
      <c r="F1526" s="3">
        <v>4059.17</v>
      </c>
      <c r="G1526" s="3">
        <v>3081.99</v>
      </c>
      <c r="H1526" s="3">
        <v>977.18</v>
      </c>
      <c r="I1526" s="3">
        <v>0.76</v>
      </c>
      <c r="J1526">
        <v>0.11</v>
      </c>
      <c r="K1526">
        <v>1768.89</v>
      </c>
      <c r="L1526" t="s">
        <v>30</v>
      </c>
      <c r="M1526">
        <v>679</v>
      </c>
      <c r="N1526">
        <v>0.54</v>
      </c>
      <c r="O1526" s="3">
        <v>549.87</v>
      </c>
      <c r="P1526" s="3">
        <v>0.14000000000000001</v>
      </c>
      <c r="Q1526" s="3">
        <v>466.15</v>
      </c>
      <c r="R1526" s="3">
        <v>0.11</v>
      </c>
      <c r="S1526">
        <v>5</v>
      </c>
      <c r="T1526">
        <v>1466.67</v>
      </c>
      <c r="U1526">
        <v>80</v>
      </c>
      <c r="V1526">
        <v>0</v>
      </c>
      <c r="W1526">
        <v>649.22</v>
      </c>
      <c r="X1526">
        <v>2569.5300000000002</v>
      </c>
      <c r="Y1526" t="s">
        <v>49</v>
      </c>
      <c r="Z1526" s="3">
        <v>1259.74</v>
      </c>
      <c r="AA1526" t="s">
        <v>32</v>
      </c>
      <c r="AB1526" t="s">
        <v>33</v>
      </c>
      <c r="AC1526">
        <v>71.599999999999994</v>
      </c>
      <c r="AD1526" t="s">
        <v>43</v>
      </c>
      <c r="AE1526">
        <v>977.18</v>
      </c>
      <c r="AF1526">
        <v>0</v>
      </c>
    </row>
    <row r="1527" spans="3:32" x14ac:dyDescent="0.35">
      <c r="C1527" s="1">
        <v>44366</v>
      </c>
      <c r="D1527" s="2">
        <v>44348</v>
      </c>
      <c r="E1527">
        <v>1682</v>
      </c>
      <c r="F1527" s="3">
        <v>2873.54</v>
      </c>
      <c r="G1527" s="3">
        <v>2749.08</v>
      </c>
      <c r="H1527" s="3">
        <v>124.46</v>
      </c>
      <c r="I1527" s="3">
        <v>0.96</v>
      </c>
      <c r="J1527">
        <v>0.21</v>
      </c>
      <c r="K1527">
        <v>2855.29</v>
      </c>
      <c r="L1527" t="s">
        <v>35</v>
      </c>
      <c r="M1527">
        <v>742</v>
      </c>
      <c r="N1527">
        <v>0.12</v>
      </c>
      <c r="O1527" s="3">
        <v>509.66</v>
      </c>
      <c r="P1527" s="3">
        <v>0.18</v>
      </c>
      <c r="Q1527" s="3">
        <v>959.28</v>
      </c>
      <c r="R1527" s="3">
        <v>0.33</v>
      </c>
      <c r="S1527">
        <v>4</v>
      </c>
      <c r="T1527">
        <v>1539.59</v>
      </c>
      <c r="U1527">
        <v>84</v>
      </c>
      <c r="V1527">
        <v>0</v>
      </c>
      <c r="W1527">
        <v>255.54</v>
      </c>
      <c r="X1527">
        <v>1943.02</v>
      </c>
      <c r="Y1527" t="s">
        <v>36</v>
      </c>
      <c r="Z1527" s="3">
        <v>748.78</v>
      </c>
      <c r="AA1527" t="s">
        <v>37</v>
      </c>
      <c r="AB1527" t="s">
        <v>33</v>
      </c>
      <c r="AC1527">
        <v>23.8</v>
      </c>
      <c r="AD1527" t="s">
        <v>38</v>
      </c>
      <c r="AE1527">
        <v>124.46</v>
      </c>
      <c r="AF1527">
        <v>0</v>
      </c>
    </row>
    <row r="1528" spans="3:32" x14ac:dyDescent="0.35">
      <c r="C1528" s="1">
        <v>44366</v>
      </c>
      <c r="D1528" s="2">
        <v>44348</v>
      </c>
      <c r="E1528">
        <v>1220</v>
      </c>
      <c r="F1528" s="3">
        <v>4128.8100000000004</v>
      </c>
      <c r="G1528" s="3">
        <v>1695.2</v>
      </c>
      <c r="H1528" s="3">
        <v>2433.61</v>
      </c>
      <c r="I1528" s="3">
        <v>0.41</v>
      </c>
      <c r="J1528">
        <v>0.25</v>
      </c>
      <c r="K1528">
        <v>3204.47</v>
      </c>
      <c r="L1528" t="s">
        <v>30</v>
      </c>
      <c r="M1528">
        <v>620</v>
      </c>
      <c r="N1528">
        <v>0.34</v>
      </c>
      <c r="O1528" s="3">
        <v>511.82</v>
      </c>
      <c r="P1528" s="3">
        <v>0.12</v>
      </c>
      <c r="Q1528" s="3">
        <v>311.14</v>
      </c>
      <c r="R1528" s="3">
        <v>0.08</v>
      </c>
      <c r="S1528">
        <v>5</v>
      </c>
      <c r="T1528">
        <v>1266.1500000000001</v>
      </c>
      <c r="U1528">
        <v>48</v>
      </c>
      <c r="V1528">
        <v>0</v>
      </c>
      <c r="W1528">
        <v>881.72</v>
      </c>
      <c r="X1528">
        <v>1851.74</v>
      </c>
      <c r="Y1528" t="s">
        <v>36</v>
      </c>
      <c r="Z1528" s="3">
        <v>1728.87</v>
      </c>
      <c r="AA1528" t="s">
        <v>32</v>
      </c>
      <c r="AB1528" t="s">
        <v>33</v>
      </c>
      <c r="AC1528">
        <v>90.3</v>
      </c>
      <c r="AD1528" t="s">
        <v>43</v>
      </c>
      <c r="AE1528">
        <v>2433.61</v>
      </c>
      <c r="AF1528">
        <v>0</v>
      </c>
    </row>
    <row r="1529" spans="3:32" x14ac:dyDescent="0.35">
      <c r="C1529" s="1">
        <v>44366</v>
      </c>
      <c r="D1529" s="2">
        <v>44348</v>
      </c>
      <c r="E1529">
        <v>1866</v>
      </c>
      <c r="F1529" s="3">
        <v>2587.89</v>
      </c>
      <c r="G1529" s="3">
        <v>1265.01</v>
      </c>
      <c r="H1529" s="3">
        <v>1322.88</v>
      </c>
      <c r="I1529" s="3">
        <v>0.49</v>
      </c>
      <c r="J1529">
        <v>0.14000000000000001</v>
      </c>
      <c r="K1529">
        <v>3189.09</v>
      </c>
      <c r="L1529" t="s">
        <v>35</v>
      </c>
      <c r="M1529">
        <v>533</v>
      </c>
      <c r="N1529">
        <v>0.46</v>
      </c>
      <c r="O1529" s="3">
        <v>355.5</v>
      </c>
      <c r="P1529" s="3">
        <v>0.14000000000000001</v>
      </c>
      <c r="Q1529" s="3">
        <v>380.76</v>
      </c>
      <c r="R1529" s="3">
        <v>0.15</v>
      </c>
      <c r="S1529">
        <v>1</v>
      </c>
      <c r="T1529">
        <v>321.91000000000003</v>
      </c>
      <c r="U1529">
        <v>98</v>
      </c>
      <c r="V1529">
        <v>0</v>
      </c>
      <c r="W1529">
        <v>443.39</v>
      </c>
      <c r="X1529">
        <v>2414.48</v>
      </c>
      <c r="Y1529" t="s">
        <v>36</v>
      </c>
      <c r="Z1529" s="3">
        <v>1245.8699999999999</v>
      </c>
      <c r="AA1529" t="s">
        <v>37</v>
      </c>
      <c r="AB1529" t="s">
        <v>33</v>
      </c>
      <c r="AC1529">
        <v>69.8</v>
      </c>
      <c r="AD1529" t="s">
        <v>38</v>
      </c>
      <c r="AE1529">
        <v>1322.88</v>
      </c>
      <c r="AF1529">
        <v>0</v>
      </c>
    </row>
    <row r="1530" spans="3:32" x14ac:dyDescent="0.35">
      <c r="C1530" s="1">
        <v>44366</v>
      </c>
      <c r="D1530" s="2">
        <v>44348</v>
      </c>
      <c r="E1530">
        <v>1357</v>
      </c>
      <c r="F1530" s="3">
        <v>4631.16</v>
      </c>
      <c r="G1530" s="3">
        <v>3209.93</v>
      </c>
      <c r="H1530" s="3">
        <v>1421.23</v>
      </c>
      <c r="I1530" s="3">
        <v>0.69</v>
      </c>
      <c r="J1530">
        <v>0.26</v>
      </c>
      <c r="K1530">
        <v>3323.56</v>
      </c>
      <c r="L1530" t="s">
        <v>35</v>
      </c>
      <c r="M1530">
        <v>660</v>
      </c>
      <c r="N1530">
        <v>0.36</v>
      </c>
      <c r="O1530" s="3">
        <v>252.19</v>
      </c>
      <c r="P1530" s="3">
        <v>0.05</v>
      </c>
      <c r="Q1530" s="3">
        <v>623.29999999999995</v>
      </c>
      <c r="R1530" s="3">
        <v>0.13</v>
      </c>
      <c r="S1530">
        <v>6</v>
      </c>
      <c r="T1530">
        <v>1044.5899999999999</v>
      </c>
      <c r="U1530">
        <v>32</v>
      </c>
      <c r="V1530">
        <v>0</v>
      </c>
      <c r="W1530">
        <v>279.49</v>
      </c>
      <c r="X1530">
        <v>1364.2</v>
      </c>
      <c r="Y1530" t="s">
        <v>36</v>
      </c>
      <c r="Z1530" s="3">
        <v>1515.69</v>
      </c>
      <c r="AA1530" t="s">
        <v>37</v>
      </c>
      <c r="AB1530" t="s">
        <v>44</v>
      </c>
      <c r="AC1530">
        <v>53.4</v>
      </c>
      <c r="AD1530" t="s">
        <v>34</v>
      </c>
      <c r="AE1530">
        <v>1421.23</v>
      </c>
      <c r="AF1530">
        <v>0</v>
      </c>
    </row>
    <row r="1531" spans="3:32" x14ac:dyDescent="0.35">
      <c r="C1531" s="1">
        <v>44366</v>
      </c>
      <c r="D1531" s="2">
        <v>44348</v>
      </c>
      <c r="E1531">
        <v>1128</v>
      </c>
      <c r="F1531" s="3">
        <v>2943.7</v>
      </c>
      <c r="G1531" s="3">
        <v>2116.94</v>
      </c>
      <c r="H1531" s="3">
        <v>826.76</v>
      </c>
      <c r="I1531" s="3">
        <v>0.72</v>
      </c>
      <c r="J1531">
        <v>0.12</v>
      </c>
      <c r="K1531">
        <v>2877.6</v>
      </c>
      <c r="L1531" t="s">
        <v>30</v>
      </c>
      <c r="M1531">
        <v>703</v>
      </c>
      <c r="N1531">
        <v>0.6</v>
      </c>
      <c r="O1531" s="3">
        <v>516.48</v>
      </c>
      <c r="P1531" s="3">
        <v>0.18</v>
      </c>
      <c r="Q1531" s="3">
        <v>808.93</v>
      </c>
      <c r="R1531" s="3">
        <v>0.27</v>
      </c>
      <c r="S1531">
        <v>2</v>
      </c>
      <c r="T1531">
        <v>322.87</v>
      </c>
      <c r="U1531">
        <v>74</v>
      </c>
      <c r="V1531">
        <v>0</v>
      </c>
      <c r="W1531">
        <v>925.69</v>
      </c>
      <c r="X1531">
        <v>1648.02</v>
      </c>
      <c r="Y1531" t="s">
        <v>36</v>
      </c>
      <c r="Z1531" s="3">
        <v>1104.56</v>
      </c>
      <c r="AA1531" t="s">
        <v>46</v>
      </c>
      <c r="AB1531" t="s">
        <v>33</v>
      </c>
      <c r="AC1531">
        <v>51.5</v>
      </c>
      <c r="AD1531" t="s">
        <v>43</v>
      </c>
      <c r="AE1531">
        <v>826.76</v>
      </c>
      <c r="AF1531">
        <v>0</v>
      </c>
    </row>
    <row r="1532" spans="3:32" x14ac:dyDescent="0.35">
      <c r="C1532" s="1">
        <v>44366</v>
      </c>
      <c r="D1532" s="2">
        <v>44348</v>
      </c>
      <c r="E1532">
        <v>1711</v>
      </c>
      <c r="F1532" s="3">
        <v>3093.8</v>
      </c>
      <c r="G1532" s="3">
        <v>3327.55</v>
      </c>
      <c r="H1532" s="3">
        <v>-233.75</v>
      </c>
      <c r="I1532" s="3">
        <v>1.08</v>
      </c>
      <c r="J1532">
        <v>0.25</v>
      </c>
      <c r="K1532">
        <v>2987.48</v>
      </c>
      <c r="L1532" t="s">
        <v>35</v>
      </c>
      <c r="M1532">
        <v>777</v>
      </c>
      <c r="N1532">
        <v>0.33</v>
      </c>
      <c r="O1532" s="3">
        <v>473.49</v>
      </c>
      <c r="P1532" s="3">
        <v>0.15</v>
      </c>
      <c r="Q1532" s="3">
        <v>83.52</v>
      </c>
      <c r="R1532" s="3">
        <v>0.03</v>
      </c>
      <c r="S1532">
        <v>4</v>
      </c>
      <c r="T1532">
        <v>1451.56</v>
      </c>
      <c r="U1532">
        <v>22</v>
      </c>
      <c r="V1532">
        <v>0</v>
      </c>
      <c r="W1532">
        <v>558.65</v>
      </c>
      <c r="X1532">
        <v>2294.9899999999998</v>
      </c>
      <c r="Y1532" t="s">
        <v>49</v>
      </c>
      <c r="Z1532" s="3">
        <v>638.33000000000004</v>
      </c>
      <c r="AA1532" t="s">
        <v>46</v>
      </c>
      <c r="AB1532" t="s">
        <v>33</v>
      </c>
      <c r="AC1532">
        <v>42</v>
      </c>
      <c r="AD1532" t="s">
        <v>38</v>
      </c>
      <c r="AE1532">
        <v>0</v>
      </c>
      <c r="AF1532">
        <v>0</v>
      </c>
    </row>
    <row r="1533" spans="3:32" x14ac:dyDescent="0.35">
      <c r="C1533" s="1">
        <v>44366</v>
      </c>
      <c r="D1533" s="2">
        <v>44348</v>
      </c>
      <c r="E1533">
        <v>1588</v>
      </c>
      <c r="F1533" s="3">
        <v>3782.33</v>
      </c>
      <c r="G1533" s="3">
        <v>1791.96</v>
      </c>
      <c r="H1533" s="3">
        <v>1990.37</v>
      </c>
      <c r="I1533" s="3">
        <v>0.47</v>
      </c>
      <c r="J1533">
        <v>0.3</v>
      </c>
      <c r="K1533">
        <v>2764.43</v>
      </c>
      <c r="L1533" t="s">
        <v>39</v>
      </c>
      <c r="M1533">
        <v>713</v>
      </c>
      <c r="N1533">
        <v>0.47</v>
      </c>
      <c r="O1533" s="3">
        <v>684.5</v>
      </c>
      <c r="P1533" s="3">
        <v>0.18</v>
      </c>
      <c r="Q1533" s="3">
        <v>25.87</v>
      </c>
      <c r="R1533" s="3">
        <v>0.01</v>
      </c>
      <c r="S1533">
        <v>2</v>
      </c>
      <c r="T1533">
        <v>1467.87</v>
      </c>
      <c r="U1533">
        <v>50</v>
      </c>
      <c r="V1533">
        <v>0</v>
      </c>
      <c r="W1533">
        <v>412.2</v>
      </c>
      <c r="X1533">
        <v>1205.72</v>
      </c>
      <c r="Y1533" t="s">
        <v>36</v>
      </c>
      <c r="Z1533" s="3">
        <v>1144.9000000000001</v>
      </c>
      <c r="AA1533" t="s">
        <v>47</v>
      </c>
      <c r="AB1533" t="s">
        <v>33</v>
      </c>
      <c r="AC1533">
        <v>39.6</v>
      </c>
      <c r="AD1533" t="s">
        <v>38</v>
      </c>
      <c r="AE1533">
        <v>1990.37</v>
      </c>
      <c r="AF1533">
        <v>0</v>
      </c>
    </row>
    <row r="1534" spans="3:32" x14ac:dyDescent="0.35">
      <c r="C1534" s="1">
        <v>44366</v>
      </c>
      <c r="D1534" s="2">
        <v>44348</v>
      </c>
      <c r="E1534">
        <v>1721</v>
      </c>
      <c r="F1534" s="3">
        <v>2263.7199999999998</v>
      </c>
      <c r="G1534" s="3">
        <v>2028.81</v>
      </c>
      <c r="H1534" s="3">
        <v>234.91</v>
      </c>
      <c r="I1534" s="3">
        <v>0.9</v>
      </c>
      <c r="J1534">
        <v>0.3</v>
      </c>
      <c r="K1534">
        <v>2249.37</v>
      </c>
      <c r="L1534" t="s">
        <v>35</v>
      </c>
      <c r="M1534">
        <v>652</v>
      </c>
      <c r="N1534">
        <v>0.54</v>
      </c>
      <c r="O1534" s="3">
        <v>745.09</v>
      </c>
      <c r="P1534" s="3">
        <v>0.33</v>
      </c>
      <c r="Q1534" s="3">
        <v>472.97</v>
      </c>
      <c r="R1534" s="3">
        <v>0.21</v>
      </c>
      <c r="S1534">
        <v>6</v>
      </c>
      <c r="T1534">
        <v>1208.49</v>
      </c>
      <c r="U1534">
        <v>41</v>
      </c>
      <c r="V1534">
        <v>0</v>
      </c>
      <c r="W1534">
        <v>351.61</v>
      </c>
      <c r="X1534">
        <v>2163.0500000000002</v>
      </c>
      <c r="Y1534" t="s">
        <v>36</v>
      </c>
      <c r="Z1534" s="3">
        <v>1103.58</v>
      </c>
      <c r="AA1534" t="s">
        <v>46</v>
      </c>
      <c r="AB1534" t="s">
        <v>44</v>
      </c>
      <c r="AC1534">
        <v>37</v>
      </c>
      <c r="AD1534" t="s">
        <v>34</v>
      </c>
      <c r="AE1534">
        <v>234.91</v>
      </c>
      <c r="AF1534">
        <v>0</v>
      </c>
    </row>
    <row r="1535" spans="3:32" x14ac:dyDescent="0.35">
      <c r="C1535" s="1">
        <v>44366</v>
      </c>
      <c r="D1535" s="2">
        <v>44348</v>
      </c>
      <c r="E1535">
        <v>1457</v>
      </c>
      <c r="F1535" s="3">
        <v>3066.8</v>
      </c>
      <c r="G1535" s="3">
        <v>3840.06</v>
      </c>
      <c r="H1535" s="3">
        <v>-773.26</v>
      </c>
      <c r="I1535" s="3">
        <v>1.25</v>
      </c>
      <c r="J1535">
        <v>0.12</v>
      </c>
      <c r="K1535">
        <v>2773.09</v>
      </c>
      <c r="L1535" t="s">
        <v>30</v>
      </c>
      <c r="M1535">
        <v>695</v>
      </c>
      <c r="N1535">
        <v>0.33</v>
      </c>
      <c r="O1535" s="3">
        <v>556.83000000000004</v>
      </c>
      <c r="P1535" s="3">
        <v>0.18</v>
      </c>
      <c r="Q1535" s="3">
        <v>220.8</v>
      </c>
      <c r="R1535" s="3">
        <v>7.0000000000000007E-2</v>
      </c>
      <c r="S1535">
        <v>5</v>
      </c>
      <c r="T1535">
        <v>1032.3599999999999</v>
      </c>
      <c r="U1535">
        <v>38</v>
      </c>
      <c r="V1535">
        <v>0</v>
      </c>
      <c r="W1535">
        <v>783.12</v>
      </c>
      <c r="X1535">
        <v>2294</v>
      </c>
      <c r="Y1535" t="s">
        <v>31</v>
      </c>
      <c r="Z1535" s="3">
        <v>2165.92</v>
      </c>
      <c r="AA1535" t="s">
        <v>40</v>
      </c>
      <c r="AB1535" t="s">
        <v>33</v>
      </c>
      <c r="AC1535">
        <v>78.599999999999994</v>
      </c>
      <c r="AD1535" t="s">
        <v>38</v>
      </c>
      <c r="AE1535">
        <v>0</v>
      </c>
      <c r="AF1535">
        <v>0</v>
      </c>
    </row>
    <row r="1536" spans="3:32" x14ac:dyDescent="0.35">
      <c r="C1536" s="1">
        <v>44366</v>
      </c>
      <c r="D1536" s="2">
        <v>44348</v>
      </c>
      <c r="E1536">
        <v>1159</v>
      </c>
      <c r="F1536" s="3">
        <v>5002.47</v>
      </c>
      <c r="G1536" s="3">
        <v>1861.44</v>
      </c>
      <c r="H1536" s="3">
        <v>3141.03</v>
      </c>
      <c r="I1536" s="3">
        <v>0.37</v>
      </c>
      <c r="J1536">
        <v>0.1</v>
      </c>
      <c r="K1536">
        <v>2721.65</v>
      </c>
      <c r="L1536" t="s">
        <v>35</v>
      </c>
      <c r="M1536">
        <v>589</v>
      </c>
      <c r="N1536">
        <v>0.4</v>
      </c>
      <c r="O1536" s="3">
        <v>47.03</v>
      </c>
      <c r="P1536" s="3">
        <v>0.01</v>
      </c>
      <c r="Q1536" s="3">
        <v>220.68</v>
      </c>
      <c r="R1536" s="3">
        <v>0.04</v>
      </c>
      <c r="S1536">
        <v>9</v>
      </c>
      <c r="T1536">
        <v>1729.09</v>
      </c>
      <c r="U1536">
        <v>36</v>
      </c>
      <c r="V1536">
        <v>0</v>
      </c>
      <c r="W1536">
        <v>402.82</v>
      </c>
      <c r="X1536">
        <v>2595.3000000000002</v>
      </c>
      <c r="Y1536" t="s">
        <v>49</v>
      </c>
      <c r="Z1536" s="3">
        <v>1500.73</v>
      </c>
      <c r="AA1536" t="s">
        <v>41</v>
      </c>
      <c r="AB1536" t="s">
        <v>33</v>
      </c>
      <c r="AC1536">
        <v>61.4</v>
      </c>
      <c r="AD1536" t="s">
        <v>34</v>
      </c>
      <c r="AE1536">
        <v>3141.03</v>
      </c>
      <c r="AF1536">
        <v>1</v>
      </c>
    </row>
    <row r="1537" spans="3:32" x14ac:dyDescent="0.35">
      <c r="C1537" s="1">
        <v>44366</v>
      </c>
      <c r="D1537" s="2">
        <v>44348</v>
      </c>
      <c r="E1537">
        <v>1827</v>
      </c>
      <c r="F1537" s="3">
        <v>4086.68</v>
      </c>
      <c r="G1537" s="3">
        <v>3346.06</v>
      </c>
      <c r="H1537" s="3">
        <v>740.62</v>
      </c>
      <c r="I1537" s="3">
        <v>0.82</v>
      </c>
      <c r="J1537">
        <v>0.34</v>
      </c>
      <c r="K1537">
        <v>2759.81</v>
      </c>
      <c r="L1537" t="s">
        <v>35</v>
      </c>
      <c r="M1537">
        <v>640</v>
      </c>
      <c r="N1537">
        <v>0.31</v>
      </c>
      <c r="O1537" s="3">
        <v>720.68</v>
      </c>
      <c r="P1537" s="3">
        <v>0.18</v>
      </c>
      <c r="Q1537" s="3">
        <v>41.62</v>
      </c>
      <c r="R1537" s="3">
        <v>0.01</v>
      </c>
      <c r="S1537">
        <v>1</v>
      </c>
      <c r="T1537">
        <v>1230.76</v>
      </c>
      <c r="U1537">
        <v>30</v>
      </c>
      <c r="V1537">
        <v>0</v>
      </c>
      <c r="W1537">
        <v>423.84</v>
      </c>
      <c r="X1537">
        <v>1397.65</v>
      </c>
      <c r="Y1537" t="s">
        <v>36</v>
      </c>
      <c r="Z1537" s="3">
        <v>896.93</v>
      </c>
      <c r="AA1537" t="s">
        <v>37</v>
      </c>
      <c r="AB1537" t="s">
        <v>33</v>
      </c>
      <c r="AC1537">
        <v>11.6</v>
      </c>
      <c r="AD1537" t="s">
        <v>34</v>
      </c>
      <c r="AE1537">
        <v>740.62</v>
      </c>
      <c r="AF1537">
        <v>0</v>
      </c>
    </row>
    <row r="1538" spans="3:32" x14ac:dyDescent="0.35">
      <c r="C1538" s="1">
        <v>44366</v>
      </c>
      <c r="D1538" s="2">
        <v>44348</v>
      </c>
      <c r="E1538">
        <v>1025</v>
      </c>
      <c r="F1538" s="3">
        <v>2778.19</v>
      </c>
      <c r="G1538" s="3">
        <v>3279.76</v>
      </c>
      <c r="H1538" s="3">
        <v>-501.57</v>
      </c>
      <c r="I1538" s="3">
        <v>1.18</v>
      </c>
      <c r="J1538">
        <v>0.32</v>
      </c>
      <c r="K1538">
        <v>2622.53</v>
      </c>
      <c r="L1538" t="s">
        <v>39</v>
      </c>
      <c r="M1538">
        <v>720</v>
      </c>
      <c r="N1538">
        <v>0.2</v>
      </c>
      <c r="O1538" s="3">
        <v>609.61</v>
      </c>
      <c r="P1538" s="3">
        <v>0.22</v>
      </c>
      <c r="Q1538" s="3">
        <v>181.64</v>
      </c>
      <c r="R1538" s="3">
        <v>7.0000000000000007E-2</v>
      </c>
      <c r="S1538">
        <v>9</v>
      </c>
      <c r="T1538">
        <v>732.56</v>
      </c>
      <c r="U1538">
        <v>30</v>
      </c>
      <c r="V1538">
        <v>0</v>
      </c>
      <c r="W1538">
        <v>640.1</v>
      </c>
      <c r="X1538">
        <v>1852.62</v>
      </c>
      <c r="Y1538" t="s">
        <v>36</v>
      </c>
      <c r="Z1538" s="3">
        <v>1359.99</v>
      </c>
      <c r="AA1538" t="s">
        <v>32</v>
      </c>
      <c r="AB1538" t="s">
        <v>33</v>
      </c>
      <c r="AC1538">
        <v>14.4</v>
      </c>
      <c r="AD1538" t="s">
        <v>43</v>
      </c>
      <c r="AE1538">
        <v>0</v>
      </c>
      <c r="AF1538">
        <v>0</v>
      </c>
    </row>
    <row r="1539" spans="3:32" x14ac:dyDescent="0.35">
      <c r="C1539" s="1">
        <v>44366</v>
      </c>
      <c r="D1539" s="2">
        <v>44348</v>
      </c>
      <c r="E1539">
        <v>1809</v>
      </c>
      <c r="F1539" s="3">
        <v>3486.31</v>
      </c>
      <c r="G1539" s="3">
        <v>1466.9</v>
      </c>
      <c r="H1539" s="3">
        <v>2019.41</v>
      </c>
      <c r="I1539" s="3">
        <v>0.42</v>
      </c>
      <c r="J1539">
        <v>0.35</v>
      </c>
      <c r="K1539">
        <v>2722.77</v>
      </c>
      <c r="L1539" t="s">
        <v>35</v>
      </c>
      <c r="M1539">
        <v>694</v>
      </c>
      <c r="N1539">
        <v>0.52</v>
      </c>
      <c r="O1539" s="3">
        <v>410.72</v>
      </c>
      <c r="P1539" s="3">
        <v>0.12</v>
      </c>
      <c r="Q1539" s="3">
        <v>631.05999999999995</v>
      </c>
      <c r="R1539" s="3">
        <v>0.18</v>
      </c>
      <c r="S1539">
        <v>5</v>
      </c>
      <c r="T1539">
        <v>1079.4100000000001</v>
      </c>
      <c r="U1539">
        <v>55</v>
      </c>
      <c r="V1539">
        <v>0</v>
      </c>
      <c r="W1539">
        <v>777.42</v>
      </c>
      <c r="X1539">
        <v>1644</v>
      </c>
      <c r="Y1539" t="s">
        <v>36</v>
      </c>
      <c r="Z1539" s="3">
        <v>1021.38</v>
      </c>
      <c r="AA1539" t="s">
        <v>51</v>
      </c>
      <c r="AB1539" t="s">
        <v>42</v>
      </c>
      <c r="AC1539">
        <v>26.2</v>
      </c>
      <c r="AD1539" t="s">
        <v>34</v>
      </c>
      <c r="AE1539">
        <v>2019.41</v>
      </c>
      <c r="AF1539">
        <v>0</v>
      </c>
    </row>
    <row r="1540" spans="3:32" x14ac:dyDescent="0.35">
      <c r="C1540" s="1">
        <v>44366</v>
      </c>
      <c r="D1540" s="2">
        <v>44348</v>
      </c>
      <c r="E1540">
        <v>1158</v>
      </c>
      <c r="F1540" s="3">
        <v>3367.43</v>
      </c>
      <c r="G1540" s="3">
        <v>2730.8</v>
      </c>
      <c r="H1540" s="3">
        <v>636.63</v>
      </c>
      <c r="I1540" s="3">
        <v>0.81</v>
      </c>
      <c r="J1540">
        <v>0.2</v>
      </c>
      <c r="K1540">
        <v>3056.91</v>
      </c>
      <c r="L1540" t="s">
        <v>35</v>
      </c>
      <c r="M1540">
        <v>684</v>
      </c>
      <c r="N1540">
        <v>0.23</v>
      </c>
      <c r="O1540" s="3">
        <v>271.27</v>
      </c>
      <c r="P1540" s="3">
        <v>0.08</v>
      </c>
      <c r="Q1540" s="3">
        <v>303.36</v>
      </c>
      <c r="R1540" s="3">
        <v>0.09</v>
      </c>
      <c r="S1540">
        <v>5</v>
      </c>
      <c r="T1540">
        <v>1314.25</v>
      </c>
      <c r="U1540">
        <v>35</v>
      </c>
      <c r="V1540">
        <v>0</v>
      </c>
      <c r="W1540">
        <v>574.79</v>
      </c>
      <c r="X1540">
        <v>2215.08</v>
      </c>
      <c r="Y1540" t="s">
        <v>49</v>
      </c>
      <c r="Z1540" s="3">
        <v>1051.3399999999999</v>
      </c>
      <c r="AA1540" t="s">
        <v>37</v>
      </c>
      <c r="AB1540" t="s">
        <v>44</v>
      </c>
      <c r="AC1540">
        <v>42.8</v>
      </c>
      <c r="AD1540" t="s">
        <v>38</v>
      </c>
      <c r="AE1540">
        <v>636.63</v>
      </c>
      <c r="AF1540">
        <v>0</v>
      </c>
    </row>
    <row r="1541" spans="3:32" x14ac:dyDescent="0.35">
      <c r="C1541" s="1">
        <v>44366</v>
      </c>
      <c r="D1541" s="2">
        <v>44348</v>
      </c>
      <c r="E1541">
        <v>1738</v>
      </c>
      <c r="F1541" s="3">
        <v>3378.97</v>
      </c>
      <c r="G1541" s="3">
        <v>2155.12</v>
      </c>
      <c r="H1541" s="3">
        <v>1223.8499999999999</v>
      </c>
      <c r="I1541" s="3">
        <v>0.64</v>
      </c>
      <c r="J1541">
        <v>0.11</v>
      </c>
      <c r="K1541">
        <v>1781.78</v>
      </c>
      <c r="L1541" t="s">
        <v>30</v>
      </c>
      <c r="M1541">
        <v>618</v>
      </c>
      <c r="N1541">
        <v>0.37</v>
      </c>
      <c r="O1541" s="3">
        <v>74.03</v>
      </c>
      <c r="P1541" s="3">
        <v>0.02</v>
      </c>
      <c r="Q1541" s="3">
        <v>736.44</v>
      </c>
      <c r="R1541" s="3">
        <v>0.22</v>
      </c>
      <c r="S1541">
        <v>4</v>
      </c>
      <c r="T1541">
        <v>1320.48</v>
      </c>
      <c r="U1541">
        <v>77</v>
      </c>
      <c r="V1541">
        <v>0</v>
      </c>
      <c r="W1541">
        <v>375.98</v>
      </c>
      <c r="X1541">
        <v>2196.67</v>
      </c>
      <c r="Y1541" t="s">
        <v>31</v>
      </c>
      <c r="Z1541" s="3">
        <v>713.05</v>
      </c>
      <c r="AA1541" t="s">
        <v>51</v>
      </c>
      <c r="AB1541" t="s">
        <v>33</v>
      </c>
      <c r="AC1541">
        <v>98.3</v>
      </c>
      <c r="AD1541" t="s">
        <v>34</v>
      </c>
      <c r="AE1541">
        <v>1223.8499999999999</v>
      </c>
      <c r="AF1541">
        <v>0</v>
      </c>
    </row>
    <row r="1542" spans="3:32" x14ac:dyDescent="0.35">
      <c r="C1542" s="1">
        <v>44366</v>
      </c>
      <c r="D1542" s="2">
        <v>44348</v>
      </c>
      <c r="E1542">
        <v>1203</v>
      </c>
      <c r="F1542" s="3">
        <v>4606.57</v>
      </c>
      <c r="G1542" s="3">
        <v>2854.43</v>
      </c>
      <c r="H1542" s="3">
        <v>1752.14</v>
      </c>
      <c r="I1542" s="3">
        <v>0.62</v>
      </c>
      <c r="J1542">
        <v>0.37</v>
      </c>
      <c r="K1542">
        <v>2574.56</v>
      </c>
      <c r="L1542" t="s">
        <v>30</v>
      </c>
      <c r="M1542">
        <v>682</v>
      </c>
      <c r="N1542">
        <v>0.41</v>
      </c>
      <c r="O1542" s="3">
        <v>736.5</v>
      </c>
      <c r="P1542" s="3">
        <v>0.16</v>
      </c>
      <c r="Q1542" s="3">
        <v>541.14</v>
      </c>
      <c r="R1542" s="3">
        <v>0.12</v>
      </c>
      <c r="S1542">
        <v>1</v>
      </c>
      <c r="T1542">
        <v>1681.64</v>
      </c>
      <c r="U1542">
        <v>65</v>
      </c>
      <c r="V1542">
        <v>0</v>
      </c>
      <c r="W1542">
        <v>107.81</v>
      </c>
      <c r="X1542">
        <v>2513.0500000000002</v>
      </c>
      <c r="Y1542" t="s">
        <v>36</v>
      </c>
      <c r="Z1542" s="3">
        <v>1715.64</v>
      </c>
      <c r="AA1542" t="s">
        <v>47</v>
      </c>
      <c r="AB1542" t="s">
        <v>42</v>
      </c>
      <c r="AC1542">
        <v>48.7</v>
      </c>
      <c r="AD1542" t="s">
        <v>34</v>
      </c>
      <c r="AE1542">
        <v>1752.14</v>
      </c>
      <c r="AF1542">
        <v>0</v>
      </c>
    </row>
    <row r="1543" spans="3:32" x14ac:dyDescent="0.35">
      <c r="C1543" s="1">
        <v>44366</v>
      </c>
      <c r="D1543" s="2">
        <v>44348</v>
      </c>
      <c r="E1543">
        <v>1422</v>
      </c>
      <c r="F1543" s="3">
        <v>2952.33</v>
      </c>
      <c r="G1543" s="3">
        <v>2515.94</v>
      </c>
      <c r="H1543" s="3">
        <v>436.39</v>
      </c>
      <c r="I1543" s="3">
        <v>0.85</v>
      </c>
      <c r="J1543">
        <v>0.06</v>
      </c>
      <c r="K1543">
        <v>2913.37</v>
      </c>
      <c r="L1543" t="s">
        <v>39</v>
      </c>
      <c r="M1543">
        <v>660</v>
      </c>
      <c r="N1543">
        <v>0.38</v>
      </c>
      <c r="O1543" s="3">
        <v>682.79</v>
      </c>
      <c r="P1543" s="3">
        <v>0.23</v>
      </c>
      <c r="Q1543" s="3">
        <v>809.82</v>
      </c>
      <c r="R1543" s="3">
        <v>0.27</v>
      </c>
      <c r="S1543">
        <v>1</v>
      </c>
      <c r="T1543">
        <v>1469.5</v>
      </c>
      <c r="U1543">
        <v>20</v>
      </c>
      <c r="V1543">
        <v>0</v>
      </c>
      <c r="W1543">
        <v>932.38</v>
      </c>
      <c r="X1543">
        <v>1415.17</v>
      </c>
      <c r="Y1543" t="s">
        <v>36</v>
      </c>
      <c r="Z1543" s="3">
        <v>924.39</v>
      </c>
      <c r="AA1543" t="s">
        <v>46</v>
      </c>
      <c r="AB1543" t="s">
        <v>33</v>
      </c>
      <c r="AC1543">
        <v>33.299999999999997</v>
      </c>
      <c r="AD1543" t="s">
        <v>38</v>
      </c>
      <c r="AE1543">
        <v>436.39</v>
      </c>
      <c r="AF1543">
        <v>0</v>
      </c>
    </row>
    <row r="1544" spans="3:32" x14ac:dyDescent="0.35">
      <c r="C1544" s="1">
        <v>44366</v>
      </c>
      <c r="D1544" s="2">
        <v>44348</v>
      </c>
      <c r="E1544">
        <v>1607</v>
      </c>
      <c r="F1544" s="3">
        <v>4780.7299999999996</v>
      </c>
      <c r="G1544" s="3">
        <v>2471.27</v>
      </c>
      <c r="H1544" s="3">
        <v>2309.46</v>
      </c>
      <c r="I1544" s="3">
        <v>0.52</v>
      </c>
      <c r="J1544">
        <v>0.31</v>
      </c>
      <c r="K1544">
        <v>3268.53</v>
      </c>
      <c r="L1544" t="s">
        <v>35</v>
      </c>
      <c r="M1544">
        <v>708</v>
      </c>
      <c r="N1544">
        <v>0.55000000000000004</v>
      </c>
      <c r="O1544" s="3">
        <v>773.02</v>
      </c>
      <c r="P1544" s="3">
        <v>0.16</v>
      </c>
      <c r="Q1544" s="3">
        <v>554.79</v>
      </c>
      <c r="R1544" s="3">
        <v>0.12</v>
      </c>
      <c r="S1544">
        <v>7</v>
      </c>
      <c r="T1544">
        <v>1056.31</v>
      </c>
      <c r="U1544">
        <v>62</v>
      </c>
      <c r="V1544">
        <v>0</v>
      </c>
      <c r="W1544">
        <v>303.86</v>
      </c>
      <c r="X1544">
        <v>2900.41</v>
      </c>
      <c r="Y1544" t="s">
        <v>36</v>
      </c>
      <c r="Z1544" s="3">
        <v>1163.46</v>
      </c>
      <c r="AA1544" t="s">
        <v>48</v>
      </c>
      <c r="AB1544" t="s">
        <v>33</v>
      </c>
      <c r="AC1544">
        <v>99.5</v>
      </c>
      <c r="AD1544" t="s">
        <v>34</v>
      </c>
      <c r="AE1544">
        <v>2309.46</v>
      </c>
      <c r="AF1544">
        <v>0</v>
      </c>
    </row>
    <row r="1545" spans="3:32" x14ac:dyDescent="0.35">
      <c r="C1545" s="1">
        <v>44366</v>
      </c>
      <c r="D1545" s="2">
        <v>44348</v>
      </c>
      <c r="E1545">
        <v>1318</v>
      </c>
      <c r="F1545" s="3">
        <v>3174.77</v>
      </c>
      <c r="G1545" s="3">
        <v>3053.05</v>
      </c>
      <c r="H1545" s="3">
        <v>121.72</v>
      </c>
      <c r="I1545" s="3">
        <v>0.96</v>
      </c>
      <c r="J1545">
        <v>0.38</v>
      </c>
      <c r="K1545">
        <v>2685.02</v>
      </c>
      <c r="L1545" t="s">
        <v>35</v>
      </c>
      <c r="M1545">
        <v>639</v>
      </c>
      <c r="N1545">
        <v>0.41</v>
      </c>
      <c r="O1545" s="3">
        <v>50.65</v>
      </c>
      <c r="P1545" s="3">
        <v>0.02</v>
      </c>
      <c r="Q1545" s="3">
        <v>548.88</v>
      </c>
      <c r="R1545" s="3">
        <v>0.17</v>
      </c>
      <c r="S1545">
        <v>4</v>
      </c>
      <c r="T1545">
        <v>394.28</v>
      </c>
      <c r="U1545">
        <v>90</v>
      </c>
      <c r="V1545">
        <v>0</v>
      </c>
      <c r="W1545">
        <v>304.19</v>
      </c>
      <c r="X1545">
        <v>2050.0500000000002</v>
      </c>
      <c r="Y1545" t="s">
        <v>36</v>
      </c>
      <c r="Z1545" s="3">
        <v>951.26</v>
      </c>
      <c r="AA1545" t="s">
        <v>41</v>
      </c>
      <c r="AB1545" t="s">
        <v>42</v>
      </c>
      <c r="AC1545">
        <v>34.6</v>
      </c>
      <c r="AD1545" t="s">
        <v>43</v>
      </c>
      <c r="AE1545">
        <v>121.72</v>
      </c>
      <c r="AF1545">
        <v>0</v>
      </c>
    </row>
    <row r="1546" spans="3:32" x14ac:dyDescent="0.35">
      <c r="C1546" s="1">
        <v>44366</v>
      </c>
      <c r="D1546" s="2">
        <v>44348</v>
      </c>
      <c r="E1546">
        <v>1824</v>
      </c>
      <c r="F1546" s="3">
        <v>3824.28</v>
      </c>
      <c r="G1546" s="3">
        <v>2233.9499999999998</v>
      </c>
      <c r="H1546" s="3">
        <v>1590.33</v>
      </c>
      <c r="I1546" s="3">
        <v>0.57999999999999996</v>
      </c>
      <c r="J1546">
        <v>0.06</v>
      </c>
      <c r="K1546">
        <v>3002.98</v>
      </c>
      <c r="L1546" t="s">
        <v>35</v>
      </c>
      <c r="M1546">
        <v>614</v>
      </c>
      <c r="N1546">
        <v>0.24</v>
      </c>
      <c r="O1546" s="3">
        <v>703.35</v>
      </c>
      <c r="P1546" s="3">
        <v>0.18</v>
      </c>
      <c r="Q1546" s="3">
        <v>362.14</v>
      </c>
      <c r="R1546" s="3">
        <v>0.09</v>
      </c>
      <c r="S1546">
        <v>6</v>
      </c>
      <c r="T1546">
        <v>1182.1600000000001</v>
      </c>
      <c r="U1546">
        <v>73</v>
      </c>
      <c r="V1546">
        <v>0</v>
      </c>
      <c r="W1546">
        <v>695.69</v>
      </c>
      <c r="X1546">
        <v>1849.14</v>
      </c>
      <c r="Y1546" t="s">
        <v>36</v>
      </c>
      <c r="Z1546" s="3">
        <v>1627.7</v>
      </c>
      <c r="AA1546" t="s">
        <v>41</v>
      </c>
      <c r="AB1546" t="s">
        <v>33</v>
      </c>
      <c r="AC1546">
        <v>30.7</v>
      </c>
      <c r="AD1546" t="s">
        <v>34</v>
      </c>
      <c r="AE1546">
        <v>1590.33</v>
      </c>
      <c r="AF1546">
        <v>0</v>
      </c>
    </row>
    <row r="1547" spans="3:32" x14ac:dyDescent="0.35">
      <c r="C1547" s="1">
        <v>44366</v>
      </c>
      <c r="D1547" s="2">
        <v>44348</v>
      </c>
      <c r="E1547">
        <v>1804</v>
      </c>
      <c r="F1547" s="3">
        <v>4558.71</v>
      </c>
      <c r="G1547" s="3">
        <v>3893.4</v>
      </c>
      <c r="H1547" s="3">
        <v>665.31</v>
      </c>
      <c r="I1547" s="3">
        <v>0.85</v>
      </c>
      <c r="J1547">
        <v>0.12</v>
      </c>
      <c r="K1547">
        <v>3720.03</v>
      </c>
      <c r="L1547" t="s">
        <v>35</v>
      </c>
      <c r="M1547">
        <v>685</v>
      </c>
      <c r="N1547">
        <v>0.11</v>
      </c>
      <c r="O1547" s="3">
        <v>427.88</v>
      </c>
      <c r="P1547" s="3">
        <v>0.09</v>
      </c>
      <c r="Q1547" s="3">
        <v>474.65</v>
      </c>
      <c r="R1547" s="3">
        <v>0.1</v>
      </c>
      <c r="S1547">
        <v>8</v>
      </c>
      <c r="T1547">
        <v>0</v>
      </c>
      <c r="U1547">
        <v>44</v>
      </c>
      <c r="V1547">
        <v>0</v>
      </c>
      <c r="W1547">
        <v>589.98</v>
      </c>
      <c r="X1547">
        <v>3002.99</v>
      </c>
      <c r="Y1547" t="s">
        <v>31</v>
      </c>
      <c r="Z1547" s="3">
        <v>1199.99</v>
      </c>
      <c r="AA1547" t="s">
        <v>37</v>
      </c>
      <c r="AB1547" t="s">
        <v>33</v>
      </c>
      <c r="AC1547">
        <v>34.1</v>
      </c>
      <c r="AD1547" t="s">
        <v>34</v>
      </c>
      <c r="AE1547">
        <v>665.31</v>
      </c>
      <c r="AF1547">
        <v>0</v>
      </c>
    </row>
    <row r="1548" spans="3:32" x14ac:dyDescent="0.35">
      <c r="C1548" s="1">
        <v>44366</v>
      </c>
      <c r="D1548" s="2">
        <v>44348</v>
      </c>
      <c r="E1548">
        <v>1557</v>
      </c>
      <c r="F1548" s="3">
        <v>4776.26</v>
      </c>
      <c r="G1548" s="3">
        <v>4119.67</v>
      </c>
      <c r="H1548" s="3">
        <v>656.59</v>
      </c>
      <c r="I1548" s="3">
        <v>0.86</v>
      </c>
      <c r="J1548">
        <v>7.0000000000000007E-2</v>
      </c>
      <c r="K1548">
        <v>2743.44</v>
      </c>
      <c r="L1548" t="s">
        <v>39</v>
      </c>
      <c r="M1548">
        <v>766</v>
      </c>
      <c r="N1548">
        <v>0.32</v>
      </c>
      <c r="O1548" s="3">
        <v>582.46</v>
      </c>
      <c r="P1548" s="3">
        <v>0.12</v>
      </c>
      <c r="Q1548" s="3">
        <v>849.42</v>
      </c>
      <c r="R1548" s="3">
        <v>0.18</v>
      </c>
      <c r="S1548">
        <v>4</v>
      </c>
      <c r="T1548">
        <v>1349.01</v>
      </c>
      <c r="U1548">
        <v>34</v>
      </c>
      <c r="V1548">
        <v>0</v>
      </c>
      <c r="W1548">
        <v>479.1</v>
      </c>
      <c r="X1548">
        <v>2033.45</v>
      </c>
      <c r="Y1548" t="s">
        <v>36</v>
      </c>
      <c r="Z1548" s="3">
        <v>776.98</v>
      </c>
      <c r="AA1548" t="s">
        <v>51</v>
      </c>
      <c r="AB1548" t="s">
        <v>33</v>
      </c>
      <c r="AC1548">
        <v>19.8</v>
      </c>
      <c r="AD1548" t="s">
        <v>34</v>
      </c>
      <c r="AE1548">
        <v>656.59</v>
      </c>
      <c r="AF1548">
        <v>0</v>
      </c>
    </row>
    <row r="1549" spans="3:32" x14ac:dyDescent="0.35">
      <c r="C1549" s="1">
        <v>44366</v>
      </c>
      <c r="D1549" s="2">
        <v>44348</v>
      </c>
      <c r="E1549">
        <v>1474</v>
      </c>
      <c r="F1549" s="3">
        <v>4397.68</v>
      </c>
      <c r="G1549" s="3">
        <v>2868.96</v>
      </c>
      <c r="H1549" s="3">
        <v>1528.72</v>
      </c>
      <c r="I1549" s="3">
        <v>0.65</v>
      </c>
      <c r="J1549">
        <v>0.17</v>
      </c>
      <c r="K1549">
        <v>2385.19</v>
      </c>
      <c r="L1549" t="s">
        <v>35</v>
      </c>
      <c r="M1549">
        <v>618</v>
      </c>
      <c r="N1549">
        <v>0.51</v>
      </c>
      <c r="O1549" s="3">
        <v>472.33</v>
      </c>
      <c r="P1549" s="3">
        <v>0.11</v>
      </c>
      <c r="Q1549" s="3">
        <v>536.84</v>
      </c>
      <c r="R1549" s="3">
        <v>0.12</v>
      </c>
      <c r="S1549">
        <v>2</v>
      </c>
      <c r="T1549">
        <v>551.22</v>
      </c>
      <c r="U1549">
        <v>91</v>
      </c>
      <c r="V1549">
        <v>0</v>
      </c>
      <c r="W1549">
        <v>743.73</v>
      </c>
      <c r="X1549">
        <v>2144.9</v>
      </c>
      <c r="Y1549" t="s">
        <v>31</v>
      </c>
      <c r="Z1549" s="3">
        <v>913.85</v>
      </c>
      <c r="AA1549" t="s">
        <v>37</v>
      </c>
      <c r="AB1549" t="s">
        <v>44</v>
      </c>
      <c r="AC1549">
        <v>82.9</v>
      </c>
      <c r="AD1549" t="s">
        <v>38</v>
      </c>
      <c r="AE1549">
        <v>1528.72</v>
      </c>
      <c r="AF1549">
        <v>0</v>
      </c>
    </row>
    <row r="1550" spans="3:32" x14ac:dyDescent="0.35">
      <c r="C1550" s="1">
        <v>44366</v>
      </c>
      <c r="D1550" s="2">
        <v>44348</v>
      </c>
      <c r="E1550">
        <v>1891</v>
      </c>
      <c r="F1550" s="3">
        <v>4200.93</v>
      </c>
      <c r="G1550" s="3">
        <v>2412.25</v>
      </c>
      <c r="H1550" s="3">
        <v>1788.68</v>
      </c>
      <c r="I1550" s="3">
        <v>0.56999999999999995</v>
      </c>
      <c r="J1550">
        <v>0.27</v>
      </c>
      <c r="K1550">
        <v>3061.44</v>
      </c>
      <c r="L1550" t="s">
        <v>35</v>
      </c>
      <c r="M1550">
        <v>544</v>
      </c>
      <c r="N1550">
        <v>0.55000000000000004</v>
      </c>
      <c r="O1550" s="3">
        <v>1021.44</v>
      </c>
      <c r="P1550" s="3">
        <v>0.24</v>
      </c>
      <c r="Q1550" s="3">
        <v>44.1</v>
      </c>
      <c r="R1550" s="3">
        <v>0.01</v>
      </c>
      <c r="S1550">
        <v>3</v>
      </c>
      <c r="T1550">
        <v>1969.86</v>
      </c>
      <c r="U1550">
        <v>98</v>
      </c>
      <c r="V1550">
        <v>0</v>
      </c>
      <c r="W1550">
        <v>344.11</v>
      </c>
      <c r="X1550">
        <v>2701.03</v>
      </c>
      <c r="Y1550" t="s">
        <v>36</v>
      </c>
      <c r="Z1550" s="3">
        <v>770.85</v>
      </c>
      <c r="AA1550" t="s">
        <v>48</v>
      </c>
      <c r="AB1550" t="s">
        <v>44</v>
      </c>
      <c r="AC1550">
        <v>32.1</v>
      </c>
      <c r="AD1550" t="s">
        <v>34</v>
      </c>
      <c r="AE1550">
        <v>1788.68</v>
      </c>
      <c r="AF1550">
        <v>0</v>
      </c>
    </row>
    <row r="1551" spans="3:32" x14ac:dyDescent="0.35">
      <c r="C1551" s="1">
        <v>44366</v>
      </c>
      <c r="D1551" s="2">
        <v>44348</v>
      </c>
      <c r="E1551">
        <v>1340</v>
      </c>
      <c r="F1551" s="3">
        <v>3678.87</v>
      </c>
      <c r="G1551" s="3">
        <v>4179.37</v>
      </c>
      <c r="H1551" s="3">
        <v>-500.5</v>
      </c>
      <c r="I1551" s="3">
        <v>1.1399999999999999</v>
      </c>
      <c r="J1551">
        <v>0.13</v>
      </c>
      <c r="K1551">
        <v>3457.13</v>
      </c>
      <c r="L1551" t="s">
        <v>39</v>
      </c>
      <c r="M1551">
        <v>712</v>
      </c>
      <c r="N1551">
        <v>0.31</v>
      </c>
      <c r="O1551" s="3">
        <v>1008.01</v>
      </c>
      <c r="P1551" s="3">
        <v>0.27</v>
      </c>
      <c r="Q1551" s="3">
        <v>407.02</v>
      </c>
      <c r="R1551" s="3">
        <v>0.11</v>
      </c>
      <c r="S1551">
        <v>3</v>
      </c>
      <c r="T1551">
        <v>904.63</v>
      </c>
      <c r="U1551">
        <v>68</v>
      </c>
      <c r="V1551">
        <v>0</v>
      </c>
      <c r="W1551">
        <v>716.07</v>
      </c>
      <c r="X1551">
        <v>2044.41</v>
      </c>
      <c r="Y1551" t="s">
        <v>36</v>
      </c>
      <c r="Z1551" s="3">
        <v>1088.68</v>
      </c>
      <c r="AA1551" t="s">
        <v>48</v>
      </c>
      <c r="AB1551" t="s">
        <v>33</v>
      </c>
      <c r="AC1551">
        <v>81.5</v>
      </c>
      <c r="AD1551" t="s">
        <v>43</v>
      </c>
      <c r="AE1551">
        <v>0</v>
      </c>
      <c r="AF1551">
        <v>0</v>
      </c>
    </row>
    <row r="1552" spans="3:32" x14ac:dyDescent="0.35">
      <c r="C1552" s="1">
        <v>44396</v>
      </c>
      <c r="D1552" s="2">
        <v>44378</v>
      </c>
      <c r="E1552">
        <v>1421</v>
      </c>
      <c r="F1552" s="3">
        <v>2980.36</v>
      </c>
      <c r="G1552" s="3">
        <v>2083.75</v>
      </c>
      <c r="H1552" s="3">
        <v>896.61</v>
      </c>
      <c r="I1552" s="3">
        <v>0.7</v>
      </c>
      <c r="J1552">
        <v>0.15</v>
      </c>
      <c r="K1552">
        <v>3026.26</v>
      </c>
      <c r="L1552" t="s">
        <v>39</v>
      </c>
      <c r="M1552">
        <v>690</v>
      </c>
      <c r="N1552">
        <v>0.23</v>
      </c>
      <c r="O1552" s="3">
        <v>365.45</v>
      </c>
      <c r="P1552" s="3">
        <v>0.12</v>
      </c>
      <c r="Q1552" s="3">
        <v>213.49</v>
      </c>
      <c r="R1552" s="3">
        <v>7.0000000000000007E-2</v>
      </c>
      <c r="S1552">
        <v>6</v>
      </c>
      <c r="T1552">
        <v>453.89</v>
      </c>
      <c r="U1552">
        <v>78</v>
      </c>
      <c r="V1552">
        <v>0</v>
      </c>
      <c r="W1552">
        <v>96.31</v>
      </c>
      <c r="X1552">
        <v>2709.84</v>
      </c>
      <c r="Y1552" t="s">
        <v>36</v>
      </c>
      <c r="Z1552" s="3">
        <v>1127.79</v>
      </c>
      <c r="AA1552" t="s">
        <v>50</v>
      </c>
      <c r="AB1552" t="s">
        <v>33</v>
      </c>
      <c r="AC1552">
        <v>84</v>
      </c>
      <c r="AD1552" t="s">
        <v>43</v>
      </c>
      <c r="AE1552">
        <v>896.61</v>
      </c>
      <c r="AF1552">
        <v>0</v>
      </c>
    </row>
    <row r="1553" spans="3:32" x14ac:dyDescent="0.35">
      <c r="C1553" s="1">
        <v>44396</v>
      </c>
      <c r="D1553" s="2">
        <v>44378</v>
      </c>
      <c r="E1553">
        <v>1446</v>
      </c>
      <c r="F1553" s="3">
        <v>3539.63</v>
      </c>
      <c r="G1553" s="3">
        <v>1192.31</v>
      </c>
      <c r="H1553" s="3">
        <v>2347.3200000000002</v>
      </c>
      <c r="I1553" s="3">
        <v>0.34</v>
      </c>
      <c r="J1553">
        <v>7.0000000000000007E-2</v>
      </c>
      <c r="K1553">
        <v>2554.84</v>
      </c>
      <c r="L1553" t="s">
        <v>35</v>
      </c>
      <c r="M1553">
        <v>731</v>
      </c>
      <c r="N1553">
        <v>0.4</v>
      </c>
      <c r="O1553" s="3">
        <v>680.77</v>
      </c>
      <c r="P1553" s="3">
        <v>0.19</v>
      </c>
      <c r="Q1553" s="3">
        <v>130.47999999999999</v>
      </c>
      <c r="R1553" s="3">
        <v>0.04</v>
      </c>
      <c r="S1553">
        <v>3</v>
      </c>
      <c r="T1553">
        <v>303.31</v>
      </c>
      <c r="U1553">
        <v>91</v>
      </c>
      <c r="V1553">
        <v>0</v>
      </c>
      <c r="W1553">
        <v>641.53</v>
      </c>
      <c r="X1553">
        <v>1446.19</v>
      </c>
      <c r="Y1553" t="s">
        <v>31</v>
      </c>
      <c r="Z1553" s="3">
        <v>1269.19</v>
      </c>
      <c r="AA1553" t="s">
        <v>41</v>
      </c>
      <c r="AB1553" t="s">
        <v>44</v>
      </c>
      <c r="AC1553">
        <v>34</v>
      </c>
      <c r="AD1553" t="s">
        <v>34</v>
      </c>
      <c r="AE1553">
        <v>2347.3200000000002</v>
      </c>
      <c r="AF1553">
        <v>0</v>
      </c>
    </row>
    <row r="1554" spans="3:32" x14ac:dyDescent="0.35">
      <c r="C1554" s="1">
        <v>44396</v>
      </c>
      <c r="D1554" s="2">
        <v>44378</v>
      </c>
      <c r="E1554">
        <v>1942</v>
      </c>
      <c r="F1554" s="3">
        <v>3950.61</v>
      </c>
      <c r="G1554" s="3">
        <v>4145.59</v>
      </c>
      <c r="H1554" s="3">
        <v>-194.98</v>
      </c>
      <c r="I1554" s="3">
        <v>1.05</v>
      </c>
      <c r="J1554">
        <v>0.08</v>
      </c>
      <c r="K1554">
        <v>3392.67</v>
      </c>
      <c r="L1554" t="s">
        <v>30</v>
      </c>
      <c r="M1554">
        <v>717</v>
      </c>
      <c r="N1554">
        <v>0.22</v>
      </c>
      <c r="O1554" s="3">
        <v>656.13</v>
      </c>
      <c r="P1554" s="3">
        <v>0.17</v>
      </c>
      <c r="Q1554" s="3">
        <v>94.21</v>
      </c>
      <c r="R1554" s="3">
        <v>0.02</v>
      </c>
      <c r="S1554">
        <v>4</v>
      </c>
      <c r="T1554">
        <v>972.52</v>
      </c>
      <c r="U1554">
        <v>37</v>
      </c>
      <c r="V1554">
        <v>0</v>
      </c>
      <c r="W1554">
        <v>348.13</v>
      </c>
      <c r="X1554">
        <v>1725.78</v>
      </c>
      <c r="Y1554" t="s">
        <v>36</v>
      </c>
      <c r="Z1554" s="3">
        <v>1722.81</v>
      </c>
      <c r="AA1554" t="s">
        <v>51</v>
      </c>
      <c r="AB1554" t="s">
        <v>33</v>
      </c>
      <c r="AC1554">
        <v>40.4</v>
      </c>
      <c r="AD1554" t="s">
        <v>38</v>
      </c>
      <c r="AE1554">
        <v>0</v>
      </c>
      <c r="AF1554">
        <v>0</v>
      </c>
    </row>
    <row r="1555" spans="3:32" x14ac:dyDescent="0.35">
      <c r="C1555" s="1">
        <v>44396</v>
      </c>
      <c r="D1555" s="2">
        <v>44378</v>
      </c>
      <c r="E1555">
        <v>1680</v>
      </c>
      <c r="F1555" s="3">
        <v>4566.2</v>
      </c>
      <c r="G1555" s="3">
        <v>2625.76</v>
      </c>
      <c r="H1555" s="3">
        <v>1940.44</v>
      </c>
      <c r="I1555" s="3">
        <v>0.57999999999999996</v>
      </c>
      <c r="J1555">
        <v>0.17</v>
      </c>
      <c r="K1555">
        <v>1714.73</v>
      </c>
      <c r="L1555" t="s">
        <v>30</v>
      </c>
      <c r="M1555">
        <v>718</v>
      </c>
      <c r="N1555">
        <v>0.36</v>
      </c>
      <c r="O1555" s="3">
        <v>698.12</v>
      </c>
      <c r="P1555" s="3">
        <v>0.15</v>
      </c>
      <c r="Q1555" s="3">
        <v>302.37</v>
      </c>
      <c r="R1555" s="3">
        <v>7.0000000000000007E-2</v>
      </c>
      <c r="S1555">
        <v>3</v>
      </c>
      <c r="T1555">
        <v>492.93</v>
      </c>
      <c r="U1555">
        <v>95</v>
      </c>
      <c r="V1555">
        <v>0</v>
      </c>
      <c r="W1555">
        <v>298.67</v>
      </c>
      <c r="X1555">
        <v>3050.94</v>
      </c>
      <c r="Y1555" t="s">
        <v>31</v>
      </c>
      <c r="Z1555" s="3">
        <v>1011.88</v>
      </c>
      <c r="AA1555" t="s">
        <v>37</v>
      </c>
      <c r="AB1555" t="s">
        <v>42</v>
      </c>
      <c r="AC1555">
        <v>58.1</v>
      </c>
      <c r="AD1555" t="s">
        <v>38</v>
      </c>
      <c r="AE1555">
        <v>1940.44</v>
      </c>
      <c r="AF1555">
        <v>1</v>
      </c>
    </row>
    <row r="1556" spans="3:32" x14ac:dyDescent="0.35">
      <c r="C1556" s="1">
        <v>44396</v>
      </c>
      <c r="D1556" s="2">
        <v>44378</v>
      </c>
      <c r="E1556">
        <v>1032</v>
      </c>
      <c r="F1556" s="3">
        <v>2831.05</v>
      </c>
      <c r="G1556" s="3">
        <v>1633.94</v>
      </c>
      <c r="H1556" s="3">
        <v>1197.1099999999999</v>
      </c>
      <c r="I1556" s="3">
        <v>0.57999999999999996</v>
      </c>
      <c r="J1556">
        <v>0.19</v>
      </c>
      <c r="K1556">
        <v>2877.03</v>
      </c>
      <c r="L1556" t="s">
        <v>35</v>
      </c>
      <c r="M1556">
        <v>734</v>
      </c>
      <c r="N1556">
        <v>0.51</v>
      </c>
      <c r="O1556" s="3">
        <v>718.85</v>
      </c>
      <c r="P1556" s="3">
        <v>0.25</v>
      </c>
      <c r="Q1556" s="3">
        <v>559.11</v>
      </c>
      <c r="R1556" s="3">
        <v>0.2</v>
      </c>
      <c r="S1556">
        <v>8</v>
      </c>
      <c r="T1556">
        <v>1629.45</v>
      </c>
      <c r="U1556">
        <v>49</v>
      </c>
      <c r="V1556">
        <v>1</v>
      </c>
      <c r="W1556">
        <v>71.27</v>
      </c>
      <c r="X1556">
        <v>2196.12</v>
      </c>
      <c r="Y1556" t="s">
        <v>36</v>
      </c>
      <c r="Z1556" s="3">
        <v>1196.3900000000001</v>
      </c>
      <c r="AA1556" t="s">
        <v>48</v>
      </c>
      <c r="AB1556" t="s">
        <v>42</v>
      </c>
      <c r="AC1556">
        <v>52.8</v>
      </c>
      <c r="AD1556" t="s">
        <v>38</v>
      </c>
      <c r="AE1556">
        <v>1197.1099999999999</v>
      </c>
      <c r="AF1556">
        <v>0</v>
      </c>
    </row>
    <row r="1557" spans="3:32" x14ac:dyDescent="0.35">
      <c r="C1557" s="1">
        <v>44396</v>
      </c>
      <c r="D1557" s="2">
        <v>44378</v>
      </c>
      <c r="E1557">
        <v>1586</v>
      </c>
      <c r="F1557" s="3">
        <v>3633.4</v>
      </c>
      <c r="G1557" s="3">
        <v>2973.05</v>
      </c>
      <c r="H1557" s="3">
        <v>660.35</v>
      </c>
      <c r="I1557" s="3">
        <v>0.82</v>
      </c>
      <c r="J1557">
        <v>0.14000000000000001</v>
      </c>
      <c r="K1557">
        <v>2713.93</v>
      </c>
      <c r="L1557" t="s">
        <v>35</v>
      </c>
      <c r="M1557">
        <v>668</v>
      </c>
      <c r="N1557">
        <v>0.28999999999999998</v>
      </c>
      <c r="O1557" s="3">
        <v>261.2</v>
      </c>
      <c r="P1557" s="3">
        <v>7.0000000000000007E-2</v>
      </c>
      <c r="Q1557" s="3">
        <v>345.66</v>
      </c>
      <c r="R1557" s="3">
        <v>0.1</v>
      </c>
      <c r="S1557">
        <v>2</v>
      </c>
      <c r="T1557">
        <v>1592.85</v>
      </c>
      <c r="U1557">
        <v>27</v>
      </c>
      <c r="V1557">
        <v>0</v>
      </c>
      <c r="W1557">
        <v>379.58</v>
      </c>
      <c r="X1557">
        <v>2490.0300000000002</v>
      </c>
      <c r="Y1557" t="s">
        <v>31</v>
      </c>
      <c r="Z1557" s="3">
        <v>881.9</v>
      </c>
      <c r="AA1557" t="s">
        <v>32</v>
      </c>
      <c r="AB1557" t="s">
        <v>33</v>
      </c>
      <c r="AC1557">
        <v>39.9</v>
      </c>
      <c r="AD1557" t="s">
        <v>43</v>
      </c>
      <c r="AE1557">
        <v>660.35</v>
      </c>
      <c r="AF1557">
        <v>0</v>
      </c>
    </row>
    <row r="1558" spans="3:32" x14ac:dyDescent="0.35">
      <c r="C1558" s="1">
        <v>44396</v>
      </c>
      <c r="D1558" s="2">
        <v>44378</v>
      </c>
      <c r="E1558">
        <v>1756</v>
      </c>
      <c r="F1558" s="3">
        <v>3976.54</v>
      </c>
      <c r="G1558" s="3">
        <v>3184.21</v>
      </c>
      <c r="H1558" s="3">
        <v>792.33</v>
      </c>
      <c r="I1558" s="3">
        <v>0.8</v>
      </c>
      <c r="J1558">
        <v>0.25</v>
      </c>
      <c r="K1558">
        <v>3060.25</v>
      </c>
      <c r="L1558" t="s">
        <v>30</v>
      </c>
      <c r="M1558">
        <v>638</v>
      </c>
      <c r="N1558">
        <v>0.28000000000000003</v>
      </c>
      <c r="O1558" s="3">
        <v>600.64</v>
      </c>
      <c r="P1558" s="3">
        <v>0.15</v>
      </c>
      <c r="Q1558" s="3">
        <v>248.89</v>
      </c>
      <c r="R1558" s="3">
        <v>0.06</v>
      </c>
      <c r="S1558">
        <v>3</v>
      </c>
      <c r="T1558">
        <v>1177.76</v>
      </c>
      <c r="U1558">
        <v>60</v>
      </c>
      <c r="V1558">
        <v>0</v>
      </c>
      <c r="W1558">
        <v>269.42</v>
      </c>
      <c r="X1558">
        <v>3548.11</v>
      </c>
      <c r="Y1558" t="s">
        <v>36</v>
      </c>
      <c r="Z1558" s="3">
        <v>821.07</v>
      </c>
      <c r="AA1558" t="s">
        <v>40</v>
      </c>
      <c r="AB1558" t="s">
        <v>44</v>
      </c>
      <c r="AC1558">
        <v>90.7</v>
      </c>
      <c r="AD1558" t="s">
        <v>43</v>
      </c>
      <c r="AE1558">
        <v>792.33</v>
      </c>
      <c r="AF1558">
        <v>0</v>
      </c>
    </row>
    <row r="1559" spans="3:32" x14ac:dyDescent="0.35">
      <c r="C1559" s="1">
        <v>44396</v>
      </c>
      <c r="D1559" s="2">
        <v>44378</v>
      </c>
      <c r="E1559">
        <v>1650</v>
      </c>
      <c r="F1559" s="3">
        <v>3333.33</v>
      </c>
      <c r="G1559" s="3">
        <v>1497.29</v>
      </c>
      <c r="H1559" s="3">
        <v>1836.04</v>
      </c>
      <c r="I1559" s="3">
        <v>0.45</v>
      </c>
      <c r="J1559">
        <v>0.2</v>
      </c>
      <c r="K1559">
        <v>3327.99</v>
      </c>
      <c r="L1559" t="s">
        <v>35</v>
      </c>
      <c r="M1559">
        <v>580</v>
      </c>
      <c r="N1559">
        <v>0.48</v>
      </c>
      <c r="O1559" s="3">
        <v>650.20000000000005</v>
      </c>
      <c r="P1559" s="3">
        <v>0.2</v>
      </c>
      <c r="Q1559" s="3">
        <v>489.97</v>
      </c>
      <c r="R1559" s="3">
        <v>0.15</v>
      </c>
      <c r="S1559">
        <v>5</v>
      </c>
      <c r="T1559">
        <v>1710.05</v>
      </c>
      <c r="U1559">
        <v>66</v>
      </c>
      <c r="V1559">
        <v>0</v>
      </c>
      <c r="W1559">
        <v>535.82000000000005</v>
      </c>
      <c r="X1559">
        <v>2799.71</v>
      </c>
      <c r="Y1559" t="s">
        <v>31</v>
      </c>
      <c r="Z1559" s="3">
        <v>1353.84</v>
      </c>
      <c r="AA1559" t="s">
        <v>48</v>
      </c>
      <c r="AB1559" t="s">
        <v>42</v>
      </c>
      <c r="AC1559">
        <v>35.299999999999997</v>
      </c>
      <c r="AD1559" t="s">
        <v>34</v>
      </c>
      <c r="AE1559">
        <v>1836.04</v>
      </c>
      <c r="AF1559">
        <v>0</v>
      </c>
    </row>
    <row r="1560" spans="3:32" x14ac:dyDescent="0.35">
      <c r="C1560" s="1">
        <v>44396</v>
      </c>
      <c r="D1560" s="2">
        <v>44378</v>
      </c>
      <c r="E1560">
        <v>1099</v>
      </c>
      <c r="F1560" s="3">
        <v>3427.54</v>
      </c>
      <c r="G1560" s="3">
        <v>3992.41</v>
      </c>
      <c r="H1560" s="3">
        <v>-564.87</v>
      </c>
      <c r="I1560" s="3">
        <v>1.1599999999999999</v>
      </c>
      <c r="J1560">
        <v>0.12</v>
      </c>
      <c r="K1560">
        <v>3072.07</v>
      </c>
      <c r="L1560" t="s">
        <v>35</v>
      </c>
      <c r="M1560">
        <v>779</v>
      </c>
      <c r="N1560">
        <v>0.18</v>
      </c>
      <c r="O1560" s="3">
        <v>605.25</v>
      </c>
      <c r="P1560" s="3">
        <v>0.18</v>
      </c>
      <c r="Q1560" s="3">
        <v>239.23</v>
      </c>
      <c r="R1560" s="3">
        <v>7.0000000000000007E-2</v>
      </c>
      <c r="S1560">
        <v>8</v>
      </c>
      <c r="T1560">
        <v>956</v>
      </c>
      <c r="U1560">
        <v>83</v>
      </c>
      <c r="V1560">
        <v>0</v>
      </c>
      <c r="W1560">
        <v>457.9</v>
      </c>
      <c r="X1560">
        <v>3182.34</v>
      </c>
      <c r="Y1560" t="s">
        <v>36</v>
      </c>
      <c r="Z1560" s="3">
        <v>1652.2</v>
      </c>
      <c r="AA1560" t="s">
        <v>50</v>
      </c>
      <c r="AB1560" t="s">
        <v>33</v>
      </c>
      <c r="AC1560">
        <v>93.2</v>
      </c>
      <c r="AD1560" t="s">
        <v>38</v>
      </c>
      <c r="AE1560">
        <v>0</v>
      </c>
      <c r="AF1560">
        <v>0</v>
      </c>
    </row>
    <row r="1561" spans="3:32" x14ac:dyDescent="0.35">
      <c r="C1561" s="1">
        <v>44396</v>
      </c>
      <c r="D1561" s="2">
        <v>44378</v>
      </c>
      <c r="E1561">
        <v>1968</v>
      </c>
      <c r="F1561" s="3">
        <v>3587.67</v>
      </c>
      <c r="G1561" s="3">
        <v>1607.94</v>
      </c>
      <c r="H1561" s="3">
        <v>1979.73</v>
      </c>
      <c r="I1561" s="3">
        <v>0.45</v>
      </c>
      <c r="J1561">
        <v>0.26</v>
      </c>
      <c r="K1561">
        <v>2961.3</v>
      </c>
      <c r="L1561" t="s">
        <v>39</v>
      </c>
      <c r="M1561">
        <v>685</v>
      </c>
      <c r="N1561">
        <v>0.5</v>
      </c>
      <c r="O1561" s="3">
        <v>449.09</v>
      </c>
      <c r="P1561" s="3">
        <v>0.13</v>
      </c>
      <c r="Q1561" s="3">
        <v>12.34</v>
      </c>
      <c r="R1561" s="3">
        <v>0</v>
      </c>
      <c r="S1561">
        <v>2</v>
      </c>
      <c r="T1561">
        <v>1200.4000000000001</v>
      </c>
      <c r="U1561">
        <v>86</v>
      </c>
      <c r="V1561">
        <v>0</v>
      </c>
      <c r="W1561">
        <v>540.23</v>
      </c>
      <c r="X1561">
        <v>2469.77</v>
      </c>
      <c r="Y1561" t="s">
        <v>31</v>
      </c>
      <c r="Z1561" s="3">
        <v>1664.67</v>
      </c>
      <c r="AA1561" t="s">
        <v>48</v>
      </c>
      <c r="AB1561" t="s">
        <v>33</v>
      </c>
      <c r="AC1561">
        <v>98.7</v>
      </c>
      <c r="AD1561" t="s">
        <v>43</v>
      </c>
      <c r="AE1561">
        <v>1979.73</v>
      </c>
      <c r="AF1561">
        <v>0</v>
      </c>
    </row>
    <row r="1562" spans="3:32" x14ac:dyDescent="0.35">
      <c r="C1562" s="1">
        <v>44396</v>
      </c>
      <c r="D1562" s="2">
        <v>44378</v>
      </c>
      <c r="E1562">
        <v>1333</v>
      </c>
      <c r="F1562" s="3">
        <v>4599.99</v>
      </c>
      <c r="G1562" s="3">
        <v>3001.41</v>
      </c>
      <c r="H1562" s="3">
        <v>1598.58</v>
      </c>
      <c r="I1562" s="3">
        <v>0.65</v>
      </c>
      <c r="J1562">
        <v>0.37</v>
      </c>
      <c r="K1562">
        <v>2848.76</v>
      </c>
      <c r="L1562" t="s">
        <v>39</v>
      </c>
      <c r="M1562">
        <v>665</v>
      </c>
      <c r="N1562">
        <v>0.47</v>
      </c>
      <c r="O1562" s="3">
        <v>470.48</v>
      </c>
      <c r="P1562" s="3">
        <v>0.1</v>
      </c>
      <c r="Q1562" s="3">
        <v>289.82</v>
      </c>
      <c r="R1562" s="3">
        <v>0.06</v>
      </c>
      <c r="S1562">
        <v>9</v>
      </c>
      <c r="T1562">
        <v>227.5</v>
      </c>
      <c r="U1562">
        <v>93</v>
      </c>
      <c r="V1562">
        <v>0</v>
      </c>
      <c r="W1562">
        <v>453.34</v>
      </c>
      <c r="X1562">
        <v>2357.19</v>
      </c>
      <c r="Y1562" t="s">
        <v>36</v>
      </c>
      <c r="Z1562" s="3">
        <v>893.38</v>
      </c>
      <c r="AA1562" t="s">
        <v>32</v>
      </c>
      <c r="AB1562" t="s">
        <v>33</v>
      </c>
      <c r="AC1562">
        <v>30.8</v>
      </c>
      <c r="AD1562" t="s">
        <v>34</v>
      </c>
      <c r="AE1562">
        <v>1598.58</v>
      </c>
      <c r="AF1562">
        <v>0</v>
      </c>
    </row>
    <row r="1563" spans="3:32" x14ac:dyDescent="0.35">
      <c r="C1563" s="1">
        <v>44396</v>
      </c>
      <c r="D1563" s="2">
        <v>44378</v>
      </c>
      <c r="E1563">
        <v>1147</v>
      </c>
      <c r="F1563" s="3">
        <v>3350.17</v>
      </c>
      <c r="G1563" s="3">
        <v>2928.87</v>
      </c>
      <c r="H1563" s="3">
        <v>421.3</v>
      </c>
      <c r="I1563" s="3">
        <v>0.87</v>
      </c>
      <c r="J1563">
        <v>0.11</v>
      </c>
      <c r="K1563">
        <v>3896.14</v>
      </c>
      <c r="L1563" t="s">
        <v>39</v>
      </c>
      <c r="M1563">
        <v>668</v>
      </c>
      <c r="N1563">
        <v>0.53</v>
      </c>
      <c r="O1563" s="3">
        <v>439.65</v>
      </c>
      <c r="P1563" s="3">
        <v>0.13</v>
      </c>
      <c r="Q1563" s="3">
        <v>190.19</v>
      </c>
      <c r="R1563" s="3">
        <v>0.06</v>
      </c>
      <c r="S1563">
        <v>3</v>
      </c>
      <c r="T1563">
        <v>577.15</v>
      </c>
      <c r="U1563">
        <v>81</v>
      </c>
      <c r="V1563">
        <v>0</v>
      </c>
      <c r="W1563">
        <v>694.9</v>
      </c>
      <c r="X1563">
        <v>1749.04</v>
      </c>
      <c r="Y1563" t="s">
        <v>36</v>
      </c>
      <c r="Z1563" s="3">
        <v>646.77</v>
      </c>
      <c r="AA1563" t="s">
        <v>32</v>
      </c>
      <c r="AB1563" t="s">
        <v>42</v>
      </c>
      <c r="AC1563">
        <v>63.6</v>
      </c>
      <c r="AD1563" t="s">
        <v>34</v>
      </c>
      <c r="AE1563">
        <v>421.3</v>
      </c>
      <c r="AF1563">
        <v>0</v>
      </c>
    </row>
    <row r="1564" spans="3:32" x14ac:dyDescent="0.35">
      <c r="C1564" s="1">
        <v>44396</v>
      </c>
      <c r="D1564" s="2">
        <v>44378</v>
      </c>
      <c r="E1564">
        <v>1272</v>
      </c>
      <c r="F1564" s="3">
        <v>2261.9699999999998</v>
      </c>
      <c r="G1564" s="3">
        <v>3107.77</v>
      </c>
      <c r="H1564" s="3">
        <v>-845.8</v>
      </c>
      <c r="I1564" s="3">
        <v>1.37</v>
      </c>
      <c r="J1564">
        <v>0.28000000000000003</v>
      </c>
      <c r="K1564">
        <v>3460.36</v>
      </c>
      <c r="L1564" t="s">
        <v>35</v>
      </c>
      <c r="M1564">
        <v>638</v>
      </c>
      <c r="N1564">
        <v>0.4</v>
      </c>
      <c r="O1564" s="3">
        <v>495.46</v>
      </c>
      <c r="P1564" s="3">
        <v>0.22</v>
      </c>
      <c r="Q1564" s="3">
        <v>660.24</v>
      </c>
      <c r="R1564" s="3">
        <v>0.28999999999999998</v>
      </c>
      <c r="S1564">
        <v>1</v>
      </c>
      <c r="T1564">
        <v>1746.74</v>
      </c>
      <c r="U1564">
        <v>73</v>
      </c>
      <c r="V1564">
        <v>0</v>
      </c>
      <c r="W1564">
        <v>878.43</v>
      </c>
      <c r="X1564">
        <v>2814.66</v>
      </c>
      <c r="Y1564" t="s">
        <v>36</v>
      </c>
      <c r="Z1564" s="3">
        <v>928.46</v>
      </c>
      <c r="AA1564" t="s">
        <v>46</v>
      </c>
      <c r="AB1564" t="s">
        <v>33</v>
      </c>
      <c r="AC1564">
        <v>23.6</v>
      </c>
      <c r="AD1564" t="s">
        <v>34</v>
      </c>
      <c r="AE1564">
        <v>0</v>
      </c>
      <c r="AF1564">
        <v>0</v>
      </c>
    </row>
    <row r="1565" spans="3:32" x14ac:dyDescent="0.35">
      <c r="C1565" s="1">
        <v>44396</v>
      </c>
      <c r="D1565" s="2">
        <v>44378</v>
      </c>
      <c r="E1565">
        <v>1438</v>
      </c>
      <c r="F1565" s="3">
        <v>2556.5300000000002</v>
      </c>
      <c r="G1565" s="3">
        <v>3164.98</v>
      </c>
      <c r="H1565" s="3">
        <v>-608.45000000000005</v>
      </c>
      <c r="I1565" s="3">
        <v>1.24</v>
      </c>
      <c r="J1565">
        <v>0.39</v>
      </c>
      <c r="K1565">
        <v>3140.44</v>
      </c>
      <c r="L1565" t="s">
        <v>35</v>
      </c>
      <c r="M1565">
        <v>668</v>
      </c>
      <c r="N1565">
        <v>0.45</v>
      </c>
      <c r="O1565" s="3">
        <v>552.75</v>
      </c>
      <c r="P1565" s="3">
        <v>0.22</v>
      </c>
      <c r="Q1565" s="3">
        <v>240.68</v>
      </c>
      <c r="R1565" s="3">
        <v>0.09</v>
      </c>
      <c r="S1565">
        <v>6</v>
      </c>
      <c r="T1565">
        <v>1182.77</v>
      </c>
      <c r="U1565">
        <v>91</v>
      </c>
      <c r="V1565">
        <v>0</v>
      </c>
      <c r="W1565">
        <v>611.6</v>
      </c>
      <c r="X1565">
        <v>2076.98</v>
      </c>
      <c r="Y1565" t="s">
        <v>36</v>
      </c>
      <c r="Z1565" s="3">
        <v>719.57</v>
      </c>
      <c r="AA1565" t="s">
        <v>50</v>
      </c>
      <c r="AB1565" t="s">
        <v>33</v>
      </c>
      <c r="AC1565">
        <v>92.5</v>
      </c>
      <c r="AD1565" t="s">
        <v>34</v>
      </c>
      <c r="AE1565">
        <v>0</v>
      </c>
      <c r="AF1565">
        <v>0</v>
      </c>
    </row>
    <row r="1566" spans="3:32" x14ac:dyDescent="0.35">
      <c r="C1566" s="1">
        <v>44396</v>
      </c>
      <c r="D1566" s="2">
        <v>44378</v>
      </c>
      <c r="E1566">
        <v>1668</v>
      </c>
      <c r="F1566" s="3">
        <v>4114.49</v>
      </c>
      <c r="G1566" s="3">
        <v>3330.8</v>
      </c>
      <c r="H1566" s="3">
        <v>783.69</v>
      </c>
      <c r="I1566" s="3">
        <v>0.81</v>
      </c>
      <c r="J1566">
        <v>0.21</v>
      </c>
      <c r="K1566">
        <v>3513.54</v>
      </c>
      <c r="L1566" t="s">
        <v>39</v>
      </c>
      <c r="M1566">
        <v>701</v>
      </c>
      <c r="N1566">
        <v>0.23</v>
      </c>
      <c r="O1566" s="3">
        <v>531.71</v>
      </c>
      <c r="P1566" s="3">
        <v>0.13</v>
      </c>
      <c r="Q1566" s="3">
        <v>246.18</v>
      </c>
      <c r="R1566" s="3">
        <v>0.06</v>
      </c>
      <c r="S1566">
        <v>3</v>
      </c>
      <c r="T1566">
        <v>1577.94</v>
      </c>
      <c r="U1566">
        <v>43</v>
      </c>
      <c r="V1566">
        <v>0</v>
      </c>
      <c r="W1566">
        <v>235.47</v>
      </c>
      <c r="X1566">
        <v>2550.75</v>
      </c>
      <c r="Y1566" t="s">
        <v>36</v>
      </c>
      <c r="Z1566" s="3">
        <v>1353.75</v>
      </c>
      <c r="AA1566" t="s">
        <v>47</v>
      </c>
      <c r="AB1566" t="s">
        <v>33</v>
      </c>
      <c r="AC1566">
        <v>47.8</v>
      </c>
      <c r="AD1566" t="s">
        <v>34</v>
      </c>
      <c r="AE1566">
        <v>783.69</v>
      </c>
      <c r="AF1566">
        <v>0</v>
      </c>
    </row>
    <row r="1567" spans="3:32" x14ac:dyDescent="0.35">
      <c r="C1567" s="1">
        <v>44396</v>
      </c>
      <c r="D1567" s="2">
        <v>44378</v>
      </c>
      <c r="E1567">
        <v>1396</v>
      </c>
      <c r="F1567" s="3">
        <v>4753.76</v>
      </c>
      <c r="G1567" s="3">
        <v>1017.04</v>
      </c>
      <c r="H1567" s="3">
        <v>3736.72</v>
      </c>
      <c r="I1567" s="3">
        <v>0.21</v>
      </c>
      <c r="J1567">
        <v>0.06</v>
      </c>
      <c r="K1567">
        <v>2024.7</v>
      </c>
      <c r="L1567" t="s">
        <v>35</v>
      </c>
      <c r="M1567">
        <v>626</v>
      </c>
      <c r="N1567">
        <v>0.4</v>
      </c>
      <c r="O1567" s="3">
        <v>459.42</v>
      </c>
      <c r="P1567" s="3">
        <v>0.1</v>
      </c>
      <c r="Q1567" s="3">
        <v>586.01</v>
      </c>
      <c r="R1567" s="3">
        <v>0.12</v>
      </c>
      <c r="S1567">
        <v>1</v>
      </c>
      <c r="T1567">
        <v>776.6</v>
      </c>
      <c r="U1567">
        <v>90</v>
      </c>
      <c r="V1567">
        <v>0</v>
      </c>
      <c r="W1567">
        <v>777.66</v>
      </c>
      <c r="X1567">
        <v>2209.9499999999998</v>
      </c>
      <c r="Y1567" t="s">
        <v>31</v>
      </c>
      <c r="Z1567" s="3">
        <v>628.25</v>
      </c>
      <c r="AA1567" t="s">
        <v>32</v>
      </c>
      <c r="AB1567" t="s">
        <v>44</v>
      </c>
      <c r="AC1567">
        <v>52.5</v>
      </c>
      <c r="AD1567" t="s">
        <v>43</v>
      </c>
      <c r="AE1567">
        <v>3736.72</v>
      </c>
      <c r="AF1567">
        <v>1</v>
      </c>
    </row>
    <row r="1568" spans="3:32" x14ac:dyDescent="0.35">
      <c r="C1568" s="1">
        <v>44396</v>
      </c>
      <c r="D1568" s="2">
        <v>44378</v>
      </c>
      <c r="E1568">
        <v>1270</v>
      </c>
      <c r="F1568" s="3">
        <v>4987</v>
      </c>
      <c r="G1568" s="3">
        <v>2570</v>
      </c>
      <c r="H1568" s="3">
        <v>2417</v>
      </c>
      <c r="I1568" s="3">
        <v>0.52</v>
      </c>
      <c r="J1568">
        <v>0.16</v>
      </c>
      <c r="K1568">
        <v>3563.92</v>
      </c>
      <c r="L1568" t="s">
        <v>39</v>
      </c>
      <c r="M1568">
        <v>636</v>
      </c>
      <c r="N1568">
        <v>0.25</v>
      </c>
      <c r="O1568" s="3">
        <v>828.78</v>
      </c>
      <c r="P1568" s="3">
        <v>0.17</v>
      </c>
      <c r="Q1568" s="3">
        <v>442.9</v>
      </c>
      <c r="R1568" s="3">
        <v>0.09</v>
      </c>
      <c r="S1568">
        <v>3</v>
      </c>
      <c r="T1568">
        <v>1420.45</v>
      </c>
      <c r="U1568">
        <v>95</v>
      </c>
      <c r="V1568">
        <v>0</v>
      </c>
      <c r="W1568">
        <v>462.86</v>
      </c>
      <c r="X1568">
        <v>2808.55</v>
      </c>
      <c r="Y1568" t="s">
        <v>49</v>
      </c>
      <c r="Z1568" s="3">
        <v>833.71</v>
      </c>
      <c r="AA1568" t="s">
        <v>50</v>
      </c>
      <c r="AB1568" t="s">
        <v>44</v>
      </c>
      <c r="AC1568">
        <v>75.900000000000006</v>
      </c>
      <c r="AD1568" t="s">
        <v>38</v>
      </c>
      <c r="AE1568">
        <v>2417</v>
      </c>
      <c r="AF1568">
        <v>0</v>
      </c>
    </row>
    <row r="1569" spans="3:32" x14ac:dyDescent="0.35">
      <c r="C1569" s="1">
        <v>44396</v>
      </c>
      <c r="D1569" s="2">
        <v>44378</v>
      </c>
      <c r="E1569">
        <v>1992</v>
      </c>
      <c r="F1569" s="3">
        <v>3643.48</v>
      </c>
      <c r="G1569" s="3">
        <v>2570.1999999999998</v>
      </c>
      <c r="H1569" s="3">
        <v>1073.28</v>
      </c>
      <c r="I1569" s="3">
        <v>0.71</v>
      </c>
      <c r="J1569">
        <v>0.26</v>
      </c>
      <c r="K1569">
        <v>3177.48</v>
      </c>
      <c r="L1569" t="s">
        <v>30</v>
      </c>
      <c r="M1569">
        <v>748</v>
      </c>
      <c r="N1569">
        <v>0.56999999999999995</v>
      </c>
      <c r="O1569" s="3">
        <v>611.67999999999995</v>
      </c>
      <c r="P1569" s="3">
        <v>0.17</v>
      </c>
      <c r="Q1569" s="3">
        <v>222.07</v>
      </c>
      <c r="R1569" s="3">
        <v>0.06</v>
      </c>
      <c r="S1569">
        <v>3</v>
      </c>
      <c r="T1569">
        <v>1126.53</v>
      </c>
      <c r="U1569">
        <v>72</v>
      </c>
      <c r="V1569">
        <v>0</v>
      </c>
      <c r="W1569">
        <v>225.58</v>
      </c>
      <c r="X1569">
        <v>1338.37</v>
      </c>
      <c r="Y1569" t="s">
        <v>36</v>
      </c>
      <c r="Z1569" s="3">
        <v>1428.13</v>
      </c>
      <c r="AA1569" t="s">
        <v>37</v>
      </c>
      <c r="AB1569" t="s">
        <v>33</v>
      </c>
      <c r="AC1569">
        <v>32.299999999999997</v>
      </c>
      <c r="AD1569" t="s">
        <v>34</v>
      </c>
      <c r="AE1569">
        <v>1073.28</v>
      </c>
      <c r="AF1569">
        <v>0</v>
      </c>
    </row>
    <row r="1570" spans="3:32" x14ac:dyDescent="0.35">
      <c r="C1570" s="1">
        <v>44396</v>
      </c>
      <c r="D1570" s="2">
        <v>44378</v>
      </c>
      <c r="E1570">
        <v>1755</v>
      </c>
      <c r="F1570" s="3">
        <v>4675.74</v>
      </c>
      <c r="G1570" s="3">
        <v>3354.49</v>
      </c>
      <c r="H1570" s="3">
        <v>1321.25</v>
      </c>
      <c r="I1570" s="3">
        <v>0.72</v>
      </c>
      <c r="J1570">
        <v>0.37</v>
      </c>
      <c r="K1570">
        <v>2828.38</v>
      </c>
      <c r="L1570" t="s">
        <v>35</v>
      </c>
      <c r="M1570">
        <v>678</v>
      </c>
      <c r="N1570">
        <v>0.43</v>
      </c>
      <c r="O1570" s="3">
        <v>541.6</v>
      </c>
      <c r="P1570" s="3">
        <v>0.12</v>
      </c>
      <c r="Q1570" s="3">
        <v>378.68</v>
      </c>
      <c r="R1570" s="3">
        <v>0.08</v>
      </c>
      <c r="S1570">
        <v>4</v>
      </c>
      <c r="T1570">
        <v>493.38</v>
      </c>
      <c r="U1570">
        <v>98</v>
      </c>
      <c r="V1570">
        <v>0</v>
      </c>
      <c r="W1570">
        <v>200.81</v>
      </c>
      <c r="X1570">
        <v>1807.27</v>
      </c>
      <c r="Y1570" t="s">
        <v>36</v>
      </c>
      <c r="Z1570" s="3">
        <v>845.1</v>
      </c>
      <c r="AA1570" t="s">
        <v>50</v>
      </c>
      <c r="AB1570" t="s">
        <v>42</v>
      </c>
      <c r="AC1570">
        <v>1.5</v>
      </c>
      <c r="AD1570" t="s">
        <v>34</v>
      </c>
      <c r="AE1570">
        <v>1321.25</v>
      </c>
      <c r="AF1570">
        <v>0</v>
      </c>
    </row>
    <row r="1571" spans="3:32" x14ac:dyDescent="0.35">
      <c r="C1571" s="1">
        <v>44396</v>
      </c>
      <c r="D1571" s="2">
        <v>44378</v>
      </c>
      <c r="E1571">
        <v>1852</v>
      </c>
      <c r="F1571" s="3">
        <v>3200.14</v>
      </c>
      <c r="G1571" s="3">
        <v>3695.42</v>
      </c>
      <c r="H1571" s="3">
        <v>-495.28</v>
      </c>
      <c r="I1571" s="3">
        <v>1.1499999999999999</v>
      </c>
      <c r="J1571">
        <v>0.33</v>
      </c>
      <c r="K1571">
        <v>2995.36</v>
      </c>
      <c r="L1571" t="s">
        <v>30</v>
      </c>
      <c r="M1571">
        <v>764</v>
      </c>
      <c r="N1571">
        <v>0.31</v>
      </c>
      <c r="O1571" s="3">
        <v>130.94999999999999</v>
      </c>
      <c r="P1571" s="3">
        <v>0.04</v>
      </c>
      <c r="Q1571" s="3">
        <v>230.6</v>
      </c>
      <c r="R1571" s="3">
        <v>7.0000000000000007E-2</v>
      </c>
      <c r="S1571">
        <v>5</v>
      </c>
      <c r="T1571">
        <v>1041.07</v>
      </c>
      <c r="U1571">
        <v>60</v>
      </c>
      <c r="V1571">
        <v>0</v>
      </c>
      <c r="W1571">
        <v>785.73</v>
      </c>
      <c r="X1571">
        <v>2851.16</v>
      </c>
      <c r="Y1571" t="s">
        <v>36</v>
      </c>
      <c r="Z1571" s="3">
        <v>1427.57</v>
      </c>
      <c r="AA1571" t="s">
        <v>51</v>
      </c>
      <c r="AB1571" t="s">
        <v>33</v>
      </c>
      <c r="AC1571">
        <v>44.9</v>
      </c>
      <c r="AD1571" t="s">
        <v>43</v>
      </c>
      <c r="AE1571">
        <v>0</v>
      </c>
      <c r="AF1571">
        <v>0</v>
      </c>
    </row>
    <row r="1572" spans="3:32" x14ac:dyDescent="0.35">
      <c r="C1572" s="1">
        <v>44396</v>
      </c>
      <c r="D1572" s="2">
        <v>44378</v>
      </c>
      <c r="E1572">
        <v>1827</v>
      </c>
      <c r="F1572" s="3">
        <v>4257.04</v>
      </c>
      <c r="G1572" s="3">
        <v>2910.4</v>
      </c>
      <c r="H1572" s="3">
        <v>1346.64</v>
      </c>
      <c r="I1572" s="3">
        <v>0.68</v>
      </c>
      <c r="J1572">
        <v>0.22</v>
      </c>
      <c r="K1572">
        <v>2668.49</v>
      </c>
      <c r="L1572" t="s">
        <v>35</v>
      </c>
      <c r="M1572">
        <v>768</v>
      </c>
      <c r="N1572">
        <v>0.2</v>
      </c>
      <c r="O1572" s="3">
        <v>433.48</v>
      </c>
      <c r="P1572" s="3">
        <v>0.1</v>
      </c>
      <c r="Q1572" s="3">
        <v>432.51</v>
      </c>
      <c r="R1572" s="3">
        <v>0.1</v>
      </c>
      <c r="S1572">
        <v>5</v>
      </c>
      <c r="T1572">
        <v>1602.32</v>
      </c>
      <c r="U1572">
        <v>73</v>
      </c>
      <c r="V1572">
        <v>0</v>
      </c>
      <c r="W1572">
        <v>627.22</v>
      </c>
      <c r="X1572">
        <v>2414.66</v>
      </c>
      <c r="Y1572" t="s">
        <v>36</v>
      </c>
      <c r="Z1572" s="3">
        <v>1235.73</v>
      </c>
      <c r="AA1572" t="s">
        <v>32</v>
      </c>
      <c r="AB1572" t="s">
        <v>33</v>
      </c>
      <c r="AC1572">
        <v>85</v>
      </c>
      <c r="AD1572" t="s">
        <v>43</v>
      </c>
      <c r="AE1572">
        <v>1346.64</v>
      </c>
      <c r="AF1572">
        <v>0</v>
      </c>
    </row>
    <row r="1573" spans="3:32" x14ac:dyDescent="0.35">
      <c r="C1573" s="1">
        <v>44396</v>
      </c>
      <c r="D1573" s="2">
        <v>44378</v>
      </c>
      <c r="E1573">
        <v>1971</v>
      </c>
      <c r="F1573" s="3">
        <v>2662.47</v>
      </c>
      <c r="G1573" s="3">
        <v>3161.1</v>
      </c>
      <c r="H1573" s="3">
        <v>-498.63</v>
      </c>
      <c r="I1573" s="3">
        <v>1.19</v>
      </c>
      <c r="J1573">
        <v>0.21</v>
      </c>
      <c r="K1573">
        <v>2509.44</v>
      </c>
      <c r="L1573" t="s">
        <v>39</v>
      </c>
      <c r="M1573">
        <v>608</v>
      </c>
      <c r="N1573">
        <v>0.19</v>
      </c>
      <c r="O1573" s="3">
        <v>490.07</v>
      </c>
      <c r="P1573" s="3">
        <v>0.18</v>
      </c>
      <c r="Q1573" s="3">
        <v>167.2</v>
      </c>
      <c r="R1573" s="3">
        <v>0.06</v>
      </c>
      <c r="S1573">
        <v>7</v>
      </c>
      <c r="T1573">
        <v>1835.49</v>
      </c>
      <c r="U1573">
        <v>76</v>
      </c>
      <c r="V1573">
        <v>0</v>
      </c>
      <c r="W1573">
        <v>545.86</v>
      </c>
      <c r="X1573">
        <v>1218.81</v>
      </c>
      <c r="Y1573" t="s">
        <v>36</v>
      </c>
      <c r="Z1573" s="3">
        <v>899.76</v>
      </c>
      <c r="AA1573" t="s">
        <v>50</v>
      </c>
      <c r="AB1573" t="s">
        <v>44</v>
      </c>
      <c r="AC1573">
        <v>98.1</v>
      </c>
      <c r="AD1573" t="s">
        <v>34</v>
      </c>
      <c r="AE1573">
        <v>0</v>
      </c>
      <c r="AF1573">
        <v>0</v>
      </c>
    </row>
    <row r="1574" spans="3:32" x14ac:dyDescent="0.35">
      <c r="C1574" s="1">
        <v>44396</v>
      </c>
      <c r="D1574" s="2">
        <v>44378</v>
      </c>
      <c r="E1574">
        <v>1728</v>
      </c>
      <c r="F1574" s="3">
        <v>4638.91</v>
      </c>
      <c r="G1574" s="3">
        <v>2209.9899999999998</v>
      </c>
      <c r="H1574" s="3">
        <v>2428.92</v>
      </c>
      <c r="I1574" s="3">
        <v>0.48</v>
      </c>
      <c r="J1574">
        <v>0.4</v>
      </c>
      <c r="K1574">
        <v>2813.92</v>
      </c>
      <c r="L1574" t="s">
        <v>39</v>
      </c>
      <c r="M1574">
        <v>630</v>
      </c>
      <c r="N1574">
        <v>0.36</v>
      </c>
      <c r="O1574" s="3">
        <v>646.66</v>
      </c>
      <c r="P1574" s="3">
        <v>0.14000000000000001</v>
      </c>
      <c r="Q1574" s="3">
        <v>420.85</v>
      </c>
      <c r="R1574" s="3">
        <v>0.09</v>
      </c>
      <c r="S1574">
        <v>4</v>
      </c>
      <c r="T1574">
        <v>463.06</v>
      </c>
      <c r="U1574">
        <v>87</v>
      </c>
      <c r="V1574">
        <v>0</v>
      </c>
      <c r="W1574">
        <v>524.64</v>
      </c>
      <c r="X1574">
        <v>2437.66</v>
      </c>
      <c r="Y1574" t="s">
        <v>36</v>
      </c>
      <c r="Z1574" s="3">
        <v>827.44</v>
      </c>
      <c r="AA1574" t="s">
        <v>46</v>
      </c>
      <c r="AB1574" t="s">
        <v>33</v>
      </c>
      <c r="AC1574">
        <v>91.2</v>
      </c>
      <c r="AD1574" t="s">
        <v>43</v>
      </c>
      <c r="AE1574">
        <v>2428.92</v>
      </c>
      <c r="AF1574">
        <v>0</v>
      </c>
    </row>
    <row r="1575" spans="3:32" x14ac:dyDescent="0.35">
      <c r="C1575" s="1">
        <v>44396</v>
      </c>
      <c r="D1575" s="2">
        <v>44378</v>
      </c>
      <c r="E1575">
        <v>1013</v>
      </c>
      <c r="F1575" s="3">
        <v>3465.62</v>
      </c>
      <c r="G1575" s="3">
        <v>3251.08</v>
      </c>
      <c r="H1575" s="3">
        <v>214.54</v>
      </c>
      <c r="I1575" s="3">
        <v>0.94</v>
      </c>
      <c r="J1575">
        <v>0.12</v>
      </c>
      <c r="K1575">
        <v>3419.6</v>
      </c>
      <c r="L1575" t="s">
        <v>35</v>
      </c>
      <c r="M1575">
        <v>697</v>
      </c>
      <c r="N1575">
        <v>0.12</v>
      </c>
      <c r="O1575" s="3">
        <v>632.66999999999996</v>
      </c>
      <c r="P1575" s="3">
        <v>0.18</v>
      </c>
      <c r="Q1575" s="3">
        <v>723.61</v>
      </c>
      <c r="R1575" s="3">
        <v>0.21</v>
      </c>
      <c r="S1575">
        <v>2</v>
      </c>
      <c r="T1575">
        <v>960.77</v>
      </c>
      <c r="U1575">
        <v>89</v>
      </c>
      <c r="V1575">
        <v>0</v>
      </c>
      <c r="W1575">
        <v>1014.19</v>
      </c>
      <c r="X1575">
        <v>2059.35</v>
      </c>
      <c r="Y1575" t="s">
        <v>36</v>
      </c>
      <c r="Z1575" s="3">
        <v>922.92</v>
      </c>
      <c r="AA1575" t="s">
        <v>47</v>
      </c>
      <c r="AB1575" t="s">
        <v>33</v>
      </c>
      <c r="AC1575">
        <v>99</v>
      </c>
      <c r="AD1575" t="s">
        <v>34</v>
      </c>
      <c r="AE1575">
        <v>214.54</v>
      </c>
      <c r="AF1575">
        <v>0</v>
      </c>
    </row>
    <row r="1576" spans="3:32" x14ac:dyDescent="0.35">
      <c r="C1576" s="1">
        <v>44396</v>
      </c>
      <c r="D1576" s="2">
        <v>44378</v>
      </c>
      <c r="E1576">
        <v>1229</v>
      </c>
      <c r="F1576" s="3">
        <v>6828.27</v>
      </c>
      <c r="G1576" s="3">
        <v>2627.82</v>
      </c>
      <c r="H1576" s="3">
        <v>4200.45</v>
      </c>
      <c r="I1576" s="3">
        <v>0.38</v>
      </c>
      <c r="J1576">
        <v>0.05</v>
      </c>
      <c r="K1576">
        <v>2530.0700000000002</v>
      </c>
      <c r="L1576" t="s">
        <v>35</v>
      </c>
      <c r="M1576">
        <v>670</v>
      </c>
      <c r="N1576">
        <v>0.47</v>
      </c>
      <c r="O1576" s="3">
        <v>287.18</v>
      </c>
      <c r="P1576" s="3">
        <v>0.04</v>
      </c>
      <c r="Q1576" s="3">
        <v>350.54</v>
      </c>
      <c r="R1576" s="3">
        <v>0.05</v>
      </c>
      <c r="S1576">
        <v>1</v>
      </c>
      <c r="T1576">
        <v>1347.13</v>
      </c>
      <c r="U1576">
        <v>88</v>
      </c>
      <c r="V1576">
        <v>0</v>
      </c>
      <c r="W1576">
        <v>557.16</v>
      </c>
      <c r="X1576">
        <v>2678.26</v>
      </c>
      <c r="Y1576" t="s">
        <v>36</v>
      </c>
      <c r="Z1576" s="3">
        <v>1361.67</v>
      </c>
      <c r="AA1576" t="s">
        <v>47</v>
      </c>
      <c r="AB1576" t="s">
        <v>33</v>
      </c>
      <c r="AC1576">
        <v>10.5</v>
      </c>
      <c r="AD1576" t="s">
        <v>38</v>
      </c>
      <c r="AE1576">
        <v>4200.45</v>
      </c>
      <c r="AF1576">
        <v>1</v>
      </c>
    </row>
    <row r="1577" spans="3:32" x14ac:dyDescent="0.35">
      <c r="C1577" s="1">
        <v>44396</v>
      </c>
      <c r="D1577" s="2">
        <v>44378</v>
      </c>
      <c r="E1577">
        <v>1198</v>
      </c>
      <c r="F1577" s="3">
        <v>4213.74</v>
      </c>
      <c r="G1577" s="3">
        <v>3367.77</v>
      </c>
      <c r="H1577" s="3">
        <v>845.97</v>
      </c>
      <c r="I1577" s="3">
        <v>0.8</v>
      </c>
      <c r="J1577">
        <v>0.14000000000000001</v>
      </c>
      <c r="K1577">
        <v>3145.14</v>
      </c>
      <c r="L1577" t="s">
        <v>35</v>
      </c>
      <c r="M1577">
        <v>692</v>
      </c>
      <c r="N1577">
        <v>0.37</v>
      </c>
      <c r="O1577" s="3">
        <v>703.99</v>
      </c>
      <c r="P1577" s="3">
        <v>0.17</v>
      </c>
      <c r="Q1577" s="3">
        <v>296.75</v>
      </c>
      <c r="R1577" s="3">
        <v>7.0000000000000007E-2</v>
      </c>
      <c r="S1577">
        <v>6</v>
      </c>
      <c r="T1577">
        <v>430.17</v>
      </c>
      <c r="U1577">
        <v>66</v>
      </c>
      <c r="V1577">
        <v>0</v>
      </c>
      <c r="W1577">
        <v>625.52</v>
      </c>
      <c r="X1577">
        <v>3909.92</v>
      </c>
      <c r="Y1577" t="s">
        <v>36</v>
      </c>
      <c r="Z1577" s="3">
        <v>1536.54</v>
      </c>
      <c r="AA1577" t="s">
        <v>40</v>
      </c>
      <c r="AB1577" t="s">
        <v>33</v>
      </c>
      <c r="AC1577">
        <v>83.5</v>
      </c>
      <c r="AD1577" t="s">
        <v>34</v>
      </c>
      <c r="AE1577">
        <v>845.97</v>
      </c>
      <c r="AF1577">
        <v>0</v>
      </c>
    </row>
    <row r="1578" spans="3:32" x14ac:dyDescent="0.35">
      <c r="C1578" s="1">
        <v>44396</v>
      </c>
      <c r="D1578" s="2">
        <v>44378</v>
      </c>
      <c r="E1578">
        <v>1521</v>
      </c>
      <c r="F1578" s="3">
        <v>3737.23</v>
      </c>
      <c r="G1578" s="3">
        <v>2423.81</v>
      </c>
      <c r="H1578" s="3">
        <v>1313.42</v>
      </c>
      <c r="I1578" s="3">
        <v>0.65</v>
      </c>
      <c r="J1578">
        <v>0.11</v>
      </c>
      <c r="K1578">
        <v>2830.88</v>
      </c>
      <c r="L1578" t="s">
        <v>35</v>
      </c>
      <c r="M1578">
        <v>671</v>
      </c>
      <c r="N1578">
        <v>0.11</v>
      </c>
      <c r="O1578" s="3">
        <v>327.37</v>
      </c>
      <c r="P1578" s="3">
        <v>0.09</v>
      </c>
      <c r="Q1578" s="3">
        <v>545.55999999999995</v>
      </c>
      <c r="R1578" s="3">
        <v>0.15</v>
      </c>
      <c r="S1578">
        <v>3</v>
      </c>
      <c r="T1578">
        <v>488.43</v>
      </c>
      <c r="U1578">
        <v>42</v>
      </c>
      <c r="V1578">
        <v>0</v>
      </c>
      <c r="W1578">
        <v>671.32</v>
      </c>
      <c r="X1578">
        <v>2644.04</v>
      </c>
      <c r="Y1578" t="s">
        <v>36</v>
      </c>
      <c r="Z1578" s="3">
        <v>1420.81</v>
      </c>
      <c r="AA1578" t="s">
        <v>47</v>
      </c>
      <c r="AB1578" t="s">
        <v>33</v>
      </c>
      <c r="AC1578">
        <v>12.1</v>
      </c>
      <c r="AD1578" t="s">
        <v>43</v>
      </c>
      <c r="AE1578">
        <v>1313.42</v>
      </c>
      <c r="AF1578">
        <v>0</v>
      </c>
    </row>
    <row r="1579" spans="3:32" x14ac:dyDescent="0.35">
      <c r="C1579" s="1">
        <v>44396</v>
      </c>
      <c r="D1579" s="2">
        <v>44378</v>
      </c>
      <c r="E1579">
        <v>1465</v>
      </c>
      <c r="F1579" s="3">
        <v>4842.1099999999997</v>
      </c>
      <c r="G1579" s="3">
        <v>4915.78</v>
      </c>
      <c r="H1579" s="3">
        <v>-73.67</v>
      </c>
      <c r="I1579" s="3">
        <v>1.02</v>
      </c>
      <c r="J1579">
        <v>0.13</v>
      </c>
      <c r="K1579">
        <v>4056.42</v>
      </c>
      <c r="L1579" t="s">
        <v>39</v>
      </c>
      <c r="M1579">
        <v>725</v>
      </c>
      <c r="N1579">
        <v>0.16</v>
      </c>
      <c r="O1579" s="3">
        <v>326.08999999999997</v>
      </c>
      <c r="P1579" s="3">
        <v>7.0000000000000007E-2</v>
      </c>
      <c r="Q1579" s="3">
        <v>251.54</v>
      </c>
      <c r="R1579" s="3">
        <v>0.05</v>
      </c>
      <c r="S1579">
        <v>9</v>
      </c>
      <c r="T1579">
        <v>599.78</v>
      </c>
      <c r="U1579">
        <v>33</v>
      </c>
      <c r="V1579">
        <v>1</v>
      </c>
      <c r="W1579">
        <v>488.9</v>
      </c>
      <c r="X1579">
        <v>2870.97</v>
      </c>
      <c r="Y1579" t="s">
        <v>49</v>
      </c>
      <c r="Z1579" s="3">
        <v>949</v>
      </c>
      <c r="AA1579" t="s">
        <v>48</v>
      </c>
      <c r="AB1579" t="s">
        <v>33</v>
      </c>
      <c r="AC1579">
        <v>44.6</v>
      </c>
      <c r="AD1579" t="s">
        <v>34</v>
      </c>
      <c r="AE1579">
        <v>0</v>
      </c>
      <c r="AF1579">
        <v>0</v>
      </c>
    </row>
    <row r="1580" spans="3:32" x14ac:dyDescent="0.35">
      <c r="C1580" s="1">
        <v>44396</v>
      </c>
      <c r="D1580" s="2">
        <v>44378</v>
      </c>
      <c r="E1580">
        <v>1721</v>
      </c>
      <c r="F1580" s="3">
        <v>4914.54</v>
      </c>
      <c r="G1580" s="3">
        <v>2719.67</v>
      </c>
      <c r="H1580" s="3">
        <v>2194.87</v>
      </c>
      <c r="I1580" s="3">
        <v>0.55000000000000004</v>
      </c>
      <c r="J1580">
        <v>0.28000000000000003</v>
      </c>
      <c r="K1580">
        <v>3018.73</v>
      </c>
      <c r="L1580" t="s">
        <v>30</v>
      </c>
      <c r="M1580">
        <v>680</v>
      </c>
      <c r="N1580">
        <v>0.32</v>
      </c>
      <c r="O1580" s="3">
        <v>346.17</v>
      </c>
      <c r="P1580" s="3">
        <v>7.0000000000000007E-2</v>
      </c>
      <c r="Q1580" s="3">
        <v>352.42</v>
      </c>
      <c r="R1580" s="3">
        <v>7.0000000000000007E-2</v>
      </c>
      <c r="S1580">
        <v>6</v>
      </c>
      <c r="T1580">
        <v>198.65</v>
      </c>
      <c r="U1580">
        <v>30</v>
      </c>
      <c r="V1580">
        <v>0</v>
      </c>
      <c r="W1580">
        <v>431.09</v>
      </c>
      <c r="X1580">
        <v>3028.09</v>
      </c>
      <c r="Y1580" t="s">
        <v>31</v>
      </c>
      <c r="Z1580" s="3">
        <v>1216.8699999999999</v>
      </c>
      <c r="AA1580" t="s">
        <v>40</v>
      </c>
      <c r="AB1580" t="s">
        <v>42</v>
      </c>
      <c r="AC1580">
        <v>27.4</v>
      </c>
      <c r="AD1580" t="s">
        <v>38</v>
      </c>
      <c r="AE1580">
        <v>2194.87</v>
      </c>
      <c r="AF1580">
        <v>0</v>
      </c>
    </row>
    <row r="1581" spans="3:32" x14ac:dyDescent="0.35">
      <c r="C1581" s="1">
        <v>44396</v>
      </c>
      <c r="D1581" s="2">
        <v>44378</v>
      </c>
      <c r="E1581">
        <v>1499</v>
      </c>
      <c r="F1581" s="3">
        <v>2018.05</v>
      </c>
      <c r="G1581" s="3">
        <v>3643.42</v>
      </c>
      <c r="H1581" s="3">
        <v>-1625.37</v>
      </c>
      <c r="I1581" s="3">
        <v>1.81</v>
      </c>
      <c r="J1581">
        <v>0.26</v>
      </c>
      <c r="K1581">
        <v>2439.2199999999998</v>
      </c>
      <c r="L1581" t="s">
        <v>35</v>
      </c>
      <c r="M1581">
        <v>747</v>
      </c>
      <c r="N1581">
        <v>0.23</v>
      </c>
      <c r="O1581" s="3">
        <v>342.92</v>
      </c>
      <c r="P1581" s="3">
        <v>0.17</v>
      </c>
      <c r="Q1581" s="3">
        <v>69.41</v>
      </c>
      <c r="R1581" s="3">
        <v>0.03</v>
      </c>
      <c r="S1581">
        <v>9</v>
      </c>
      <c r="T1581">
        <v>1418.83</v>
      </c>
      <c r="U1581">
        <v>49</v>
      </c>
      <c r="V1581">
        <v>0</v>
      </c>
      <c r="W1581">
        <v>745.89</v>
      </c>
      <c r="X1581">
        <v>2116.14</v>
      </c>
      <c r="Y1581" t="s">
        <v>31</v>
      </c>
      <c r="Z1581" s="3">
        <v>1009.84</v>
      </c>
      <c r="AA1581" t="s">
        <v>51</v>
      </c>
      <c r="AB1581" t="s">
        <v>33</v>
      </c>
      <c r="AC1581">
        <v>91.7</v>
      </c>
      <c r="AD1581" t="s">
        <v>34</v>
      </c>
      <c r="AE1581">
        <v>0</v>
      </c>
      <c r="AF1581">
        <v>0</v>
      </c>
    </row>
    <row r="1582" spans="3:32" x14ac:dyDescent="0.35">
      <c r="C1582" s="1">
        <v>44396</v>
      </c>
      <c r="D1582" s="2">
        <v>44378</v>
      </c>
      <c r="E1582">
        <v>1148</v>
      </c>
      <c r="F1582" s="3">
        <v>4615.7</v>
      </c>
      <c r="G1582" s="3">
        <v>3231.27</v>
      </c>
      <c r="H1582" s="3">
        <v>1384.43</v>
      </c>
      <c r="I1582" s="3">
        <v>0.7</v>
      </c>
      <c r="J1582">
        <v>0.37</v>
      </c>
      <c r="K1582">
        <v>3021.24</v>
      </c>
      <c r="L1582" t="s">
        <v>35</v>
      </c>
      <c r="M1582">
        <v>661</v>
      </c>
      <c r="N1582">
        <v>0.11</v>
      </c>
      <c r="O1582" s="3">
        <v>153.5</v>
      </c>
      <c r="P1582" s="3">
        <v>0.03</v>
      </c>
      <c r="Q1582" s="3">
        <v>148.75</v>
      </c>
      <c r="R1582" s="3">
        <v>0.03</v>
      </c>
      <c r="S1582">
        <v>5</v>
      </c>
      <c r="T1582">
        <v>1125.06</v>
      </c>
      <c r="U1582">
        <v>73</v>
      </c>
      <c r="V1582">
        <v>0</v>
      </c>
      <c r="W1582">
        <v>228.43</v>
      </c>
      <c r="X1582">
        <v>1757.32</v>
      </c>
      <c r="Y1582" t="s">
        <v>36</v>
      </c>
      <c r="Z1582" s="3">
        <v>428.9</v>
      </c>
      <c r="AA1582" t="s">
        <v>48</v>
      </c>
      <c r="AB1582" t="s">
        <v>33</v>
      </c>
      <c r="AC1582">
        <v>55.6</v>
      </c>
      <c r="AD1582" t="s">
        <v>38</v>
      </c>
      <c r="AE1582">
        <v>1384.43</v>
      </c>
      <c r="AF1582">
        <v>0</v>
      </c>
    </row>
    <row r="1583" spans="3:32" x14ac:dyDescent="0.35">
      <c r="C1583" s="1">
        <v>44396</v>
      </c>
      <c r="D1583" s="2">
        <v>44378</v>
      </c>
      <c r="E1583">
        <v>1481</v>
      </c>
      <c r="F1583" s="3">
        <v>3667.83</v>
      </c>
      <c r="G1583" s="3">
        <v>3321.01</v>
      </c>
      <c r="H1583" s="3">
        <v>346.82</v>
      </c>
      <c r="I1583" s="3">
        <v>0.91</v>
      </c>
      <c r="J1583">
        <v>0.27</v>
      </c>
      <c r="K1583">
        <v>2899.07</v>
      </c>
      <c r="L1583" t="s">
        <v>39</v>
      </c>
      <c r="M1583">
        <v>647</v>
      </c>
      <c r="N1583">
        <v>0.34</v>
      </c>
      <c r="O1583" s="3">
        <v>467.76</v>
      </c>
      <c r="P1583" s="3">
        <v>0.13</v>
      </c>
      <c r="Q1583" s="3">
        <v>400.93</v>
      </c>
      <c r="R1583" s="3">
        <v>0.11</v>
      </c>
      <c r="S1583">
        <v>1</v>
      </c>
      <c r="T1583">
        <v>721.41</v>
      </c>
      <c r="U1583">
        <v>79</v>
      </c>
      <c r="V1583">
        <v>0</v>
      </c>
      <c r="W1583">
        <v>484.02</v>
      </c>
      <c r="X1583">
        <v>2653.83</v>
      </c>
      <c r="Y1583" t="s">
        <v>36</v>
      </c>
      <c r="Z1583" s="3">
        <v>1592.85</v>
      </c>
      <c r="AA1583" t="s">
        <v>37</v>
      </c>
      <c r="AB1583" t="s">
        <v>42</v>
      </c>
      <c r="AC1583">
        <v>87.4</v>
      </c>
      <c r="AD1583" t="s">
        <v>43</v>
      </c>
      <c r="AE1583">
        <v>346.82</v>
      </c>
      <c r="AF1583">
        <v>0</v>
      </c>
    </row>
    <row r="1584" spans="3:32" x14ac:dyDescent="0.35">
      <c r="C1584" s="1">
        <v>44396</v>
      </c>
      <c r="D1584" s="2">
        <v>44378</v>
      </c>
      <c r="E1584">
        <v>1187</v>
      </c>
      <c r="F1584" s="3">
        <v>3239.67</v>
      </c>
      <c r="G1584" s="3">
        <v>4285.87</v>
      </c>
      <c r="H1584" s="3">
        <v>-1046.2</v>
      </c>
      <c r="I1584" s="3">
        <v>1.32</v>
      </c>
      <c r="J1584">
        <v>0.11</v>
      </c>
      <c r="K1584">
        <v>3142.04</v>
      </c>
      <c r="L1584" t="s">
        <v>35</v>
      </c>
      <c r="M1584">
        <v>678</v>
      </c>
      <c r="N1584">
        <v>0.56999999999999995</v>
      </c>
      <c r="O1584" s="3">
        <v>523.94000000000005</v>
      </c>
      <c r="P1584" s="3">
        <v>0.16</v>
      </c>
      <c r="Q1584" s="3">
        <v>330.96</v>
      </c>
      <c r="R1584" s="3">
        <v>0.1</v>
      </c>
      <c r="S1584">
        <v>8</v>
      </c>
      <c r="T1584">
        <v>1462.98</v>
      </c>
      <c r="U1584">
        <v>62</v>
      </c>
      <c r="V1584">
        <v>0</v>
      </c>
      <c r="W1584">
        <v>722.76</v>
      </c>
      <c r="X1584">
        <v>1516.43</v>
      </c>
      <c r="Y1584" t="s">
        <v>36</v>
      </c>
      <c r="Z1584" s="3">
        <v>1254.3900000000001</v>
      </c>
      <c r="AA1584" t="s">
        <v>40</v>
      </c>
      <c r="AB1584" t="s">
        <v>33</v>
      </c>
      <c r="AC1584">
        <v>52.5</v>
      </c>
      <c r="AD1584" t="s">
        <v>34</v>
      </c>
      <c r="AE1584">
        <v>0</v>
      </c>
      <c r="AF1584">
        <v>0</v>
      </c>
    </row>
    <row r="1585" spans="3:32" x14ac:dyDescent="0.35">
      <c r="C1585" s="1">
        <v>44396</v>
      </c>
      <c r="D1585" s="2">
        <v>44378</v>
      </c>
      <c r="E1585">
        <v>1883</v>
      </c>
      <c r="F1585" s="3">
        <v>3520.1</v>
      </c>
      <c r="G1585" s="3">
        <v>3278.29</v>
      </c>
      <c r="H1585" s="3">
        <v>241.81</v>
      </c>
      <c r="I1585" s="3">
        <v>0.93</v>
      </c>
      <c r="J1585">
        <v>0.3</v>
      </c>
      <c r="K1585">
        <v>3362.57</v>
      </c>
      <c r="L1585" t="s">
        <v>30</v>
      </c>
      <c r="M1585">
        <v>612</v>
      </c>
      <c r="N1585">
        <v>0.33</v>
      </c>
      <c r="O1585" s="3">
        <v>698.44</v>
      </c>
      <c r="P1585" s="3">
        <v>0.2</v>
      </c>
      <c r="Q1585" s="3">
        <v>643.95000000000005</v>
      </c>
      <c r="R1585" s="3">
        <v>0.18</v>
      </c>
      <c r="S1585">
        <v>9</v>
      </c>
      <c r="T1585">
        <v>717.64</v>
      </c>
      <c r="U1585">
        <v>41</v>
      </c>
      <c r="V1585">
        <v>0</v>
      </c>
      <c r="W1585">
        <v>644.54999999999995</v>
      </c>
      <c r="X1585">
        <v>1000</v>
      </c>
      <c r="Y1585" t="s">
        <v>31</v>
      </c>
      <c r="Z1585" s="3">
        <v>928.72</v>
      </c>
      <c r="AA1585" t="s">
        <v>50</v>
      </c>
      <c r="AB1585" t="s">
        <v>33</v>
      </c>
      <c r="AC1585">
        <v>90.6</v>
      </c>
      <c r="AD1585" t="s">
        <v>34</v>
      </c>
      <c r="AE1585">
        <v>241.81</v>
      </c>
      <c r="AF1585">
        <v>0</v>
      </c>
    </row>
    <row r="1586" spans="3:32" x14ac:dyDescent="0.35">
      <c r="C1586" s="1">
        <v>44396</v>
      </c>
      <c r="D1586" s="2">
        <v>44378</v>
      </c>
      <c r="E1586">
        <v>1031</v>
      </c>
      <c r="F1586" s="3">
        <v>4409.26</v>
      </c>
      <c r="G1586" s="3">
        <v>3409.29</v>
      </c>
      <c r="H1586" s="3">
        <v>999.97</v>
      </c>
      <c r="I1586" s="3">
        <v>0.77</v>
      </c>
      <c r="J1586">
        <v>0.38</v>
      </c>
      <c r="K1586">
        <v>2521.27</v>
      </c>
      <c r="L1586" t="s">
        <v>35</v>
      </c>
      <c r="M1586">
        <v>664</v>
      </c>
      <c r="N1586">
        <v>0.56000000000000005</v>
      </c>
      <c r="O1586" s="3">
        <v>283.75</v>
      </c>
      <c r="P1586" s="3">
        <v>0.06</v>
      </c>
      <c r="Q1586" s="3">
        <v>0</v>
      </c>
      <c r="R1586" s="3">
        <v>0</v>
      </c>
      <c r="S1586">
        <v>2</v>
      </c>
      <c r="T1586">
        <v>575.08000000000004</v>
      </c>
      <c r="U1586">
        <v>55</v>
      </c>
      <c r="V1586">
        <v>0</v>
      </c>
      <c r="W1586">
        <v>281.60000000000002</v>
      </c>
      <c r="X1586">
        <v>1506.26</v>
      </c>
      <c r="Y1586" t="s">
        <v>36</v>
      </c>
      <c r="Z1586" s="3">
        <v>1350.12</v>
      </c>
      <c r="AA1586" t="s">
        <v>48</v>
      </c>
      <c r="AB1586" t="s">
        <v>44</v>
      </c>
      <c r="AC1586">
        <v>29.5</v>
      </c>
      <c r="AD1586" t="s">
        <v>38</v>
      </c>
      <c r="AE1586">
        <v>999.97</v>
      </c>
      <c r="AF1586">
        <v>0</v>
      </c>
    </row>
    <row r="1587" spans="3:32" x14ac:dyDescent="0.35">
      <c r="C1587" s="1">
        <v>44396</v>
      </c>
      <c r="D1587" s="2">
        <v>44378</v>
      </c>
      <c r="E1587">
        <v>1783</v>
      </c>
      <c r="F1587" s="3">
        <v>3008.4</v>
      </c>
      <c r="G1587" s="3">
        <v>3022.7</v>
      </c>
      <c r="H1587" s="3">
        <v>-14.3</v>
      </c>
      <c r="I1587" s="3">
        <v>1</v>
      </c>
      <c r="J1587">
        <v>0.18</v>
      </c>
      <c r="K1587">
        <v>2508.48</v>
      </c>
      <c r="L1587" t="s">
        <v>30</v>
      </c>
      <c r="M1587">
        <v>641</v>
      </c>
      <c r="N1587">
        <v>0.19</v>
      </c>
      <c r="O1587" s="3">
        <v>454.27</v>
      </c>
      <c r="P1587" s="3">
        <v>0.15</v>
      </c>
      <c r="Q1587" s="3">
        <v>669.96</v>
      </c>
      <c r="R1587" s="3">
        <v>0.22</v>
      </c>
      <c r="S1587">
        <v>7</v>
      </c>
      <c r="T1587">
        <v>1047.1500000000001</v>
      </c>
      <c r="U1587">
        <v>69</v>
      </c>
      <c r="V1587">
        <v>0</v>
      </c>
      <c r="W1587">
        <v>575.15</v>
      </c>
      <c r="X1587">
        <v>1766.05</v>
      </c>
      <c r="Y1587" t="s">
        <v>31</v>
      </c>
      <c r="Z1587" s="3">
        <v>932.26</v>
      </c>
      <c r="AA1587" t="s">
        <v>46</v>
      </c>
      <c r="AB1587" t="s">
        <v>33</v>
      </c>
      <c r="AC1587">
        <v>12</v>
      </c>
      <c r="AD1587" t="s">
        <v>34</v>
      </c>
      <c r="AE1587">
        <v>0</v>
      </c>
      <c r="AF1587">
        <v>0</v>
      </c>
    </row>
    <row r="1588" spans="3:32" x14ac:dyDescent="0.35">
      <c r="C1588" s="1">
        <v>44396</v>
      </c>
      <c r="D1588" s="2">
        <v>44378</v>
      </c>
      <c r="E1588">
        <v>1703</v>
      </c>
      <c r="F1588" s="3">
        <v>5313.46</v>
      </c>
      <c r="G1588" s="3">
        <v>1716.99</v>
      </c>
      <c r="H1588" s="3">
        <v>3596.47</v>
      </c>
      <c r="I1588" s="3">
        <v>0.32</v>
      </c>
      <c r="J1588">
        <v>0.32</v>
      </c>
      <c r="K1588">
        <v>3035.09</v>
      </c>
      <c r="L1588" t="s">
        <v>35</v>
      </c>
      <c r="M1588">
        <v>761</v>
      </c>
      <c r="N1588">
        <v>0.28999999999999998</v>
      </c>
      <c r="O1588" s="3">
        <v>198.7</v>
      </c>
      <c r="P1588" s="3">
        <v>0.04</v>
      </c>
      <c r="Q1588" s="3">
        <v>170.1</v>
      </c>
      <c r="R1588" s="3">
        <v>0.03</v>
      </c>
      <c r="S1588">
        <v>4</v>
      </c>
      <c r="T1588">
        <v>2487.98</v>
      </c>
      <c r="U1588">
        <v>91</v>
      </c>
      <c r="V1588">
        <v>0</v>
      </c>
      <c r="W1588">
        <v>385.14</v>
      </c>
      <c r="X1588">
        <v>3071.28</v>
      </c>
      <c r="Y1588" t="s">
        <v>31</v>
      </c>
      <c r="Z1588" s="3">
        <v>1682.46</v>
      </c>
      <c r="AA1588" t="s">
        <v>37</v>
      </c>
      <c r="AB1588" t="s">
        <v>33</v>
      </c>
      <c r="AC1588">
        <v>21.9</v>
      </c>
      <c r="AD1588" t="s">
        <v>34</v>
      </c>
      <c r="AE1588">
        <v>3596.47</v>
      </c>
      <c r="AF1588">
        <v>1</v>
      </c>
    </row>
    <row r="1589" spans="3:32" x14ac:dyDescent="0.35">
      <c r="C1589" s="1">
        <v>44396</v>
      </c>
      <c r="D1589" s="2">
        <v>44378</v>
      </c>
      <c r="E1589">
        <v>1247</v>
      </c>
      <c r="F1589" s="3">
        <v>4364.97</v>
      </c>
      <c r="G1589" s="3">
        <v>3887.58</v>
      </c>
      <c r="H1589" s="3">
        <v>477.39</v>
      </c>
      <c r="I1589" s="3">
        <v>0.89</v>
      </c>
      <c r="J1589">
        <v>0.18</v>
      </c>
      <c r="K1589">
        <v>2965.72</v>
      </c>
      <c r="L1589" t="s">
        <v>35</v>
      </c>
      <c r="M1589">
        <v>705</v>
      </c>
      <c r="N1589">
        <v>0.26</v>
      </c>
      <c r="O1589" s="3">
        <v>360.61</v>
      </c>
      <c r="P1589" s="3">
        <v>0.08</v>
      </c>
      <c r="Q1589" s="3">
        <v>214.93</v>
      </c>
      <c r="R1589" s="3">
        <v>0.05</v>
      </c>
      <c r="S1589">
        <v>7</v>
      </c>
      <c r="T1589">
        <v>981.77</v>
      </c>
      <c r="U1589">
        <v>49</v>
      </c>
      <c r="V1589">
        <v>0</v>
      </c>
      <c r="W1589">
        <v>0</v>
      </c>
      <c r="X1589">
        <v>1688.98</v>
      </c>
      <c r="Y1589" t="s">
        <v>36</v>
      </c>
      <c r="Z1589" s="3">
        <v>1332.81</v>
      </c>
      <c r="AA1589" t="s">
        <v>41</v>
      </c>
      <c r="AB1589" t="s">
        <v>33</v>
      </c>
      <c r="AC1589">
        <v>77</v>
      </c>
      <c r="AD1589" t="s">
        <v>34</v>
      </c>
      <c r="AE1589">
        <v>477.39</v>
      </c>
      <c r="AF1589">
        <v>0</v>
      </c>
    </row>
    <row r="1590" spans="3:32" x14ac:dyDescent="0.35">
      <c r="C1590" s="1">
        <v>44396</v>
      </c>
      <c r="D1590" s="2">
        <v>44378</v>
      </c>
      <c r="E1590">
        <v>1743</v>
      </c>
      <c r="F1590" s="3">
        <v>4724.07</v>
      </c>
      <c r="G1590" s="3">
        <v>2816.32</v>
      </c>
      <c r="H1590" s="3">
        <v>1907.75</v>
      </c>
      <c r="I1590" s="3">
        <v>0.6</v>
      </c>
      <c r="J1590">
        <v>0.36</v>
      </c>
      <c r="K1590">
        <v>2871.98</v>
      </c>
      <c r="L1590" t="s">
        <v>35</v>
      </c>
      <c r="M1590">
        <v>707</v>
      </c>
      <c r="N1590">
        <v>0.43</v>
      </c>
      <c r="O1590" s="3">
        <v>338.6</v>
      </c>
      <c r="P1590" s="3">
        <v>7.0000000000000007E-2</v>
      </c>
      <c r="Q1590" s="3">
        <v>295.61</v>
      </c>
      <c r="R1590" s="3">
        <v>0.06</v>
      </c>
      <c r="S1590">
        <v>8</v>
      </c>
      <c r="T1590">
        <v>1255.05</v>
      </c>
      <c r="U1590">
        <v>99</v>
      </c>
      <c r="V1590">
        <v>0</v>
      </c>
      <c r="W1590">
        <v>479.04</v>
      </c>
      <c r="X1590">
        <v>2639.03</v>
      </c>
      <c r="Y1590" t="s">
        <v>36</v>
      </c>
      <c r="Z1590" s="3">
        <v>1284.3800000000001</v>
      </c>
      <c r="AA1590" t="s">
        <v>50</v>
      </c>
      <c r="AB1590" t="s">
        <v>33</v>
      </c>
      <c r="AC1590">
        <v>62.8</v>
      </c>
      <c r="AD1590" t="s">
        <v>43</v>
      </c>
      <c r="AE1590">
        <v>1907.75</v>
      </c>
      <c r="AF1590">
        <v>0</v>
      </c>
    </row>
    <row r="1591" spans="3:32" x14ac:dyDescent="0.35">
      <c r="C1591" s="1">
        <v>44396</v>
      </c>
      <c r="D1591" s="2">
        <v>44378</v>
      </c>
      <c r="E1591">
        <v>1458</v>
      </c>
      <c r="F1591" s="3">
        <v>1824.81</v>
      </c>
      <c r="G1591" s="3">
        <v>3444.88</v>
      </c>
      <c r="H1591" s="3">
        <v>-1620.07</v>
      </c>
      <c r="I1591" s="3">
        <v>1.89</v>
      </c>
      <c r="J1591">
        <v>0.19</v>
      </c>
      <c r="K1591">
        <v>2481.8000000000002</v>
      </c>
      <c r="L1591" t="s">
        <v>35</v>
      </c>
      <c r="M1591">
        <v>659</v>
      </c>
      <c r="N1591">
        <v>0.49</v>
      </c>
      <c r="O1591" s="3">
        <v>575.36</v>
      </c>
      <c r="P1591" s="3">
        <v>0.32</v>
      </c>
      <c r="Q1591" s="3">
        <v>591.95000000000005</v>
      </c>
      <c r="R1591" s="3">
        <v>0.32</v>
      </c>
      <c r="S1591">
        <v>9</v>
      </c>
      <c r="T1591">
        <v>988.74</v>
      </c>
      <c r="U1591">
        <v>86</v>
      </c>
      <c r="V1591">
        <v>0</v>
      </c>
      <c r="W1591">
        <v>93.3</v>
      </c>
      <c r="X1591">
        <v>2337.5700000000002</v>
      </c>
      <c r="Y1591" t="s">
        <v>36</v>
      </c>
      <c r="Z1591" s="3">
        <v>1193.08</v>
      </c>
      <c r="AA1591" t="s">
        <v>47</v>
      </c>
      <c r="AB1591" t="s">
        <v>42</v>
      </c>
      <c r="AC1591">
        <v>59</v>
      </c>
      <c r="AD1591" t="s">
        <v>43</v>
      </c>
      <c r="AE1591">
        <v>0</v>
      </c>
      <c r="AF1591">
        <v>0</v>
      </c>
    </row>
    <row r="1592" spans="3:32" x14ac:dyDescent="0.35">
      <c r="C1592" s="1">
        <v>44396</v>
      </c>
      <c r="D1592" s="2">
        <v>44378</v>
      </c>
      <c r="E1592">
        <v>1627</v>
      </c>
      <c r="F1592" s="3">
        <v>3623.08</v>
      </c>
      <c r="G1592" s="3">
        <v>3018.66</v>
      </c>
      <c r="H1592" s="3">
        <v>604.41999999999996</v>
      </c>
      <c r="I1592" s="3">
        <v>0.83</v>
      </c>
      <c r="J1592">
        <v>0.19</v>
      </c>
      <c r="K1592">
        <v>2862.7</v>
      </c>
      <c r="L1592" t="s">
        <v>30</v>
      </c>
      <c r="M1592">
        <v>681</v>
      </c>
      <c r="N1592">
        <v>0.27</v>
      </c>
      <c r="O1592" s="3">
        <v>483.56</v>
      </c>
      <c r="P1592" s="3">
        <v>0.13</v>
      </c>
      <c r="Q1592" s="3">
        <v>477.69</v>
      </c>
      <c r="R1592" s="3">
        <v>0.13</v>
      </c>
      <c r="S1592">
        <v>2</v>
      </c>
      <c r="T1592">
        <v>614.9</v>
      </c>
      <c r="U1592">
        <v>54</v>
      </c>
      <c r="V1592">
        <v>0</v>
      </c>
      <c r="W1592">
        <v>315.48</v>
      </c>
      <c r="X1592">
        <v>2145.12</v>
      </c>
      <c r="Y1592" t="s">
        <v>36</v>
      </c>
      <c r="Z1592" s="3">
        <v>1437.99</v>
      </c>
      <c r="AA1592" t="s">
        <v>41</v>
      </c>
      <c r="AB1592" t="s">
        <v>42</v>
      </c>
      <c r="AC1592">
        <v>58.8</v>
      </c>
      <c r="AD1592" t="s">
        <v>34</v>
      </c>
      <c r="AE1592">
        <v>604.41999999999996</v>
      </c>
      <c r="AF1592">
        <v>0</v>
      </c>
    </row>
    <row r="1593" spans="3:32" x14ac:dyDescent="0.35">
      <c r="C1593" s="1">
        <v>44396</v>
      </c>
      <c r="D1593" s="2">
        <v>44378</v>
      </c>
      <c r="E1593">
        <v>1642</v>
      </c>
      <c r="F1593" s="3">
        <v>3609.85</v>
      </c>
      <c r="G1593" s="3">
        <v>2078.61</v>
      </c>
      <c r="H1593" s="3">
        <v>1531.24</v>
      </c>
      <c r="I1593" s="3">
        <v>0.57999999999999996</v>
      </c>
      <c r="J1593">
        <v>0.05</v>
      </c>
      <c r="K1593">
        <v>2425.41</v>
      </c>
      <c r="L1593" t="s">
        <v>35</v>
      </c>
      <c r="M1593">
        <v>818</v>
      </c>
      <c r="N1593">
        <v>0.23</v>
      </c>
      <c r="O1593" s="3">
        <v>479.3</v>
      </c>
      <c r="P1593" s="3">
        <v>0.13</v>
      </c>
      <c r="Q1593" s="3">
        <v>425.36</v>
      </c>
      <c r="R1593" s="3">
        <v>0.12</v>
      </c>
      <c r="S1593">
        <v>4</v>
      </c>
      <c r="T1593">
        <v>748.6</v>
      </c>
      <c r="U1593">
        <v>31</v>
      </c>
      <c r="V1593">
        <v>0</v>
      </c>
      <c r="W1593">
        <v>604.87</v>
      </c>
      <c r="X1593">
        <v>2467.21</v>
      </c>
      <c r="Y1593" t="s">
        <v>36</v>
      </c>
      <c r="Z1593" s="3">
        <v>1502.81</v>
      </c>
      <c r="AA1593" t="s">
        <v>32</v>
      </c>
      <c r="AB1593" t="s">
        <v>33</v>
      </c>
      <c r="AC1593">
        <v>16.5</v>
      </c>
      <c r="AD1593" t="s">
        <v>34</v>
      </c>
      <c r="AE1593">
        <v>1531.24</v>
      </c>
      <c r="AF1593">
        <v>0</v>
      </c>
    </row>
    <row r="1594" spans="3:32" x14ac:dyDescent="0.35">
      <c r="C1594" s="1">
        <v>44396</v>
      </c>
      <c r="D1594" s="2">
        <v>44378</v>
      </c>
      <c r="E1594">
        <v>1962</v>
      </c>
      <c r="F1594" s="3">
        <v>5559.19</v>
      </c>
      <c r="G1594" s="3">
        <v>3200.27</v>
      </c>
      <c r="H1594" s="3">
        <v>2358.92</v>
      </c>
      <c r="I1594" s="3">
        <v>0.57999999999999996</v>
      </c>
      <c r="J1594">
        <v>0.35</v>
      </c>
      <c r="K1594">
        <v>2564.7199999999998</v>
      </c>
      <c r="L1594" t="s">
        <v>39</v>
      </c>
      <c r="M1594">
        <v>683</v>
      </c>
      <c r="N1594">
        <v>0.54</v>
      </c>
      <c r="O1594" s="3">
        <v>580.96</v>
      </c>
      <c r="P1594" s="3">
        <v>0.1</v>
      </c>
      <c r="Q1594" s="3">
        <v>0</v>
      </c>
      <c r="R1594" s="3">
        <v>0</v>
      </c>
      <c r="S1594">
        <v>5</v>
      </c>
      <c r="T1594">
        <v>962.83</v>
      </c>
      <c r="U1594">
        <v>83</v>
      </c>
      <c r="V1594">
        <v>0</v>
      </c>
      <c r="W1594">
        <v>757.95</v>
      </c>
      <c r="X1594">
        <v>1693.81</v>
      </c>
      <c r="Y1594" t="s">
        <v>36</v>
      </c>
      <c r="Z1594" s="3">
        <v>1133.31</v>
      </c>
      <c r="AA1594" t="s">
        <v>40</v>
      </c>
      <c r="AB1594" t="s">
        <v>33</v>
      </c>
      <c r="AC1594">
        <v>60.9</v>
      </c>
      <c r="AD1594" t="s">
        <v>38</v>
      </c>
      <c r="AE1594">
        <v>2358.92</v>
      </c>
      <c r="AF1594">
        <v>0</v>
      </c>
    </row>
    <row r="1595" spans="3:32" x14ac:dyDescent="0.35">
      <c r="C1595" s="1">
        <v>44396</v>
      </c>
      <c r="D1595" s="2">
        <v>44378</v>
      </c>
      <c r="E1595">
        <v>1376</v>
      </c>
      <c r="F1595" s="3">
        <v>5232.4399999999996</v>
      </c>
      <c r="G1595" s="3">
        <v>2626.44</v>
      </c>
      <c r="H1595" s="3">
        <v>2606</v>
      </c>
      <c r="I1595" s="3">
        <v>0.5</v>
      </c>
      <c r="J1595">
        <v>0.19</v>
      </c>
      <c r="K1595">
        <v>3542.76</v>
      </c>
      <c r="L1595" t="s">
        <v>35</v>
      </c>
      <c r="M1595">
        <v>643</v>
      </c>
      <c r="N1595">
        <v>0.59</v>
      </c>
      <c r="O1595" s="3">
        <v>405.37</v>
      </c>
      <c r="P1595" s="3">
        <v>0.08</v>
      </c>
      <c r="Q1595" s="3">
        <v>514.61</v>
      </c>
      <c r="R1595" s="3">
        <v>0.1</v>
      </c>
      <c r="S1595">
        <v>8</v>
      </c>
      <c r="T1595">
        <v>147.91</v>
      </c>
      <c r="U1595">
        <v>85</v>
      </c>
      <c r="V1595">
        <v>0</v>
      </c>
      <c r="W1595">
        <v>843.53</v>
      </c>
      <c r="X1595">
        <v>2852.1</v>
      </c>
      <c r="Y1595" t="s">
        <v>36</v>
      </c>
      <c r="Z1595" s="3">
        <v>789.23</v>
      </c>
      <c r="AA1595" t="s">
        <v>32</v>
      </c>
      <c r="AB1595" t="s">
        <v>44</v>
      </c>
      <c r="AC1595">
        <v>18</v>
      </c>
      <c r="AD1595" t="s">
        <v>43</v>
      </c>
      <c r="AE1595">
        <v>2606</v>
      </c>
      <c r="AF1595">
        <v>0</v>
      </c>
    </row>
    <row r="1596" spans="3:32" x14ac:dyDescent="0.35">
      <c r="C1596" s="1">
        <v>44396</v>
      </c>
      <c r="D1596" s="2">
        <v>44378</v>
      </c>
      <c r="E1596">
        <v>1523</v>
      </c>
      <c r="F1596" s="3">
        <v>4430.53</v>
      </c>
      <c r="G1596" s="3">
        <v>3054.13</v>
      </c>
      <c r="H1596" s="3">
        <v>1376.4</v>
      </c>
      <c r="I1596" s="3">
        <v>0.69</v>
      </c>
      <c r="J1596">
        <v>0.06</v>
      </c>
      <c r="K1596">
        <v>3221.31</v>
      </c>
      <c r="L1596" t="s">
        <v>35</v>
      </c>
      <c r="M1596">
        <v>702</v>
      </c>
      <c r="N1596">
        <v>0.59</v>
      </c>
      <c r="O1596" s="3">
        <v>471.15</v>
      </c>
      <c r="P1596" s="3">
        <v>0.11</v>
      </c>
      <c r="Q1596" s="3">
        <v>709.62</v>
      </c>
      <c r="R1596" s="3">
        <v>0.16</v>
      </c>
      <c r="S1596">
        <v>8</v>
      </c>
      <c r="T1596">
        <v>1357.61</v>
      </c>
      <c r="U1596">
        <v>69</v>
      </c>
      <c r="V1596">
        <v>0</v>
      </c>
      <c r="W1596">
        <v>334.26</v>
      </c>
      <c r="X1596">
        <v>2069.5500000000002</v>
      </c>
      <c r="Y1596" t="s">
        <v>36</v>
      </c>
      <c r="Z1596" s="3">
        <v>1197.27</v>
      </c>
      <c r="AA1596" t="s">
        <v>32</v>
      </c>
      <c r="AB1596" t="s">
        <v>33</v>
      </c>
      <c r="AC1596">
        <v>70.400000000000006</v>
      </c>
      <c r="AD1596" t="s">
        <v>34</v>
      </c>
      <c r="AE1596">
        <v>1376.4</v>
      </c>
      <c r="AF1596">
        <v>0</v>
      </c>
    </row>
    <row r="1597" spans="3:32" x14ac:dyDescent="0.35">
      <c r="C1597" s="1">
        <v>44396</v>
      </c>
      <c r="D1597" s="2">
        <v>44378</v>
      </c>
      <c r="E1597">
        <v>1528</v>
      </c>
      <c r="F1597" s="3">
        <v>2696.33</v>
      </c>
      <c r="G1597" s="3">
        <v>4383.92</v>
      </c>
      <c r="H1597" s="3">
        <v>-1687.59</v>
      </c>
      <c r="I1597" s="3">
        <v>1.63</v>
      </c>
      <c r="J1597">
        <v>0.16</v>
      </c>
      <c r="K1597">
        <v>2334.44</v>
      </c>
      <c r="L1597" t="s">
        <v>35</v>
      </c>
      <c r="M1597">
        <v>781</v>
      </c>
      <c r="N1597">
        <v>0.16</v>
      </c>
      <c r="O1597" s="3">
        <v>541.94000000000005</v>
      </c>
      <c r="P1597" s="3">
        <v>0.2</v>
      </c>
      <c r="Q1597" s="3">
        <v>155.02000000000001</v>
      </c>
      <c r="R1597" s="3">
        <v>0.06</v>
      </c>
      <c r="S1597">
        <v>9</v>
      </c>
      <c r="T1597">
        <v>819.03</v>
      </c>
      <c r="U1597">
        <v>73</v>
      </c>
      <c r="V1597">
        <v>0</v>
      </c>
      <c r="W1597">
        <v>286.13</v>
      </c>
      <c r="X1597">
        <v>2805.28</v>
      </c>
      <c r="Y1597" t="s">
        <v>31</v>
      </c>
      <c r="Z1597" s="3">
        <v>1382.07</v>
      </c>
      <c r="AA1597" t="s">
        <v>45</v>
      </c>
      <c r="AB1597" t="s">
        <v>33</v>
      </c>
      <c r="AC1597">
        <v>79.2</v>
      </c>
      <c r="AD1597" t="s">
        <v>34</v>
      </c>
      <c r="AE1597">
        <v>0</v>
      </c>
      <c r="AF1597">
        <v>0</v>
      </c>
    </row>
    <row r="1598" spans="3:32" x14ac:dyDescent="0.35">
      <c r="C1598" s="1">
        <v>44396</v>
      </c>
      <c r="D1598" s="2">
        <v>44378</v>
      </c>
      <c r="E1598">
        <v>1487</v>
      </c>
      <c r="F1598" s="3">
        <v>3454.82</v>
      </c>
      <c r="G1598" s="3">
        <v>3024.92</v>
      </c>
      <c r="H1598" s="3">
        <v>429.9</v>
      </c>
      <c r="I1598" s="3">
        <v>0.88</v>
      </c>
      <c r="J1598">
        <v>0.09</v>
      </c>
      <c r="K1598">
        <v>2978.65</v>
      </c>
      <c r="L1598" t="s">
        <v>35</v>
      </c>
      <c r="M1598">
        <v>634</v>
      </c>
      <c r="N1598">
        <v>0.43</v>
      </c>
      <c r="O1598" s="3">
        <v>796.94</v>
      </c>
      <c r="P1598" s="3">
        <v>0.23</v>
      </c>
      <c r="Q1598" s="3">
        <v>600.71</v>
      </c>
      <c r="R1598" s="3">
        <v>0.17</v>
      </c>
      <c r="S1598">
        <v>2</v>
      </c>
      <c r="T1598">
        <v>1533.13</v>
      </c>
      <c r="U1598">
        <v>77</v>
      </c>
      <c r="V1598">
        <v>0</v>
      </c>
      <c r="W1598">
        <v>717.01</v>
      </c>
      <c r="X1598">
        <v>2480.63</v>
      </c>
      <c r="Y1598" t="s">
        <v>36</v>
      </c>
      <c r="Z1598" s="3">
        <v>1264.67</v>
      </c>
      <c r="AA1598" t="s">
        <v>46</v>
      </c>
      <c r="AB1598" t="s">
        <v>33</v>
      </c>
      <c r="AC1598">
        <v>59.7</v>
      </c>
      <c r="AD1598" t="s">
        <v>34</v>
      </c>
      <c r="AE1598">
        <v>429.9</v>
      </c>
      <c r="AF1598">
        <v>0</v>
      </c>
    </row>
    <row r="1599" spans="3:32" x14ac:dyDescent="0.35">
      <c r="C1599" s="1">
        <v>44396</v>
      </c>
      <c r="D1599" s="2">
        <v>44378</v>
      </c>
      <c r="E1599">
        <v>1148</v>
      </c>
      <c r="F1599" s="3">
        <v>3715.31</v>
      </c>
      <c r="G1599" s="3">
        <v>3449.86</v>
      </c>
      <c r="H1599" s="3">
        <v>265.45</v>
      </c>
      <c r="I1599" s="3">
        <v>0.93</v>
      </c>
      <c r="J1599">
        <v>0.12</v>
      </c>
      <c r="K1599">
        <v>2880.33</v>
      </c>
      <c r="L1599" t="s">
        <v>35</v>
      </c>
      <c r="M1599">
        <v>686</v>
      </c>
      <c r="N1599">
        <v>0.23</v>
      </c>
      <c r="O1599" s="3">
        <v>572.62</v>
      </c>
      <c r="P1599" s="3">
        <v>0.15</v>
      </c>
      <c r="Q1599" s="3">
        <v>340.35</v>
      </c>
      <c r="R1599" s="3">
        <v>0.09</v>
      </c>
      <c r="S1599">
        <v>8</v>
      </c>
      <c r="T1599">
        <v>1369.7</v>
      </c>
      <c r="U1599">
        <v>66</v>
      </c>
      <c r="V1599">
        <v>0</v>
      </c>
      <c r="W1599">
        <v>347.39</v>
      </c>
      <c r="X1599">
        <v>1971.13</v>
      </c>
      <c r="Y1599" t="s">
        <v>36</v>
      </c>
      <c r="Z1599" s="3">
        <v>841.69</v>
      </c>
      <c r="AA1599" t="s">
        <v>32</v>
      </c>
      <c r="AB1599" t="s">
        <v>42</v>
      </c>
      <c r="AC1599">
        <v>41.2</v>
      </c>
      <c r="AD1599" t="s">
        <v>34</v>
      </c>
      <c r="AE1599">
        <v>265.45</v>
      </c>
      <c r="AF1599">
        <v>0</v>
      </c>
    </row>
    <row r="1600" spans="3:32" x14ac:dyDescent="0.35">
      <c r="C1600" s="1">
        <v>44396</v>
      </c>
      <c r="D1600" s="2">
        <v>44378</v>
      </c>
      <c r="E1600">
        <v>1060</v>
      </c>
      <c r="F1600" s="3">
        <v>4745.8500000000004</v>
      </c>
      <c r="G1600" s="3">
        <v>4025.03</v>
      </c>
      <c r="H1600" s="3">
        <v>720.82</v>
      </c>
      <c r="I1600" s="3">
        <v>0.85</v>
      </c>
      <c r="J1600">
        <v>0.14000000000000001</v>
      </c>
      <c r="K1600">
        <v>2402.46</v>
      </c>
      <c r="L1600" t="s">
        <v>30</v>
      </c>
      <c r="M1600">
        <v>768</v>
      </c>
      <c r="N1600">
        <v>0.57999999999999996</v>
      </c>
      <c r="O1600" s="3">
        <v>332.26</v>
      </c>
      <c r="P1600" s="3">
        <v>7.0000000000000007E-2</v>
      </c>
      <c r="Q1600" s="3">
        <v>333.84</v>
      </c>
      <c r="R1600" s="3">
        <v>7.0000000000000007E-2</v>
      </c>
      <c r="S1600">
        <v>2</v>
      </c>
      <c r="T1600">
        <v>250.1</v>
      </c>
      <c r="U1600">
        <v>40</v>
      </c>
      <c r="V1600">
        <v>0</v>
      </c>
      <c r="W1600">
        <v>409.04</v>
      </c>
      <c r="X1600">
        <v>2012.69</v>
      </c>
      <c r="Y1600" t="s">
        <v>31</v>
      </c>
      <c r="Z1600" s="3">
        <v>1507.37</v>
      </c>
      <c r="AA1600" t="s">
        <v>48</v>
      </c>
      <c r="AB1600" t="s">
        <v>42</v>
      </c>
      <c r="AC1600">
        <v>34.4</v>
      </c>
      <c r="AD1600" t="s">
        <v>34</v>
      </c>
      <c r="AE1600">
        <v>720.82</v>
      </c>
      <c r="AF1600">
        <v>0</v>
      </c>
    </row>
    <row r="1601" spans="3:32" x14ac:dyDescent="0.35">
      <c r="C1601" s="1">
        <v>44396</v>
      </c>
      <c r="D1601" s="2">
        <v>44378</v>
      </c>
      <c r="E1601">
        <v>1156</v>
      </c>
      <c r="F1601" s="3">
        <v>4750.4399999999996</v>
      </c>
      <c r="G1601" s="3">
        <v>3312.93</v>
      </c>
      <c r="H1601" s="3">
        <v>1437.51</v>
      </c>
      <c r="I1601" s="3">
        <v>0.7</v>
      </c>
      <c r="J1601">
        <v>0.4</v>
      </c>
      <c r="K1601">
        <v>2444.19</v>
      </c>
      <c r="L1601" t="s">
        <v>35</v>
      </c>
      <c r="M1601">
        <v>781</v>
      </c>
      <c r="N1601">
        <v>0.52</v>
      </c>
      <c r="O1601" s="3">
        <v>40.450000000000003</v>
      </c>
      <c r="P1601" s="3">
        <v>0.01</v>
      </c>
      <c r="Q1601" s="3">
        <v>388.44</v>
      </c>
      <c r="R1601" s="3">
        <v>0.08</v>
      </c>
      <c r="S1601">
        <v>6</v>
      </c>
      <c r="T1601">
        <v>1143.81</v>
      </c>
      <c r="U1601">
        <v>41</v>
      </c>
      <c r="V1601">
        <v>0</v>
      </c>
      <c r="W1601">
        <v>497.51</v>
      </c>
      <c r="X1601">
        <v>2500.25</v>
      </c>
      <c r="Y1601" t="s">
        <v>36</v>
      </c>
      <c r="Z1601" s="3">
        <v>1719.79</v>
      </c>
      <c r="AA1601" t="s">
        <v>41</v>
      </c>
      <c r="AB1601" t="s">
        <v>33</v>
      </c>
      <c r="AC1601">
        <v>62.1</v>
      </c>
      <c r="AD1601" t="s">
        <v>34</v>
      </c>
      <c r="AE1601">
        <v>1437.51</v>
      </c>
      <c r="AF1601">
        <v>0</v>
      </c>
    </row>
    <row r="1602" spans="3:32" x14ac:dyDescent="0.35">
      <c r="C1602" s="1">
        <v>44426</v>
      </c>
      <c r="D1602" s="2">
        <v>44409</v>
      </c>
      <c r="E1602">
        <v>1456</v>
      </c>
      <c r="F1602" s="3">
        <v>3515.99</v>
      </c>
      <c r="G1602" s="3">
        <v>3276.12</v>
      </c>
      <c r="H1602" s="3">
        <v>239.87</v>
      </c>
      <c r="I1602" s="3">
        <v>0.93</v>
      </c>
      <c r="J1602">
        <v>0.06</v>
      </c>
      <c r="K1602">
        <v>3289.32</v>
      </c>
      <c r="L1602" t="s">
        <v>30</v>
      </c>
      <c r="M1602">
        <v>633</v>
      </c>
      <c r="N1602">
        <v>0.12</v>
      </c>
      <c r="O1602" s="3">
        <v>479.01</v>
      </c>
      <c r="P1602" s="3">
        <v>0.14000000000000001</v>
      </c>
      <c r="Q1602" s="3">
        <v>353.98</v>
      </c>
      <c r="R1602" s="3">
        <v>0.1</v>
      </c>
      <c r="S1602">
        <v>8</v>
      </c>
      <c r="T1602">
        <v>347.98</v>
      </c>
      <c r="U1602">
        <v>38</v>
      </c>
      <c r="V1602">
        <v>0</v>
      </c>
      <c r="W1602">
        <v>482.87</v>
      </c>
      <c r="X1602">
        <v>2536.0100000000002</v>
      </c>
      <c r="Y1602" t="s">
        <v>36</v>
      </c>
      <c r="Z1602" s="3">
        <v>1042.06</v>
      </c>
      <c r="AA1602" t="s">
        <v>48</v>
      </c>
      <c r="AB1602" t="s">
        <v>33</v>
      </c>
      <c r="AC1602">
        <v>98.8</v>
      </c>
      <c r="AD1602" t="s">
        <v>34</v>
      </c>
      <c r="AE1602">
        <v>239.87</v>
      </c>
      <c r="AF1602">
        <v>0</v>
      </c>
    </row>
    <row r="1603" spans="3:32" x14ac:dyDescent="0.35">
      <c r="C1603" s="1">
        <v>44426</v>
      </c>
      <c r="D1603" s="2">
        <v>44409</v>
      </c>
      <c r="E1603">
        <v>1917</v>
      </c>
      <c r="F1603" s="3">
        <v>2832.28</v>
      </c>
      <c r="G1603" s="3">
        <v>4716.8</v>
      </c>
      <c r="H1603" s="3">
        <v>-1884.52</v>
      </c>
      <c r="I1603" s="3">
        <v>1.67</v>
      </c>
      <c r="J1603">
        <v>0.39</v>
      </c>
      <c r="K1603">
        <v>2712.04</v>
      </c>
      <c r="L1603" t="s">
        <v>35</v>
      </c>
      <c r="M1603">
        <v>648</v>
      </c>
      <c r="N1603">
        <v>0.23</v>
      </c>
      <c r="O1603" s="3">
        <v>346.02</v>
      </c>
      <c r="P1603" s="3">
        <v>0.12</v>
      </c>
      <c r="Q1603" s="3">
        <v>479.85</v>
      </c>
      <c r="R1603" s="3">
        <v>0.17</v>
      </c>
      <c r="S1603">
        <v>1</v>
      </c>
      <c r="T1603">
        <v>1165.48</v>
      </c>
      <c r="U1603">
        <v>68</v>
      </c>
      <c r="V1603">
        <v>0</v>
      </c>
      <c r="W1603">
        <v>390.53</v>
      </c>
      <c r="X1603">
        <v>2336.89</v>
      </c>
      <c r="Y1603" t="s">
        <v>36</v>
      </c>
      <c r="Z1603" s="3">
        <v>1179.1500000000001</v>
      </c>
      <c r="AA1603" t="s">
        <v>37</v>
      </c>
      <c r="AB1603" t="s">
        <v>44</v>
      </c>
      <c r="AC1603">
        <v>63.3</v>
      </c>
      <c r="AD1603" t="s">
        <v>43</v>
      </c>
      <c r="AE1603">
        <v>0</v>
      </c>
      <c r="AF1603">
        <v>0</v>
      </c>
    </row>
    <row r="1604" spans="3:32" x14ac:dyDescent="0.35">
      <c r="C1604" s="1">
        <v>44426</v>
      </c>
      <c r="D1604" s="2">
        <v>44409</v>
      </c>
      <c r="E1604">
        <v>1191</v>
      </c>
      <c r="F1604" s="3">
        <v>3552.09</v>
      </c>
      <c r="G1604" s="3">
        <v>2608.6</v>
      </c>
      <c r="H1604" s="3">
        <v>943.49</v>
      </c>
      <c r="I1604" s="3">
        <v>0.73</v>
      </c>
      <c r="J1604">
        <v>0.31</v>
      </c>
      <c r="K1604">
        <v>2597.9499999999998</v>
      </c>
      <c r="L1604" t="s">
        <v>35</v>
      </c>
      <c r="M1604">
        <v>674</v>
      </c>
      <c r="N1604">
        <v>0.16</v>
      </c>
      <c r="O1604" s="3">
        <v>537.44000000000005</v>
      </c>
      <c r="P1604" s="3">
        <v>0.15</v>
      </c>
      <c r="Q1604" s="3">
        <v>352.15</v>
      </c>
      <c r="R1604" s="3">
        <v>0.1</v>
      </c>
      <c r="S1604">
        <v>1</v>
      </c>
      <c r="T1604">
        <v>1932.91</v>
      </c>
      <c r="U1604">
        <v>22</v>
      </c>
      <c r="V1604">
        <v>0</v>
      </c>
      <c r="W1604">
        <v>536.73</v>
      </c>
      <c r="X1604">
        <v>3491.05</v>
      </c>
      <c r="Y1604" t="s">
        <v>36</v>
      </c>
      <c r="Z1604" s="3">
        <v>547.59</v>
      </c>
      <c r="AA1604" t="s">
        <v>40</v>
      </c>
      <c r="AB1604" t="s">
        <v>42</v>
      </c>
      <c r="AC1604">
        <v>94.8</v>
      </c>
      <c r="AD1604" t="s">
        <v>34</v>
      </c>
      <c r="AE1604">
        <v>943.49</v>
      </c>
      <c r="AF1604">
        <v>0</v>
      </c>
    </row>
    <row r="1605" spans="3:32" x14ac:dyDescent="0.35">
      <c r="C1605" s="1">
        <v>44426</v>
      </c>
      <c r="D1605" s="2">
        <v>44409</v>
      </c>
      <c r="E1605">
        <v>1715</v>
      </c>
      <c r="F1605" s="3">
        <v>3905.58</v>
      </c>
      <c r="G1605" s="3">
        <v>3644.25</v>
      </c>
      <c r="H1605" s="3">
        <v>261.33</v>
      </c>
      <c r="I1605" s="3">
        <v>0.93</v>
      </c>
      <c r="J1605">
        <v>0.34</v>
      </c>
      <c r="K1605">
        <v>2970.4</v>
      </c>
      <c r="L1605" t="s">
        <v>39</v>
      </c>
      <c r="M1605">
        <v>742</v>
      </c>
      <c r="N1605">
        <v>0.56000000000000005</v>
      </c>
      <c r="O1605" s="3">
        <v>493.53</v>
      </c>
      <c r="P1605" s="3">
        <v>0.13</v>
      </c>
      <c r="Q1605" s="3">
        <v>511.12</v>
      </c>
      <c r="R1605" s="3">
        <v>0.13</v>
      </c>
      <c r="S1605">
        <v>1</v>
      </c>
      <c r="T1605">
        <v>1729.69</v>
      </c>
      <c r="U1605">
        <v>98</v>
      </c>
      <c r="V1605">
        <v>0</v>
      </c>
      <c r="W1605">
        <v>775.94</v>
      </c>
      <c r="X1605">
        <v>1854.28</v>
      </c>
      <c r="Y1605" t="s">
        <v>36</v>
      </c>
      <c r="Z1605" s="3">
        <v>1025.8900000000001</v>
      </c>
      <c r="AA1605" t="s">
        <v>45</v>
      </c>
      <c r="AB1605" t="s">
        <v>44</v>
      </c>
      <c r="AC1605">
        <v>10.5</v>
      </c>
      <c r="AD1605" t="s">
        <v>34</v>
      </c>
      <c r="AE1605">
        <v>261.33</v>
      </c>
      <c r="AF1605">
        <v>0</v>
      </c>
    </row>
    <row r="1606" spans="3:32" x14ac:dyDescent="0.35">
      <c r="C1606" s="1">
        <v>44426</v>
      </c>
      <c r="D1606" s="2">
        <v>44409</v>
      </c>
      <c r="E1606">
        <v>1129</v>
      </c>
      <c r="F1606" s="3">
        <v>3913.95</v>
      </c>
      <c r="G1606" s="3">
        <v>3876.22</v>
      </c>
      <c r="H1606" s="3">
        <v>37.729999999999997</v>
      </c>
      <c r="I1606" s="3">
        <v>0.99</v>
      </c>
      <c r="J1606">
        <v>0.15</v>
      </c>
      <c r="K1606">
        <v>2955.47</v>
      </c>
      <c r="L1606" t="s">
        <v>30</v>
      </c>
      <c r="M1606">
        <v>691</v>
      </c>
      <c r="N1606">
        <v>0.5</v>
      </c>
      <c r="O1606" s="3">
        <v>624.62</v>
      </c>
      <c r="P1606" s="3">
        <v>0.16</v>
      </c>
      <c r="Q1606" s="3">
        <v>399.92</v>
      </c>
      <c r="R1606" s="3">
        <v>0.1</v>
      </c>
      <c r="S1606">
        <v>6</v>
      </c>
      <c r="T1606">
        <v>1176.73</v>
      </c>
      <c r="U1606">
        <v>30</v>
      </c>
      <c r="V1606">
        <v>0</v>
      </c>
      <c r="W1606">
        <v>498.77</v>
      </c>
      <c r="X1606">
        <v>1838.49</v>
      </c>
      <c r="Y1606" t="s">
        <v>31</v>
      </c>
      <c r="Z1606" s="3">
        <v>1460.22</v>
      </c>
      <c r="AA1606" t="s">
        <v>40</v>
      </c>
      <c r="AB1606" t="s">
        <v>33</v>
      </c>
      <c r="AC1606">
        <v>4.0999999999999996</v>
      </c>
      <c r="AD1606" t="s">
        <v>43</v>
      </c>
      <c r="AE1606">
        <v>37.729999999999997</v>
      </c>
      <c r="AF1606">
        <v>0</v>
      </c>
    </row>
    <row r="1607" spans="3:32" x14ac:dyDescent="0.35">
      <c r="C1607" s="1">
        <v>44426</v>
      </c>
      <c r="D1607" s="2">
        <v>44409</v>
      </c>
      <c r="E1607">
        <v>1719</v>
      </c>
      <c r="F1607" s="3">
        <v>5471.78</v>
      </c>
      <c r="G1607" s="3">
        <v>1498.72</v>
      </c>
      <c r="H1607" s="3">
        <v>3973.06</v>
      </c>
      <c r="I1607" s="3">
        <v>0.27</v>
      </c>
      <c r="J1607">
        <v>0.11</v>
      </c>
      <c r="K1607">
        <v>2378.91</v>
      </c>
      <c r="L1607" t="s">
        <v>30</v>
      </c>
      <c r="M1607">
        <v>696</v>
      </c>
      <c r="N1607">
        <v>0.55000000000000004</v>
      </c>
      <c r="O1607" s="3">
        <v>519.78</v>
      </c>
      <c r="P1607" s="3">
        <v>0.09</v>
      </c>
      <c r="Q1607" s="3">
        <v>364.23</v>
      </c>
      <c r="R1607" s="3">
        <v>7.0000000000000007E-2</v>
      </c>
      <c r="S1607">
        <v>7</v>
      </c>
      <c r="T1607">
        <v>1004.42</v>
      </c>
      <c r="U1607">
        <v>68</v>
      </c>
      <c r="V1607">
        <v>0</v>
      </c>
      <c r="W1607">
        <v>542.82000000000005</v>
      </c>
      <c r="X1607">
        <v>1802.09</v>
      </c>
      <c r="Y1607" t="s">
        <v>36</v>
      </c>
      <c r="Z1607" s="3">
        <v>2423.0100000000002</v>
      </c>
      <c r="AA1607" t="s">
        <v>46</v>
      </c>
      <c r="AB1607" t="s">
        <v>33</v>
      </c>
      <c r="AC1607">
        <v>81.7</v>
      </c>
      <c r="AD1607" t="s">
        <v>43</v>
      </c>
      <c r="AE1607">
        <v>3973.06</v>
      </c>
      <c r="AF1607">
        <v>1</v>
      </c>
    </row>
    <row r="1608" spans="3:32" x14ac:dyDescent="0.35">
      <c r="C1608" s="1">
        <v>44426</v>
      </c>
      <c r="D1608" s="2">
        <v>44409</v>
      </c>
      <c r="E1608">
        <v>1236</v>
      </c>
      <c r="F1608" s="3">
        <v>2716.43</v>
      </c>
      <c r="G1608" s="3">
        <v>2427.56</v>
      </c>
      <c r="H1608" s="3">
        <v>288.87</v>
      </c>
      <c r="I1608" s="3">
        <v>0.89</v>
      </c>
      <c r="J1608">
        <v>0.23</v>
      </c>
      <c r="K1608">
        <v>3153.9</v>
      </c>
      <c r="L1608" t="s">
        <v>39</v>
      </c>
      <c r="M1608">
        <v>699</v>
      </c>
      <c r="N1608">
        <v>0.59</v>
      </c>
      <c r="O1608" s="3">
        <v>530.67999999999995</v>
      </c>
      <c r="P1608" s="3">
        <v>0.2</v>
      </c>
      <c r="Q1608" s="3">
        <v>453.73</v>
      </c>
      <c r="R1608" s="3">
        <v>0.17</v>
      </c>
      <c r="S1608">
        <v>1</v>
      </c>
      <c r="T1608">
        <v>1531.73</v>
      </c>
      <c r="U1608">
        <v>74</v>
      </c>
      <c r="V1608">
        <v>0</v>
      </c>
      <c r="W1608">
        <v>486.89</v>
      </c>
      <c r="X1608">
        <v>2416.56</v>
      </c>
      <c r="Y1608" t="s">
        <v>36</v>
      </c>
      <c r="Z1608" s="3">
        <v>1055.94</v>
      </c>
      <c r="AA1608" t="s">
        <v>37</v>
      </c>
      <c r="AB1608" t="s">
        <v>44</v>
      </c>
      <c r="AC1608">
        <v>63.1</v>
      </c>
      <c r="AD1608" t="s">
        <v>38</v>
      </c>
      <c r="AE1608">
        <v>288.87</v>
      </c>
      <c r="AF1608">
        <v>0</v>
      </c>
    </row>
    <row r="1609" spans="3:32" x14ac:dyDescent="0.35">
      <c r="C1609" s="1">
        <v>44426</v>
      </c>
      <c r="D1609" s="2">
        <v>44409</v>
      </c>
      <c r="E1609">
        <v>1075</v>
      </c>
      <c r="F1609" s="3">
        <v>4174.09</v>
      </c>
      <c r="G1609" s="3">
        <v>2568.25</v>
      </c>
      <c r="H1609" s="3">
        <v>1605.84</v>
      </c>
      <c r="I1609" s="3">
        <v>0.62</v>
      </c>
      <c r="J1609">
        <v>0.11</v>
      </c>
      <c r="K1609">
        <v>2400.17</v>
      </c>
      <c r="L1609" t="s">
        <v>35</v>
      </c>
      <c r="M1609">
        <v>754</v>
      </c>
      <c r="N1609">
        <v>0.42</v>
      </c>
      <c r="O1609" s="3">
        <v>379.43</v>
      </c>
      <c r="P1609" s="3">
        <v>0.09</v>
      </c>
      <c r="Q1609" s="3">
        <v>744.83</v>
      </c>
      <c r="R1609" s="3">
        <v>0.18</v>
      </c>
      <c r="S1609">
        <v>1</v>
      </c>
      <c r="T1609">
        <v>1584.43</v>
      </c>
      <c r="U1609">
        <v>38</v>
      </c>
      <c r="V1609">
        <v>0</v>
      </c>
      <c r="W1609">
        <v>580.16</v>
      </c>
      <c r="X1609">
        <v>1977.55</v>
      </c>
      <c r="Y1609" t="s">
        <v>36</v>
      </c>
      <c r="Z1609" s="3">
        <v>959.98</v>
      </c>
      <c r="AA1609" t="s">
        <v>51</v>
      </c>
      <c r="AB1609" t="s">
        <v>33</v>
      </c>
      <c r="AC1609">
        <v>24.8</v>
      </c>
      <c r="AD1609" t="s">
        <v>43</v>
      </c>
      <c r="AE1609">
        <v>1605.84</v>
      </c>
      <c r="AF1609">
        <v>0</v>
      </c>
    </row>
    <row r="1610" spans="3:32" x14ac:dyDescent="0.35">
      <c r="C1610" s="1">
        <v>44426</v>
      </c>
      <c r="D1610" s="2">
        <v>44409</v>
      </c>
      <c r="E1610">
        <v>1428</v>
      </c>
      <c r="F1610" s="3">
        <v>4652.2</v>
      </c>
      <c r="G1610" s="3">
        <v>1910.38</v>
      </c>
      <c r="H1610" s="3">
        <v>2741.82</v>
      </c>
      <c r="I1610" s="3">
        <v>0.41</v>
      </c>
      <c r="J1610">
        <v>0.1</v>
      </c>
      <c r="K1610">
        <v>2867.1</v>
      </c>
      <c r="L1610" t="s">
        <v>35</v>
      </c>
      <c r="M1610">
        <v>733</v>
      </c>
      <c r="N1610">
        <v>0.56999999999999995</v>
      </c>
      <c r="O1610" s="3">
        <v>738.89</v>
      </c>
      <c r="P1610" s="3">
        <v>0.16</v>
      </c>
      <c r="Q1610" s="3">
        <v>757.03</v>
      </c>
      <c r="R1610" s="3">
        <v>0.16</v>
      </c>
      <c r="S1610">
        <v>6</v>
      </c>
      <c r="T1610">
        <v>1258.17</v>
      </c>
      <c r="U1610">
        <v>39</v>
      </c>
      <c r="V1610">
        <v>0</v>
      </c>
      <c r="W1610">
        <v>431.44</v>
      </c>
      <c r="X1610">
        <v>2328.4699999999998</v>
      </c>
      <c r="Y1610" t="s">
        <v>36</v>
      </c>
      <c r="Z1610" s="3">
        <v>1420.29</v>
      </c>
      <c r="AA1610" t="s">
        <v>47</v>
      </c>
      <c r="AB1610" t="s">
        <v>33</v>
      </c>
      <c r="AC1610">
        <v>13.2</v>
      </c>
      <c r="AD1610" t="s">
        <v>34</v>
      </c>
      <c r="AE1610">
        <v>2741.82</v>
      </c>
      <c r="AF1610">
        <v>0</v>
      </c>
    </row>
    <row r="1611" spans="3:32" x14ac:dyDescent="0.35">
      <c r="C1611" s="1">
        <v>44426</v>
      </c>
      <c r="D1611" s="2">
        <v>44409</v>
      </c>
      <c r="E1611">
        <v>1888</v>
      </c>
      <c r="F1611" s="3">
        <v>2812.24</v>
      </c>
      <c r="G1611" s="3">
        <v>3389.31</v>
      </c>
      <c r="H1611" s="3">
        <v>-577.07000000000005</v>
      </c>
      <c r="I1611" s="3">
        <v>1.21</v>
      </c>
      <c r="J1611">
        <v>0.24</v>
      </c>
      <c r="K1611">
        <v>2915.28</v>
      </c>
      <c r="L1611" t="s">
        <v>35</v>
      </c>
      <c r="M1611">
        <v>730</v>
      </c>
      <c r="N1611">
        <v>0.12</v>
      </c>
      <c r="O1611" s="3">
        <v>353.3</v>
      </c>
      <c r="P1611" s="3">
        <v>0.13</v>
      </c>
      <c r="Q1611" s="3">
        <v>564.32000000000005</v>
      </c>
      <c r="R1611" s="3">
        <v>0.2</v>
      </c>
      <c r="S1611">
        <v>9</v>
      </c>
      <c r="T1611">
        <v>44.14</v>
      </c>
      <c r="U1611">
        <v>82</v>
      </c>
      <c r="V1611">
        <v>0</v>
      </c>
      <c r="W1611">
        <v>516.66</v>
      </c>
      <c r="X1611">
        <v>2861.97</v>
      </c>
      <c r="Y1611" t="s">
        <v>36</v>
      </c>
      <c r="Z1611" s="3">
        <v>1239.8900000000001</v>
      </c>
      <c r="AA1611" t="s">
        <v>48</v>
      </c>
      <c r="AB1611" t="s">
        <v>42</v>
      </c>
      <c r="AC1611">
        <v>19.399999999999999</v>
      </c>
      <c r="AD1611" t="s">
        <v>34</v>
      </c>
      <c r="AE1611">
        <v>0</v>
      </c>
      <c r="AF1611">
        <v>0</v>
      </c>
    </row>
    <row r="1612" spans="3:32" x14ac:dyDescent="0.35">
      <c r="C1612" s="1">
        <v>44426</v>
      </c>
      <c r="D1612" s="2">
        <v>44409</v>
      </c>
      <c r="E1612">
        <v>1169</v>
      </c>
      <c r="F1612" s="3">
        <v>2990.93</v>
      </c>
      <c r="G1612" s="3">
        <v>2714.58</v>
      </c>
      <c r="H1612" s="3">
        <v>276.35000000000002</v>
      </c>
      <c r="I1612" s="3">
        <v>0.91</v>
      </c>
      <c r="J1612">
        <v>0.2</v>
      </c>
      <c r="K1612">
        <v>2042.97</v>
      </c>
      <c r="L1612" t="s">
        <v>35</v>
      </c>
      <c r="M1612">
        <v>684</v>
      </c>
      <c r="N1612">
        <v>0.17</v>
      </c>
      <c r="O1612" s="3">
        <v>561.79</v>
      </c>
      <c r="P1612" s="3">
        <v>0.19</v>
      </c>
      <c r="Q1612" s="3">
        <v>598.51</v>
      </c>
      <c r="R1612" s="3">
        <v>0.2</v>
      </c>
      <c r="S1612">
        <v>8</v>
      </c>
      <c r="T1612">
        <v>221.72</v>
      </c>
      <c r="U1612">
        <v>84</v>
      </c>
      <c r="V1612">
        <v>0</v>
      </c>
      <c r="W1612">
        <v>684.88</v>
      </c>
      <c r="X1612">
        <v>2627.69</v>
      </c>
      <c r="Y1612" t="s">
        <v>31</v>
      </c>
      <c r="Z1612" s="3">
        <v>999.33</v>
      </c>
      <c r="AA1612" t="s">
        <v>40</v>
      </c>
      <c r="AB1612" t="s">
        <v>33</v>
      </c>
      <c r="AC1612">
        <v>26</v>
      </c>
      <c r="AD1612" t="s">
        <v>34</v>
      </c>
      <c r="AE1612">
        <v>276.35000000000002</v>
      </c>
      <c r="AF1612">
        <v>0</v>
      </c>
    </row>
    <row r="1613" spans="3:32" x14ac:dyDescent="0.35">
      <c r="C1613" s="1">
        <v>44426</v>
      </c>
      <c r="D1613" s="2">
        <v>44409</v>
      </c>
      <c r="E1613">
        <v>1305</v>
      </c>
      <c r="F1613" s="3">
        <v>3089.53</v>
      </c>
      <c r="G1613" s="3">
        <v>3912.42</v>
      </c>
      <c r="H1613" s="3">
        <v>-822.89</v>
      </c>
      <c r="I1613" s="3">
        <v>1.27</v>
      </c>
      <c r="J1613">
        <v>0.34</v>
      </c>
      <c r="K1613">
        <v>2892.15</v>
      </c>
      <c r="L1613" t="s">
        <v>35</v>
      </c>
      <c r="M1613">
        <v>656</v>
      </c>
      <c r="N1613">
        <v>0.3</v>
      </c>
      <c r="O1613" s="3">
        <v>627.04999999999995</v>
      </c>
      <c r="P1613" s="3">
        <v>0.2</v>
      </c>
      <c r="Q1613" s="3">
        <v>389.76</v>
      </c>
      <c r="R1613" s="3">
        <v>0.13</v>
      </c>
      <c r="S1613">
        <v>9</v>
      </c>
      <c r="T1613">
        <v>412.15</v>
      </c>
      <c r="U1613">
        <v>84</v>
      </c>
      <c r="V1613">
        <v>0</v>
      </c>
      <c r="W1613">
        <v>554.73</v>
      </c>
      <c r="X1613">
        <v>2726.64</v>
      </c>
      <c r="Y1613" t="s">
        <v>31</v>
      </c>
      <c r="Z1613" s="3">
        <v>1562.75</v>
      </c>
      <c r="AA1613" t="s">
        <v>50</v>
      </c>
      <c r="AB1613" t="s">
        <v>33</v>
      </c>
      <c r="AC1613">
        <v>13.8</v>
      </c>
      <c r="AD1613" t="s">
        <v>34</v>
      </c>
      <c r="AE1613">
        <v>0</v>
      </c>
      <c r="AF1613">
        <v>0</v>
      </c>
    </row>
    <row r="1614" spans="3:32" x14ac:dyDescent="0.35">
      <c r="C1614" s="1">
        <v>44426</v>
      </c>
      <c r="D1614" s="2">
        <v>44409</v>
      </c>
      <c r="E1614">
        <v>1024</v>
      </c>
      <c r="F1614" s="3">
        <v>3257.44</v>
      </c>
      <c r="G1614" s="3">
        <v>3272.5</v>
      </c>
      <c r="H1614" s="3">
        <v>-15.06</v>
      </c>
      <c r="I1614" s="3">
        <v>1</v>
      </c>
      <c r="J1614">
        <v>0.23</v>
      </c>
      <c r="K1614">
        <v>3237.4</v>
      </c>
      <c r="L1614" t="s">
        <v>39</v>
      </c>
      <c r="M1614">
        <v>710</v>
      </c>
      <c r="N1614">
        <v>0.24</v>
      </c>
      <c r="O1614" s="3">
        <v>436.38</v>
      </c>
      <c r="P1614" s="3">
        <v>0.13</v>
      </c>
      <c r="Q1614" s="3">
        <v>357.13</v>
      </c>
      <c r="R1614" s="3">
        <v>0.11</v>
      </c>
      <c r="S1614">
        <v>5</v>
      </c>
      <c r="T1614">
        <v>970.36</v>
      </c>
      <c r="U1614">
        <v>74</v>
      </c>
      <c r="V1614">
        <v>0</v>
      </c>
      <c r="W1614">
        <v>289.98</v>
      </c>
      <c r="X1614">
        <v>1790.8</v>
      </c>
      <c r="Y1614" t="s">
        <v>36</v>
      </c>
      <c r="Z1614" s="3">
        <v>1406.68</v>
      </c>
      <c r="AA1614" t="s">
        <v>37</v>
      </c>
      <c r="AB1614" t="s">
        <v>33</v>
      </c>
      <c r="AC1614">
        <v>95.2</v>
      </c>
      <c r="AD1614" t="s">
        <v>43</v>
      </c>
      <c r="AE1614">
        <v>0</v>
      </c>
      <c r="AF1614">
        <v>0</v>
      </c>
    </row>
    <row r="1615" spans="3:32" x14ac:dyDescent="0.35">
      <c r="C1615" s="1">
        <v>44426</v>
      </c>
      <c r="D1615" s="2">
        <v>44409</v>
      </c>
      <c r="E1615">
        <v>1698</v>
      </c>
      <c r="F1615" s="3">
        <v>3898.94</v>
      </c>
      <c r="G1615" s="3">
        <v>1240.6099999999999</v>
      </c>
      <c r="H1615" s="3">
        <v>2658.33</v>
      </c>
      <c r="I1615" s="3">
        <v>0.32</v>
      </c>
      <c r="J1615">
        <v>0.12</v>
      </c>
      <c r="K1615">
        <v>2221.7399999999998</v>
      </c>
      <c r="L1615" t="s">
        <v>39</v>
      </c>
      <c r="M1615">
        <v>649</v>
      </c>
      <c r="N1615">
        <v>0.49</v>
      </c>
      <c r="O1615" s="3">
        <v>468.67</v>
      </c>
      <c r="P1615" s="3">
        <v>0.12</v>
      </c>
      <c r="Q1615" s="3">
        <v>976.71</v>
      </c>
      <c r="R1615" s="3">
        <v>0.25</v>
      </c>
      <c r="S1615">
        <v>2</v>
      </c>
      <c r="T1615">
        <v>1244.1199999999999</v>
      </c>
      <c r="U1615">
        <v>97</v>
      </c>
      <c r="V1615">
        <v>0</v>
      </c>
      <c r="W1615">
        <v>218.27</v>
      </c>
      <c r="X1615">
        <v>1994.69</v>
      </c>
      <c r="Y1615" t="s">
        <v>49</v>
      </c>
      <c r="Z1615" s="3">
        <v>946.26</v>
      </c>
      <c r="AA1615" t="s">
        <v>37</v>
      </c>
      <c r="AB1615" t="s">
        <v>33</v>
      </c>
      <c r="AC1615">
        <v>56.8</v>
      </c>
      <c r="AD1615" t="s">
        <v>38</v>
      </c>
      <c r="AE1615">
        <v>2658.33</v>
      </c>
      <c r="AF1615">
        <v>1</v>
      </c>
    </row>
    <row r="1616" spans="3:32" x14ac:dyDescent="0.35">
      <c r="C1616" s="1">
        <v>44426</v>
      </c>
      <c r="D1616" s="2">
        <v>44409</v>
      </c>
      <c r="E1616">
        <v>1784</v>
      </c>
      <c r="F1616" s="3">
        <v>3788.81</v>
      </c>
      <c r="G1616" s="3">
        <v>3265.87</v>
      </c>
      <c r="H1616" s="3">
        <v>522.94000000000005</v>
      </c>
      <c r="I1616" s="3">
        <v>0.86</v>
      </c>
      <c r="J1616">
        <v>0.1</v>
      </c>
      <c r="K1616">
        <v>2847.16</v>
      </c>
      <c r="L1616" t="s">
        <v>30</v>
      </c>
      <c r="M1616">
        <v>642</v>
      </c>
      <c r="N1616">
        <v>0.13</v>
      </c>
      <c r="O1616" s="3">
        <v>385.77</v>
      </c>
      <c r="P1616" s="3">
        <v>0.1</v>
      </c>
      <c r="Q1616" s="3">
        <v>530.04999999999995</v>
      </c>
      <c r="R1616" s="3">
        <v>0.14000000000000001</v>
      </c>
      <c r="S1616">
        <v>1</v>
      </c>
      <c r="T1616">
        <v>890.12</v>
      </c>
      <c r="U1616">
        <v>46</v>
      </c>
      <c r="V1616">
        <v>1</v>
      </c>
      <c r="W1616">
        <v>595.86</v>
      </c>
      <c r="X1616">
        <v>2952.46</v>
      </c>
      <c r="Y1616" t="s">
        <v>36</v>
      </c>
      <c r="Z1616" s="3">
        <v>1170.5</v>
      </c>
      <c r="AA1616" t="s">
        <v>48</v>
      </c>
      <c r="AB1616" t="s">
        <v>33</v>
      </c>
      <c r="AC1616">
        <v>15.2</v>
      </c>
      <c r="AD1616" t="s">
        <v>43</v>
      </c>
      <c r="AE1616">
        <v>522.94000000000005</v>
      </c>
      <c r="AF1616">
        <v>0</v>
      </c>
    </row>
    <row r="1617" spans="3:32" x14ac:dyDescent="0.35">
      <c r="C1617" s="1">
        <v>44426</v>
      </c>
      <c r="D1617" s="2">
        <v>44409</v>
      </c>
      <c r="E1617">
        <v>1665</v>
      </c>
      <c r="F1617" s="3">
        <v>3268.37</v>
      </c>
      <c r="G1617" s="3">
        <v>3395.71</v>
      </c>
      <c r="H1617" s="3">
        <v>-127.34</v>
      </c>
      <c r="I1617" s="3">
        <v>1.04</v>
      </c>
      <c r="J1617">
        <v>0.2</v>
      </c>
      <c r="K1617">
        <v>3411.93</v>
      </c>
      <c r="L1617" t="s">
        <v>30</v>
      </c>
      <c r="M1617">
        <v>635</v>
      </c>
      <c r="N1617">
        <v>0.42</v>
      </c>
      <c r="O1617" s="3">
        <v>441.62</v>
      </c>
      <c r="P1617" s="3">
        <v>0.14000000000000001</v>
      </c>
      <c r="Q1617" s="3">
        <v>161.38</v>
      </c>
      <c r="R1617" s="3">
        <v>0.05</v>
      </c>
      <c r="S1617">
        <v>8</v>
      </c>
      <c r="T1617">
        <v>1177.17</v>
      </c>
      <c r="U1617">
        <v>95</v>
      </c>
      <c r="V1617">
        <v>0</v>
      </c>
      <c r="W1617">
        <v>402.1</v>
      </c>
      <c r="X1617">
        <v>3018.39</v>
      </c>
      <c r="Y1617" t="s">
        <v>36</v>
      </c>
      <c r="Z1617" s="3">
        <v>640.62</v>
      </c>
      <c r="AA1617" t="s">
        <v>41</v>
      </c>
      <c r="AB1617" t="s">
        <v>44</v>
      </c>
      <c r="AC1617">
        <v>56.7</v>
      </c>
      <c r="AD1617" t="s">
        <v>38</v>
      </c>
      <c r="AE1617">
        <v>0</v>
      </c>
      <c r="AF1617">
        <v>0</v>
      </c>
    </row>
    <row r="1618" spans="3:32" x14ac:dyDescent="0.35">
      <c r="C1618" s="1">
        <v>44426</v>
      </c>
      <c r="D1618" s="2">
        <v>44409</v>
      </c>
      <c r="E1618">
        <v>1717</v>
      </c>
      <c r="F1618" s="3">
        <v>3636.72</v>
      </c>
      <c r="G1618" s="3">
        <v>2250.29</v>
      </c>
      <c r="H1618" s="3">
        <v>1386.43</v>
      </c>
      <c r="I1618" s="3">
        <v>0.62</v>
      </c>
      <c r="J1618">
        <v>0.4</v>
      </c>
      <c r="K1618">
        <v>2993.12</v>
      </c>
      <c r="L1618" t="s">
        <v>35</v>
      </c>
      <c r="M1618">
        <v>659</v>
      </c>
      <c r="N1618">
        <v>0.11</v>
      </c>
      <c r="O1618" s="3">
        <v>682.15</v>
      </c>
      <c r="P1618" s="3">
        <v>0.19</v>
      </c>
      <c r="Q1618" s="3">
        <v>151.9</v>
      </c>
      <c r="R1618" s="3">
        <v>0.04</v>
      </c>
      <c r="S1618">
        <v>6</v>
      </c>
      <c r="T1618">
        <v>1669.71</v>
      </c>
      <c r="U1618">
        <v>99</v>
      </c>
      <c r="V1618">
        <v>0</v>
      </c>
      <c r="W1618">
        <v>320.14</v>
      </c>
      <c r="X1618">
        <v>1574.44</v>
      </c>
      <c r="Y1618" t="s">
        <v>36</v>
      </c>
      <c r="Z1618" s="3">
        <v>1155.45</v>
      </c>
      <c r="AA1618" t="s">
        <v>41</v>
      </c>
      <c r="AB1618" t="s">
        <v>42</v>
      </c>
      <c r="AC1618">
        <v>82.1</v>
      </c>
      <c r="AD1618" t="s">
        <v>34</v>
      </c>
      <c r="AE1618">
        <v>1386.43</v>
      </c>
      <c r="AF1618">
        <v>0</v>
      </c>
    </row>
    <row r="1619" spans="3:32" x14ac:dyDescent="0.35">
      <c r="C1619" s="1">
        <v>44426</v>
      </c>
      <c r="D1619" s="2">
        <v>44409</v>
      </c>
      <c r="E1619">
        <v>1033</v>
      </c>
      <c r="F1619" s="3">
        <v>4326.45</v>
      </c>
      <c r="G1619" s="3">
        <v>4967.2299999999996</v>
      </c>
      <c r="H1619" s="3">
        <v>-640.78</v>
      </c>
      <c r="I1619" s="3">
        <v>1.1499999999999999</v>
      </c>
      <c r="J1619">
        <v>0.3</v>
      </c>
      <c r="K1619">
        <v>3077.25</v>
      </c>
      <c r="L1619" t="s">
        <v>35</v>
      </c>
      <c r="M1619">
        <v>729</v>
      </c>
      <c r="N1619">
        <v>0.13</v>
      </c>
      <c r="O1619" s="3">
        <v>353.56</v>
      </c>
      <c r="P1619" s="3">
        <v>0.08</v>
      </c>
      <c r="Q1619" s="3">
        <v>404.45</v>
      </c>
      <c r="R1619" s="3">
        <v>0.09</v>
      </c>
      <c r="S1619">
        <v>7</v>
      </c>
      <c r="T1619">
        <v>1092.23</v>
      </c>
      <c r="U1619">
        <v>53</v>
      </c>
      <c r="V1619">
        <v>0</v>
      </c>
      <c r="W1619">
        <v>818.72</v>
      </c>
      <c r="X1619">
        <v>2351.9699999999998</v>
      </c>
      <c r="Y1619" t="s">
        <v>36</v>
      </c>
      <c r="Z1619" s="3">
        <v>1182.53</v>
      </c>
      <c r="AA1619" t="s">
        <v>51</v>
      </c>
      <c r="AB1619" t="s">
        <v>42</v>
      </c>
      <c r="AC1619">
        <v>42.8</v>
      </c>
      <c r="AD1619" t="s">
        <v>34</v>
      </c>
      <c r="AE1619">
        <v>0</v>
      </c>
      <c r="AF1619">
        <v>0</v>
      </c>
    </row>
    <row r="1620" spans="3:32" x14ac:dyDescent="0.35">
      <c r="C1620" s="1">
        <v>44426</v>
      </c>
      <c r="D1620" s="2">
        <v>44409</v>
      </c>
      <c r="E1620">
        <v>1354</v>
      </c>
      <c r="F1620" s="3">
        <v>4056.35</v>
      </c>
      <c r="G1620" s="3">
        <v>2356.37</v>
      </c>
      <c r="H1620" s="3">
        <v>1699.98</v>
      </c>
      <c r="I1620" s="3">
        <v>0.57999999999999996</v>
      </c>
      <c r="J1620">
        <v>0.08</v>
      </c>
      <c r="K1620">
        <v>2768.56</v>
      </c>
      <c r="L1620" t="s">
        <v>35</v>
      </c>
      <c r="M1620">
        <v>691</v>
      </c>
      <c r="N1620">
        <v>0.36</v>
      </c>
      <c r="O1620" s="3">
        <v>435.63</v>
      </c>
      <c r="P1620" s="3">
        <v>0.11</v>
      </c>
      <c r="Q1620" s="3">
        <v>466.12</v>
      </c>
      <c r="R1620" s="3">
        <v>0.11</v>
      </c>
      <c r="S1620">
        <v>5</v>
      </c>
      <c r="T1620">
        <v>198.92</v>
      </c>
      <c r="U1620">
        <v>70</v>
      </c>
      <c r="V1620">
        <v>0</v>
      </c>
      <c r="W1620">
        <v>571.46</v>
      </c>
      <c r="X1620">
        <v>3160.19</v>
      </c>
      <c r="Y1620" t="s">
        <v>49</v>
      </c>
      <c r="Z1620" s="3">
        <v>911.9</v>
      </c>
      <c r="AA1620" t="s">
        <v>48</v>
      </c>
      <c r="AB1620" t="s">
        <v>33</v>
      </c>
      <c r="AC1620">
        <v>30.2</v>
      </c>
      <c r="AD1620" t="s">
        <v>43</v>
      </c>
      <c r="AE1620">
        <v>1699.98</v>
      </c>
      <c r="AF1620">
        <v>0</v>
      </c>
    </row>
    <row r="1621" spans="3:32" x14ac:dyDescent="0.35">
      <c r="C1621" s="1">
        <v>44426</v>
      </c>
      <c r="D1621" s="2">
        <v>44409</v>
      </c>
      <c r="E1621">
        <v>1584</v>
      </c>
      <c r="F1621" s="3">
        <v>4445.12</v>
      </c>
      <c r="G1621" s="3">
        <v>2184.64</v>
      </c>
      <c r="H1621" s="3">
        <v>2260.48</v>
      </c>
      <c r="I1621" s="3">
        <v>0.49</v>
      </c>
      <c r="J1621">
        <v>0.18</v>
      </c>
      <c r="K1621">
        <v>3280.53</v>
      </c>
      <c r="L1621" t="s">
        <v>35</v>
      </c>
      <c r="M1621">
        <v>710</v>
      </c>
      <c r="N1621">
        <v>0.56000000000000005</v>
      </c>
      <c r="O1621" s="3">
        <v>533.79999999999995</v>
      </c>
      <c r="P1621" s="3">
        <v>0.12</v>
      </c>
      <c r="Q1621" s="3">
        <v>461.62</v>
      </c>
      <c r="R1621" s="3">
        <v>0.1</v>
      </c>
      <c r="S1621">
        <v>5</v>
      </c>
      <c r="T1621">
        <v>1225.95</v>
      </c>
      <c r="U1621">
        <v>90</v>
      </c>
      <c r="V1621">
        <v>0</v>
      </c>
      <c r="W1621">
        <v>549.66</v>
      </c>
      <c r="X1621">
        <v>1733.09</v>
      </c>
      <c r="Y1621" t="s">
        <v>36</v>
      </c>
      <c r="Z1621" s="3">
        <v>2070.8000000000002</v>
      </c>
      <c r="AA1621" t="s">
        <v>37</v>
      </c>
      <c r="AB1621" t="s">
        <v>33</v>
      </c>
      <c r="AC1621">
        <v>62.2</v>
      </c>
      <c r="AD1621" t="s">
        <v>38</v>
      </c>
      <c r="AE1621">
        <v>2260.48</v>
      </c>
      <c r="AF1621">
        <v>0</v>
      </c>
    </row>
    <row r="1622" spans="3:32" x14ac:dyDescent="0.35">
      <c r="C1622" s="1">
        <v>44426</v>
      </c>
      <c r="D1622" s="2">
        <v>44409</v>
      </c>
      <c r="E1622">
        <v>1771</v>
      </c>
      <c r="F1622" s="3">
        <v>4628.7</v>
      </c>
      <c r="G1622" s="3">
        <v>2991.48</v>
      </c>
      <c r="H1622" s="3">
        <v>1637.22</v>
      </c>
      <c r="I1622" s="3">
        <v>0.65</v>
      </c>
      <c r="J1622">
        <v>0.19</v>
      </c>
      <c r="K1622">
        <v>2118.11</v>
      </c>
      <c r="L1622" t="s">
        <v>35</v>
      </c>
      <c r="M1622">
        <v>649</v>
      </c>
      <c r="N1622">
        <v>0.46</v>
      </c>
      <c r="O1622" s="3">
        <v>358.44</v>
      </c>
      <c r="P1622" s="3">
        <v>0.08</v>
      </c>
      <c r="Q1622" s="3">
        <v>609.46</v>
      </c>
      <c r="R1622" s="3">
        <v>0.13</v>
      </c>
      <c r="S1622">
        <v>5</v>
      </c>
      <c r="T1622">
        <v>389.95</v>
      </c>
      <c r="U1622">
        <v>60</v>
      </c>
      <c r="V1622">
        <v>0</v>
      </c>
      <c r="W1622">
        <v>597.44000000000005</v>
      </c>
      <c r="X1622">
        <v>2824.86</v>
      </c>
      <c r="Y1622" t="s">
        <v>36</v>
      </c>
      <c r="Z1622" s="3">
        <v>1425.48</v>
      </c>
      <c r="AA1622" t="s">
        <v>45</v>
      </c>
      <c r="AB1622" t="s">
        <v>42</v>
      </c>
      <c r="AC1622">
        <v>56</v>
      </c>
      <c r="AD1622" t="s">
        <v>38</v>
      </c>
      <c r="AE1622">
        <v>1637.22</v>
      </c>
      <c r="AF1622">
        <v>0</v>
      </c>
    </row>
    <row r="1623" spans="3:32" x14ac:dyDescent="0.35">
      <c r="C1623" s="1">
        <v>44426</v>
      </c>
      <c r="D1623" s="2">
        <v>44409</v>
      </c>
      <c r="E1623">
        <v>1949</v>
      </c>
      <c r="F1623" s="3">
        <v>1262.81</v>
      </c>
      <c r="G1623" s="3">
        <v>3983.64</v>
      </c>
      <c r="H1623" s="3">
        <v>-2720.83</v>
      </c>
      <c r="I1623" s="3">
        <v>3.15</v>
      </c>
      <c r="J1623">
        <v>0.14000000000000001</v>
      </c>
      <c r="K1623">
        <v>3086.22</v>
      </c>
      <c r="L1623" t="s">
        <v>35</v>
      </c>
      <c r="M1623">
        <v>702</v>
      </c>
      <c r="N1623">
        <v>0.27</v>
      </c>
      <c r="O1623" s="3">
        <v>472.03</v>
      </c>
      <c r="P1623" s="3">
        <v>0.37</v>
      </c>
      <c r="Q1623" s="3">
        <v>125.25</v>
      </c>
      <c r="R1623" s="3">
        <v>0.1</v>
      </c>
      <c r="S1623">
        <v>2</v>
      </c>
      <c r="T1623">
        <v>810.84</v>
      </c>
      <c r="U1623">
        <v>46</v>
      </c>
      <c r="V1623">
        <v>0</v>
      </c>
      <c r="W1623">
        <v>482.3</v>
      </c>
      <c r="X1623">
        <v>3108.82</v>
      </c>
      <c r="Y1623" t="s">
        <v>36</v>
      </c>
      <c r="Z1623" s="3">
        <v>1019.27</v>
      </c>
      <c r="AA1623" t="s">
        <v>32</v>
      </c>
      <c r="AB1623" t="s">
        <v>33</v>
      </c>
      <c r="AC1623">
        <v>77.3</v>
      </c>
      <c r="AD1623" t="s">
        <v>43</v>
      </c>
      <c r="AE1623">
        <v>0</v>
      </c>
      <c r="AF1623">
        <v>0</v>
      </c>
    </row>
    <row r="1624" spans="3:32" x14ac:dyDescent="0.35">
      <c r="C1624" s="1">
        <v>44426</v>
      </c>
      <c r="D1624" s="2">
        <v>44409</v>
      </c>
      <c r="E1624">
        <v>1340</v>
      </c>
      <c r="F1624" s="3">
        <v>3152.62</v>
      </c>
      <c r="G1624" s="3">
        <v>2691.53</v>
      </c>
      <c r="H1624" s="3">
        <v>461.09</v>
      </c>
      <c r="I1624" s="3">
        <v>0.85</v>
      </c>
      <c r="J1624">
        <v>0.18</v>
      </c>
      <c r="K1624">
        <v>2305.21</v>
      </c>
      <c r="L1624" t="s">
        <v>39</v>
      </c>
      <c r="M1624">
        <v>658</v>
      </c>
      <c r="N1624">
        <v>0.13</v>
      </c>
      <c r="O1624" s="3">
        <v>538.89</v>
      </c>
      <c r="P1624" s="3">
        <v>0.17</v>
      </c>
      <c r="Q1624" s="3">
        <v>150.15</v>
      </c>
      <c r="R1624" s="3">
        <v>0.05</v>
      </c>
      <c r="S1624">
        <v>6</v>
      </c>
      <c r="T1624">
        <v>1311.7</v>
      </c>
      <c r="U1624">
        <v>26</v>
      </c>
      <c r="V1624">
        <v>0</v>
      </c>
      <c r="W1624">
        <v>829.27</v>
      </c>
      <c r="X1624">
        <v>3246.94</v>
      </c>
      <c r="Y1624" t="s">
        <v>31</v>
      </c>
      <c r="Z1624" s="3">
        <v>904.15</v>
      </c>
      <c r="AA1624" t="s">
        <v>51</v>
      </c>
      <c r="AB1624" t="s">
        <v>44</v>
      </c>
      <c r="AC1624">
        <v>78.2</v>
      </c>
      <c r="AD1624" t="s">
        <v>38</v>
      </c>
      <c r="AE1624">
        <v>461.09</v>
      </c>
      <c r="AF1624">
        <v>0</v>
      </c>
    </row>
    <row r="1625" spans="3:32" x14ac:dyDescent="0.35">
      <c r="C1625" s="1">
        <v>44426</v>
      </c>
      <c r="D1625" s="2">
        <v>44409</v>
      </c>
      <c r="E1625">
        <v>1622</v>
      </c>
      <c r="F1625" s="3">
        <v>3886</v>
      </c>
      <c r="G1625" s="3">
        <v>2834.19</v>
      </c>
      <c r="H1625" s="3">
        <v>1051.81</v>
      </c>
      <c r="I1625" s="3">
        <v>0.73</v>
      </c>
      <c r="J1625">
        <v>0.25</v>
      </c>
      <c r="K1625">
        <v>2727.78</v>
      </c>
      <c r="L1625" t="s">
        <v>30</v>
      </c>
      <c r="M1625">
        <v>607</v>
      </c>
      <c r="N1625">
        <v>0.25</v>
      </c>
      <c r="O1625" s="3">
        <v>416.14</v>
      </c>
      <c r="P1625" s="3">
        <v>0.11</v>
      </c>
      <c r="Q1625" s="3">
        <v>336.68</v>
      </c>
      <c r="R1625" s="3">
        <v>0.09</v>
      </c>
      <c r="S1625">
        <v>5</v>
      </c>
      <c r="T1625">
        <v>709.1</v>
      </c>
      <c r="U1625">
        <v>32</v>
      </c>
      <c r="V1625">
        <v>0</v>
      </c>
      <c r="W1625">
        <v>255.7</v>
      </c>
      <c r="X1625">
        <v>1541.03</v>
      </c>
      <c r="Y1625" t="s">
        <v>36</v>
      </c>
      <c r="Z1625" s="3">
        <v>1032.53</v>
      </c>
      <c r="AA1625" t="s">
        <v>46</v>
      </c>
      <c r="AB1625" t="s">
        <v>33</v>
      </c>
      <c r="AC1625">
        <v>81.7</v>
      </c>
      <c r="AD1625" t="s">
        <v>38</v>
      </c>
      <c r="AE1625">
        <v>1051.81</v>
      </c>
      <c r="AF1625">
        <v>0</v>
      </c>
    </row>
    <row r="1626" spans="3:32" x14ac:dyDescent="0.35">
      <c r="C1626" s="1">
        <v>44426</v>
      </c>
      <c r="D1626" s="2">
        <v>44409</v>
      </c>
      <c r="E1626">
        <v>1032</v>
      </c>
      <c r="F1626" s="3">
        <v>2835.01</v>
      </c>
      <c r="G1626" s="3">
        <v>3185.63</v>
      </c>
      <c r="H1626" s="3">
        <v>-350.62</v>
      </c>
      <c r="I1626" s="3">
        <v>1.1200000000000001</v>
      </c>
      <c r="J1626">
        <v>0.16</v>
      </c>
      <c r="K1626">
        <v>4201.34</v>
      </c>
      <c r="L1626" t="s">
        <v>35</v>
      </c>
      <c r="M1626">
        <v>638</v>
      </c>
      <c r="N1626">
        <v>0.49</v>
      </c>
      <c r="O1626" s="3">
        <v>344.08</v>
      </c>
      <c r="P1626" s="3">
        <v>0.12</v>
      </c>
      <c r="Q1626" s="3">
        <v>241.01</v>
      </c>
      <c r="R1626" s="3">
        <v>0.09</v>
      </c>
      <c r="S1626">
        <v>3</v>
      </c>
      <c r="T1626">
        <v>1216.4000000000001</v>
      </c>
      <c r="U1626">
        <v>71</v>
      </c>
      <c r="V1626">
        <v>0</v>
      </c>
      <c r="W1626">
        <v>366.24</v>
      </c>
      <c r="X1626">
        <v>2420.12</v>
      </c>
      <c r="Y1626" t="s">
        <v>36</v>
      </c>
      <c r="Z1626" s="3">
        <v>1537.45</v>
      </c>
      <c r="AA1626" t="s">
        <v>47</v>
      </c>
      <c r="AB1626" t="s">
        <v>33</v>
      </c>
      <c r="AC1626">
        <v>17.399999999999999</v>
      </c>
      <c r="AD1626" t="s">
        <v>43</v>
      </c>
      <c r="AE1626">
        <v>0</v>
      </c>
      <c r="AF1626">
        <v>0</v>
      </c>
    </row>
    <row r="1627" spans="3:32" x14ac:dyDescent="0.35">
      <c r="C1627" s="1">
        <v>44426</v>
      </c>
      <c r="D1627" s="2">
        <v>44409</v>
      </c>
      <c r="E1627">
        <v>1574</v>
      </c>
      <c r="F1627" s="3">
        <v>4579.54</v>
      </c>
      <c r="G1627" s="3">
        <v>3547</v>
      </c>
      <c r="H1627" s="3">
        <v>1032.54</v>
      </c>
      <c r="I1627" s="3">
        <v>0.77</v>
      </c>
      <c r="J1627">
        <v>0.3</v>
      </c>
      <c r="K1627">
        <v>3373.76</v>
      </c>
      <c r="L1627" t="s">
        <v>39</v>
      </c>
      <c r="M1627">
        <v>691</v>
      </c>
      <c r="N1627">
        <v>0.3</v>
      </c>
      <c r="O1627" s="3">
        <v>831.01</v>
      </c>
      <c r="P1627" s="3">
        <v>0.18</v>
      </c>
      <c r="Q1627" s="3">
        <v>244.38</v>
      </c>
      <c r="R1627" s="3">
        <v>0.05</v>
      </c>
      <c r="S1627">
        <v>3</v>
      </c>
      <c r="T1627">
        <v>1549.16</v>
      </c>
      <c r="U1627">
        <v>46</v>
      </c>
      <c r="V1627">
        <v>0</v>
      </c>
      <c r="W1627">
        <v>435.2</v>
      </c>
      <c r="X1627">
        <v>2027.21</v>
      </c>
      <c r="Y1627" t="s">
        <v>36</v>
      </c>
      <c r="Z1627" s="3">
        <v>1346.36</v>
      </c>
      <c r="AA1627" t="s">
        <v>48</v>
      </c>
      <c r="AB1627" t="s">
        <v>33</v>
      </c>
      <c r="AC1627">
        <v>86.9</v>
      </c>
      <c r="AD1627" t="s">
        <v>34</v>
      </c>
      <c r="AE1627">
        <v>1032.54</v>
      </c>
      <c r="AF1627">
        <v>0</v>
      </c>
    </row>
    <row r="1628" spans="3:32" x14ac:dyDescent="0.35">
      <c r="C1628" s="1">
        <v>44426</v>
      </c>
      <c r="D1628" s="2">
        <v>44409</v>
      </c>
      <c r="E1628">
        <v>1821</v>
      </c>
      <c r="F1628" s="3">
        <v>2284.1999999999998</v>
      </c>
      <c r="G1628" s="3">
        <v>2988.99</v>
      </c>
      <c r="H1628" s="3">
        <v>-704.79</v>
      </c>
      <c r="I1628" s="3">
        <v>1.31</v>
      </c>
      <c r="J1628">
        <v>0.14000000000000001</v>
      </c>
      <c r="K1628">
        <v>3183.29</v>
      </c>
      <c r="L1628" t="s">
        <v>35</v>
      </c>
      <c r="M1628">
        <v>668</v>
      </c>
      <c r="N1628">
        <v>0.53</v>
      </c>
      <c r="O1628" s="3">
        <v>637.64</v>
      </c>
      <c r="P1628" s="3">
        <v>0.28000000000000003</v>
      </c>
      <c r="Q1628" s="3">
        <v>556.42999999999995</v>
      </c>
      <c r="R1628" s="3">
        <v>0.24</v>
      </c>
      <c r="S1628">
        <v>2</v>
      </c>
      <c r="T1628">
        <v>973.15</v>
      </c>
      <c r="U1628">
        <v>97</v>
      </c>
      <c r="V1628">
        <v>0</v>
      </c>
      <c r="W1628">
        <v>700</v>
      </c>
      <c r="X1628">
        <v>1727.01</v>
      </c>
      <c r="Y1628" t="s">
        <v>36</v>
      </c>
      <c r="Z1628" s="3">
        <v>1288.5</v>
      </c>
      <c r="AA1628" t="s">
        <v>50</v>
      </c>
      <c r="AB1628" t="s">
        <v>42</v>
      </c>
      <c r="AC1628">
        <v>26.4</v>
      </c>
      <c r="AD1628" t="s">
        <v>38</v>
      </c>
      <c r="AE1628">
        <v>0</v>
      </c>
      <c r="AF1628">
        <v>0</v>
      </c>
    </row>
    <row r="1629" spans="3:32" x14ac:dyDescent="0.35">
      <c r="C1629" s="1">
        <v>44426</v>
      </c>
      <c r="D1629" s="2">
        <v>44409</v>
      </c>
      <c r="E1629">
        <v>1331</v>
      </c>
      <c r="F1629" s="3">
        <v>3714.16</v>
      </c>
      <c r="G1629" s="3">
        <v>3752.83</v>
      </c>
      <c r="H1629" s="3">
        <v>-38.67</v>
      </c>
      <c r="I1629" s="3">
        <v>1.01</v>
      </c>
      <c r="J1629">
        <v>0.18</v>
      </c>
      <c r="K1629">
        <v>2903.44</v>
      </c>
      <c r="L1629" t="s">
        <v>35</v>
      </c>
      <c r="M1629">
        <v>634</v>
      </c>
      <c r="N1629">
        <v>0.54</v>
      </c>
      <c r="O1629" s="3">
        <v>28.62</v>
      </c>
      <c r="P1629" s="3">
        <v>0.01</v>
      </c>
      <c r="Q1629" s="3">
        <v>192.2</v>
      </c>
      <c r="R1629" s="3">
        <v>0.05</v>
      </c>
      <c r="S1629">
        <v>9</v>
      </c>
      <c r="T1629">
        <v>1023.73</v>
      </c>
      <c r="U1629">
        <v>44</v>
      </c>
      <c r="V1629">
        <v>0</v>
      </c>
      <c r="W1629">
        <v>739.31</v>
      </c>
      <c r="X1629">
        <v>2041.09</v>
      </c>
      <c r="Y1629" t="s">
        <v>36</v>
      </c>
      <c r="Z1629" s="3">
        <v>1669.49</v>
      </c>
      <c r="AA1629" t="s">
        <v>51</v>
      </c>
      <c r="AB1629" t="s">
        <v>33</v>
      </c>
      <c r="AC1629">
        <v>75.5</v>
      </c>
      <c r="AD1629" t="s">
        <v>34</v>
      </c>
      <c r="AE1629">
        <v>0</v>
      </c>
      <c r="AF1629">
        <v>0</v>
      </c>
    </row>
    <row r="1630" spans="3:32" x14ac:dyDescent="0.35">
      <c r="C1630" s="1">
        <v>44426</v>
      </c>
      <c r="D1630" s="2">
        <v>44409</v>
      </c>
      <c r="E1630">
        <v>1408</v>
      </c>
      <c r="F1630" s="3">
        <v>3874.63</v>
      </c>
      <c r="G1630" s="3">
        <v>3996.49</v>
      </c>
      <c r="H1630" s="3">
        <v>-121.86</v>
      </c>
      <c r="I1630" s="3">
        <v>1.03</v>
      </c>
      <c r="J1630">
        <v>0.27</v>
      </c>
      <c r="K1630">
        <v>3644.35</v>
      </c>
      <c r="L1630" t="s">
        <v>30</v>
      </c>
      <c r="M1630">
        <v>718</v>
      </c>
      <c r="N1630">
        <v>0.47</v>
      </c>
      <c r="O1630" s="3">
        <v>921.48</v>
      </c>
      <c r="P1630" s="3">
        <v>0.24</v>
      </c>
      <c r="Q1630" s="3">
        <v>331.95</v>
      </c>
      <c r="R1630" s="3">
        <v>0.09</v>
      </c>
      <c r="S1630">
        <v>6</v>
      </c>
      <c r="T1630">
        <v>1723.08</v>
      </c>
      <c r="U1630">
        <v>59</v>
      </c>
      <c r="V1630">
        <v>0</v>
      </c>
      <c r="W1630">
        <v>296.01</v>
      </c>
      <c r="X1630">
        <v>2314.92</v>
      </c>
      <c r="Y1630" t="s">
        <v>36</v>
      </c>
      <c r="Z1630" s="3">
        <v>1702.48</v>
      </c>
      <c r="AA1630" t="s">
        <v>37</v>
      </c>
      <c r="AB1630" t="s">
        <v>42</v>
      </c>
      <c r="AC1630">
        <v>76.099999999999994</v>
      </c>
      <c r="AD1630" t="s">
        <v>34</v>
      </c>
      <c r="AE1630">
        <v>0</v>
      </c>
      <c r="AF1630">
        <v>0</v>
      </c>
    </row>
    <row r="1631" spans="3:32" x14ac:dyDescent="0.35">
      <c r="C1631" s="1">
        <v>44426</v>
      </c>
      <c r="D1631" s="2">
        <v>44409</v>
      </c>
      <c r="E1631">
        <v>1085</v>
      </c>
      <c r="F1631" s="3">
        <v>1269.43</v>
      </c>
      <c r="G1631" s="3">
        <v>1948.39</v>
      </c>
      <c r="H1631" s="3">
        <v>-678.96</v>
      </c>
      <c r="I1631" s="3">
        <v>1.53</v>
      </c>
      <c r="J1631">
        <v>0.1</v>
      </c>
      <c r="K1631">
        <v>2676.06</v>
      </c>
      <c r="L1631" t="s">
        <v>39</v>
      </c>
      <c r="M1631">
        <v>720</v>
      </c>
      <c r="N1631">
        <v>0.39</v>
      </c>
      <c r="O1631" s="3">
        <v>500.71</v>
      </c>
      <c r="P1631" s="3">
        <v>0.39</v>
      </c>
      <c r="Q1631" s="3">
        <v>14.84</v>
      </c>
      <c r="R1631" s="3">
        <v>0.01</v>
      </c>
      <c r="S1631">
        <v>4</v>
      </c>
      <c r="T1631">
        <v>592.80999999999995</v>
      </c>
      <c r="U1631">
        <v>79</v>
      </c>
      <c r="V1631">
        <v>0</v>
      </c>
      <c r="W1631">
        <v>531.17999999999995</v>
      </c>
      <c r="X1631">
        <v>2666.9</v>
      </c>
      <c r="Y1631" t="s">
        <v>36</v>
      </c>
      <c r="Z1631" s="3">
        <v>1210.1500000000001</v>
      </c>
      <c r="AA1631" t="s">
        <v>37</v>
      </c>
      <c r="AB1631" t="s">
        <v>44</v>
      </c>
      <c r="AC1631">
        <v>99.9</v>
      </c>
      <c r="AD1631" t="s">
        <v>34</v>
      </c>
      <c r="AE1631">
        <v>0</v>
      </c>
      <c r="AF1631">
        <v>0</v>
      </c>
    </row>
    <row r="1632" spans="3:32" x14ac:dyDescent="0.35">
      <c r="C1632" s="1">
        <v>44426</v>
      </c>
      <c r="D1632" s="2">
        <v>44409</v>
      </c>
      <c r="E1632">
        <v>1475</v>
      </c>
      <c r="F1632" s="3">
        <v>3928.51</v>
      </c>
      <c r="G1632" s="3">
        <v>3113.71</v>
      </c>
      <c r="H1632" s="3">
        <v>814.8</v>
      </c>
      <c r="I1632" s="3">
        <v>0.79</v>
      </c>
      <c r="J1632">
        <v>0.13</v>
      </c>
      <c r="K1632">
        <v>3028.4</v>
      </c>
      <c r="L1632" t="s">
        <v>35</v>
      </c>
      <c r="M1632">
        <v>632</v>
      </c>
      <c r="N1632">
        <v>0.57999999999999996</v>
      </c>
      <c r="O1632" s="3">
        <v>642.55999999999995</v>
      </c>
      <c r="P1632" s="3">
        <v>0.16</v>
      </c>
      <c r="Q1632" s="3">
        <v>323.29000000000002</v>
      </c>
      <c r="R1632" s="3">
        <v>0.08</v>
      </c>
      <c r="S1632">
        <v>4</v>
      </c>
      <c r="T1632">
        <v>1044.6600000000001</v>
      </c>
      <c r="U1632">
        <v>28</v>
      </c>
      <c r="V1632">
        <v>0</v>
      </c>
      <c r="W1632">
        <v>478.36</v>
      </c>
      <c r="X1632">
        <v>1006.97</v>
      </c>
      <c r="Y1632" t="s">
        <v>36</v>
      </c>
      <c r="Z1632" s="3">
        <v>513.80999999999995</v>
      </c>
      <c r="AA1632" t="s">
        <v>51</v>
      </c>
      <c r="AB1632" t="s">
        <v>33</v>
      </c>
      <c r="AC1632">
        <v>66.400000000000006</v>
      </c>
      <c r="AD1632" t="s">
        <v>34</v>
      </c>
      <c r="AE1632">
        <v>814.8</v>
      </c>
      <c r="AF1632">
        <v>0</v>
      </c>
    </row>
    <row r="1633" spans="3:32" x14ac:dyDescent="0.35">
      <c r="C1633" s="1">
        <v>44426</v>
      </c>
      <c r="D1633" s="2">
        <v>44409</v>
      </c>
      <c r="E1633">
        <v>1720</v>
      </c>
      <c r="F1633" s="3">
        <v>3781.06</v>
      </c>
      <c r="G1633" s="3">
        <v>1485.48</v>
      </c>
      <c r="H1633" s="3">
        <v>2295.58</v>
      </c>
      <c r="I1633" s="3">
        <v>0.39</v>
      </c>
      <c r="J1633">
        <v>0.26</v>
      </c>
      <c r="K1633">
        <v>2926.85</v>
      </c>
      <c r="L1633" t="s">
        <v>35</v>
      </c>
      <c r="M1633">
        <v>708</v>
      </c>
      <c r="N1633">
        <v>0.55000000000000004</v>
      </c>
      <c r="O1633" s="3">
        <v>434.83</v>
      </c>
      <c r="P1633" s="3">
        <v>0.12</v>
      </c>
      <c r="Q1633" s="3">
        <v>31.68</v>
      </c>
      <c r="R1633" s="3">
        <v>0.01</v>
      </c>
      <c r="S1633">
        <v>4</v>
      </c>
      <c r="T1633">
        <v>821.38</v>
      </c>
      <c r="U1633">
        <v>38</v>
      </c>
      <c r="V1633">
        <v>0</v>
      </c>
      <c r="W1633">
        <v>874.03</v>
      </c>
      <c r="X1633">
        <v>1000</v>
      </c>
      <c r="Y1633" t="s">
        <v>36</v>
      </c>
      <c r="Z1633" s="3">
        <v>1687.68</v>
      </c>
      <c r="AA1633" t="s">
        <v>32</v>
      </c>
      <c r="AB1633" t="s">
        <v>33</v>
      </c>
      <c r="AC1633">
        <v>66.7</v>
      </c>
      <c r="AD1633" t="s">
        <v>34</v>
      </c>
      <c r="AE1633">
        <v>2295.58</v>
      </c>
      <c r="AF1633">
        <v>0</v>
      </c>
    </row>
    <row r="1634" spans="3:32" x14ac:dyDescent="0.35">
      <c r="C1634" s="1">
        <v>44426</v>
      </c>
      <c r="D1634" s="2">
        <v>44409</v>
      </c>
      <c r="E1634">
        <v>1651</v>
      </c>
      <c r="F1634" s="3">
        <v>6415.64</v>
      </c>
      <c r="G1634" s="3">
        <v>2198.36</v>
      </c>
      <c r="H1634" s="3">
        <v>4217.28</v>
      </c>
      <c r="I1634" s="3">
        <v>0.34</v>
      </c>
      <c r="J1634">
        <v>0.08</v>
      </c>
      <c r="K1634">
        <v>2991.91</v>
      </c>
      <c r="L1634" t="s">
        <v>35</v>
      </c>
      <c r="M1634">
        <v>685</v>
      </c>
      <c r="N1634">
        <v>0.49</v>
      </c>
      <c r="O1634" s="3">
        <v>275.76</v>
      </c>
      <c r="P1634" s="3">
        <v>0.04</v>
      </c>
      <c r="Q1634" s="3">
        <v>288.89999999999998</v>
      </c>
      <c r="R1634" s="3">
        <v>0.05</v>
      </c>
      <c r="S1634">
        <v>9</v>
      </c>
      <c r="T1634">
        <v>1055.23</v>
      </c>
      <c r="U1634">
        <v>63</v>
      </c>
      <c r="V1634">
        <v>0</v>
      </c>
      <c r="W1634">
        <v>625.52</v>
      </c>
      <c r="X1634">
        <v>2639.27</v>
      </c>
      <c r="Y1634" t="s">
        <v>36</v>
      </c>
      <c r="Z1634" s="3">
        <v>465.35</v>
      </c>
      <c r="AA1634" t="s">
        <v>37</v>
      </c>
      <c r="AB1634" t="s">
        <v>33</v>
      </c>
      <c r="AC1634">
        <v>50.4</v>
      </c>
      <c r="AD1634" t="s">
        <v>34</v>
      </c>
      <c r="AE1634">
        <v>4217.28</v>
      </c>
      <c r="AF1634">
        <v>1</v>
      </c>
    </row>
    <row r="1635" spans="3:32" x14ac:dyDescent="0.35">
      <c r="C1635" s="1">
        <v>44426</v>
      </c>
      <c r="D1635" s="2">
        <v>44409</v>
      </c>
      <c r="E1635">
        <v>1516</v>
      </c>
      <c r="F1635" s="3">
        <v>4518.6400000000003</v>
      </c>
      <c r="G1635" s="3">
        <v>3513</v>
      </c>
      <c r="H1635" s="3">
        <v>1005.64</v>
      </c>
      <c r="I1635" s="3">
        <v>0.78</v>
      </c>
      <c r="J1635">
        <v>0.1</v>
      </c>
      <c r="K1635">
        <v>3411.24</v>
      </c>
      <c r="L1635" t="s">
        <v>30</v>
      </c>
      <c r="M1635">
        <v>748</v>
      </c>
      <c r="N1635">
        <v>0.41</v>
      </c>
      <c r="O1635" s="3">
        <v>562.12</v>
      </c>
      <c r="P1635" s="3">
        <v>0.12</v>
      </c>
      <c r="Q1635" s="3">
        <v>223.28</v>
      </c>
      <c r="R1635" s="3">
        <v>0.05</v>
      </c>
      <c r="S1635">
        <v>7</v>
      </c>
      <c r="T1635">
        <v>252</v>
      </c>
      <c r="U1635">
        <v>30</v>
      </c>
      <c r="V1635">
        <v>0</v>
      </c>
      <c r="W1635">
        <v>456.72</v>
      </c>
      <c r="X1635">
        <v>1632.51</v>
      </c>
      <c r="Y1635" t="s">
        <v>36</v>
      </c>
      <c r="Z1635" s="3">
        <v>1193.93</v>
      </c>
      <c r="AA1635" t="s">
        <v>41</v>
      </c>
      <c r="AB1635" t="s">
        <v>33</v>
      </c>
      <c r="AC1635">
        <v>90.9</v>
      </c>
      <c r="AD1635" t="s">
        <v>34</v>
      </c>
      <c r="AE1635">
        <v>1005.64</v>
      </c>
      <c r="AF1635">
        <v>0</v>
      </c>
    </row>
    <row r="1636" spans="3:32" x14ac:dyDescent="0.35">
      <c r="C1636" s="1">
        <v>44426</v>
      </c>
      <c r="D1636" s="2">
        <v>44409</v>
      </c>
      <c r="E1636">
        <v>1440</v>
      </c>
      <c r="F1636" s="3">
        <v>3521.95</v>
      </c>
      <c r="G1636" s="3">
        <v>3313.67</v>
      </c>
      <c r="H1636" s="3">
        <v>208.28</v>
      </c>
      <c r="I1636" s="3">
        <v>0.94</v>
      </c>
      <c r="J1636">
        <v>0.25</v>
      </c>
      <c r="K1636">
        <v>2629</v>
      </c>
      <c r="L1636" t="s">
        <v>30</v>
      </c>
      <c r="M1636">
        <v>563</v>
      </c>
      <c r="N1636">
        <v>0.45</v>
      </c>
      <c r="O1636" s="3">
        <v>379.86</v>
      </c>
      <c r="P1636" s="3">
        <v>0.11</v>
      </c>
      <c r="Q1636" s="3">
        <v>371.64</v>
      </c>
      <c r="R1636" s="3">
        <v>0.11</v>
      </c>
      <c r="S1636">
        <v>7</v>
      </c>
      <c r="T1636">
        <v>1142.53</v>
      </c>
      <c r="U1636">
        <v>28</v>
      </c>
      <c r="V1636">
        <v>0</v>
      </c>
      <c r="W1636">
        <v>168.97</v>
      </c>
      <c r="X1636">
        <v>1578.83</v>
      </c>
      <c r="Y1636" t="s">
        <v>36</v>
      </c>
      <c r="Z1636" s="3">
        <v>1617.84</v>
      </c>
      <c r="AA1636" t="s">
        <v>48</v>
      </c>
      <c r="AB1636" t="s">
        <v>33</v>
      </c>
      <c r="AC1636">
        <v>50.5</v>
      </c>
      <c r="AD1636" t="s">
        <v>43</v>
      </c>
      <c r="AE1636">
        <v>208.28</v>
      </c>
      <c r="AF1636">
        <v>0</v>
      </c>
    </row>
    <row r="1637" spans="3:32" x14ac:dyDescent="0.35">
      <c r="C1637" s="1">
        <v>44426</v>
      </c>
      <c r="D1637" s="2">
        <v>44409</v>
      </c>
      <c r="E1637">
        <v>1004</v>
      </c>
      <c r="F1637" s="3">
        <v>3563.08</v>
      </c>
      <c r="G1637" s="3">
        <v>3533.87</v>
      </c>
      <c r="H1637" s="3">
        <v>29.21</v>
      </c>
      <c r="I1637" s="3">
        <v>0.99</v>
      </c>
      <c r="J1637">
        <v>0.08</v>
      </c>
      <c r="K1637">
        <v>2338.37</v>
      </c>
      <c r="L1637" t="s">
        <v>30</v>
      </c>
      <c r="M1637">
        <v>600</v>
      </c>
      <c r="N1637">
        <v>0.13</v>
      </c>
      <c r="O1637" s="3">
        <v>577.78</v>
      </c>
      <c r="P1637" s="3">
        <v>0.16</v>
      </c>
      <c r="Q1637" s="3">
        <v>641.99</v>
      </c>
      <c r="R1637" s="3">
        <v>0.18</v>
      </c>
      <c r="S1637">
        <v>9</v>
      </c>
      <c r="T1637">
        <v>0</v>
      </c>
      <c r="U1637">
        <v>50</v>
      </c>
      <c r="V1637">
        <v>0</v>
      </c>
      <c r="W1637">
        <v>211.91</v>
      </c>
      <c r="X1637">
        <v>1787.47</v>
      </c>
      <c r="Y1637" t="s">
        <v>36</v>
      </c>
      <c r="Z1637" s="3">
        <v>1302.28</v>
      </c>
      <c r="AA1637" t="s">
        <v>32</v>
      </c>
      <c r="AB1637" t="s">
        <v>42</v>
      </c>
      <c r="AC1637">
        <v>51.8</v>
      </c>
      <c r="AD1637" t="s">
        <v>34</v>
      </c>
      <c r="AE1637">
        <v>29.21</v>
      </c>
      <c r="AF1637">
        <v>0</v>
      </c>
    </row>
    <row r="1638" spans="3:32" x14ac:dyDescent="0.35">
      <c r="C1638" s="1">
        <v>44426</v>
      </c>
      <c r="D1638" s="2">
        <v>44409</v>
      </c>
      <c r="E1638">
        <v>1855</v>
      </c>
      <c r="F1638" s="3">
        <v>2899.28</v>
      </c>
      <c r="G1638" s="3">
        <v>2985.7</v>
      </c>
      <c r="H1638" s="3">
        <v>-86.42</v>
      </c>
      <c r="I1638" s="3">
        <v>1.03</v>
      </c>
      <c r="J1638">
        <v>0.27</v>
      </c>
      <c r="K1638">
        <v>2815.68</v>
      </c>
      <c r="L1638" t="s">
        <v>35</v>
      </c>
      <c r="M1638">
        <v>686</v>
      </c>
      <c r="N1638">
        <v>0.26</v>
      </c>
      <c r="O1638" s="3">
        <v>863.58</v>
      </c>
      <c r="P1638" s="3">
        <v>0.3</v>
      </c>
      <c r="Q1638" s="3">
        <v>736.9</v>
      </c>
      <c r="R1638" s="3">
        <v>0.25</v>
      </c>
      <c r="S1638">
        <v>4</v>
      </c>
      <c r="T1638">
        <v>1562.99</v>
      </c>
      <c r="U1638">
        <v>22</v>
      </c>
      <c r="V1638">
        <v>0</v>
      </c>
      <c r="W1638">
        <v>482.54</v>
      </c>
      <c r="X1638">
        <v>1332.57</v>
      </c>
      <c r="Y1638" t="s">
        <v>36</v>
      </c>
      <c r="Z1638" s="3">
        <v>1186.8900000000001</v>
      </c>
      <c r="AA1638" t="s">
        <v>51</v>
      </c>
      <c r="AB1638" t="s">
        <v>33</v>
      </c>
      <c r="AC1638">
        <v>67.3</v>
      </c>
      <c r="AD1638" t="s">
        <v>34</v>
      </c>
      <c r="AE1638">
        <v>0</v>
      </c>
      <c r="AF1638">
        <v>0</v>
      </c>
    </row>
    <row r="1639" spans="3:32" x14ac:dyDescent="0.35">
      <c r="C1639" s="1">
        <v>44426</v>
      </c>
      <c r="D1639" s="2">
        <v>44409</v>
      </c>
      <c r="E1639">
        <v>1163</v>
      </c>
      <c r="F1639" s="3">
        <v>4006.41</v>
      </c>
      <c r="G1639" s="3">
        <v>2542.71</v>
      </c>
      <c r="H1639" s="3">
        <v>1463.7</v>
      </c>
      <c r="I1639" s="3">
        <v>0.63</v>
      </c>
      <c r="J1639">
        <v>0.09</v>
      </c>
      <c r="K1639">
        <v>3331.33</v>
      </c>
      <c r="L1639" t="s">
        <v>35</v>
      </c>
      <c r="M1639">
        <v>617</v>
      </c>
      <c r="N1639">
        <v>0.27</v>
      </c>
      <c r="O1639" s="3">
        <v>565.96</v>
      </c>
      <c r="P1639" s="3">
        <v>0.14000000000000001</v>
      </c>
      <c r="Q1639" s="3">
        <v>554.22</v>
      </c>
      <c r="R1639" s="3">
        <v>0.14000000000000001</v>
      </c>
      <c r="S1639">
        <v>2</v>
      </c>
      <c r="T1639">
        <v>939.87</v>
      </c>
      <c r="U1639">
        <v>62</v>
      </c>
      <c r="V1639">
        <v>0</v>
      </c>
      <c r="W1639">
        <v>373.62</v>
      </c>
      <c r="X1639">
        <v>3211.01</v>
      </c>
      <c r="Y1639" t="s">
        <v>31</v>
      </c>
      <c r="Z1639" s="3">
        <v>1089.74</v>
      </c>
      <c r="AA1639" t="s">
        <v>50</v>
      </c>
      <c r="AB1639" t="s">
        <v>33</v>
      </c>
      <c r="AC1639">
        <v>38.299999999999997</v>
      </c>
      <c r="AD1639" t="s">
        <v>34</v>
      </c>
      <c r="AE1639">
        <v>1463.7</v>
      </c>
      <c r="AF1639">
        <v>0</v>
      </c>
    </row>
    <row r="1640" spans="3:32" x14ac:dyDescent="0.35">
      <c r="C1640" s="1">
        <v>44426</v>
      </c>
      <c r="D1640" s="2">
        <v>44409</v>
      </c>
      <c r="E1640">
        <v>1205</v>
      </c>
      <c r="F1640" s="3">
        <v>1748.43</v>
      </c>
      <c r="G1640" s="3">
        <v>3125.37</v>
      </c>
      <c r="H1640" s="3">
        <v>-1376.94</v>
      </c>
      <c r="I1640" s="3">
        <v>1.79</v>
      </c>
      <c r="J1640">
        <v>0.27</v>
      </c>
      <c r="K1640">
        <v>2301.86</v>
      </c>
      <c r="L1640" t="s">
        <v>35</v>
      </c>
      <c r="M1640">
        <v>607</v>
      </c>
      <c r="N1640">
        <v>0.26</v>
      </c>
      <c r="O1640" s="3">
        <v>483.25</v>
      </c>
      <c r="P1640" s="3">
        <v>0.28000000000000003</v>
      </c>
      <c r="Q1640" s="3">
        <v>872.87</v>
      </c>
      <c r="R1640" s="3">
        <v>0.5</v>
      </c>
      <c r="S1640">
        <v>6</v>
      </c>
      <c r="T1640">
        <v>712.72</v>
      </c>
      <c r="U1640">
        <v>21</v>
      </c>
      <c r="V1640">
        <v>0</v>
      </c>
      <c r="W1640">
        <v>609.9</v>
      </c>
      <c r="X1640">
        <v>2562.16</v>
      </c>
      <c r="Y1640" t="s">
        <v>36</v>
      </c>
      <c r="Z1640" s="3">
        <v>1358.62</v>
      </c>
      <c r="AA1640" t="s">
        <v>45</v>
      </c>
      <c r="AB1640" t="s">
        <v>44</v>
      </c>
      <c r="AC1640">
        <v>22.6</v>
      </c>
      <c r="AD1640" t="s">
        <v>38</v>
      </c>
      <c r="AE1640">
        <v>0</v>
      </c>
      <c r="AF1640">
        <v>0</v>
      </c>
    </row>
    <row r="1641" spans="3:32" x14ac:dyDescent="0.35">
      <c r="C1641" s="1">
        <v>44426</v>
      </c>
      <c r="D1641" s="2">
        <v>44409</v>
      </c>
      <c r="E1641">
        <v>1013</v>
      </c>
      <c r="F1641" s="3">
        <v>4507.7299999999996</v>
      </c>
      <c r="G1641" s="3">
        <v>1978.96</v>
      </c>
      <c r="H1641" s="3">
        <v>2528.77</v>
      </c>
      <c r="I1641" s="3">
        <v>0.44</v>
      </c>
      <c r="J1641">
        <v>0.17</v>
      </c>
      <c r="K1641">
        <v>2710.3</v>
      </c>
      <c r="L1641" t="s">
        <v>35</v>
      </c>
      <c r="M1641">
        <v>701</v>
      </c>
      <c r="N1641">
        <v>0.4</v>
      </c>
      <c r="O1641" s="3">
        <v>428.49</v>
      </c>
      <c r="P1641" s="3">
        <v>0.1</v>
      </c>
      <c r="Q1641" s="3">
        <v>403.48</v>
      </c>
      <c r="R1641" s="3">
        <v>0.09</v>
      </c>
      <c r="S1641">
        <v>3</v>
      </c>
      <c r="T1641">
        <v>910.89</v>
      </c>
      <c r="U1641">
        <v>37</v>
      </c>
      <c r="V1641">
        <v>0</v>
      </c>
      <c r="W1641">
        <v>302.85000000000002</v>
      </c>
      <c r="X1641">
        <v>2078.15</v>
      </c>
      <c r="Y1641" t="s">
        <v>31</v>
      </c>
      <c r="Z1641" s="3">
        <v>623.09</v>
      </c>
      <c r="AA1641" t="s">
        <v>41</v>
      </c>
      <c r="AB1641" t="s">
        <v>33</v>
      </c>
      <c r="AC1641">
        <v>7.3</v>
      </c>
      <c r="AD1641" t="s">
        <v>43</v>
      </c>
      <c r="AE1641">
        <v>2528.77</v>
      </c>
      <c r="AF1641">
        <v>0</v>
      </c>
    </row>
    <row r="1642" spans="3:32" x14ac:dyDescent="0.35">
      <c r="C1642" s="1">
        <v>44426</v>
      </c>
      <c r="D1642" s="2">
        <v>44409</v>
      </c>
      <c r="E1642">
        <v>1039</v>
      </c>
      <c r="F1642" s="3">
        <v>4758.33</v>
      </c>
      <c r="G1642" s="3">
        <v>3731.48</v>
      </c>
      <c r="H1642" s="3">
        <v>1026.8499999999999</v>
      </c>
      <c r="I1642" s="3">
        <v>0.78</v>
      </c>
      <c r="J1642">
        <v>0.24</v>
      </c>
      <c r="K1642">
        <v>2468.4899999999998</v>
      </c>
      <c r="L1642" t="s">
        <v>35</v>
      </c>
      <c r="M1642">
        <v>606</v>
      </c>
      <c r="N1642">
        <v>0.33</v>
      </c>
      <c r="O1642" s="3">
        <v>462.31</v>
      </c>
      <c r="P1642" s="3">
        <v>0.1</v>
      </c>
      <c r="Q1642" s="3">
        <v>45.94</v>
      </c>
      <c r="R1642" s="3">
        <v>0.01</v>
      </c>
      <c r="S1642">
        <v>3</v>
      </c>
      <c r="T1642">
        <v>771.66</v>
      </c>
      <c r="U1642">
        <v>93</v>
      </c>
      <c r="V1642">
        <v>0</v>
      </c>
      <c r="W1642">
        <v>279.81</v>
      </c>
      <c r="X1642">
        <v>2984.23</v>
      </c>
      <c r="Y1642" t="s">
        <v>36</v>
      </c>
      <c r="Z1642" s="3">
        <v>760.04</v>
      </c>
      <c r="AA1642" t="s">
        <v>50</v>
      </c>
      <c r="AB1642" t="s">
        <v>44</v>
      </c>
      <c r="AC1642">
        <v>75.099999999999994</v>
      </c>
      <c r="AD1642" t="s">
        <v>34</v>
      </c>
      <c r="AE1642">
        <v>1026.8499999999999</v>
      </c>
      <c r="AF1642">
        <v>0</v>
      </c>
    </row>
    <row r="1643" spans="3:32" x14ac:dyDescent="0.35">
      <c r="C1643" s="1">
        <v>44426</v>
      </c>
      <c r="D1643" s="2">
        <v>44409</v>
      </c>
      <c r="E1643">
        <v>1666</v>
      </c>
      <c r="F1643" s="3">
        <v>4936.3500000000004</v>
      </c>
      <c r="G1643" s="3">
        <v>3975.13</v>
      </c>
      <c r="H1643" s="3">
        <v>961.22</v>
      </c>
      <c r="I1643" s="3">
        <v>0.81</v>
      </c>
      <c r="J1643">
        <v>0.08</v>
      </c>
      <c r="K1643">
        <v>2817.55</v>
      </c>
      <c r="L1643" t="s">
        <v>35</v>
      </c>
      <c r="M1643">
        <v>686</v>
      </c>
      <c r="N1643">
        <v>0.41</v>
      </c>
      <c r="O1643" s="3">
        <v>861</v>
      </c>
      <c r="P1643" s="3">
        <v>0.17</v>
      </c>
      <c r="Q1643" s="3">
        <v>1074.46</v>
      </c>
      <c r="R1643" s="3">
        <v>0.22</v>
      </c>
      <c r="S1643">
        <v>2</v>
      </c>
      <c r="T1643">
        <v>1912.78</v>
      </c>
      <c r="U1643">
        <v>58</v>
      </c>
      <c r="V1643">
        <v>0</v>
      </c>
      <c r="W1643">
        <v>629.20000000000005</v>
      </c>
      <c r="X1643">
        <v>2205.0700000000002</v>
      </c>
      <c r="Y1643" t="s">
        <v>36</v>
      </c>
      <c r="Z1643" s="3">
        <v>1018.82</v>
      </c>
      <c r="AA1643" t="s">
        <v>50</v>
      </c>
      <c r="AB1643" t="s">
        <v>42</v>
      </c>
      <c r="AC1643">
        <v>38.200000000000003</v>
      </c>
      <c r="AD1643" t="s">
        <v>34</v>
      </c>
      <c r="AE1643">
        <v>961.22</v>
      </c>
      <c r="AF1643">
        <v>0</v>
      </c>
    </row>
    <row r="1644" spans="3:32" x14ac:dyDescent="0.35">
      <c r="C1644" s="1">
        <v>44426</v>
      </c>
      <c r="D1644" s="2">
        <v>44409</v>
      </c>
      <c r="E1644">
        <v>1209</v>
      </c>
      <c r="F1644" s="3">
        <v>4766.46</v>
      </c>
      <c r="G1644" s="3">
        <v>2159.9699999999998</v>
      </c>
      <c r="H1644" s="3">
        <v>2606.4899999999998</v>
      </c>
      <c r="I1644" s="3">
        <v>0.45</v>
      </c>
      <c r="J1644">
        <v>0.34</v>
      </c>
      <c r="K1644">
        <v>3431.69</v>
      </c>
      <c r="L1644" t="s">
        <v>30</v>
      </c>
      <c r="M1644">
        <v>597</v>
      </c>
      <c r="N1644">
        <v>0.55000000000000004</v>
      </c>
      <c r="O1644" s="3">
        <v>475.76</v>
      </c>
      <c r="P1644" s="3">
        <v>0.1</v>
      </c>
      <c r="Q1644" s="3">
        <v>162.41999999999999</v>
      </c>
      <c r="R1644" s="3">
        <v>0.03</v>
      </c>
      <c r="S1644">
        <v>9</v>
      </c>
      <c r="T1644">
        <v>1077.6300000000001</v>
      </c>
      <c r="U1644">
        <v>74</v>
      </c>
      <c r="V1644">
        <v>0</v>
      </c>
      <c r="W1644">
        <v>409.07</v>
      </c>
      <c r="X1644">
        <v>2551.6</v>
      </c>
      <c r="Y1644" t="s">
        <v>36</v>
      </c>
      <c r="Z1644" s="3">
        <v>347.97</v>
      </c>
      <c r="AA1644" t="s">
        <v>50</v>
      </c>
      <c r="AB1644" t="s">
        <v>44</v>
      </c>
      <c r="AC1644">
        <v>55</v>
      </c>
      <c r="AD1644" t="s">
        <v>34</v>
      </c>
      <c r="AE1644">
        <v>2606.4899999999998</v>
      </c>
      <c r="AF1644">
        <v>0</v>
      </c>
    </row>
    <row r="1645" spans="3:32" x14ac:dyDescent="0.35">
      <c r="C1645" s="1">
        <v>44426</v>
      </c>
      <c r="D1645" s="2">
        <v>44409</v>
      </c>
      <c r="E1645">
        <v>1635</v>
      </c>
      <c r="F1645" s="3">
        <v>4738.71</v>
      </c>
      <c r="G1645" s="3">
        <v>3476.76</v>
      </c>
      <c r="H1645" s="3">
        <v>1261.95</v>
      </c>
      <c r="I1645" s="3">
        <v>0.73</v>
      </c>
      <c r="J1645">
        <v>0.19</v>
      </c>
      <c r="K1645">
        <v>3029.09</v>
      </c>
      <c r="L1645" t="s">
        <v>35</v>
      </c>
      <c r="M1645">
        <v>654</v>
      </c>
      <c r="N1645">
        <v>0.38</v>
      </c>
      <c r="O1645" s="3">
        <v>444.23</v>
      </c>
      <c r="P1645" s="3">
        <v>0.09</v>
      </c>
      <c r="Q1645" s="3">
        <v>537.72</v>
      </c>
      <c r="R1645" s="3">
        <v>0.11</v>
      </c>
      <c r="S1645">
        <v>9</v>
      </c>
      <c r="T1645">
        <v>535.79999999999995</v>
      </c>
      <c r="U1645">
        <v>61</v>
      </c>
      <c r="V1645">
        <v>0</v>
      </c>
      <c r="W1645">
        <v>998.72</v>
      </c>
      <c r="X1645">
        <v>1191.26</v>
      </c>
      <c r="Y1645" t="s">
        <v>36</v>
      </c>
      <c r="Z1645" s="3">
        <v>1558.8</v>
      </c>
      <c r="AA1645" t="s">
        <v>48</v>
      </c>
      <c r="AB1645" t="s">
        <v>33</v>
      </c>
      <c r="AC1645">
        <v>14</v>
      </c>
      <c r="AD1645" t="s">
        <v>43</v>
      </c>
      <c r="AE1645">
        <v>1261.95</v>
      </c>
      <c r="AF1645">
        <v>0</v>
      </c>
    </row>
    <row r="1646" spans="3:32" x14ac:dyDescent="0.35">
      <c r="C1646" s="1">
        <v>44426</v>
      </c>
      <c r="D1646" s="2">
        <v>44409</v>
      </c>
      <c r="E1646">
        <v>1098</v>
      </c>
      <c r="F1646" s="3">
        <v>4609.38</v>
      </c>
      <c r="G1646" s="3">
        <v>2293.84</v>
      </c>
      <c r="H1646" s="3">
        <v>2315.54</v>
      </c>
      <c r="I1646" s="3">
        <v>0.5</v>
      </c>
      <c r="J1646">
        <v>0.13</v>
      </c>
      <c r="K1646">
        <v>3223.98</v>
      </c>
      <c r="L1646" t="s">
        <v>39</v>
      </c>
      <c r="M1646">
        <v>637</v>
      </c>
      <c r="N1646">
        <v>0.49</v>
      </c>
      <c r="O1646" s="3">
        <v>405.86</v>
      </c>
      <c r="P1646" s="3">
        <v>0.09</v>
      </c>
      <c r="Q1646" s="3">
        <v>154.06</v>
      </c>
      <c r="R1646" s="3">
        <v>0.03</v>
      </c>
      <c r="S1646">
        <v>3</v>
      </c>
      <c r="T1646">
        <v>1005.17</v>
      </c>
      <c r="U1646">
        <v>68</v>
      </c>
      <c r="V1646">
        <v>0</v>
      </c>
      <c r="W1646">
        <v>731.86</v>
      </c>
      <c r="X1646">
        <v>1918.98</v>
      </c>
      <c r="Y1646" t="s">
        <v>49</v>
      </c>
      <c r="Z1646" s="3">
        <v>928.51</v>
      </c>
      <c r="AA1646" t="s">
        <v>41</v>
      </c>
      <c r="AB1646" t="s">
        <v>44</v>
      </c>
      <c r="AC1646">
        <v>51.4</v>
      </c>
      <c r="AD1646" t="s">
        <v>38</v>
      </c>
      <c r="AE1646">
        <v>2315.54</v>
      </c>
      <c r="AF1646">
        <v>0</v>
      </c>
    </row>
    <row r="1647" spans="3:32" x14ac:dyDescent="0.35">
      <c r="C1647" s="1">
        <v>44426</v>
      </c>
      <c r="D1647" s="2">
        <v>44409</v>
      </c>
      <c r="E1647">
        <v>1512</v>
      </c>
      <c r="F1647" s="3">
        <v>3032.06</v>
      </c>
      <c r="G1647" s="3">
        <v>2532.83</v>
      </c>
      <c r="H1647" s="3">
        <v>499.23</v>
      </c>
      <c r="I1647" s="3">
        <v>0.84</v>
      </c>
      <c r="J1647">
        <v>0.08</v>
      </c>
      <c r="K1647">
        <v>2491.6</v>
      </c>
      <c r="L1647" t="s">
        <v>39</v>
      </c>
      <c r="M1647">
        <v>626</v>
      </c>
      <c r="N1647">
        <v>0.31</v>
      </c>
      <c r="O1647" s="3">
        <v>905.02</v>
      </c>
      <c r="P1647" s="3">
        <v>0.3</v>
      </c>
      <c r="Q1647" s="3">
        <v>441.33</v>
      </c>
      <c r="R1647" s="3">
        <v>0.15</v>
      </c>
      <c r="S1647">
        <v>4</v>
      </c>
      <c r="T1647">
        <v>1566.03</v>
      </c>
      <c r="U1647">
        <v>92</v>
      </c>
      <c r="V1647">
        <v>0</v>
      </c>
      <c r="W1647">
        <v>811.21</v>
      </c>
      <c r="X1647">
        <v>2401.58</v>
      </c>
      <c r="Y1647" t="s">
        <v>36</v>
      </c>
      <c r="Z1647" s="3">
        <v>1061.3800000000001</v>
      </c>
      <c r="AA1647" t="s">
        <v>50</v>
      </c>
      <c r="AB1647" t="s">
        <v>33</v>
      </c>
      <c r="AC1647">
        <v>33.299999999999997</v>
      </c>
      <c r="AD1647" t="s">
        <v>34</v>
      </c>
      <c r="AE1647">
        <v>499.23</v>
      </c>
      <c r="AF1647">
        <v>0</v>
      </c>
    </row>
    <row r="1648" spans="3:32" x14ac:dyDescent="0.35">
      <c r="C1648" s="1">
        <v>44426</v>
      </c>
      <c r="D1648" s="2">
        <v>44409</v>
      </c>
      <c r="E1648">
        <v>1584</v>
      </c>
      <c r="F1648" s="3">
        <v>4519.37</v>
      </c>
      <c r="G1648" s="3">
        <v>3956.7</v>
      </c>
      <c r="H1648" s="3">
        <v>562.66999999999996</v>
      </c>
      <c r="I1648" s="3">
        <v>0.88</v>
      </c>
      <c r="J1648">
        <v>0.06</v>
      </c>
      <c r="K1648">
        <v>2875.26</v>
      </c>
      <c r="L1648" t="s">
        <v>35</v>
      </c>
      <c r="M1648">
        <v>630</v>
      </c>
      <c r="N1648">
        <v>0.28999999999999998</v>
      </c>
      <c r="O1648" s="3">
        <v>481.41</v>
      </c>
      <c r="P1648" s="3">
        <v>0.11</v>
      </c>
      <c r="Q1648" s="3">
        <v>629.42999999999995</v>
      </c>
      <c r="R1648" s="3">
        <v>0.14000000000000001</v>
      </c>
      <c r="S1648">
        <v>8</v>
      </c>
      <c r="T1648">
        <v>629.74</v>
      </c>
      <c r="U1648">
        <v>88</v>
      </c>
      <c r="V1648">
        <v>0</v>
      </c>
      <c r="W1648">
        <v>827.1</v>
      </c>
      <c r="X1648">
        <v>2341.3000000000002</v>
      </c>
      <c r="Y1648" t="s">
        <v>36</v>
      </c>
      <c r="Z1648" s="3">
        <v>831.1</v>
      </c>
      <c r="AA1648" t="s">
        <v>45</v>
      </c>
      <c r="AB1648" t="s">
        <v>33</v>
      </c>
      <c r="AC1648">
        <v>62.6</v>
      </c>
      <c r="AD1648" t="s">
        <v>38</v>
      </c>
      <c r="AE1648">
        <v>562.66999999999996</v>
      </c>
      <c r="AF1648">
        <v>0</v>
      </c>
    </row>
    <row r="1649" spans="3:32" x14ac:dyDescent="0.35">
      <c r="C1649" s="1">
        <v>44426</v>
      </c>
      <c r="D1649" s="2">
        <v>44409</v>
      </c>
      <c r="E1649">
        <v>1061</v>
      </c>
      <c r="F1649" s="3">
        <v>3151.25</v>
      </c>
      <c r="G1649" s="3">
        <v>2228.61</v>
      </c>
      <c r="H1649" s="3">
        <v>922.64</v>
      </c>
      <c r="I1649" s="3">
        <v>0.71</v>
      </c>
      <c r="J1649">
        <v>0.11</v>
      </c>
      <c r="K1649">
        <v>3473.51</v>
      </c>
      <c r="L1649" t="s">
        <v>39</v>
      </c>
      <c r="M1649">
        <v>705</v>
      </c>
      <c r="N1649">
        <v>0.28999999999999998</v>
      </c>
      <c r="O1649" s="3">
        <v>815.94</v>
      </c>
      <c r="P1649" s="3">
        <v>0.26</v>
      </c>
      <c r="Q1649" s="3">
        <v>259.86</v>
      </c>
      <c r="R1649" s="3">
        <v>0.08</v>
      </c>
      <c r="S1649">
        <v>8</v>
      </c>
      <c r="T1649">
        <v>1515.69</v>
      </c>
      <c r="U1649">
        <v>25</v>
      </c>
      <c r="V1649">
        <v>0</v>
      </c>
      <c r="W1649">
        <v>604.6</v>
      </c>
      <c r="X1649">
        <v>1712.89</v>
      </c>
      <c r="Y1649" t="s">
        <v>36</v>
      </c>
      <c r="Z1649" s="3">
        <v>1161.33</v>
      </c>
      <c r="AA1649" t="s">
        <v>50</v>
      </c>
      <c r="AB1649" t="s">
        <v>33</v>
      </c>
      <c r="AC1649">
        <v>26</v>
      </c>
      <c r="AD1649" t="s">
        <v>34</v>
      </c>
      <c r="AE1649">
        <v>922.64</v>
      </c>
      <c r="AF1649">
        <v>0</v>
      </c>
    </row>
    <row r="1650" spans="3:32" x14ac:dyDescent="0.35">
      <c r="C1650" s="1">
        <v>44426</v>
      </c>
      <c r="D1650" s="2">
        <v>44409</v>
      </c>
      <c r="E1650">
        <v>1927</v>
      </c>
      <c r="F1650" s="3">
        <v>5332.78</v>
      </c>
      <c r="G1650" s="3">
        <v>3326.59</v>
      </c>
      <c r="H1650" s="3">
        <v>2006.19</v>
      </c>
      <c r="I1650" s="3">
        <v>0.62</v>
      </c>
      <c r="J1650">
        <v>0.38</v>
      </c>
      <c r="K1650">
        <v>2237.31</v>
      </c>
      <c r="L1650" t="s">
        <v>35</v>
      </c>
      <c r="M1650">
        <v>604</v>
      </c>
      <c r="N1650">
        <v>0.38</v>
      </c>
      <c r="O1650" s="3">
        <v>517.24</v>
      </c>
      <c r="P1650" s="3">
        <v>0.1</v>
      </c>
      <c r="Q1650" s="3">
        <v>553.71</v>
      </c>
      <c r="R1650" s="3">
        <v>0.1</v>
      </c>
      <c r="S1650">
        <v>6</v>
      </c>
      <c r="T1650">
        <v>449.66</v>
      </c>
      <c r="U1650">
        <v>92</v>
      </c>
      <c r="V1650">
        <v>0</v>
      </c>
      <c r="W1650">
        <v>684.91</v>
      </c>
      <c r="X1650">
        <v>3058.31</v>
      </c>
      <c r="Y1650" t="s">
        <v>36</v>
      </c>
      <c r="Z1650" s="3">
        <v>1024.83</v>
      </c>
      <c r="AA1650" t="s">
        <v>51</v>
      </c>
      <c r="AB1650" t="s">
        <v>33</v>
      </c>
      <c r="AC1650">
        <v>22.2</v>
      </c>
      <c r="AD1650" t="s">
        <v>34</v>
      </c>
      <c r="AE1650">
        <v>2006.19</v>
      </c>
      <c r="AF1650">
        <v>0</v>
      </c>
    </row>
    <row r="1651" spans="3:32" x14ac:dyDescent="0.35">
      <c r="C1651" s="1">
        <v>44426</v>
      </c>
      <c r="D1651" s="2">
        <v>44409</v>
      </c>
      <c r="E1651">
        <v>1495</v>
      </c>
      <c r="F1651" s="3">
        <v>3791.23</v>
      </c>
      <c r="G1651" s="3">
        <v>2182.44</v>
      </c>
      <c r="H1651" s="3">
        <v>1608.79</v>
      </c>
      <c r="I1651" s="3">
        <v>0.57999999999999996</v>
      </c>
      <c r="J1651">
        <v>0.1</v>
      </c>
      <c r="K1651">
        <v>2468.39</v>
      </c>
      <c r="L1651" t="s">
        <v>35</v>
      </c>
      <c r="M1651">
        <v>620</v>
      </c>
      <c r="N1651">
        <v>0.4</v>
      </c>
      <c r="O1651" s="3">
        <v>407.04</v>
      </c>
      <c r="P1651" s="3">
        <v>0.11</v>
      </c>
      <c r="Q1651" s="3">
        <v>331.81</v>
      </c>
      <c r="R1651" s="3">
        <v>0.09</v>
      </c>
      <c r="S1651">
        <v>6</v>
      </c>
      <c r="T1651">
        <v>263.94</v>
      </c>
      <c r="U1651">
        <v>82</v>
      </c>
      <c r="V1651">
        <v>0</v>
      </c>
      <c r="W1651">
        <v>810.9</v>
      </c>
      <c r="X1651">
        <v>2354.17</v>
      </c>
      <c r="Y1651" t="s">
        <v>31</v>
      </c>
      <c r="Z1651" s="3">
        <v>1349.77</v>
      </c>
      <c r="AA1651" t="s">
        <v>47</v>
      </c>
      <c r="AB1651" t="s">
        <v>33</v>
      </c>
      <c r="AC1651">
        <v>87.9</v>
      </c>
      <c r="AD1651" t="s">
        <v>43</v>
      </c>
      <c r="AE1651">
        <v>1608.79</v>
      </c>
      <c r="AF1651">
        <v>0</v>
      </c>
    </row>
    <row r="1652" spans="3:32" x14ac:dyDescent="0.35">
      <c r="C1652" s="1">
        <v>44456</v>
      </c>
      <c r="D1652" s="2">
        <v>44440</v>
      </c>
      <c r="E1652">
        <v>1974</v>
      </c>
      <c r="F1652" s="3">
        <v>3855.03</v>
      </c>
      <c r="G1652" s="3">
        <v>2510.2800000000002</v>
      </c>
      <c r="H1652" s="3">
        <v>1344.75</v>
      </c>
      <c r="I1652" s="3">
        <v>0.65</v>
      </c>
      <c r="J1652">
        <v>0.4</v>
      </c>
      <c r="K1652">
        <v>3054.35</v>
      </c>
      <c r="L1652" t="s">
        <v>35</v>
      </c>
      <c r="M1652">
        <v>736</v>
      </c>
      <c r="N1652">
        <v>0.52</v>
      </c>
      <c r="O1652" s="3">
        <v>247.74</v>
      </c>
      <c r="P1652" s="3">
        <v>0.06</v>
      </c>
      <c r="Q1652" s="3">
        <v>223.91</v>
      </c>
      <c r="R1652" s="3">
        <v>0.06</v>
      </c>
      <c r="S1652">
        <v>9</v>
      </c>
      <c r="T1652">
        <v>497.88</v>
      </c>
      <c r="U1652">
        <v>22</v>
      </c>
      <c r="V1652">
        <v>0</v>
      </c>
      <c r="W1652">
        <v>352.05</v>
      </c>
      <c r="X1652">
        <v>2030.87</v>
      </c>
      <c r="Y1652" t="s">
        <v>31</v>
      </c>
      <c r="Z1652" s="3">
        <v>994.3</v>
      </c>
      <c r="AA1652" t="s">
        <v>37</v>
      </c>
      <c r="AB1652" t="s">
        <v>33</v>
      </c>
      <c r="AC1652">
        <v>80.7</v>
      </c>
      <c r="AD1652" t="s">
        <v>34</v>
      </c>
      <c r="AE1652">
        <v>1344.75</v>
      </c>
      <c r="AF1652">
        <v>0</v>
      </c>
    </row>
    <row r="1653" spans="3:32" x14ac:dyDescent="0.35">
      <c r="C1653" s="1">
        <v>44456</v>
      </c>
      <c r="D1653" s="2">
        <v>44440</v>
      </c>
      <c r="E1653">
        <v>1209</v>
      </c>
      <c r="F1653" s="3">
        <v>3456.66</v>
      </c>
      <c r="G1653" s="3">
        <v>2910.41</v>
      </c>
      <c r="H1653" s="3">
        <v>546.25</v>
      </c>
      <c r="I1653" s="3">
        <v>0.84</v>
      </c>
      <c r="J1653">
        <v>0.3</v>
      </c>
      <c r="K1653">
        <v>3457.95</v>
      </c>
      <c r="L1653" t="s">
        <v>35</v>
      </c>
      <c r="M1653">
        <v>611</v>
      </c>
      <c r="N1653">
        <v>0.48</v>
      </c>
      <c r="O1653" s="3">
        <v>492.74</v>
      </c>
      <c r="P1653" s="3">
        <v>0.14000000000000001</v>
      </c>
      <c r="Q1653" s="3">
        <v>222.84</v>
      </c>
      <c r="R1653" s="3">
        <v>0.06</v>
      </c>
      <c r="S1653">
        <v>7</v>
      </c>
      <c r="T1653">
        <v>592.01</v>
      </c>
      <c r="U1653">
        <v>68</v>
      </c>
      <c r="V1653">
        <v>0</v>
      </c>
      <c r="W1653">
        <v>429.48</v>
      </c>
      <c r="X1653">
        <v>2045.01</v>
      </c>
      <c r="Y1653" t="s">
        <v>36</v>
      </c>
      <c r="Z1653" s="3">
        <v>670</v>
      </c>
      <c r="AA1653" t="s">
        <v>48</v>
      </c>
      <c r="AB1653" t="s">
        <v>42</v>
      </c>
      <c r="AC1653">
        <v>10.7</v>
      </c>
      <c r="AD1653" t="s">
        <v>34</v>
      </c>
      <c r="AE1653">
        <v>546.25</v>
      </c>
      <c r="AF1653">
        <v>0</v>
      </c>
    </row>
    <row r="1654" spans="3:32" x14ac:dyDescent="0.35">
      <c r="C1654" s="1">
        <v>44456</v>
      </c>
      <c r="D1654" s="2">
        <v>44440</v>
      </c>
      <c r="E1654">
        <v>1975</v>
      </c>
      <c r="F1654" s="3">
        <v>3780.84</v>
      </c>
      <c r="G1654" s="3">
        <v>2435.75</v>
      </c>
      <c r="H1654" s="3">
        <v>1345.09</v>
      </c>
      <c r="I1654" s="3">
        <v>0.64</v>
      </c>
      <c r="J1654">
        <v>0.4</v>
      </c>
      <c r="K1654">
        <v>2923.72</v>
      </c>
      <c r="L1654" t="s">
        <v>35</v>
      </c>
      <c r="M1654">
        <v>639</v>
      </c>
      <c r="N1654">
        <v>0.25</v>
      </c>
      <c r="O1654" s="3">
        <v>452.79</v>
      </c>
      <c r="P1654" s="3">
        <v>0.12</v>
      </c>
      <c r="Q1654" s="3">
        <v>577.32000000000005</v>
      </c>
      <c r="R1654" s="3">
        <v>0.15</v>
      </c>
      <c r="S1654">
        <v>3</v>
      </c>
      <c r="T1654">
        <v>244.24</v>
      </c>
      <c r="U1654">
        <v>38</v>
      </c>
      <c r="V1654">
        <v>0</v>
      </c>
      <c r="W1654">
        <v>474.94</v>
      </c>
      <c r="X1654">
        <v>2171.6</v>
      </c>
      <c r="Y1654" t="s">
        <v>49</v>
      </c>
      <c r="Z1654" s="3">
        <v>1811.64</v>
      </c>
      <c r="AA1654" t="s">
        <v>32</v>
      </c>
      <c r="AB1654" t="s">
        <v>42</v>
      </c>
      <c r="AC1654">
        <v>14.4</v>
      </c>
      <c r="AD1654" t="s">
        <v>43</v>
      </c>
      <c r="AE1654">
        <v>1345.09</v>
      </c>
      <c r="AF1654">
        <v>0</v>
      </c>
    </row>
    <row r="1655" spans="3:32" x14ac:dyDescent="0.35">
      <c r="C1655" s="1">
        <v>44456</v>
      </c>
      <c r="D1655" s="2">
        <v>44440</v>
      </c>
      <c r="E1655">
        <v>1191</v>
      </c>
      <c r="F1655" s="3">
        <v>4625.76</v>
      </c>
      <c r="G1655" s="3">
        <v>3753.91</v>
      </c>
      <c r="H1655" s="3">
        <v>871.85</v>
      </c>
      <c r="I1655" s="3">
        <v>0.81</v>
      </c>
      <c r="J1655">
        <v>0.17</v>
      </c>
      <c r="K1655">
        <v>2701.65</v>
      </c>
      <c r="L1655" t="s">
        <v>39</v>
      </c>
      <c r="M1655">
        <v>727</v>
      </c>
      <c r="N1655">
        <v>0.3</v>
      </c>
      <c r="O1655" s="3">
        <v>128.13999999999999</v>
      </c>
      <c r="P1655" s="3">
        <v>0.03</v>
      </c>
      <c r="Q1655" s="3">
        <v>0</v>
      </c>
      <c r="R1655" s="3">
        <v>0</v>
      </c>
      <c r="S1655">
        <v>8</v>
      </c>
      <c r="T1655">
        <v>900.37</v>
      </c>
      <c r="U1655">
        <v>34</v>
      </c>
      <c r="V1655">
        <v>0</v>
      </c>
      <c r="W1655">
        <v>639.96</v>
      </c>
      <c r="X1655">
        <v>1946.77</v>
      </c>
      <c r="Y1655" t="s">
        <v>36</v>
      </c>
      <c r="Z1655" s="3">
        <v>1224.58</v>
      </c>
      <c r="AA1655" t="s">
        <v>51</v>
      </c>
      <c r="AB1655" t="s">
        <v>33</v>
      </c>
      <c r="AC1655">
        <v>50.7</v>
      </c>
      <c r="AD1655" t="s">
        <v>34</v>
      </c>
      <c r="AE1655">
        <v>871.85</v>
      </c>
      <c r="AF1655">
        <v>0</v>
      </c>
    </row>
    <row r="1656" spans="3:32" x14ac:dyDescent="0.35">
      <c r="C1656" s="1">
        <v>44456</v>
      </c>
      <c r="D1656" s="2">
        <v>44440</v>
      </c>
      <c r="E1656">
        <v>1124</v>
      </c>
      <c r="F1656" s="3">
        <v>5046.7700000000004</v>
      </c>
      <c r="G1656" s="3">
        <v>3509.69</v>
      </c>
      <c r="H1656" s="3">
        <v>1537.08</v>
      </c>
      <c r="I1656" s="3">
        <v>0.7</v>
      </c>
      <c r="J1656">
        <v>0.23</v>
      </c>
      <c r="K1656">
        <v>2336.6799999999998</v>
      </c>
      <c r="L1656" t="s">
        <v>35</v>
      </c>
      <c r="M1656">
        <v>664</v>
      </c>
      <c r="N1656">
        <v>0.16</v>
      </c>
      <c r="O1656" s="3">
        <v>572.28</v>
      </c>
      <c r="P1656" s="3">
        <v>0.11</v>
      </c>
      <c r="Q1656" s="3">
        <v>62.53</v>
      </c>
      <c r="R1656" s="3">
        <v>0.01</v>
      </c>
      <c r="S1656">
        <v>7</v>
      </c>
      <c r="T1656">
        <v>1500.59</v>
      </c>
      <c r="U1656">
        <v>94</v>
      </c>
      <c r="V1656">
        <v>0</v>
      </c>
      <c r="W1656">
        <v>253.73</v>
      </c>
      <c r="X1656">
        <v>2968.49</v>
      </c>
      <c r="Y1656" t="s">
        <v>49</v>
      </c>
      <c r="Z1656" s="3">
        <v>1391.38</v>
      </c>
      <c r="AA1656" t="s">
        <v>45</v>
      </c>
      <c r="AB1656" t="s">
        <v>44</v>
      </c>
      <c r="AC1656">
        <v>67.7</v>
      </c>
      <c r="AD1656" t="s">
        <v>34</v>
      </c>
      <c r="AE1656">
        <v>1537.08</v>
      </c>
      <c r="AF1656">
        <v>0</v>
      </c>
    </row>
    <row r="1657" spans="3:32" x14ac:dyDescent="0.35">
      <c r="C1657" s="1">
        <v>44456</v>
      </c>
      <c r="D1657" s="2">
        <v>44440</v>
      </c>
      <c r="E1657">
        <v>1588</v>
      </c>
      <c r="F1657" s="3">
        <v>4551.8599999999997</v>
      </c>
      <c r="G1657" s="3">
        <v>2345.0500000000002</v>
      </c>
      <c r="H1657" s="3">
        <v>2206.81</v>
      </c>
      <c r="I1657" s="3">
        <v>0.52</v>
      </c>
      <c r="J1657">
        <v>0.22</v>
      </c>
      <c r="K1657">
        <v>2186.9299999999998</v>
      </c>
      <c r="L1657" t="s">
        <v>35</v>
      </c>
      <c r="M1657">
        <v>711</v>
      </c>
      <c r="N1657">
        <v>0.11</v>
      </c>
      <c r="O1657" s="3">
        <v>511.6</v>
      </c>
      <c r="P1657" s="3">
        <v>0.11</v>
      </c>
      <c r="Q1657" s="3">
        <v>555.36</v>
      </c>
      <c r="R1657" s="3">
        <v>0.12</v>
      </c>
      <c r="S1657">
        <v>9</v>
      </c>
      <c r="T1657">
        <v>1723.44</v>
      </c>
      <c r="U1657">
        <v>58</v>
      </c>
      <c r="V1657">
        <v>0</v>
      </c>
      <c r="W1657">
        <v>319.13</v>
      </c>
      <c r="X1657">
        <v>1874.79</v>
      </c>
      <c r="Y1657" t="s">
        <v>36</v>
      </c>
      <c r="Z1657" s="3">
        <v>903.03</v>
      </c>
      <c r="AA1657" t="s">
        <v>46</v>
      </c>
      <c r="AB1657" t="s">
        <v>33</v>
      </c>
      <c r="AC1657">
        <v>39.200000000000003</v>
      </c>
      <c r="AD1657" t="s">
        <v>43</v>
      </c>
      <c r="AE1657">
        <v>2206.81</v>
      </c>
      <c r="AF1657">
        <v>1</v>
      </c>
    </row>
    <row r="1658" spans="3:32" x14ac:dyDescent="0.35">
      <c r="C1658" s="1">
        <v>44456</v>
      </c>
      <c r="D1658" s="2">
        <v>44440</v>
      </c>
      <c r="E1658">
        <v>1632</v>
      </c>
      <c r="F1658" s="3">
        <v>4971.84</v>
      </c>
      <c r="G1658" s="3">
        <v>3404.51</v>
      </c>
      <c r="H1658" s="3">
        <v>1567.33</v>
      </c>
      <c r="I1658" s="3">
        <v>0.68</v>
      </c>
      <c r="J1658">
        <v>0.11</v>
      </c>
      <c r="K1658">
        <v>3803.92</v>
      </c>
      <c r="L1658" t="s">
        <v>30</v>
      </c>
      <c r="M1658">
        <v>710</v>
      </c>
      <c r="N1658">
        <v>0.54</v>
      </c>
      <c r="O1658" s="3">
        <v>525.34</v>
      </c>
      <c r="P1658" s="3">
        <v>0.11</v>
      </c>
      <c r="Q1658" s="3">
        <v>755.28</v>
      </c>
      <c r="R1658" s="3">
        <v>0.15</v>
      </c>
      <c r="S1658">
        <v>9</v>
      </c>
      <c r="T1658">
        <v>911.81</v>
      </c>
      <c r="U1658">
        <v>28</v>
      </c>
      <c r="V1658">
        <v>0</v>
      </c>
      <c r="W1658">
        <v>486.28</v>
      </c>
      <c r="X1658">
        <v>1589.32</v>
      </c>
      <c r="Y1658" t="s">
        <v>49</v>
      </c>
      <c r="Z1658" s="3">
        <v>1239.05</v>
      </c>
      <c r="AA1658" t="s">
        <v>45</v>
      </c>
      <c r="AB1658" t="s">
        <v>33</v>
      </c>
      <c r="AC1658">
        <v>47.7</v>
      </c>
      <c r="AD1658" t="s">
        <v>34</v>
      </c>
      <c r="AE1658">
        <v>1567.33</v>
      </c>
      <c r="AF1658">
        <v>0</v>
      </c>
    </row>
    <row r="1659" spans="3:32" x14ac:dyDescent="0.35">
      <c r="C1659" s="1">
        <v>44456</v>
      </c>
      <c r="D1659" s="2">
        <v>44440</v>
      </c>
      <c r="E1659">
        <v>1211</v>
      </c>
      <c r="F1659" s="3">
        <v>2388.1999999999998</v>
      </c>
      <c r="G1659" s="3">
        <v>2203.69</v>
      </c>
      <c r="H1659" s="3">
        <v>184.51</v>
      </c>
      <c r="I1659" s="3">
        <v>0.92</v>
      </c>
      <c r="J1659">
        <v>0.36</v>
      </c>
      <c r="K1659">
        <v>3870.71</v>
      </c>
      <c r="L1659" t="s">
        <v>35</v>
      </c>
      <c r="M1659">
        <v>702</v>
      </c>
      <c r="N1659">
        <v>0.6</v>
      </c>
      <c r="O1659" s="3">
        <v>521.29999999999995</v>
      </c>
      <c r="P1659" s="3">
        <v>0.22</v>
      </c>
      <c r="Q1659" s="3">
        <v>189.27</v>
      </c>
      <c r="R1659" s="3">
        <v>0.08</v>
      </c>
      <c r="S1659">
        <v>4</v>
      </c>
      <c r="T1659">
        <v>199.81</v>
      </c>
      <c r="U1659">
        <v>66</v>
      </c>
      <c r="V1659">
        <v>0</v>
      </c>
      <c r="W1659">
        <v>549.72</v>
      </c>
      <c r="X1659">
        <v>1877.92</v>
      </c>
      <c r="Y1659" t="s">
        <v>36</v>
      </c>
      <c r="Z1659" s="3">
        <v>968.27</v>
      </c>
      <c r="AA1659" t="s">
        <v>46</v>
      </c>
      <c r="AB1659" t="s">
        <v>33</v>
      </c>
      <c r="AC1659">
        <v>26.8</v>
      </c>
      <c r="AD1659" t="s">
        <v>38</v>
      </c>
      <c r="AE1659">
        <v>184.51</v>
      </c>
      <c r="AF1659">
        <v>0</v>
      </c>
    </row>
    <row r="1660" spans="3:32" x14ac:dyDescent="0.35">
      <c r="C1660" s="1">
        <v>44456</v>
      </c>
      <c r="D1660" s="2">
        <v>44440</v>
      </c>
      <c r="E1660">
        <v>1157</v>
      </c>
      <c r="F1660" s="3">
        <v>2568.63</v>
      </c>
      <c r="G1660" s="3">
        <v>1685.71</v>
      </c>
      <c r="H1660" s="3">
        <v>882.92</v>
      </c>
      <c r="I1660" s="3">
        <v>0.66</v>
      </c>
      <c r="J1660">
        <v>0.28999999999999998</v>
      </c>
      <c r="K1660">
        <v>3389.17</v>
      </c>
      <c r="L1660" t="s">
        <v>35</v>
      </c>
      <c r="M1660">
        <v>698</v>
      </c>
      <c r="N1660">
        <v>0.38</v>
      </c>
      <c r="O1660" s="3">
        <v>196.55</v>
      </c>
      <c r="P1660" s="3">
        <v>0.08</v>
      </c>
      <c r="Q1660" s="3">
        <v>65.64</v>
      </c>
      <c r="R1660" s="3">
        <v>0.03</v>
      </c>
      <c r="S1660">
        <v>7</v>
      </c>
      <c r="T1660">
        <v>1100.43</v>
      </c>
      <c r="U1660">
        <v>57</v>
      </c>
      <c r="V1660">
        <v>0</v>
      </c>
      <c r="W1660">
        <v>353.64</v>
      </c>
      <c r="X1660">
        <v>2345.79</v>
      </c>
      <c r="Y1660" t="s">
        <v>31</v>
      </c>
      <c r="Z1660" s="3">
        <v>1577.08</v>
      </c>
      <c r="AA1660" t="s">
        <v>48</v>
      </c>
      <c r="AB1660" t="s">
        <v>33</v>
      </c>
      <c r="AC1660">
        <v>85.8</v>
      </c>
      <c r="AD1660" t="s">
        <v>43</v>
      </c>
      <c r="AE1660">
        <v>882.92</v>
      </c>
      <c r="AF1660">
        <v>0</v>
      </c>
    </row>
    <row r="1661" spans="3:32" x14ac:dyDescent="0.35">
      <c r="C1661" s="1">
        <v>44456</v>
      </c>
      <c r="D1661" s="2">
        <v>44440</v>
      </c>
      <c r="E1661">
        <v>1767</v>
      </c>
      <c r="F1661" s="3">
        <v>4316.84</v>
      </c>
      <c r="G1661" s="3">
        <v>2698.31</v>
      </c>
      <c r="H1661" s="3">
        <v>1618.53</v>
      </c>
      <c r="I1661" s="3">
        <v>0.63</v>
      </c>
      <c r="J1661">
        <v>0.24</v>
      </c>
      <c r="K1661">
        <v>2797.43</v>
      </c>
      <c r="L1661" t="s">
        <v>35</v>
      </c>
      <c r="M1661">
        <v>681</v>
      </c>
      <c r="N1661">
        <v>0.22</v>
      </c>
      <c r="O1661" s="3">
        <v>515.66999999999996</v>
      </c>
      <c r="P1661" s="3">
        <v>0.12</v>
      </c>
      <c r="Q1661" s="3">
        <v>687.21</v>
      </c>
      <c r="R1661" s="3">
        <v>0.16</v>
      </c>
      <c r="S1661">
        <v>2</v>
      </c>
      <c r="T1661">
        <v>413.97</v>
      </c>
      <c r="U1661">
        <v>83</v>
      </c>
      <c r="V1661">
        <v>0</v>
      </c>
      <c r="W1661">
        <v>518.73</v>
      </c>
      <c r="X1661">
        <v>2496.7600000000002</v>
      </c>
      <c r="Y1661" t="s">
        <v>36</v>
      </c>
      <c r="Z1661" s="3">
        <v>737.09</v>
      </c>
      <c r="AA1661" t="s">
        <v>46</v>
      </c>
      <c r="AB1661" t="s">
        <v>42</v>
      </c>
      <c r="AC1661">
        <v>26.7</v>
      </c>
      <c r="AD1661" t="s">
        <v>38</v>
      </c>
      <c r="AE1661">
        <v>1618.53</v>
      </c>
      <c r="AF1661">
        <v>0</v>
      </c>
    </row>
    <row r="1662" spans="3:32" x14ac:dyDescent="0.35">
      <c r="C1662" s="1">
        <v>44456</v>
      </c>
      <c r="D1662" s="2">
        <v>44440</v>
      </c>
      <c r="E1662">
        <v>1741</v>
      </c>
      <c r="F1662" s="3">
        <v>4600.92</v>
      </c>
      <c r="G1662" s="3">
        <v>1713.88</v>
      </c>
      <c r="H1662" s="3">
        <v>2887.04</v>
      </c>
      <c r="I1662" s="3">
        <v>0.37</v>
      </c>
      <c r="J1662">
        <v>0.24</v>
      </c>
      <c r="K1662">
        <v>3231.79</v>
      </c>
      <c r="L1662" t="s">
        <v>35</v>
      </c>
      <c r="M1662">
        <v>654</v>
      </c>
      <c r="N1662">
        <v>0.51</v>
      </c>
      <c r="O1662" s="3">
        <v>746.07</v>
      </c>
      <c r="P1662" s="3">
        <v>0.16</v>
      </c>
      <c r="Q1662" s="3">
        <v>154.04</v>
      </c>
      <c r="R1662" s="3">
        <v>0.03</v>
      </c>
      <c r="S1662">
        <v>1</v>
      </c>
      <c r="T1662">
        <v>1294.22</v>
      </c>
      <c r="U1662">
        <v>69</v>
      </c>
      <c r="V1662">
        <v>0</v>
      </c>
      <c r="W1662">
        <v>527.33000000000004</v>
      </c>
      <c r="X1662">
        <v>1536.2</v>
      </c>
      <c r="Y1662" t="s">
        <v>31</v>
      </c>
      <c r="Z1662" s="3">
        <v>1125.3499999999999</v>
      </c>
      <c r="AA1662" t="s">
        <v>50</v>
      </c>
      <c r="AB1662" t="s">
        <v>42</v>
      </c>
      <c r="AC1662">
        <v>27.4</v>
      </c>
      <c r="AD1662" t="s">
        <v>34</v>
      </c>
      <c r="AE1662">
        <v>2887.04</v>
      </c>
      <c r="AF1662">
        <v>0</v>
      </c>
    </row>
    <row r="1663" spans="3:32" x14ac:dyDescent="0.35">
      <c r="C1663" s="1">
        <v>44456</v>
      </c>
      <c r="D1663" s="2">
        <v>44440</v>
      </c>
      <c r="E1663">
        <v>1805</v>
      </c>
      <c r="F1663" s="3">
        <v>4401.9399999999996</v>
      </c>
      <c r="G1663" s="3">
        <v>3683.42</v>
      </c>
      <c r="H1663" s="3">
        <v>718.52</v>
      </c>
      <c r="I1663" s="3">
        <v>0.84</v>
      </c>
      <c r="J1663">
        <v>0.21</v>
      </c>
      <c r="K1663">
        <v>3038.19</v>
      </c>
      <c r="L1663" t="s">
        <v>35</v>
      </c>
      <c r="M1663">
        <v>713</v>
      </c>
      <c r="N1663">
        <v>0.27</v>
      </c>
      <c r="O1663" s="3">
        <v>269.95</v>
      </c>
      <c r="P1663" s="3">
        <v>0.06</v>
      </c>
      <c r="Q1663" s="3">
        <v>1027.3399999999999</v>
      </c>
      <c r="R1663" s="3">
        <v>0.23</v>
      </c>
      <c r="S1663">
        <v>4</v>
      </c>
      <c r="T1663">
        <v>1082.75</v>
      </c>
      <c r="U1663">
        <v>46</v>
      </c>
      <c r="V1663">
        <v>0</v>
      </c>
      <c r="W1663">
        <v>700.87</v>
      </c>
      <c r="X1663">
        <v>2832.69</v>
      </c>
      <c r="Y1663" t="s">
        <v>31</v>
      </c>
      <c r="Z1663" s="3">
        <v>1234.42</v>
      </c>
      <c r="AA1663" t="s">
        <v>47</v>
      </c>
      <c r="AB1663" t="s">
        <v>33</v>
      </c>
      <c r="AC1663">
        <v>86.6</v>
      </c>
      <c r="AD1663" t="s">
        <v>43</v>
      </c>
      <c r="AE1663">
        <v>718.52</v>
      </c>
      <c r="AF1663">
        <v>0</v>
      </c>
    </row>
    <row r="1664" spans="3:32" x14ac:dyDescent="0.35">
      <c r="C1664" s="1">
        <v>44456</v>
      </c>
      <c r="D1664" s="2">
        <v>44440</v>
      </c>
      <c r="E1664">
        <v>1043</v>
      </c>
      <c r="F1664" s="3">
        <v>3802.14</v>
      </c>
      <c r="G1664" s="3">
        <v>3100.35</v>
      </c>
      <c r="H1664" s="3">
        <v>701.79</v>
      </c>
      <c r="I1664" s="3">
        <v>0.82</v>
      </c>
      <c r="J1664">
        <v>0.19</v>
      </c>
      <c r="K1664">
        <v>2908.44</v>
      </c>
      <c r="L1664" t="s">
        <v>39</v>
      </c>
      <c r="M1664">
        <v>708</v>
      </c>
      <c r="N1664">
        <v>0.11</v>
      </c>
      <c r="O1664" s="3">
        <v>738.5</v>
      </c>
      <c r="P1664" s="3">
        <v>0.19</v>
      </c>
      <c r="Q1664" s="3">
        <v>429.62</v>
      </c>
      <c r="R1664" s="3">
        <v>0.11</v>
      </c>
      <c r="S1664">
        <v>3</v>
      </c>
      <c r="T1664">
        <v>1209.07</v>
      </c>
      <c r="U1664">
        <v>42</v>
      </c>
      <c r="V1664">
        <v>0</v>
      </c>
      <c r="W1664">
        <v>348.63</v>
      </c>
      <c r="X1664">
        <v>1936.03</v>
      </c>
      <c r="Y1664" t="s">
        <v>36</v>
      </c>
      <c r="Z1664" s="3">
        <v>1297.28</v>
      </c>
      <c r="AA1664" t="s">
        <v>40</v>
      </c>
      <c r="AB1664" t="s">
        <v>33</v>
      </c>
      <c r="AC1664">
        <v>69.2</v>
      </c>
      <c r="AD1664" t="s">
        <v>38</v>
      </c>
      <c r="AE1664">
        <v>701.79</v>
      </c>
      <c r="AF1664">
        <v>0</v>
      </c>
    </row>
    <row r="1665" spans="3:32" x14ac:dyDescent="0.35">
      <c r="C1665" s="1">
        <v>44456</v>
      </c>
      <c r="D1665" s="2">
        <v>44440</v>
      </c>
      <c r="E1665">
        <v>1311</v>
      </c>
      <c r="F1665" s="3">
        <v>3043.73</v>
      </c>
      <c r="G1665" s="3">
        <v>2610.81</v>
      </c>
      <c r="H1665" s="3">
        <v>432.92</v>
      </c>
      <c r="I1665" s="3">
        <v>0.86</v>
      </c>
      <c r="J1665">
        <v>0.33</v>
      </c>
      <c r="K1665">
        <v>1881.46</v>
      </c>
      <c r="L1665" t="s">
        <v>35</v>
      </c>
      <c r="M1665">
        <v>636</v>
      </c>
      <c r="N1665">
        <v>0.55000000000000004</v>
      </c>
      <c r="O1665" s="3">
        <v>547.48</v>
      </c>
      <c r="P1665" s="3">
        <v>0.18</v>
      </c>
      <c r="Q1665" s="3">
        <v>91.77</v>
      </c>
      <c r="R1665" s="3">
        <v>0.03</v>
      </c>
      <c r="S1665">
        <v>3</v>
      </c>
      <c r="T1665">
        <v>187.59</v>
      </c>
      <c r="U1665">
        <v>31</v>
      </c>
      <c r="V1665">
        <v>1</v>
      </c>
      <c r="W1665">
        <v>625.70000000000005</v>
      </c>
      <c r="X1665">
        <v>3281.68</v>
      </c>
      <c r="Y1665" t="s">
        <v>36</v>
      </c>
      <c r="Z1665" s="3">
        <v>1339.25</v>
      </c>
      <c r="AA1665" t="s">
        <v>37</v>
      </c>
      <c r="AB1665" t="s">
        <v>33</v>
      </c>
      <c r="AC1665">
        <v>2.9</v>
      </c>
      <c r="AD1665" t="s">
        <v>38</v>
      </c>
      <c r="AE1665">
        <v>432.92</v>
      </c>
      <c r="AF1665">
        <v>0</v>
      </c>
    </row>
    <row r="1666" spans="3:32" x14ac:dyDescent="0.35">
      <c r="C1666" s="1">
        <v>44456</v>
      </c>
      <c r="D1666" s="2">
        <v>44440</v>
      </c>
      <c r="E1666">
        <v>1530</v>
      </c>
      <c r="F1666" s="3">
        <v>3471.8</v>
      </c>
      <c r="G1666" s="3">
        <v>4290.5200000000004</v>
      </c>
      <c r="H1666" s="3">
        <v>-818.72</v>
      </c>
      <c r="I1666" s="3">
        <v>1.24</v>
      </c>
      <c r="J1666">
        <v>0.22</v>
      </c>
      <c r="K1666">
        <v>3042.14</v>
      </c>
      <c r="L1666" t="s">
        <v>39</v>
      </c>
      <c r="M1666">
        <v>579</v>
      </c>
      <c r="N1666">
        <v>0.18</v>
      </c>
      <c r="O1666" s="3">
        <v>285.69</v>
      </c>
      <c r="P1666" s="3">
        <v>0.08</v>
      </c>
      <c r="Q1666" s="3">
        <v>590.11</v>
      </c>
      <c r="R1666" s="3">
        <v>0.17</v>
      </c>
      <c r="S1666">
        <v>6</v>
      </c>
      <c r="T1666">
        <v>952.09</v>
      </c>
      <c r="U1666">
        <v>51</v>
      </c>
      <c r="V1666">
        <v>0</v>
      </c>
      <c r="W1666">
        <v>348.06</v>
      </c>
      <c r="X1666">
        <v>1999.08</v>
      </c>
      <c r="Y1666" t="s">
        <v>36</v>
      </c>
      <c r="Z1666" s="3">
        <v>1722.17</v>
      </c>
      <c r="AA1666" t="s">
        <v>47</v>
      </c>
      <c r="AB1666" t="s">
        <v>33</v>
      </c>
      <c r="AC1666">
        <v>71</v>
      </c>
      <c r="AD1666" t="s">
        <v>34</v>
      </c>
      <c r="AE1666">
        <v>0</v>
      </c>
      <c r="AF1666">
        <v>0</v>
      </c>
    </row>
    <row r="1667" spans="3:32" x14ac:dyDescent="0.35">
      <c r="C1667" s="1">
        <v>44456</v>
      </c>
      <c r="D1667" s="2">
        <v>44440</v>
      </c>
      <c r="E1667">
        <v>1586</v>
      </c>
      <c r="F1667" s="3">
        <v>4726.0200000000004</v>
      </c>
      <c r="G1667" s="3">
        <v>2220.67</v>
      </c>
      <c r="H1667" s="3">
        <v>2505.35</v>
      </c>
      <c r="I1667" s="3">
        <v>0.47</v>
      </c>
      <c r="J1667">
        <v>0.22</v>
      </c>
      <c r="K1667">
        <v>2081.31</v>
      </c>
      <c r="L1667" t="s">
        <v>39</v>
      </c>
      <c r="M1667">
        <v>709</v>
      </c>
      <c r="N1667">
        <v>0.5</v>
      </c>
      <c r="O1667" s="3">
        <v>534.19000000000005</v>
      </c>
      <c r="P1667" s="3">
        <v>0.11</v>
      </c>
      <c r="Q1667" s="3">
        <v>412.02</v>
      </c>
      <c r="R1667" s="3">
        <v>0.09</v>
      </c>
      <c r="S1667">
        <v>3</v>
      </c>
      <c r="T1667">
        <v>1394.02</v>
      </c>
      <c r="U1667">
        <v>33</v>
      </c>
      <c r="V1667">
        <v>0</v>
      </c>
      <c r="W1667">
        <v>771.75</v>
      </c>
      <c r="X1667">
        <v>2093.4499999999998</v>
      </c>
      <c r="Y1667" t="s">
        <v>36</v>
      </c>
      <c r="Z1667" s="3">
        <v>1751.94</v>
      </c>
      <c r="AA1667" t="s">
        <v>32</v>
      </c>
      <c r="AB1667" t="s">
        <v>33</v>
      </c>
      <c r="AC1667">
        <v>47.6</v>
      </c>
      <c r="AD1667" t="s">
        <v>43</v>
      </c>
      <c r="AE1667">
        <v>2505.35</v>
      </c>
      <c r="AF1667">
        <v>1</v>
      </c>
    </row>
    <row r="1668" spans="3:32" x14ac:dyDescent="0.35">
      <c r="C1668" s="1">
        <v>44456</v>
      </c>
      <c r="D1668" s="2">
        <v>44440</v>
      </c>
      <c r="E1668">
        <v>1529</v>
      </c>
      <c r="F1668" s="3">
        <v>3500.91</v>
      </c>
      <c r="G1668" s="3">
        <v>4130.3599999999997</v>
      </c>
      <c r="H1668" s="3">
        <v>-629.45000000000005</v>
      </c>
      <c r="I1668" s="3">
        <v>1.18</v>
      </c>
      <c r="J1668">
        <v>0.37</v>
      </c>
      <c r="K1668">
        <v>3043.75</v>
      </c>
      <c r="L1668" t="s">
        <v>35</v>
      </c>
      <c r="M1668">
        <v>738</v>
      </c>
      <c r="N1668">
        <v>0.4</v>
      </c>
      <c r="O1668" s="3">
        <v>833.44</v>
      </c>
      <c r="P1668" s="3">
        <v>0.24</v>
      </c>
      <c r="Q1668" s="3">
        <v>612.71</v>
      </c>
      <c r="R1668" s="3">
        <v>0.18</v>
      </c>
      <c r="S1668">
        <v>6</v>
      </c>
      <c r="T1668">
        <v>979.74</v>
      </c>
      <c r="U1668">
        <v>60</v>
      </c>
      <c r="V1668">
        <v>0</v>
      </c>
      <c r="W1668">
        <v>589.95000000000005</v>
      </c>
      <c r="X1668">
        <v>2650.27</v>
      </c>
      <c r="Y1668" t="s">
        <v>36</v>
      </c>
      <c r="Z1668" s="3">
        <v>481.75</v>
      </c>
      <c r="AA1668" t="s">
        <v>48</v>
      </c>
      <c r="AB1668" t="s">
        <v>33</v>
      </c>
      <c r="AC1668">
        <v>40.4</v>
      </c>
      <c r="AD1668" t="s">
        <v>43</v>
      </c>
      <c r="AE1668">
        <v>0</v>
      </c>
      <c r="AF1668">
        <v>0</v>
      </c>
    </row>
    <row r="1669" spans="3:32" x14ac:dyDescent="0.35">
      <c r="C1669" s="1">
        <v>44456</v>
      </c>
      <c r="D1669" s="2">
        <v>44440</v>
      </c>
      <c r="E1669">
        <v>1199</v>
      </c>
      <c r="F1669" s="3">
        <v>2067.7199999999998</v>
      </c>
      <c r="G1669" s="3">
        <v>2710.95</v>
      </c>
      <c r="H1669" s="3">
        <v>-643.23</v>
      </c>
      <c r="I1669" s="3">
        <v>1.31</v>
      </c>
      <c r="J1669">
        <v>0.12</v>
      </c>
      <c r="K1669">
        <v>3783.45</v>
      </c>
      <c r="L1669" t="s">
        <v>35</v>
      </c>
      <c r="M1669">
        <v>622</v>
      </c>
      <c r="N1669">
        <v>0.2</v>
      </c>
      <c r="O1669" s="3">
        <v>250.13</v>
      </c>
      <c r="P1669" s="3">
        <v>0.12</v>
      </c>
      <c r="Q1669" s="3">
        <v>520.29999999999995</v>
      </c>
      <c r="R1669" s="3">
        <v>0.25</v>
      </c>
      <c r="S1669">
        <v>1</v>
      </c>
      <c r="T1669">
        <v>891.84</v>
      </c>
      <c r="U1669">
        <v>28</v>
      </c>
      <c r="V1669">
        <v>0</v>
      </c>
      <c r="W1669">
        <v>320.48</v>
      </c>
      <c r="X1669">
        <v>1666.2</v>
      </c>
      <c r="Y1669" t="s">
        <v>36</v>
      </c>
      <c r="Z1669" s="3">
        <v>1425.06</v>
      </c>
      <c r="AA1669" t="s">
        <v>51</v>
      </c>
      <c r="AB1669" t="s">
        <v>42</v>
      </c>
      <c r="AC1669">
        <v>97.5</v>
      </c>
      <c r="AD1669" t="s">
        <v>43</v>
      </c>
      <c r="AE1669">
        <v>0</v>
      </c>
      <c r="AF1669">
        <v>0</v>
      </c>
    </row>
    <row r="1670" spans="3:32" x14ac:dyDescent="0.35">
      <c r="C1670" s="1">
        <v>44456</v>
      </c>
      <c r="D1670" s="2">
        <v>44440</v>
      </c>
      <c r="E1670">
        <v>1521</v>
      </c>
      <c r="F1670" s="3">
        <v>4685.76</v>
      </c>
      <c r="G1670" s="3">
        <v>2810.71</v>
      </c>
      <c r="H1670" s="3">
        <v>1875.05</v>
      </c>
      <c r="I1670" s="3">
        <v>0.6</v>
      </c>
      <c r="J1670">
        <v>0.34</v>
      </c>
      <c r="K1670">
        <v>3239.07</v>
      </c>
      <c r="L1670" t="s">
        <v>30</v>
      </c>
      <c r="M1670">
        <v>649</v>
      </c>
      <c r="N1670">
        <v>0.12</v>
      </c>
      <c r="O1670" s="3">
        <v>598.9</v>
      </c>
      <c r="P1670" s="3">
        <v>0.13</v>
      </c>
      <c r="Q1670" s="3">
        <v>60.52</v>
      </c>
      <c r="R1670" s="3">
        <v>0.01</v>
      </c>
      <c r="S1670">
        <v>2</v>
      </c>
      <c r="T1670">
        <v>1015.86</v>
      </c>
      <c r="U1670">
        <v>51</v>
      </c>
      <c r="V1670">
        <v>0</v>
      </c>
      <c r="W1670">
        <v>394.6</v>
      </c>
      <c r="X1670">
        <v>3227.63</v>
      </c>
      <c r="Y1670" t="s">
        <v>36</v>
      </c>
      <c r="Z1670" s="3">
        <v>1439.28</v>
      </c>
      <c r="AA1670" t="s">
        <v>47</v>
      </c>
      <c r="AB1670" t="s">
        <v>42</v>
      </c>
      <c r="AC1670">
        <v>32</v>
      </c>
      <c r="AD1670" t="s">
        <v>34</v>
      </c>
      <c r="AE1670">
        <v>1875.05</v>
      </c>
      <c r="AF1670">
        <v>0</v>
      </c>
    </row>
    <row r="1671" spans="3:32" x14ac:dyDescent="0.35">
      <c r="C1671" s="1">
        <v>44456</v>
      </c>
      <c r="D1671" s="2">
        <v>44440</v>
      </c>
      <c r="E1671">
        <v>1155</v>
      </c>
      <c r="F1671" s="3">
        <v>4176.33</v>
      </c>
      <c r="G1671" s="3">
        <v>3309.43</v>
      </c>
      <c r="H1671" s="3">
        <v>866.9</v>
      </c>
      <c r="I1671" s="3">
        <v>0.79</v>
      </c>
      <c r="J1671">
        <v>0.25</v>
      </c>
      <c r="K1671">
        <v>2199.5100000000002</v>
      </c>
      <c r="L1671" t="s">
        <v>39</v>
      </c>
      <c r="M1671">
        <v>664</v>
      </c>
      <c r="N1671">
        <v>0.22</v>
      </c>
      <c r="O1671" s="3">
        <v>411.23</v>
      </c>
      <c r="P1671" s="3">
        <v>0.1</v>
      </c>
      <c r="Q1671" s="3">
        <v>141.49</v>
      </c>
      <c r="R1671" s="3">
        <v>0.03</v>
      </c>
      <c r="S1671">
        <v>6</v>
      </c>
      <c r="T1671">
        <v>1764.29</v>
      </c>
      <c r="U1671">
        <v>24</v>
      </c>
      <c r="V1671">
        <v>0</v>
      </c>
      <c r="W1671">
        <v>521</v>
      </c>
      <c r="X1671">
        <v>1801.76</v>
      </c>
      <c r="Y1671" t="s">
        <v>36</v>
      </c>
      <c r="Z1671" s="3">
        <v>1529.15</v>
      </c>
      <c r="AA1671" t="s">
        <v>46</v>
      </c>
      <c r="AB1671" t="s">
        <v>42</v>
      </c>
      <c r="AC1671">
        <v>78.3</v>
      </c>
      <c r="AD1671" t="s">
        <v>38</v>
      </c>
      <c r="AE1671">
        <v>866.9</v>
      </c>
      <c r="AF1671">
        <v>0</v>
      </c>
    </row>
    <row r="1672" spans="3:32" x14ac:dyDescent="0.35">
      <c r="C1672" s="1">
        <v>44456</v>
      </c>
      <c r="D1672" s="2">
        <v>44440</v>
      </c>
      <c r="E1672">
        <v>1659</v>
      </c>
      <c r="F1672" s="3">
        <v>4352.82</v>
      </c>
      <c r="G1672" s="3">
        <v>3150.71</v>
      </c>
      <c r="H1672" s="3">
        <v>1202.1099999999999</v>
      </c>
      <c r="I1672" s="3">
        <v>0.72</v>
      </c>
      <c r="J1672">
        <v>0.12</v>
      </c>
      <c r="K1672">
        <v>1930.75</v>
      </c>
      <c r="L1672" t="s">
        <v>35</v>
      </c>
      <c r="M1672">
        <v>563</v>
      </c>
      <c r="N1672">
        <v>0.38</v>
      </c>
      <c r="O1672" s="3">
        <v>569.76</v>
      </c>
      <c r="P1672" s="3">
        <v>0.13</v>
      </c>
      <c r="Q1672" s="3">
        <v>413.76</v>
      </c>
      <c r="R1672" s="3">
        <v>0.1</v>
      </c>
      <c r="S1672">
        <v>7</v>
      </c>
      <c r="T1672">
        <v>803.76</v>
      </c>
      <c r="U1672">
        <v>99</v>
      </c>
      <c r="V1672">
        <v>0</v>
      </c>
      <c r="W1672">
        <v>802.27</v>
      </c>
      <c r="X1672">
        <v>1045.17</v>
      </c>
      <c r="Y1672" t="s">
        <v>49</v>
      </c>
      <c r="Z1672" s="3">
        <v>862.82</v>
      </c>
      <c r="AA1672" t="s">
        <v>48</v>
      </c>
      <c r="AB1672" t="s">
        <v>33</v>
      </c>
      <c r="AC1672">
        <v>5.0999999999999996</v>
      </c>
      <c r="AD1672" t="s">
        <v>34</v>
      </c>
      <c r="AE1672">
        <v>1202.1099999999999</v>
      </c>
      <c r="AF1672">
        <v>0</v>
      </c>
    </row>
    <row r="1673" spans="3:32" x14ac:dyDescent="0.35">
      <c r="C1673" s="1">
        <v>44456</v>
      </c>
      <c r="D1673" s="2">
        <v>44440</v>
      </c>
      <c r="E1673">
        <v>1479</v>
      </c>
      <c r="F1673" s="3">
        <v>3731.63</v>
      </c>
      <c r="G1673" s="3">
        <v>3630.44</v>
      </c>
      <c r="H1673" s="3">
        <v>101.19</v>
      </c>
      <c r="I1673" s="3">
        <v>0.97</v>
      </c>
      <c r="J1673">
        <v>0.22</v>
      </c>
      <c r="K1673">
        <v>3251.81</v>
      </c>
      <c r="L1673" t="s">
        <v>35</v>
      </c>
      <c r="M1673">
        <v>686</v>
      </c>
      <c r="N1673">
        <v>0.45</v>
      </c>
      <c r="O1673" s="3">
        <v>578.6</v>
      </c>
      <c r="P1673" s="3">
        <v>0.16</v>
      </c>
      <c r="Q1673" s="3">
        <v>592.83000000000004</v>
      </c>
      <c r="R1673" s="3">
        <v>0.16</v>
      </c>
      <c r="S1673">
        <v>7</v>
      </c>
      <c r="T1673">
        <v>920.03</v>
      </c>
      <c r="U1673">
        <v>93</v>
      </c>
      <c r="V1673">
        <v>1</v>
      </c>
      <c r="W1673">
        <v>398.36</v>
      </c>
      <c r="X1673">
        <v>2282.5100000000002</v>
      </c>
      <c r="Y1673" t="s">
        <v>36</v>
      </c>
      <c r="Z1673" s="3">
        <v>1421.51</v>
      </c>
      <c r="AA1673" t="s">
        <v>51</v>
      </c>
      <c r="AB1673" t="s">
        <v>42</v>
      </c>
      <c r="AC1673">
        <v>90.6</v>
      </c>
      <c r="AD1673" t="s">
        <v>43</v>
      </c>
      <c r="AE1673">
        <v>101.19</v>
      </c>
      <c r="AF1673">
        <v>0</v>
      </c>
    </row>
    <row r="1674" spans="3:32" x14ac:dyDescent="0.35">
      <c r="C1674" s="1">
        <v>44456</v>
      </c>
      <c r="D1674" s="2">
        <v>44440</v>
      </c>
      <c r="E1674">
        <v>1704</v>
      </c>
      <c r="F1674" s="3">
        <v>4875.42</v>
      </c>
      <c r="G1674" s="3">
        <v>2179.69</v>
      </c>
      <c r="H1674" s="3">
        <v>2695.73</v>
      </c>
      <c r="I1674" s="3">
        <v>0.45</v>
      </c>
      <c r="J1674">
        <v>0.18</v>
      </c>
      <c r="K1674">
        <v>2850.22</v>
      </c>
      <c r="L1674" t="s">
        <v>35</v>
      </c>
      <c r="M1674">
        <v>783</v>
      </c>
      <c r="N1674">
        <v>0.25</v>
      </c>
      <c r="O1674" s="3">
        <v>276.25</v>
      </c>
      <c r="P1674" s="3">
        <v>0.06</v>
      </c>
      <c r="Q1674" s="3">
        <v>235.28</v>
      </c>
      <c r="R1674" s="3">
        <v>0.05</v>
      </c>
      <c r="S1674">
        <v>5</v>
      </c>
      <c r="T1674">
        <v>1478.71</v>
      </c>
      <c r="U1674">
        <v>24</v>
      </c>
      <c r="V1674">
        <v>0</v>
      </c>
      <c r="W1674">
        <v>451.73</v>
      </c>
      <c r="X1674">
        <v>2603.85</v>
      </c>
      <c r="Y1674" t="s">
        <v>36</v>
      </c>
      <c r="Z1674" s="3">
        <v>1053.6099999999999</v>
      </c>
      <c r="AA1674" t="s">
        <v>41</v>
      </c>
      <c r="AB1674" t="s">
        <v>33</v>
      </c>
      <c r="AC1674">
        <v>38.4</v>
      </c>
      <c r="AD1674" t="s">
        <v>34</v>
      </c>
      <c r="AE1674">
        <v>2695.73</v>
      </c>
      <c r="AF1674">
        <v>0</v>
      </c>
    </row>
    <row r="1675" spans="3:32" x14ac:dyDescent="0.35">
      <c r="C1675" s="1">
        <v>44456</v>
      </c>
      <c r="D1675" s="2">
        <v>44440</v>
      </c>
      <c r="E1675">
        <v>1762</v>
      </c>
      <c r="F1675" s="3">
        <v>4400.6099999999997</v>
      </c>
      <c r="G1675" s="3">
        <v>2995.2</v>
      </c>
      <c r="H1675" s="3">
        <v>1405.41</v>
      </c>
      <c r="I1675" s="3">
        <v>0.68</v>
      </c>
      <c r="J1675">
        <v>0.22</v>
      </c>
      <c r="K1675">
        <v>2811.45</v>
      </c>
      <c r="L1675" t="s">
        <v>35</v>
      </c>
      <c r="M1675">
        <v>630</v>
      </c>
      <c r="N1675">
        <v>0.19</v>
      </c>
      <c r="O1675" s="3">
        <v>390.18</v>
      </c>
      <c r="P1675" s="3">
        <v>0.09</v>
      </c>
      <c r="Q1675" s="3">
        <v>576.29</v>
      </c>
      <c r="R1675" s="3">
        <v>0.13</v>
      </c>
      <c r="S1675">
        <v>8</v>
      </c>
      <c r="T1675">
        <v>1005.54</v>
      </c>
      <c r="U1675">
        <v>92</v>
      </c>
      <c r="V1675">
        <v>0</v>
      </c>
      <c r="W1675">
        <v>836.01</v>
      </c>
      <c r="X1675">
        <v>1171.9000000000001</v>
      </c>
      <c r="Y1675" t="s">
        <v>49</v>
      </c>
      <c r="Z1675" s="3">
        <v>1255.79</v>
      </c>
      <c r="AA1675" t="s">
        <v>50</v>
      </c>
      <c r="AB1675" t="s">
        <v>42</v>
      </c>
      <c r="AC1675">
        <v>14.4</v>
      </c>
      <c r="AD1675" t="s">
        <v>43</v>
      </c>
      <c r="AE1675">
        <v>1405.41</v>
      </c>
      <c r="AF1675">
        <v>0</v>
      </c>
    </row>
    <row r="1676" spans="3:32" x14ac:dyDescent="0.35">
      <c r="C1676" s="1">
        <v>44456</v>
      </c>
      <c r="D1676" s="2">
        <v>44440</v>
      </c>
      <c r="E1676">
        <v>1134</v>
      </c>
      <c r="F1676" s="3">
        <v>3484.11</v>
      </c>
      <c r="G1676" s="3">
        <v>2959.85</v>
      </c>
      <c r="H1676" s="3">
        <v>524.26</v>
      </c>
      <c r="I1676" s="3">
        <v>0.85</v>
      </c>
      <c r="J1676">
        <v>0.21</v>
      </c>
      <c r="K1676">
        <v>3149.1</v>
      </c>
      <c r="L1676" t="s">
        <v>30</v>
      </c>
      <c r="M1676">
        <v>684</v>
      </c>
      <c r="N1676">
        <v>0.15</v>
      </c>
      <c r="O1676" s="3">
        <v>429.55</v>
      </c>
      <c r="P1676" s="3">
        <v>0.12</v>
      </c>
      <c r="Q1676" s="3">
        <v>215.99</v>
      </c>
      <c r="R1676" s="3">
        <v>0.06</v>
      </c>
      <c r="S1676">
        <v>5</v>
      </c>
      <c r="T1676">
        <v>1163.28</v>
      </c>
      <c r="U1676">
        <v>62</v>
      </c>
      <c r="V1676">
        <v>0</v>
      </c>
      <c r="W1676">
        <v>576.61</v>
      </c>
      <c r="X1676">
        <v>2057.9899999999998</v>
      </c>
      <c r="Y1676" t="s">
        <v>31</v>
      </c>
      <c r="Z1676" s="3">
        <v>935.74</v>
      </c>
      <c r="AA1676" t="s">
        <v>48</v>
      </c>
      <c r="AB1676" t="s">
        <v>44</v>
      </c>
      <c r="AC1676">
        <v>16.3</v>
      </c>
      <c r="AD1676" t="s">
        <v>34</v>
      </c>
      <c r="AE1676">
        <v>524.26</v>
      </c>
      <c r="AF1676">
        <v>0</v>
      </c>
    </row>
    <row r="1677" spans="3:32" x14ac:dyDescent="0.35">
      <c r="C1677" s="1">
        <v>44456</v>
      </c>
      <c r="D1677" s="2">
        <v>44440</v>
      </c>
      <c r="E1677">
        <v>1182</v>
      </c>
      <c r="F1677" s="3">
        <v>2742.34</v>
      </c>
      <c r="G1677" s="3">
        <v>3436.62</v>
      </c>
      <c r="H1677" s="3">
        <v>-694.28</v>
      </c>
      <c r="I1677" s="3">
        <v>1.25</v>
      </c>
      <c r="J1677">
        <v>0.17</v>
      </c>
      <c r="K1677">
        <v>4121.1000000000004</v>
      </c>
      <c r="L1677" t="s">
        <v>35</v>
      </c>
      <c r="M1677">
        <v>742</v>
      </c>
      <c r="N1677">
        <v>0.55000000000000004</v>
      </c>
      <c r="O1677" s="3">
        <v>398.72</v>
      </c>
      <c r="P1677" s="3">
        <v>0.15</v>
      </c>
      <c r="Q1677" s="3">
        <v>698.74</v>
      </c>
      <c r="R1677" s="3">
        <v>0.25</v>
      </c>
      <c r="S1677">
        <v>5</v>
      </c>
      <c r="T1677">
        <v>1623.95</v>
      </c>
      <c r="U1677">
        <v>77</v>
      </c>
      <c r="V1677">
        <v>0</v>
      </c>
      <c r="W1677">
        <v>196.09</v>
      </c>
      <c r="X1677">
        <v>1701.61</v>
      </c>
      <c r="Y1677" t="s">
        <v>36</v>
      </c>
      <c r="Z1677" s="3">
        <v>2048.6</v>
      </c>
      <c r="AA1677" t="s">
        <v>46</v>
      </c>
      <c r="AB1677" t="s">
        <v>42</v>
      </c>
      <c r="AC1677">
        <v>35</v>
      </c>
      <c r="AD1677" t="s">
        <v>43</v>
      </c>
      <c r="AE1677">
        <v>0</v>
      </c>
      <c r="AF1677">
        <v>0</v>
      </c>
    </row>
    <row r="1678" spans="3:32" x14ac:dyDescent="0.35">
      <c r="C1678" s="1">
        <v>44456</v>
      </c>
      <c r="D1678" s="2">
        <v>44440</v>
      </c>
      <c r="E1678">
        <v>1427</v>
      </c>
      <c r="F1678" s="3">
        <v>3755.48</v>
      </c>
      <c r="G1678" s="3">
        <v>2775.44</v>
      </c>
      <c r="H1678" s="3">
        <v>980.04</v>
      </c>
      <c r="I1678" s="3">
        <v>0.74</v>
      </c>
      <c r="J1678">
        <v>0.26</v>
      </c>
      <c r="K1678">
        <v>1836.01</v>
      </c>
      <c r="L1678" t="s">
        <v>39</v>
      </c>
      <c r="M1678">
        <v>702</v>
      </c>
      <c r="N1678">
        <v>0.36</v>
      </c>
      <c r="O1678" s="3">
        <v>577.77</v>
      </c>
      <c r="P1678" s="3">
        <v>0.15</v>
      </c>
      <c r="Q1678" s="3">
        <v>374.88</v>
      </c>
      <c r="R1678" s="3">
        <v>0.1</v>
      </c>
      <c r="S1678">
        <v>8</v>
      </c>
      <c r="T1678">
        <v>1457.83</v>
      </c>
      <c r="U1678">
        <v>51</v>
      </c>
      <c r="V1678">
        <v>0</v>
      </c>
      <c r="W1678">
        <v>544.51</v>
      </c>
      <c r="X1678">
        <v>2032.99</v>
      </c>
      <c r="Y1678" t="s">
        <v>36</v>
      </c>
      <c r="Z1678" s="3">
        <v>1312.42</v>
      </c>
      <c r="AA1678" t="s">
        <v>40</v>
      </c>
      <c r="AB1678" t="s">
        <v>33</v>
      </c>
      <c r="AC1678">
        <v>57.1</v>
      </c>
      <c r="AD1678" t="s">
        <v>43</v>
      </c>
      <c r="AE1678">
        <v>980.04</v>
      </c>
      <c r="AF1678">
        <v>0</v>
      </c>
    </row>
    <row r="1679" spans="3:32" x14ac:dyDescent="0.35">
      <c r="C1679" s="1">
        <v>44456</v>
      </c>
      <c r="D1679" s="2">
        <v>44440</v>
      </c>
      <c r="E1679">
        <v>1313</v>
      </c>
      <c r="F1679" s="3">
        <v>3465.48</v>
      </c>
      <c r="G1679" s="3">
        <v>812.73</v>
      </c>
      <c r="H1679" s="3">
        <v>2652.75</v>
      </c>
      <c r="I1679" s="3">
        <v>0.23</v>
      </c>
      <c r="J1679">
        <v>0.27</v>
      </c>
      <c r="K1679">
        <v>3439.43</v>
      </c>
      <c r="L1679" t="s">
        <v>30</v>
      </c>
      <c r="M1679">
        <v>723</v>
      </c>
      <c r="N1679">
        <v>0.17</v>
      </c>
      <c r="O1679" s="3">
        <v>366.48</v>
      </c>
      <c r="P1679" s="3">
        <v>0.11</v>
      </c>
      <c r="Q1679" s="3">
        <v>438.91</v>
      </c>
      <c r="R1679" s="3">
        <v>0.13</v>
      </c>
      <c r="S1679">
        <v>1</v>
      </c>
      <c r="T1679">
        <v>472.66</v>
      </c>
      <c r="U1679">
        <v>71</v>
      </c>
      <c r="V1679">
        <v>0</v>
      </c>
      <c r="W1679">
        <v>704.15</v>
      </c>
      <c r="X1679">
        <v>3518.15</v>
      </c>
      <c r="Y1679" t="s">
        <v>31</v>
      </c>
      <c r="Z1679" s="3">
        <v>753.28</v>
      </c>
      <c r="AA1679" t="s">
        <v>41</v>
      </c>
      <c r="AB1679" t="s">
        <v>33</v>
      </c>
      <c r="AC1679">
        <v>74.400000000000006</v>
      </c>
      <c r="AD1679" t="s">
        <v>43</v>
      </c>
      <c r="AE1679">
        <v>2652.75</v>
      </c>
      <c r="AF1679">
        <v>0</v>
      </c>
    </row>
    <row r="1680" spans="3:32" x14ac:dyDescent="0.35">
      <c r="C1680" s="1">
        <v>44456</v>
      </c>
      <c r="D1680" s="2">
        <v>44440</v>
      </c>
      <c r="E1680">
        <v>1378</v>
      </c>
      <c r="F1680" s="3">
        <v>4823.2</v>
      </c>
      <c r="G1680" s="3">
        <v>1341.46</v>
      </c>
      <c r="H1680" s="3">
        <v>3481.74</v>
      </c>
      <c r="I1680" s="3">
        <v>0.28000000000000003</v>
      </c>
      <c r="J1680">
        <v>0.4</v>
      </c>
      <c r="K1680">
        <v>3027.9</v>
      </c>
      <c r="L1680" t="s">
        <v>35</v>
      </c>
      <c r="M1680">
        <v>684</v>
      </c>
      <c r="N1680">
        <v>0.5</v>
      </c>
      <c r="O1680" s="3">
        <v>398.95</v>
      </c>
      <c r="P1680" s="3">
        <v>0.08</v>
      </c>
      <c r="Q1680" s="3">
        <v>222.28</v>
      </c>
      <c r="R1680" s="3">
        <v>0.05</v>
      </c>
      <c r="S1680">
        <v>5</v>
      </c>
      <c r="T1680">
        <v>859.5</v>
      </c>
      <c r="U1680">
        <v>57</v>
      </c>
      <c r="V1680">
        <v>0</v>
      </c>
      <c r="W1680">
        <v>472.96</v>
      </c>
      <c r="X1680">
        <v>1275.9000000000001</v>
      </c>
      <c r="Y1680" t="s">
        <v>36</v>
      </c>
      <c r="Z1680" s="3">
        <v>1667.87</v>
      </c>
      <c r="AA1680" t="s">
        <v>37</v>
      </c>
      <c r="AB1680" t="s">
        <v>42</v>
      </c>
      <c r="AC1680">
        <v>77.400000000000006</v>
      </c>
      <c r="AD1680" t="s">
        <v>38</v>
      </c>
      <c r="AE1680">
        <v>3481.74</v>
      </c>
      <c r="AF1680">
        <v>1</v>
      </c>
    </row>
    <row r="1681" spans="3:32" x14ac:dyDescent="0.35">
      <c r="C1681" s="1">
        <v>44456</v>
      </c>
      <c r="D1681" s="2">
        <v>44440</v>
      </c>
      <c r="E1681">
        <v>1623</v>
      </c>
      <c r="F1681" s="3">
        <v>5850.03</v>
      </c>
      <c r="G1681" s="3">
        <v>3600.78</v>
      </c>
      <c r="H1681" s="3">
        <v>2249.25</v>
      </c>
      <c r="I1681" s="3">
        <v>0.62</v>
      </c>
      <c r="J1681">
        <v>0.34</v>
      </c>
      <c r="K1681">
        <v>3021.81</v>
      </c>
      <c r="L1681" t="s">
        <v>30</v>
      </c>
      <c r="M1681">
        <v>640</v>
      </c>
      <c r="N1681">
        <v>0.21</v>
      </c>
      <c r="O1681" s="3">
        <v>0.76</v>
      </c>
      <c r="P1681" s="3">
        <v>0</v>
      </c>
      <c r="Q1681" s="3">
        <v>0</v>
      </c>
      <c r="R1681" s="3">
        <v>0</v>
      </c>
      <c r="S1681">
        <v>5</v>
      </c>
      <c r="T1681">
        <v>557.91999999999996</v>
      </c>
      <c r="U1681">
        <v>66</v>
      </c>
      <c r="V1681">
        <v>0</v>
      </c>
      <c r="W1681">
        <v>268.55</v>
      </c>
      <c r="X1681">
        <v>2139.14</v>
      </c>
      <c r="Y1681" t="s">
        <v>36</v>
      </c>
      <c r="Z1681" s="3">
        <v>1292.33</v>
      </c>
      <c r="AA1681" t="s">
        <v>45</v>
      </c>
      <c r="AB1681" t="s">
        <v>33</v>
      </c>
      <c r="AC1681">
        <v>60.9</v>
      </c>
      <c r="AD1681" t="s">
        <v>34</v>
      </c>
      <c r="AE1681">
        <v>2249.25</v>
      </c>
      <c r="AF1681">
        <v>0</v>
      </c>
    </row>
    <row r="1682" spans="3:32" x14ac:dyDescent="0.35">
      <c r="C1682" s="1">
        <v>44456</v>
      </c>
      <c r="D1682" s="2">
        <v>44440</v>
      </c>
      <c r="E1682">
        <v>1845</v>
      </c>
      <c r="F1682" s="3">
        <v>2112.75</v>
      </c>
      <c r="G1682" s="3">
        <v>2620.9499999999998</v>
      </c>
      <c r="H1682" s="3">
        <v>-508.2</v>
      </c>
      <c r="I1682" s="3">
        <v>1.24</v>
      </c>
      <c r="J1682">
        <v>0.18</v>
      </c>
      <c r="K1682">
        <v>2930.49</v>
      </c>
      <c r="L1682" t="s">
        <v>39</v>
      </c>
      <c r="M1682">
        <v>661</v>
      </c>
      <c r="N1682">
        <v>0.18</v>
      </c>
      <c r="O1682" s="3">
        <v>289.2</v>
      </c>
      <c r="P1682" s="3">
        <v>0.14000000000000001</v>
      </c>
      <c r="Q1682" s="3">
        <v>515.71</v>
      </c>
      <c r="R1682" s="3">
        <v>0.24</v>
      </c>
      <c r="S1682">
        <v>9</v>
      </c>
      <c r="T1682">
        <v>830.84</v>
      </c>
      <c r="U1682">
        <v>43</v>
      </c>
      <c r="V1682">
        <v>0</v>
      </c>
      <c r="W1682">
        <v>299.8</v>
      </c>
      <c r="X1682">
        <v>2587.25</v>
      </c>
      <c r="Y1682" t="s">
        <v>31</v>
      </c>
      <c r="Z1682" s="3">
        <v>1158.33</v>
      </c>
      <c r="AA1682" t="s">
        <v>45</v>
      </c>
      <c r="AB1682" t="s">
        <v>44</v>
      </c>
      <c r="AC1682">
        <v>16.7</v>
      </c>
      <c r="AD1682" t="s">
        <v>38</v>
      </c>
      <c r="AE1682">
        <v>0</v>
      </c>
      <c r="AF1682">
        <v>0</v>
      </c>
    </row>
    <row r="1683" spans="3:32" x14ac:dyDescent="0.35">
      <c r="C1683" s="1">
        <v>44456</v>
      </c>
      <c r="D1683" s="2">
        <v>44440</v>
      </c>
      <c r="E1683">
        <v>1513</v>
      </c>
      <c r="F1683" s="3">
        <v>3550.09</v>
      </c>
      <c r="G1683" s="3">
        <v>2241.6799999999998</v>
      </c>
      <c r="H1683" s="3">
        <v>1308.4100000000001</v>
      </c>
      <c r="I1683" s="3">
        <v>0.63</v>
      </c>
      <c r="J1683">
        <v>0.2</v>
      </c>
      <c r="K1683">
        <v>2879.42</v>
      </c>
      <c r="L1683" t="s">
        <v>35</v>
      </c>
      <c r="M1683">
        <v>587</v>
      </c>
      <c r="N1683">
        <v>0.34</v>
      </c>
      <c r="O1683" s="3">
        <v>697.57</v>
      </c>
      <c r="P1683" s="3">
        <v>0.2</v>
      </c>
      <c r="Q1683" s="3">
        <v>865.3</v>
      </c>
      <c r="R1683" s="3">
        <v>0.24</v>
      </c>
      <c r="S1683">
        <v>1</v>
      </c>
      <c r="T1683">
        <v>305.18</v>
      </c>
      <c r="U1683">
        <v>45</v>
      </c>
      <c r="V1683">
        <v>0</v>
      </c>
      <c r="W1683">
        <v>560.30999999999995</v>
      </c>
      <c r="X1683">
        <v>2884.83</v>
      </c>
      <c r="Y1683" t="s">
        <v>36</v>
      </c>
      <c r="Z1683" s="3">
        <v>943.14</v>
      </c>
      <c r="AA1683" t="s">
        <v>41</v>
      </c>
      <c r="AB1683" t="s">
        <v>33</v>
      </c>
      <c r="AC1683">
        <v>88</v>
      </c>
      <c r="AD1683" t="s">
        <v>43</v>
      </c>
      <c r="AE1683">
        <v>1308.4100000000001</v>
      </c>
      <c r="AF1683">
        <v>0</v>
      </c>
    </row>
    <row r="1684" spans="3:32" x14ac:dyDescent="0.35">
      <c r="C1684" s="1">
        <v>44456</v>
      </c>
      <c r="D1684" s="2">
        <v>44440</v>
      </c>
      <c r="E1684">
        <v>1311</v>
      </c>
      <c r="F1684" s="3">
        <v>3157.9</v>
      </c>
      <c r="G1684" s="3">
        <v>4246.12</v>
      </c>
      <c r="H1684" s="3">
        <v>-1088.22</v>
      </c>
      <c r="I1684" s="3">
        <v>1.34</v>
      </c>
      <c r="J1684">
        <v>0.19</v>
      </c>
      <c r="K1684">
        <v>1918.56</v>
      </c>
      <c r="L1684" t="s">
        <v>35</v>
      </c>
      <c r="M1684">
        <v>687</v>
      </c>
      <c r="N1684">
        <v>0.35</v>
      </c>
      <c r="O1684" s="3">
        <v>637.41</v>
      </c>
      <c r="P1684" s="3">
        <v>0.2</v>
      </c>
      <c r="Q1684" s="3">
        <v>391.21</v>
      </c>
      <c r="R1684" s="3">
        <v>0.12</v>
      </c>
      <c r="S1684">
        <v>3</v>
      </c>
      <c r="T1684">
        <v>950.65</v>
      </c>
      <c r="U1684">
        <v>40</v>
      </c>
      <c r="V1684">
        <v>0</v>
      </c>
      <c r="W1684">
        <v>706.49</v>
      </c>
      <c r="X1684">
        <v>3127.26</v>
      </c>
      <c r="Y1684" t="s">
        <v>36</v>
      </c>
      <c r="Z1684" s="3">
        <v>1092.3800000000001</v>
      </c>
      <c r="AA1684" t="s">
        <v>45</v>
      </c>
      <c r="AB1684" t="s">
        <v>33</v>
      </c>
      <c r="AC1684">
        <v>10</v>
      </c>
      <c r="AD1684" t="s">
        <v>38</v>
      </c>
      <c r="AE1684">
        <v>0</v>
      </c>
      <c r="AF1684">
        <v>0</v>
      </c>
    </row>
    <row r="1685" spans="3:32" x14ac:dyDescent="0.35">
      <c r="C1685" s="1">
        <v>44456</v>
      </c>
      <c r="D1685" s="2">
        <v>44440</v>
      </c>
      <c r="E1685">
        <v>1647</v>
      </c>
      <c r="F1685" s="3">
        <v>3663.34</v>
      </c>
      <c r="G1685" s="3">
        <v>4942.26</v>
      </c>
      <c r="H1685" s="3">
        <v>-1278.92</v>
      </c>
      <c r="I1685" s="3">
        <v>1.35</v>
      </c>
      <c r="J1685">
        <v>0.39</v>
      </c>
      <c r="K1685">
        <v>2136.8000000000002</v>
      </c>
      <c r="L1685" t="s">
        <v>39</v>
      </c>
      <c r="M1685">
        <v>698</v>
      </c>
      <c r="N1685">
        <v>0.43</v>
      </c>
      <c r="O1685" s="3">
        <v>538.51</v>
      </c>
      <c r="P1685" s="3">
        <v>0.15</v>
      </c>
      <c r="Q1685" s="3">
        <v>318.01</v>
      </c>
      <c r="R1685" s="3">
        <v>0.09</v>
      </c>
      <c r="S1685">
        <v>5</v>
      </c>
      <c r="T1685">
        <v>1486.15</v>
      </c>
      <c r="U1685">
        <v>25</v>
      </c>
      <c r="V1685">
        <v>0</v>
      </c>
      <c r="W1685">
        <v>275.41000000000003</v>
      </c>
      <c r="X1685">
        <v>3557.41</v>
      </c>
      <c r="Y1685" t="s">
        <v>36</v>
      </c>
      <c r="Z1685" s="3">
        <v>2020.6</v>
      </c>
      <c r="AA1685" t="s">
        <v>37</v>
      </c>
      <c r="AB1685" t="s">
        <v>44</v>
      </c>
      <c r="AC1685">
        <v>41.6</v>
      </c>
      <c r="AD1685" t="s">
        <v>34</v>
      </c>
      <c r="AE1685">
        <v>0</v>
      </c>
      <c r="AF1685">
        <v>0</v>
      </c>
    </row>
    <row r="1686" spans="3:32" x14ac:dyDescent="0.35">
      <c r="C1686" s="1">
        <v>44456</v>
      </c>
      <c r="D1686" s="2">
        <v>44440</v>
      </c>
      <c r="E1686">
        <v>1839</v>
      </c>
      <c r="F1686" s="3">
        <v>3124.4</v>
      </c>
      <c r="G1686" s="3">
        <v>2548.35</v>
      </c>
      <c r="H1686" s="3">
        <v>576.04999999999995</v>
      </c>
      <c r="I1686" s="3">
        <v>0.82</v>
      </c>
      <c r="J1686">
        <v>0.28999999999999998</v>
      </c>
      <c r="K1686">
        <v>3001.68</v>
      </c>
      <c r="L1686" t="s">
        <v>30</v>
      </c>
      <c r="M1686">
        <v>656</v>
      </c>
      <c r="N1686">
        <v>0.35</v>
      </c>
      <c r="O1686" s="3">
        <v>627.44000000000005</v>
      </c>
      <c r="P1686" s="3">
        <v>0.2</v>
      </c>
      <c r="Q1686" s="3">
        <v>641.62</v>
      </c>
      <c r="R1686" s="3">
        <v>0.21</v>
      </c>
      <c r="S1686">
        <v>4</v>
      </c>
      <c r="T1686">
        <v>245.53</v>
      </c>
      <c r="U1686">
        <v>28</v>
      </c>
      <c r="V1686">
        <v>0</v>
      </c>
      <c r="W1686">
        <v>649.13</v>
      </c>
      <c r="X1686">
        <v>1926.62</v>
      </c>
      <c r="Y1686" t="s">
        <v>36</v>
      </c>
      <c r="Z1686" s="3">
        <v>1542.79</v>
      </c>
      <c r="AA1686" t="s">
        <v>46</v>
      </c>
      <c r="AB1686" t="s">
        <v>33</v>
      </c>
      <c r="AC1686">
        <v>65.599999999999994</v>
      </c>
      <c r="AD1686" t="s">
        <v>34</v>
      </c>
      <c r="AE1686">
        <v>576.04999999999995</v>
      </c>
      <c r="AF1686">
        <v>0</v>
      </c>
    </row>
    <row r="1687" spans="3:32" x14ac:dyDescent="0.35">
      <c r="C1687" s="1">
        <v>44456</v>
      </c>
      <c r="D1687" s="2">
        <v>44440</v>
      </c>
      <c r="E1687">
        <v>1376</v>
      </c>
      <c r="F1687" s="3">
        <v>3227.8</v>
      </c>
      <c r="G1687" s="3">
        <v>3693.57</v>
      </c>
      <c r="H1687" s="3">
        <v>-465.77</v>
      </c>
      <c r="I1687" s="3">
        <v>1.1399999999999999</v>
      </c>
      <c r="J1687">
        <v>0.15</v>
      </c>
      <c r="K1687">
        <v>2950.17</v>
      </c>
      <c r="L1687" t="s">
        <v>35</v>
      </c>
      <c r="M1687">
        <v>718</v>
      </c>
      <c r="N1687">
        <v>0.11</v>
      </c>
      <c r="O1687" s="3">
        <v>423.38</v>
      </c>
      <c r="P1687" s="3">
        <v>0.13</v>
      </c>
      <c r="Q1687" s="3">
        <v>298.2</v>
      </c>
      <c r="R1687" s="3">
        <v>0.09</v>
      </c>
      <c r="S1687">
        <v>3</v>
      </c>
      <c r="T1687">
        <v>381.42</v>
      </c>
      <c r="U1687">
        <v>70</v>
      </c>
      <c r="V1687">
        <v>0</v>
      </c>
      <c r="W1687">
        <v>531.44000000000005</v>
      </c>
      <c r="X1687">
        <v>2402.2800000000002</v>
      </c>
      <c r="Y1687" t="s">
        <v>36</v>
      </c>
      <c r="Z1687" s="3">
        <v>1653.5</v>
      </c>
      <c r="AA1687" t="s">
        <v>41</v>
      </c>
      <c r="AB1687" t="s">
        <v>33</v>
      </c>
      <c r="AC1687">
        <v>64.8</v>
      </c>
      <c r="AD1687" t="s">
        <v>43</v>
      </c>
      <c r="AE1687">
        <v>0</v>
      </c>
      <c r="AF1687">
        <v>0</v>
      </c>
    </row>
    <row r="1688" spans="3:32" x14ac:dyDescent="0.35">
      <c r="C1688" s="1">
        <v>44456</v>
      </c>
      <c r="D1688" s="2">
        <v>44440</v>
      </c>
      <c r="E1688">
        <v>1474</v>
      </c>
      <c r="F1688" s="3">
        <v>1698.62</v>
      </c>
      <c r="G1688" s="3">
        <v>4505.3100000000004</v>
      </c>
      <c r="H1688" s="3">
        <v>-2806.69</v>
      </c>
      <c r="I1688" s="3">
        <v>2.65</v>
      </c>
      <c r="J1688">
        <v>7.0000000000000007E-2</v>
      </c>
      <c r="K1688">
        <v>2409.7800000000002</v>
      </c>
      <c r="L1688" t="s">
        <v>39</v>
      </c>
      <c r="M1688">
        <v>674</v>
      </c>
      <c r="N1688">
        <v>0.17</v>
      </c>
      <c r="O1688" s="3">
        <v>188.68</v>
      </c>
      <c r="P1688" s="3">
        <v>0.11</v>
      </c>
      <c r="Q1688" s="3">
        <v>19.899999999999999</v>
      </c>
      <c r="R1688" s="3">
        <v>0.01</v>
      </c>
      <c r="S1688">
        <v>2</v>
      </c>
      <c r="T1688">
        <v>1061.4100000000001</v>
      </c>
      <c r="U1688">
        <v>53</v>
      </c>
      <c r="V1688">
        <v>0</v>
      </c>
      <c r="W1688">
        <v>524.4</v>
      </c>
      <c r="X1688">
        <v>1250.95</v>
      </c>
      <c r="Y1688" t="s">
        <v>49</v>
      </c>
      <c r="Z1688" s="3">
        <v>1208.95</v>
      </c>
      <c r="AA1688" t="s">
        <v>40</v>
      </c>
      <c r="AB1688" t="s">
        <v>33</v>
      </c>
      <c r="AC1688">
        <v>26.2</v>
      </c>
      <c r="AD1688" t="s">
        <v>43</v>
      </c>
      <c r="AE1688">
        <v>0</v>
      </c>
      <c r="AF1688">
        <v>0</v>
      </c>
    </row>
    <row r="1689" spans="3:32" x14ac:dyDescent="0.35">
      <c r="C1689" s="1">
        <v>44456</v>
      </c>
      <c r="D1689" s="2">
        <v>44440</v>
      </c>
      <c r="E1689">
        <v>1821</v>
      </c>
      <c r="F1689" s="3">
        <v>3180.89</v>
      </c>
      <c r="G1689" s="3">
        <v>3172.94</v>
      </c>
      <c r="H1689" s="3">
        <v>7.95</v>
      </c>
      <c r="I1689" s="3">
        <v>1</v>
      </c>
      <c r="J1689">
        <v>0.15</v>
      </c>
      <c r="K1689">
        <v>3242.5</v>
      </c>
      <c r="L1689" t="s">
        <v>35</v>
      </c>
      <c r="M1689">
        <v>645</v>
      </c>
      <c r="N1689">
        <v>0.47</v>
      </c>
      <c r="O1689" s="3">
        <v>585.24</v>
      </c>
      <c r="P1689" s="3">
        <v>0.18</v>
      </c>
      <c r="Q1689" s="3">
        <v>340.72</v>
      </c>
      <c r="R1689" s="3">
        <v>0.11</v>
      </c>
      <c r="S1689">
        <v>4</v>
      </c>
      <c r="T1689">
        <v>1422.93</v>
      </c>
      <c r="U1689">
        <v>22</v>
      </c>
      <c r="V1689">
        <v>0</v>
      </c>
      <c r="W1689">
        <v>692.93</v>
      </c>
      <c r="X1689">
        <v>1550.71</v>
      </c>
      <c r="Y1689" t="s">
        <v>36</v>
      </c>
      <c r="Z1689" s="3">
        <v>1377.93</v>
      </c>
      <c r="AA1689" t="s">
        <v>41</v>
      </c>
      <c r="AB1689" t="s">
        <v>42</v>
      </c>
      <c r="AC1689">
        <v>4.5999999999999996</v>
      </c>
      <c r="AD1689" t="s">
        <v>34</v>
      </c>
      <c r="AE1689">
        <v>7.95</v>
      </c>
      <c r="AF1689">
        <v>0</v>
      </c>
    </row>
    <row r="1690" spans="3:32" x14ac:dyDescent="0.35">
      <c r="C1690" s="1">
        <v>44456</v>
      </c>
      <c r="D1690" s="2">
        <v>44440</v>
      </c>
      <c r="E1690">
        <v>1970</v>
      </c>
      <c r="F1690" s="3">
        <v>4403.25</v>
      </c>
      <c r="G1690" s="3">
        <v>3628.64</v>
      </c>
      <c r="H1690" s="3">
        <v>774.61</v>
      </c>
      <c r="I1690" s="3">
        <v>0.82</v>
      </c>
      <c r="J1690">
        <v>7.0000000000000007E-2</v>
      </c>
      <c r="K1690">
        <v>3384.63</v>
      </c>
      <c r="L1690" t="s">
        <v>35</v>
      </c>
      <c r="M1690">
        <v>571</v>
      </c>
      <c r="N1690">
        <v>0.31</v>
      </c>
      <c r="O1690" s="3">
        <v>371.07</v>
      </c>
      <c r="P1690" s="3">
        <v>0.08</v>
      </c>
      <c r="Q1690" s="3">
        <v>761.04</v>
      </c>
      <c r="R1690" s="3">
        <v>0.17</v>
      </c>
      <c r="S1690">
        <v>4</v>
      </c>
      <c r="T1690">
        <v>1357.22</v>
      </c>
      <c r="U1690">
        <v>78</v>
      </c>
      <c r="V1690">
        <v>0</v>
      </c>
      <c r="W1690">
        <v>97.24</v>
      </c>
      <c r="X1690">
        <v>2064.08</v>
      </c>
      <c r="Y1690" t="s">
        <v>36</v>
      </c>
      <c r="Z1690" s="3">
        <v>1415.28</v>
      </c>
      <c r="AA1690" t="s">
        <v>47</v>
      </c>
      <c r="AB1690" t="s">
        <v>33</v>
      </c>
      <c r="AC1690">
        <v>45.6</v>
      </c>
      <c r="AD1690" t="s">
        <v>34</v>
      </c>
      <c r="AE1690">
        <v>774.61</v>
      </c>
      <c r="AF1690">
        <v>0</v>
      </c>
    </row>
    <row r="1691" spans="3:32" x14ac:dyDescent="0.35">
      <c r="C1691" s="1">
        <v>44456</v>
      </c>
      <c r="D1691" s="2">
        <v>44440</v>
      </c>
      <c r="E1691">
        <v>1573</v>
      </c>
      <c r="F1691" s="3">
        <v>4829.08</v>
      </c>
      <c r="G1691" s="3">
        <v>3534.87</v>
      </c>
      <c r="H1691" s="3">
        <v>1294.21</v>
      </c>
      <c r="I1691" s="3">
        <v>0.73</v>
      </c>
      <c r="J1691">
        <v>0.2</v>
      </c>
      <c r="K1691">
        <v>2578.3000000000002</v>
      </c>
      <c r="L1691" t="s">
        <v>35</v>
      </c>
      <c r="M1691">
        <v>704</v>
      </c>
      <c r="N1691">
        <v>0.37</v>
      </c>
      <c r="O1691" s="3">
        <v>516.66999999999996</v>
      </c>
      <c r="P1691" s="3">
        <v>0.11</v>
      </c>
      <c r="Q1691" s="3">
        <v>308.19</v>
      </c>
      <c r="R1691" s="3">
        <v>0.06</v>
      </c>
      <c r="S1691">
        <v>8</v>
      </c>
      <c r="T1691">
        <v>625.5</v>
      </c>
      <c r="U1691">
        <v>76</v>
      </c>
      <c r="V1691">
        <v>0</v>
      </c>
      <c r="W1691">
        <v>500.92</v>
      </c>
      <c r="X1691">
        <v>2987.57</v>
      </c>
      <c r="Y1691" t="s">
        <v>36</v>
      </c>
      <c r="Z1691" s="3">
        <v>1747.6</v>
      </c>
      <c r="AA1691" t="s">
        <v>40</v>
      </c>
      <c r="AB1691" t="s">
        <v>33</v>
      </c>
      <c r="AC1691">
        <v>92</v>
      </c>
      <c r="AD1691" t="s">
        <v>34</v>
      </c>
      <c r="AE1691">
        <v>1294.21</v>
      </c>
      <c r="AF1691">
        <v>0</v>
      </c>
    </row>
    <row r="1692" spans="3:32" x14ac:dyDescent="0.35">
      <c r="C1692" s="1">
        <v>44456</v>
      </c>
      <c r="D1692" s="2">
        <v>44440</v>
      </c>
      <c r="E1692">
        <v>1838</v>
      </c>
      <c r="F1692" s="3">
        <v>3322.2</v>
      </c>
      <c r="G1692" s="3">
        <v>2672.82</v>
      </c>
      <c r="H1692" s="3">
        <v>649.38</v>
      </c>
      <c r="I1692" s="3">
        <v>0.8</v>
      </c>
      <c r="J1692">
        <v>0.18</v>
      </c>
      <c r="K1692">
        <v>3327.51</v>
      </c>
      <c r="L1692" t="s">
        <v>35</v>
      </c>
      <c r="M1692">
        <v>685</v>
      </c>
      <c r="N1692">
        <v>0.27</v>
      </c>
      <c r="O1692" s="3">
        <v>293.64999999999998</v>
      </c>
      <c r="P1692" s="3">
        <v>0.09</v>
      </c>
      <c r="Q1692" s="3">
        <v>254.59</v>
      </c>
      <c r="R1692" s="3">
        <v>0.08</v>
      </c>
      <c r="S1692">
        <v>6</v>
      </c>
      <c r="T1692">
        <v>750.49</v>
      </c>
      <c r="U1692">
        <v>35</v>
      </c>
      <c r="V1692">
        <v>0</v>
      </c>
      <c r="W1692">
        <v>335.25</v>
      </c>
      <c r="X1692">
        <v>3385.68</v>
      </c>
      <c r="Y1692" t="s">
        <v>36</v>
      </c>
      <c r="Z1692" s="3">
        <v>1261.58</v>
      </c>
      <c r="AA1692" t="s">
        <v>40</v>
      </c>
      <c r="AB1692" t="s">
        <v>33</v>
      </c>
      <c r="AC1692">
        <v>33.200000000000003</v>
      </c>
      <c r="AD1692" t="s">
        <v>43</v>
      </c>
      <c r="AE1692">
        <v>649.38</v>
      </c>
      <c r="AF1692">
        <v>0</v>
      </c>
    </row>
    <row r="1693" spans="3:32" x14ac:dyDescent="0.35">
      <c r="C1693" s="1">
        <v>44456</v>
      </c>
      <c r="D1693" s="2">
        <v>44440</v>
      </c>
      <c r="E1693">
        <v>1352</v>
      </c>
      <c r="F1693" s="3">
        <v>2516.7399999999998</v>
      </c>
      <c r="G1693" s="3">
        <v>1724.5</v>
      </c>
      <c r="H1693" s="3">
        <v>792.24</v>
      </c>
      <c r="I1693" s="3">
        <v>0.69</v>
      </c>
      <c r="J1693">
        <v>0.23</v>
      </c>
      <c r="K1693">
        <v>2638.64</v>
      </c>
      <c r="L1693" t="s">
        <v>30</v>
      </c>
      <c r="M1693">
        <v>753</v>
      </c>
      <c r="N1693">
        <v>0.39</v>
      </c>
      <c r="O1693" s="3">
        <v>518.13</v>
      </c>
      <c r="P1693" s="3">
        <v>0.21</v>
      </c>
      <c r="Q1693" s="3">
        <v>777.85</v>
      </c>
      <c r="R1693" s="3">
        <v>0.31</v>
      </c>
      <c r="S1693">
        <v>5</v>
      </c>
      <c r="T1693">
        <v>666.38</v>
      </c>
      <c r="U1693">
        <v>30</v>
      </c>
      <c r="V1693">
        <v>0</v>
      </c>
      <c r="W1693">
        <v>478.8</v>
      </c>
      <c r="X1693">
        <v>2346.23</v>
      </c>
      <c r="Y1693" t="s">
        <v>36</v>
      </c>
      <c r="Z1693" s="3">
        <v>1115.6500000000001</v>
      </c>
      <c r="AA1693" t="s">
        <v>41</v>
      </c>
      <c r="AB1693" t="s">
        <v>44</v>
      </c>
      <c r="AC1693">
        <v>88.2</v>
      </c>
      <c r="AD1693" t="s">
        <v>43</v>
      </c>
      <c r="AE1693">
        <v>792.24</v>
      </c>
      <c r="AF1693">
        <v>0</v>
      </c>
    </row>
    <row r="1694" spans="3:32" x14ac:dyDescent="0.35">
      <c r="C1694" s="1">
        <v>44456</v>
      </c>
      <c r="D1694" s="2">
        <v>44440</v>
      </c>
      <c r="E1694">
        <v>1518</v>
      </c>
      <c r="F1694" s="3">
        <v>3072.79</v>
      </c>
      <c r="G1694" s="3">
        <v>3061.53</v>
      </c>
      <c r="H1694" s="3">
        <v>11.26</v>
      </c>
      <c r="I1694" s="3">
        <v>1</v>
      </c>
      <c r="J1694">
        <v>0.36</v>
      </c>
      <c r="K1694">
        <v>2147.31</v>
      </c>
      <c r="L1694" t="s">
        <v>30</v>
      </c>
      <c r="M1694">
        <v>630</v>
      </c>
      <c r="N1694">
        <v>0.51</v>
      </c>
      <c r="O1694" s="3">
        <v>433.6</v>
      </c>
      <c r="P1694" s="3">
        <v>0.14000000000000001</v>
      </c>
      <c r="Q1694" s="3">
        <v>250.3</v>
      </c>
      <c r="R1694" s="3">
        <v>0.08</v>
      </c>
      <c r="S1694">
        <v>1</v>
      </c>
      <c r="T1694">
        <v>1069.3699999999999</v>
      </c>
      <c r="U1694">
        <v>93</v>
      </c>
      <c r="V1694">
        <v>0</v>
      </c>
      <c r="W1694">
        <v>163.86</v>
      </c>
      <c r="X1694">
        <v>2568.9899999999998</v>
      </c>
      <c r="Y1694" t="s">
        <v>36</v>
      </c>
      <c r="Z1694" s="3">
        <v>928.37</v>
      </c>
      <c r="AA1694" t="s">
        <v>47</v>
      </c>
      <c r="AB1694" t="s">
        <v>33</v>
      </c>
      <c r="AC1694">
        <v>10.6</v>
      </c>
      <c r="AD1694" t="s">
        <v>38</v>
      </c>
      <c r="AE1694">
        <v>11.26</v>
      </c>
      <c r="AF1694">
        <v>0</v>
      </c>
    </row>
    <row r="1695" spans="3:32" x14ac:dyDescent="0.35">
      <c r="C1695" s="1">
        <v>44456</v>
      </c>
      <c r="D1695" s="2">
        <v>44440</v>
      </c>
      <c r="E1695">
        <v>1346</v>
      </c>
      <c r="F1695" s="3">
        <v>3888.45</v>
      </c>
      <c r="G1695" s="3">
        <v>908.09</v>
      </c>
      <c r="H1695" s="3">
        <v>2980.36</v>
      </c>
      <c r="I1695" s="3">
        <v>0.23</v>
      </c>
      <c r="J1695">
        <v>0.22</v>
      </c>
      <c r="K1695">
        <v>2399.63</v>
      </c>
      <c r="L1695" t="s">
        <v>35</v>
      </c>
      <c r="M1695">
        <v>677</v>
      </c>
      <c r="N1695">
        <v>0.3</v>
      </c>
      <c r="O1695" s="3">
        <v>230.28</v>
      </c>
      <c r="P1695" s="3">
        <v>0.06</v>
      </c>
      <c r="Q1695" s="3">
        <v>406.68</v>
      </c>
      <c r="R1695" s="3">
        <v>0.1</v>
      </c>
      <c r="S1695">
        <v>1</v>
      </c>
      <c r="T1695">
        <v>458.03</v>
      </c>
      <c r="U1695">
        <v>98</v>
      </c>
      <c r="V1695">
        <v>0</v>
      </c>
      <c r="W1695">
        <v>669.41</v>
      </c>
      <c r="X1695">
        <v>2302.2800000000002</v>
      </c>
      <c r="Y1695" t="s">
        <v>31</v>
      </c>
      <c r="Z1695" s="3">
        <v>1312.26</v>
      </c>
      <c r="AA1695" t="s">
        <v>41</v>
      </c>
      <c r="AB1695" t="s">
        <v>33</v>
      </c>
      <c r="AC1695">
        <v>8.6</v>
      </c>
      <c r="AD1695" t="s">
        <v>43</v>
      </c>
      <c r="AE1695">
        <v>2980.36</v>
      </c>
      <c r="AF1695">
        <v>1</v>
      </c>
    </row>
    <row r="1696" spans="3:32" x14ac:dyDescent="0.35">
      <c r="C1696" s="1">
        <v>44456</v>
      </c>
      <c r="D1696" s="2">
        <v>44440</v>
      </c>
      <c r="E1696">
        <v>1989</v>
      </c>
      <c r="F1696" s="3">
        <v>5329.29</v>
      </c>
      <c r="G1696" s="3">
        <v>2140.66</v>
      </c>
      <c r="H1696" s="3">
        <v>3188.63</v>
      </c>
      <c r="I1696" s="3">
        <v>0.4</v>
      </c>
      <c r="J1696">
        <v>0.14000000000000001</v>
      </c>
      <c r="K1696">
        <v>2394.66</v>
      </c>
      <c r="L1696" t="s">
        <v>35</v>
      </c>
      <c r="M1696">
        <v>703</v>
      </c>
      <c r="N1696">
        <v>0.51</v>
      </c>
      <c r="O1696" s="3">
        <v>375.64</v>
      </c>
      <c r="P1696" s="3">
        <v>7.0000000000000007E-2</v>
      </c>
      <c r="Q1696" s="3">
        <v>0</v>
      </c>
      <c r="R1696" s="3">
        <v>0</v>
      </c>
      <c r="S1696">
        <v>1</v>
      </c>
      <c r="T1696">
        <v>987.64</v>
      </c>
      <c r="U1696">
        <v>26</v>
      </c>
      <c r="V1696">
        <v>0</v>
      </c>
      <c r="W1696">
        <v>552.32000000000005</v>
      </c>
      <c r="X1696">
        <v>2568.6799999999998</v>
      </c>
      <c r="Y1696" t="s">
        <v>31</v>
      </c>
      <c r="Z1696" s="3">
        <v>968.17</v>
      </c>
      <c r="AA1696" t="s">
        <v>47</v>
      </c>
      <c r="AB1696" t="s">
        <v>44</v>
      </c>
      <c r="AC1696">
        <v>69.400000000000006</v>
      </c>
      <c r="AD1696" t="s">
        <v>43</v>
      </c>
      <c r="AE1696">
        <v>3188.63</v>
      </c>
      <c r="AF1696">
        <v>1</v>
      </c>
    </row>
    <row r="1697" spans="3:32" x14ac:dyDescent="0.35">
      <c r="C1697" s="1">
        <v>44456</v>
      </c>
      <c r="D1697" s="2">
        <v>44440</v>
      </c>
      <c r="E1697">
        <v>1992</v>
      </c>
      <c r="F1697" s="3">
        <v>2586.75</v>
      </c>
      <c r="G1697" s="3">
        <v>1986.99</v>
      </c>
      <c r="H1697" s="3">
        <v>599.76</v>
      </c>
      <c r="I1697" s="3">
        <v>0.77</v>
      </c>
      <c r="J1697">
        <v>0.28999999999999998</v>
      </c>
      <c r="K1697">
        <v>2541.13</v>
      </c>
      <c r="L1697" t="s">
        <v>30</v>
      </c>
      <c r="M1697">
        <v>729</v>
      </c>
      <c r="N1697">
        <v>0.13</v>
      </c>
      <c r="O1697" s="3">
        <v>755.51</v>
      </c>
      <c r="P1697" s="3">
        <v>0.28999999999999998</v>
      </c>
      <c r="Q1697" s="3">
        <v>146.19999999999999</v>
      </c>
      <c r="R1697" s="3">
        <v>0.06</v>
      </c>
      <c r="S1697">
        <v>5</v>
      </c>
      <c r="T1697">
        <v>822.22</v>
      </c>
      <c r="U1697">
        <v>58</v>
      </c>
      <c r="V1697">
        <v>0</v>
      </c>
      <c r="W1697">
        <v>634.79999999999995</v>
      </c>
      <c r="X1697">
        <v>2620.12</v>
      </c>
      <c r="Y1697" t="s">
        <v>49</v>
      </c>
      <c r="Z1697" s="3">
        <v>823.97</v>
      </c>
      <c r="AA1697" t="s">
        <v>32</v>
      </c>
      <c r="AB1697" t="s">
        <v>33</v>
      </c>
      <c r="AC1697">
        <v>0.8</v>
      </c>
      <c r="AD1697" t="s">
        <v>43</v>
      </c>
      <c r="AE1697">
        <v>599.76</v>
      </c>
      <c r="AF1697">
        <v>0</v>
      </c>
    </row>
    <row r="1698" spans="3:32" x14ac:dyDescent="0.35">
      <c r="C1698" s="1">
        <v>44456</v>
      </c>
      <c r="D1698" s="2">
        <v>44440</v>
      </c>
      <c r="E1698">
        <v>1664</v>
      </c>
      <c r="F1698" s="3">
        <v>2254.1</v>
      </c>
      <c r="G1698" s="3">
        <v>2907.71</v>
      </c>
      <c r="H1698" s="3">
        <v>-653.61</v>
      </c>
      <c r="I1698" s="3">
        <v>1.29</v>
      </c>
      <c r="J1698">
        <v>0.06</v>
      </c>
      <c r="K1698">
        <v>2962.08</v>
      </c>
      <c r="L1698" t="s">
        <v>35</v>
      </c>
      <c r="M1698">
        <v>627</v>
      </c>
      <c r="N1698">
        <v>0.37</v>
      </c>
      <c r="O1698" s="3">
        <v>310.87</v>
      </c>
      <c r="P1698" s="3">
        <v>0.14000000000000001</v>
      </c>
      <c r="Q1698" s="3">
        <v>111.81</v>
      </c>
      <c r="R1698" s="3">
        <v>0.05</v>
      </c>
      <c r="S1698">
        <v>5</v>
      </c>
      <c r="T1698">
        <v>1673.62</v>
      </c>
      <c r="U1698">
        <v>90</v>
      </c>
      <c r="V1698">
        <v>1</v>
      </c>
      <c r="W1698">
        <v>71.5</v>
      </c>
      <c r="X1698">
        <v>2176.83</v>
      </c>
      <c r="Y1698" t="s">
        <v>31</v>
      </c>
      <c r="Z1698" s="3">
        <v>499.62</v>
      </c>
      <c r="AA1698" t="s">
        <v>32</v>
      </c>
      <c r="AB1698" t="s">
        <v>33</v>
      </c>
      <c r="AC1698">
        <v>40.799999999999997</v>
      </c>
      <c r="AD1698" t="s">
        <v>34</v>
      </c>
      <c r="AE1698">
        <v>0</v>
      </c>
      <c r="AF1698">
        <v>0</v>
      </c>
    </row>
    <row r="1699" spans="3:32" x14ac:dyDescent="0.35">
      <c r="C1699" s="1">
        <v>44456</v>
      </c>
      <c r="D1699" s="2">
        <v>44440</v>
      </c>
      <c r="E1699">
        <v>1830</v>
      </c>
      <c r="F1699" s="3">
        <v>5657.79</v>
      </c>
      <c r="G1699" s="3">
        <v>2451.35</v>
      </c>
      <c r="H1699" s="3">
        <v>3206.44</v>
      </c>
      <c r="I1699" s="3">
        <v>0.43</v>
      </c>
      <c r="J1699">
        <v>0.39</v>
      </c>
      <c r="K1699">
        <v>3379.92</v>
      </c>
      <c r="L1699" t="s">
        <v>39</v>
      </c>
      <c r="M1699">
        <v>699</v>
      </c>
      <c r="N1699">
        <v>0.13</v>
      </c>
      <c r="O1699" s="3">
        <v>335.67</v>
      </c>
      <c r="P1699" s="3">
        <v>0.06</v>
      </c>
      <c r="Q1699" s="3">
        <v>0</v>
      </c>
      <c r="R1699" s="3">
        <v>0</v>
      </c>
      <c r="S1699">
        <v>1</v>
      </c>
      <c r="T1699">
        <v>707.36</v>
      </c>
      <c r="U1699">
        <v>74</v>
      </c>
      <c r="V1699">
        <v>0</v>
      </c>
      <c r="W1699">
        <v>305.22000000000003</v>
      </c>
      <c r="X1699">
        <v>2246.46</v>
      </c>
      <c r="Y1699" t="s">
        <v>36</v>
      </c>
      <c r="Z1699" s="3">
        <v>1225.69</v>
      </c>
      <c r="AA1699" t="s">
        <v>37</v>
      </c>
      <c r="AB1699" t="s">
        <v>33</v>
      </c>
      <c r="AC1699">
        <v>53.2</v>
      </c>
      <c r="AD1699" t="s">
        <v>43</v>
      </c>
      <c r="AE1699">
        <v>3206.44</v>
      </c>
      <c r="AF1699">
        <v>0</v>
      </c>
    </row>
    <row r="1700" spans="3:32" x14ac:dyDescent="0.35">
      <c r="C1700" s="1">
        <v>44456</v>
      </c>
      <c r="D1700" s="2">
        <v>44440</v>
      </c>
      <c r="E1700">
        <v>1440</v>
      </c>
      <c r="F1700" s="3">
        <v>4377.63</v>
      </c>
      <c r="G1700" s="3">
        <v>2794.15</v>
      </c>
      <c r="H1700" s="3">
        <v>1583.48</v>
      </c>
      <c r="I1700" s="3">
        <v>0.64</v>
      </c>
      <c r="J1700">
        <v>0.39</v>
      </c>
      <c r="K1700">
        <v>3077.36</v>
      </c>
      <c r="L1700" t="s">
        <v>35</v>
      </c>
      <c r="M1700">
        <v>692</v>
      </c>
      <c r="N1700">
        <v>0.28999999999999998</v>
      </c>
      <c r="O1700" s="3">
        <v>266.39999999999998</v>
      </c>
      <c r="P1700" s="3">
        <v>0.06</v>
      </c>
      <c r="Q1700" s="3">
        <v>736.35</v>
      </c>
      <c r="R1700" s="3">
        <v>0.17</v>
      </c>
      <c r="S1700">
        <v>8</v>
      </c>
      <c r="T1700">
        <v>82.81</v>
      </c>
      <c r="U1700">
        <v>43</v>
      </c>
      <c r="V1700">
        <v>0</v>
      </c>
      <c r="W1700">
        <v>429.96</v>
      </c>
      <c r="X1700">
        <v>1431.11</v>
      </c>
      <c r="Y1700" t="s">
        <v>36</v>
      </c>
      <c r="Z1700" s="3">
        <v>1077.81</v>
      </c>
      <c r="AA1700" t="s">
        <v>41</v>
      </c>
      <c r="AB1700" t="s">
        <v>44</v>
      </c>
      <c r="AC1700">
        <v>82.7</v>
      </c>
      <c r="AD1700" t="s">
        <v>34</v>
      </c>
      <c r="AE1700">
        <v>1583.48</v>
      </c>
      <c r="AF1700">
        <v>0</v>
      </c>
    </row>
    <row r="1701" spans="3:32" x14ac:dyDescent="0.35">
      <c r="C1701" s="1">
        <v>44456</v>
      </c>
      <c r="D1701" s="2">
        <v>44440</v>
      </c>
      <c r="E1701">
        <v>1863</v>
      </c>
      <c r="F1701" s="3">
        <v>4481.62</v>
      </c>
      <c r="G1701" s="3">
        <v>4257.87</v>
      </c>
      <c r="H1701" s="3">
        <v>223.75</v>
      </c>
      <c r="I1701" s="3">
        <v>0.95</v>
      </c>
      <c r="J1701">
        <v>0.18</v>
      </c>
      <c r="K1701">
        <v>3410</v>
      </c>
      <c r="L1701" t="s">
        <v>35</v>
      </c>
      <c r="M1701">
        <v>718</v>
      </c>
      <c r="N1701">
        <v>0.18</v>
      </c>
      <c r="O1701" s="3">
        <v>253.33</v>
      </c>
      <c r="P1701" s="3">
        <v>0.06</v>
      </c>
      <c r="Q1701" s="3">
        <v>226.09</v>
      </c>
      <c r="R1701" s="3">
        <v>0.05</v>
      </c>
      <c r="S1701">
        <v>3</v>
      </c>
      <c r="T1701">
        <v>270.58</v>
      </c>
      <c r="U1701">
        <v>63</v>
      </c>
      <c r="V1701">
        <v>0</v>
      </c>
      <c r="W1701">
        <v>706.62</v>
      </c>
      <c r="X1701">
        <v>2023.32</v>
      </c>
      <c r="Y1701" t="s">
        <v>49</v>
      </c>
      <c r="Z1701" s="3">
        <v>1209.92</v>
      </c>
      <c r="AA1701" t="s">
        <v>37</v>
      </c>
      <c r="AB1701" t="s">
        <v>33</v>
      </c>
      <c r="AC1701">
        <v>47.4</v>
      </c>
      <c r="AD1701" t="s">
        <v>43</v>
      </c>
      <c r="AE1701">
        <v>223.75</v>
      </c>
      <c r="AF1701">
        <v>0</v>
      </c>
    </row>
    <row r="1702" spans="3:32" x14ac:dyDescent="0.35">
      <c r="C1702" s="1">
        <v>44486</v>
      </c>
      <c r="D1702" s="2">
        <v>44470</v>
      </c>
      <c r="E1702">
        <v>1730</v>
      </c>
      <c r="F1702" s="3">
        <v>3725.58</v>
      </c>
      <c r="G1702" s="3">
        <v>3430.91</v>
      </c>
      <c r="H1702" s="3">
        <v>294.67</v>
      </c>
      <c r="I1702" s="3">
        <v>0.92</v>
      </c>
      <c r="J1702">
        <v>0.08</v>
      </c>
      <c r="K1702">
        <v>2739.51</v>
      </c>
      <c r="L1702" t="s">
        <v>35</v>
      </c>
      <c r="M1702">
        <v>771</v>
      </c>
      <c r="N1702">
        <v>0.43</v>
      </c>
      <c r="O1702" s="3">
        <v>588.67999999999995</v>
      </c>
      <c r="P1702" s="3">
        <v>0.16</v>
      </c>
      <c r="Q1702" s="3">
        <v>736.18</v>
      </c>
      <c r="R1702" s="3">
        <v>0.2</v>
      </c>
      <c r="S1702">
        <v>9</v>
      </c>
      <c r="T1702">
        <v>890.21</v>
      </c>
      <c r="U1702">
        <v>70</v>
      </c>
      <c r="V1702">
        <v>0</v>
      </c>
      <c r="W1702">
        <v>0</v>
      </c>
      <c r="X1702">
        <v>1675.65</v>
      </c>
      <c r="Y1702" t="s">
        <v>36</v>
      </c>
      <c r="Z1702" s="3">
        <v>834.94</v>
      </c>
      <c r="AA1702" t="s">
        <v>47</v>
      </c>
      <c r="AB1702" t="s">
        <v>33</v>
      </c>
      <c r="AC1702">
        <v>88.5</v>
      </c>
      <c r="AD1702" t="s">
        <v>43</v>
      </c>
      <c r="AE1702">
        <v>294.67</v>
      </c>
      <c r="AF1702">
        <v>0</v>
      </c>
    </row>
    <row r="1703" spans="3:32" x14ac:dyDescent="0.35">
      <c r="C1703" s="1">
        <v>44486</v>
      </c>
      <c r="D1703" s="2">
        <v>44470</v>
      </c>
      <c r="E1703">
        <v>1896</v>
      </c>
      <c r="F1703" s="3">
        <v>2954.93</v>
      </c>
      <c r="G1703" s="3">
        <v>5011.59</v>
      </c>
      <c r="H1703" s="3">
        <v>-2056.66</v>
      </c>
      <c r="I1703" s="3">
        <v>1.7</v>
      </c>
      <c r="J1703">
        <v>0.19</v>
      </c>
      <c r="K1703">
        <v>3533.22</v>
      </c>
      <c r="L1703" t="s">
        <v>30</v>
      </c>
      <c r="M1703">
        <v>696</v>
      </c>
      <c r="N1703">
        <v>0.35</v>
      </c>
      <c r="O1703" s="3">
        <v>324.05</v>
      </c>
      <c r="P1703" s="3">
        <v>0.11</v>
      </c>
      <c r="Q1703" s="3">
        <v>608.22</v>
      </c>
      <c r="R1703" s="3">
        <v>0.21</v>
      </c>
      <c r="S1703">
        <v>1</v>
      </c>
      <c r="T1703">
        <v>959.69</v>
      </c>
      <c r="U1703">
        <v>69</v>
      </c>
      <c r="V1703">
        <v>0</v>
      </c>
      <c r="W1703">
        <v>516.67999999999995</v>
      </c>
      <c r="X1703">
        <v>2701.17</v>
      </c>
      <c r="Y1703" t="s">
        <v>36</v>
      </c>
      <c r="Z1703" s="3">
        <v>1902.67</v>
      </c>
      <c r="AA1703" t="s">
        <v>50</v>
      </c>
      <c r="AB1703" t="s">
        <v>42</v>
      </c>
      <c r="AC1703">
        <v>1</v>
      </c>
      <c r="AD1703" t="s">
        <v>38</v>
      </c>
      <c r="AE1703">
        <v>0</v>
      </c>
      <c r="AF1703">
        <v>0</v>
      </c>
    </row>
    <row r="1704" spans="3:32" x14ac:dyDescent="0.35">
      <c r="C1704" s="1">
        <v>44486</v>
      </c>
      <c r="D1704" s="2">
        <v>44470</v>
      </c>
      <c r="E1704">
        <v>1611</v>
      </c>
      <c r="F1704" s="3">
        <v>4348</v>
      </c>
      <c r="G1704" s="3">
        <v>2301</v>
      </c>
      <c r="H1704" s="3">
        <v>2047</v>
      </c>
      <c r="I1704" s="3">
        <v>0.53</v>
      </c>
      <c r="J1704">
        <v>0.16</v>
      </c>
      <c r="K1704">
        <v>2533.29</v>
      </c>
      <c r="L1704" t="s">
        <v>35</v>
      </c>
      <c r="M1704">
        <v>714</v>
      </c>
      <c r="N1704">
        <v>0.39</v>
      </c>
      <c r="O1704" s="3">
        <v>210.95</v>
      </c>
      <c r="P1704" s="3">
        <v>0.05</v>
      </c>
      <c r="Q1704" s="3">
        <v>335.33</v>
      </c>
      <c r="R1704" s="3">
        <v>0.08</v>
      </c>
      <c r="S1704">
        <v>4</v>
      </c>
      <c r="T1704">
        <v>976.95</v>
      </c>
      <c r="U1704">
        <v>79</v>
      </c>
      <c r="V1704">
        <v>0</v>
      </c>
      <c r="W1704">
        <v>818.7</v>
      </c>
      <c r="X1704">
        <v>2833.09</v>
      </c>
      <c r="Y1704" t="s">
        <v>36</v>
      </c>
      <c r="Z1704" s="3">
        <v>1248.21</v>
      </c>
      <c r="AA1704" t="s">
        <v>37</v>
      </c>
      <c r="AB1704" t="s">
        <v>42</v>
      </c>
      <c r="AC1704">
        <v>13</v>
      </c>
      <c r="AD1704" t="s">
        <v>43</v>
      </c>
      <c r="AE1704">
        <v>2047</v>
      </c>
      <c r="AF1704">
        <v>0</v>
      </c>
    </row>
    <row r="1705" spans="3:32" x14ac:dyDescent="0.35">
      <c r="C1705" s="1">
        <v>44486</v>
      </c>
      <c r="D1705" s="2">
        <v>44470</v>
      </c>
      <c r="E1705">
        <v>1419</v>
      </c>
      <c r="F1705" s="3">
        <v>4153.75</v>
      </c>
      <c r="G1705" s="3">
        <v>2946.18</v>
      </c>
      <c r="H1705" s="3">
        <v>1207.57</v>
      </c>
      <c r="I1705" s="3">
        <v>0.71</v>
      </c>
      <c r="J1705">
        <v>0.37</v>
      </c>
      <c r="K1705">
        <v>2685.02</v>
      </c>
      <c r="L1705" t="s">
        <v>39</v>
      </c>
      <c r="M1705">
        <v>680</v>
      </c>
      <c r="N1705">
        <v>0.31</v>
      </c>
      <c r="O1705" s="3">
        <v>577.34</v>
      </c>
      <c r="P1705" s="3">
        <v>0.14000000000000001</v>
      </c>
      <c r="Q1705" s="3">
        <v>482.11</v>
      </c>
      <c r="R1705" s="3">
        <v>0.12</v>
      </c>
      <c r="S1705">
        <v>4</v>
      </c>
      <c r="T1705">
        <v>1297.8599999999999</v>
      </c>
      <c r="U1705">
        <v>72</v>
      </c>
      <c r="V1705">
        <v>0</v>
      </c>
      <c r="W1705">
        <v>686.32</v>
      </c>
      <c r="X1705">
        <v>2952.92</v>
      </c>
      <c r="Y1705" t="s">
        <v>31</v>
      </c>
      <c r="Z1705" s="3">
        <v>1156.4000000000001</v>
      </c>
      <c r="AA1705" t="s">
        <v>48</v>
      </c>
      <c r="AB1705" t="s">
        <v>33</v>
      </c>
      <c r="AC1705">
        <v>81.7</v>
      </c>
      <c r="AD1705" t="s">
        <v>38</v>
      </c>
      <c r="AE1705">
        <v>1207.57</v>
      </c>
      <c r="AF1705">
        <v>0</v>
      </c>
    </row>
    <row r="1706" spans="3:32" x14ac:dyDescent="0.35">
      <c r="C1706" s="1">
        <v>44486</v>
      </c>
      <c r="D1706" s="2">
        <v>44470</v>
      </c>
      <c r="E1706">
        <v>1760</v>
      </c>
      <c r="F1706" s="3">
        <v>3273.03</v>
      </c>
      <c r="G1706" s="3">
        <v>4972.57</v>
      </c>
      <c r="H1706" s="3">
        <v>-1699.54</v>
      </c>
      <c r="I1706" s="3">
        <v>1.52</v>
      </c>
      <c r="J1706">
        <v>0.19</v>
      </c>
      <c r="K1706">
        <v>2089.5300000000002</v>
      </c>
      <c r="L1706" t="s">
        <v>35</v>
      </c>
      <c r="M1706">
        <v>752</v>
      </c>
      <c r="N1706">
        <v>0.6</v>
      </c>
      <c r="O1706" s="3">
        <v>369.34</v>
      </c>
      <c r="P1706" s="3">
        <v>0.11</v>
      </c>
      <c r="Q1706" s="3">
        <v>595.49</v>
      </c>
      <c r="R1706" s="3">
        <v>0.18</v>
      </c>
      <c r="S1706">
        <v>3</v>
      </c>
      <c r="T1706">
        <v>374.93</v>
      </c>
      <c r="U1706">
        <v>99</v>
      </c>
      <c r="V1706">
        <v>0</v>
      </c>
      <c r="W1706">
        <v>465.91</v>
      </c>
      <c r="X1706">
        <v>2604.5300000000002</v>
      </c>
      <c r="Y1706" t="s">
        <v>31</v>
      </c>
      <c r="Z1706" s="3">
        <v>1014.43</v>
      </c>
      <c r="AA1706" t="s">
        <v>51</v>
      </c>
      <c r="AB1706" t="s">
        <v>44</v>
      </c>
      <c r="AC1706">
        <v>14.5</v>
      </c>
      <c r="AD1706" t="s">
        <v>34</v>
      </c>
      <c r="AE1706">
        <v>0</v>
      </c>
      <c r="AF1706">
        <v>0</v>
      </c>
    </row>
    <row r="1707" spans="3:32" x14ac:dyDescent="0.35">
      <c r="C1707" s="1">
        <v>44486</v>
      </c>
      <c r="D1707" s="2">
        <v>44470</v>
      </c>
      <c r="E1707">
        <v>1279</v>
      </c>
      <c r="F1707" s="3">
        <v>3550.85</v>
      </c>
      <c r="G1707" s="3">
        <v>2607.9899999999998</v>
      </c>
      <c r="H1707" s="3">
        <v>942.86</v>
      </c>
      <c r="I1707" s="3">
        <v>0.73</v>
      </c>
      <c r="J1707">
        <v>0.32</v>
      </c>
      <c r="K1707">
        <v>2261.81</v>
      </c>
      <c r="L1707" t="s">
        <v>35</v>
      </c>
      <c r="M1707">
        <v>716</v>
      </c>
      <c r="N1707">
        <v>0.39</v>
      </c>
      <c r="O1707" s="3">
        <v>593.65</v>
      </c>
      <c r="P1707" s="3">
        <v>0.17</v>
      </c>
      <c r="Q1707" s="3">
        <v>11.25</v>
      </c>
      <c r="R1707" s="3">
        <v>0</v>
      </c>
      <c r="S1707">
        <v>4</v>
      </c>
      <c r="T1707">
        <v>384.88</v>
      </c>
      <c r="U1707">
        <v>35</v>
      </c>
      <c r="V1707">
        <v>0</v>
      </c>
      <c r="W1707">
        <v>669.37</v>
      </c>
      <c r="X1707">
        <v>2166.84</v>
      </c>
      <c r="Y1707" t="s">
        <v>31</v>
      </c>
      <c r="Z1707" s="3">
        <v>1311.01</v>
      </c>
      <c r="AA1707" t="s">
        <v>37</v>
      </c>
      <c r="AB1707" t="s">
        <v>44</v>
      </c>
      <c r="AC1707">
        <v>21.9</v>
      </c>
      <c r="AD1707" t="s">
        <v>38</v>
      </c>
      <c r="AE1707">
        <v>942.86</v>
      </c>
      <c r="AF1707">
        <v>0</v>
      </c>
    </row>
    <row r="1708" spans="3:32" x14ac:dyDescent="0.35">
      <c r="C1708" s="1">
        <v>44486</v>
      </c>
      <c r="D1708" s="2">
        <v>44470</v>
      </c>
      <c r="E1708">
        <v>1920</v>
      </c>
      <c r="F1708" s="3">
        <v>2598.41</v>
      </c>
      <c r="G1708" s="3">
        <v>4365.72</v>
      </c>
      <c r="H1708" s="3">
        <v>-1767.31</v>
      </c>
      <c r="I1708" s="3">
        <v>1.68</v>
      </c>
      <c r="J1708">
        <v>0.05</v>
      </c>
      <c r="K1708">
        <v>2220</v>
      </c>
      <c r="L1708" t="s">
        <v>35</v>
      </c>
      <c r="M1708">
        <v>636</v>
      </c>
      <c r="N1708">
        <v>0.28000000000000003</v>
      </c>
      <c r="O1708" s="3">
        <v>928.42</v>
      </c>
      <c r="P1708" s="3">
        <v>0.36</v>
      </c>
      <c r="Q1708" s="3">
        <v>352.1</v>
      </c>
      <c r="R1708" s="3">
        <v>0.14000000000000001</v>
      </c>
      <c r="S1708">
        <v>5</v>
      </c>
      <c r="T1708">
        <v>1550.37</v>
      </c>
      <c r="U1708">
        <v>81</v>
      </c>
      <c r="V1708">
        <v>0</v>
      </c>
      <c r="W1708">
        <v>281.92</v>
      </c>
      <c r="X1708">
        <v>1488.14</v>
      </c>
      <c r="Y1708" t="s">
        <v>36</v>
      </c>
      <c r="Z1708" s="3">
        <v>1208.3900000000001</v>
      </c>
      <c r="AA1708" t="s">
        <v>51</v>
      </c>
      <c r="AB1708" t="s">
        <v>33</v>
      </c>
      <c r="AC1708">
        <v>46.5</v>
      </c>
      <c r="AD1708" t="s">
        <v>34</v>
      </c>
      <c r="AE1708">
        <v>0</v>
      </c>
      <c r="AF1708">
        <v>0</v>
      </c>
    </row>
    <row r="1709" spans="3:32" x14ac:dyDescent="0.35">
      <c r="C1709" s="1">
        <v>44486</v>
      </c>
      <c r="D1709" s="2">
        <v>44470</v>
      </c>
      <c r="E1709">
        <v>1572</v>
      </c>
      <c r="F1709" s="3">
        <v>4672.84</v>
      </c>
      <c r="G1709" s="3">
        <v>3412.94</v>
      </c>
      <c r="H1709" s="3">
        <v>1259.9000000000001</v>
      </c>
      <c r="I1709" s="3">
        <v>0.73</v>
      </c>
      <c r="J1709">
        <v>0.28999999999999998</v>
      </c>
      <c r="K1709">
        <v>3249.47</v>
      </c>
      <c r="L1709" t="s">
        <v>35</v>
      </c>
      <c r="M1709">
        <v>675</v>
      </c>
      <c r="N1709">
        <v>0.53</v>
      </c>
      <c r="O1709" s="3">
        <v>360.24</v>
      </c>
      <c r="P1709" s="3">
        <v>0.08</v>
      </c>
      <c r="Q1709" s="3">
        <v>369.69</v>
      </c>
      <c r="R1709" s="3">
        <v>0.08</v>
      </c>
      <c r="S1709">
        <v>5</v>
      </c>
      <c r="T1709">
        <v>190.83</v>
      </c>
      <c r="U1709">
        <v>73</v>
      </c>
      <c r="V1709">
        <v>0</v>
      </c>
      <c r="W1709">
        <v>319.77</v>
      </c>
      <c r="X1709">
        <v>1814.17</v>
      </c>
      <c r="Y1709" t="s">
        <v>36</v>
      </c>
      <c r="Z1709" s="3">
        <v>1345.52</v>
      </c>
      <c r="AA1709" t="s">
        <v>45</v>
      </c>
      <c r="AB1709" t="s">
        <v>33</v>
      </c>
      <c r="AC1709">
        <v>2.6</v>
      </c>
      <c r="AD1709" t="s">
        <v>34</v>
      </c>
      <c r="AE1709">
        <v>1259.9000000000001</v>
      </c>
      <c r="AF1709">
        <v>0</v>
      </c>
    </row>
    <row r="1710" spans="3:32" x14ac:dyDescent="0.35">
      <c r="C1710" s="1">
        <v>44486</v>
      </c>
      <c r="D1710" s="2">
        <v>44470</v>
      </c>
      <c r="E1710">
        <v>1401</v>
      </c>
      <c r="F1710" s="3">
        <v>3851.08</v>
      </c>
      <c r="G1710" s="3">
        <v>2650.81</v>
      </c>
      <c r="H1710" s="3">
        <v>1200.27</v>
      </c>
      <c r="I1710" s="3">
        <v>0.69</v>
      </c>
      <c r="J1710">
        <v>0.2</v>
      </c>
      <c r="K1710">
        <v>2478.42</v>
      </c>
      <c r="L1710" t="s">
        <v>35</v>
      </c>
      <c r="M1710">
        <v>684</v>
      </c>
      <c r="N1710">
        <v>0.31</v>
      </c>
      <c r="O1710" s="3">
        <v>398.24</v>
      </c>
      <c r="P1710" s="3">
        <v>0.1</v>
      </c>
      <c r="Q1710" s="3">
        <v>624.99</v>
      </c>
      <c r="R1710" s="3">
        <v>0.16</v>
      </c>
      <c r="S1710">
        <v>6</v>
      </c>
      <c r="T1710">
        <v>1125.3699999999999</v>
      </c>
      <c r="U1710">
        <v>95</v>
      </c>
      <c r="V1710">
        <v>0</v>
      </c>
      <c r="W1710">
        <v>680.06</v>
      </c>
      <c r="X1710">
        <v>2273.9899999999998</v>
      </c>
      <c r="Y1710" t="s">
        <v>36</v>
      </c>
      <c r="Z1710" s="3">
        <v>719.04</v>
      </c>
      <c r="AA1710" t="s">
        <v>51</v>
      </c>
      <c r="AB1710" t="s">
        <v>33</v>
      </c>
      <c r="AC1710">
        <v>0.3</v>
      </c>
      <c r="AD1710" t="s">
        <v>43</v>
      </c>
      <c r="AE1710">
        <v>1200.27</v>
      </c>
      <c r="AF1710">
        <v>0</v>
      </c>
    </row>
    <row r="1711" spans="3:32" x14ac:dyDescent="0.35">
      <c r="C1711" s="1">
        <v>44486</v>
      </c>
      <c r="D1711" s="2">
        <v>44470</v>
      </c>
      <c r="E1711">
        <v>1603</v>
      </c>
      <c r="F1711" s="3">
        <v>3457.99</v>
      </c>
      <c r="G1711" s="3">
        <v>3482.58</v>
      </c>
      <c r="H1711" s="3">
        <v>-24.59</v>
      </c>
      <c r="I1711" s="3">
        <v>1.01</v>
      </c>
      <c r="J1711">
        <v>0.38</v>
      </c>
      <c r="K1711">
        <v>2505.38</v>
      </c>
      <c r="L1711" t="s">
        <v>35</v>
      </c>
      <c r="M1711">
        <v>626</v>
      </c>
      <c r="N1711">
        <v>0.13</v>
      </c>
      <c r="O1711" s="3">
        <v>441.16</v>
      </c>
      <c r="P1711" s="3">
        <v>0.13</v>
      </c>
      <c r="Q1711" s="3">
        <v>0</v>
      </c>
      <c r="R1711" s="3">
        <v>0</v>
      </c>
      <c r="S1711">
        <v>9</v>
      </c>
      <c r="T1711">
        <v>820.45</v>
      </c>
      <c r="U1711">
        <v>94</v>
      </c>
      <c r="V1711">
        <v>0</v>
      </c>
      <c r="W1711">
        <v>596.38</v>
      </c>
      <c r="X1711">
        <v>1392.57</v>
      </c>
      <c r="Y1711" t="s">
        <v>36</v>
      </c>
      <c r="Z1711" s="3">
        <v>1874.98</v>
      </c>
      <c r="AA1711" t="s">
        <v>41</v>
      </c>
      <c r="AB1711" t="s">
        <v>33</v>
      </c>
      <c r="AC1711">
        <v>4.5999999999999996</v>
      </c>
      <c r="AD1711" t="s">
        <v>34</v>
      </c>
      <c r="AE1711">
        <v>0</v>
      </c>
      <c r="AF1711">
        <v>0</v>
      </c>
    </row>
    <row r="1712" spans="3:32" x14ac:dyDescent="0.35">
      <c r="C1712" s="1">
        <v>44486</v>
      </c>
      <c r="D1712" s="2">
        <v>44470</v>
      </c>
      <c r="E1712">
        <v>1021</v>
      </c>
      <c r="F1712" s="3">
        <v>4077.43</v>
      </c>
      <c r="G1712" s="3">
        <v>2765.5</v>
      </c>
      <c r="H1712" s="3">
        <v>1311.93</v>
      </c>
      <c r="I1712" s="3">
        <v>0.68</v>
      </c>
      <c r="J1712">
        <v>0.14000000000000001</v>
      </c>
      <c r="K1712">
        <v>2304.88</v>
      </c>
      <c r="L1712" t="s">
        <v>35</v>
      </c>
      <c r="M1712">
        <v>717</v>
      </c>
      <c r="N1712">
        <v>0.57999999999999996</v>
      </c>
      <c r="O1712" s="3">
        <v>442.84</v>
      </c>
      <c r="P1712" s="3">
        <v>0.11</v>
      </c>
      <c r="Q1712" s="3">
        <v>395.29</v>
      </c>
      <c r="R1712" s="3">
        <v>0.1</v>
      </c>
      <c r="S1712">
        <v>5</v>
      </c>
      <c r="T1712">
        <v>254.77</v>
      </c>
      <c r="U1712">
        <v>62</v>
      </c>
      <c r="V1712">
        <v>0</v>
      </c>
      <c r="W1712">
        <v>381.56</v>
      </c>
      <c r="X1712">
        <v>2243</v>
      </c>
      <c r="Y1712" t="s">
        <v>36</v>
      </c>
      <c r="Z1712" s="3">
        <v>1192.83</v>
      </c>
      <c r="AA1712" t="s">
        <v>37</v>
      </c>
      <c r="AB1712" t="s">
        <v>33</v>
      </c>
      <c r="AC1712">
        <v>64.3</v>
      </c>
      <c r="AD1712" t="s">
        <v>34</v>
      </c>
      <c r="AE1712">
        <v>1311.93</v>
      </c>
      <c r="AF1712">
        <v>0</v>
      </c>
    </row>
    <row r="1713" spans="3:32" x14ac:dyDescent="0.35">
      <c r="C1713" s="1">
        <v>44486</v>
      </c>
      <c r="D1713" s="2">
        <v>44470</v>
      </c>
      <c r="E1713">
        <v>1059</v>
      </c>
      <c r="F1713" s="3">
        <v>4266.04</v>
      </c>
      <c r="G1713" s="3">
        <v>2042.77</v>
      </c>
      <c r="H1713" s="3">
        <v>2223.27</v>
      </c>
      <c r="I1713" s="3">
        <v>0.48</v>
      </c>
      <c r="J1713">
        <v>0.3</v>
      </c>
      <c r="K1713">
        <v>2658.01</v>
      </c>
      <c r="L1713" t="s">
        <v>30</v>
      </c>
      <c r="M1713">
        <v>622</v>
      </c>
      <c r="N1713">
        <v>0.47</v>
      </c>
      <c r="O1713" s="3">
        <v>567.15</v>
      </c>
      <c r="P1713" s="3">
        <v>0.13</v>
      </c>
      <c r="Q1713" s="3">
        <v>155.05000000000001</v>
      </c>
      <c r="R1713" s="3">
        <v>0.04</v>
      </c>
      <c r="S1713">
        <v>8</v>
      </c>
      <c r="T1713">
        <v>1067.29</v>
      </c>
      <c r="U1713">
        <v>63</v>
      </c>
      <c r="V1713">
        <v>0</v>
      </c>
      <c r="W1713">
        <v>602.65</v>
      </c>
      <c r="X1713">
        <v>2721.13</v>
      </c>
      <c r="Y1713" t="s">
        <v>31</v>
      </c>
      <c r="Z1713" s="3">
        <v>2251.1999999999998</v>
      </c>
      <c r="AA1713" t="s">
        <v>48</v>
      </c>
      <c r="AB1713" t="s">
        <v>42</v>
      </c>
      <c r="AC1713">
        <v>61.6</v>
      </c>
      <c r="AD1713" t="s">
        <v>43</v>
      </c>
      <c r="AE1713">
        <v>2223.27</v>
      </c>
      <c r="AF1713">
        <v>0</v>
      </c>
    </row>
    <row r="1714" spans="3:32" x14ac:dyDescent="0.35">
      <c r="C1714" s="1">
        <v>44486</v>
      </c>
      <c r="D1714" s="2">
        <v>44470</v>
      </c>
      <c r="E1714">
        <v>1890</v>
      </c>
      <c r="F1714" s="3">
        <v>3937.79</v>
      </c>
      <c r="G1714" s="3">
        <v>4417.8599999999997</v>
      </c>
      <c r="H1714" s="3">
        <v>-480.07</v>
      </c>
      <c r="I1714" s="3">
        <v>1.1200000000000001</v>
      </c>
      <c r="J1714">
        <v>0.35</v>
      </c>
      <c r="K1714">
        <v>2723.54</v>
      </c>
      <c r="L1714" t="s">
        <v>35</v>
      </c>
      <c r="M1714">
        <v>547</v>
      </c>
      <c r="N1714">
        <v>0.53</v>
      </c>
      <c r="O1714" s="3">
        <v>313.01</v>
      </c>
      <c r="P1714" s="3">
        <v>0.08</v>
      </c>
      <c r="Q1714" s="3">
        <v>551.84</v>
      </c>
      <c r="R1714" s="3">
        <v>0.14000000000000001</v>
      </c>
      <c r="S1714">
        <v>6</v>
      </c>
      <c r="T1714">
        <v>1468.52</v>
      </c>
      <c r="U1714">
        <v>75</v>
      </c>
      <c r="V1714">
        <v>0</v>
      </c>
      <c r="W1714">
        <v>580.09</v>
      </c>
      <c r="X1714">
        <v>2247.9299999999998</v>
      </c>
      <c r="Y1714" t="s">
        <v>36</v>
      </c>
      <c r="Z1714" s="3">
        <v>1660.24</v>
      </c>
      <c r="AA1714" t="s">
        <v>37</v>
      </c>
      <c r="AB1714" t="s">
        <v>33</v>
      </c>
      <c r="AC1714">
        <v>62.1</v>
      </c>
      <c r="AD1714" t="s">
        <v>34</v>
      </c>
      <c r="AE1714">
        <v>0</v>
      </c>
      <c r="AF1714">
        <v>0</v>
      </c>
    </row>
    <row r="1715" spans="3:32" x14ac:dyDescent="0.35">
      <c r="C1715" s="1">
        <v>44486</v>
      </c>
      <c r="D1715" s="2">
        <v>44470</v>
      </c>
      <c r="E1715">
        <v>1632</v>
      </c>
      <c r="F1715" s="3">
        <v>3108.58</v>
      </c>
      <c r="G1715" s="3">
        <v>2515.06</v>
      </c>
      <c r="H1715" s="3">
        <v>593.52</v>
      </c>
      <c r="I1715" s="3">
        <v>0.81</v>
      </c>
      <c r="J1715">
        <v>0.32</v>
      </c>
      <c r="K1715">
        <v>2660.53</v>
      </c>
      <c r="L1715" t="s">
        <v>35</v>
      </c>
      <c r="M1715">
        <v>626</v>
      </c>
      <c r="N1715">
        <v>0.16</v>
      </c>
      <c r="O1715" s="3">
        <v>456.07</v>
      </c>
      <c r="P1715" s="3">
        <v>0.15</v>
      </c>
      <c r="Q1715" s="3">
        <v>480.76</v>
      </c>
      <c r="R1715" s="3">
        <v>0.15</v>
      </c>
      <c r="S1715">
        <v>8</v>
      </c>
      <c r="T1715">
        <v>532.33000000000004</v>
      </c>
      <c r="U1715">
        <v>40</v>
      </c>
      <c r="V1715">
        <v>0</v>
      </c>
      <c r="W1715">
        <v>120.81</v>
      </c>
      <c r="X1715">
        <v>1453.54</v>
      </c>
      <c r="Y1715" t="s">
        <v>36</v>
      </c>
      <c r="Z1715" s="3">
        <v>1388.29</v>
      </c>
      <c r="AA1715" t="s">
        <v>40</v>
      </c>
      <c r="AB1715" t="s">
        <v>33</v>
      </c>
      <c r="AC1715">
        <v>88.9</v>
      </c>
      <c r="AD1715" t="s">
        <v>34</v>
      </c>
      <c r="AE1715">
        <v>593.52</v>
      </c>
      <c r="AF1715">
        <v>0</v>
      </c>
    </row>
    <row r="1716" spans="3:32" x14ac:dyDescent="0.35">
      <c r="C1716" s="1">
        <v>44486</v>
      </c>
      <c r="D1716" s="2">
        <v>44470</v>
      </c>
      <c r="E1716">
        <v>1616</v>
      </c>
      <c r="F1716" s="3">
        <v>3489.98</v>
      </c>
      <c r="G1716" s="3">
        <v>3478.88</v>
      </c>
      <c r="H1716" s="3">
        <v>11.1</v>
      </c>
      <c r="I1716" s="3">
        <v>1</v>
      </c>
      <c r="J1716">
        <v>0.35</v>
      </c>
      <c r="K1716">
        <v>3010.67</v>
      </c>
      <c r="L1716" t="s">
        <v>35</v>
      </c>
      <c r="M1716">
        <v>633</v>
      </c>
      <c r="N1716">
        <v>0.5</v>
      </c>
      <c r="O1716" s="3">
        <v>655.63</v>
      </c>
      <c r="P1716" s="3">
        <v>0.19</v>
      </c>
      <c r="Q1716" s="3">
        <v>604.46</v>
      </c>
      <c r="R1716" s="3">
        <v>0.17</v>
      </c>
      <c r="S1716">
        <v>4</v>
      </c>
      <c r="T1716">
        <v>1200.67</v>
      </c>
      <c r="U1716">
        <v>34</v>
      </c>
      <c r="V1716">
        <v>0</v>
      </c>
      <c r="W1716">
        <v>911.82</v>
      </c>
      <c r="X1716">
        <v>1885.5</v>
      </c>
      <c r="Y1716" t="s">
        <v>36</v>
      </c>
      <c r="Z1716" s="3">
        <v>1421.29</v>
      </c>
      <c r="AA1716" t="s">
        <v>37</v>
      </c>
      <c r="AB1716" t="s">
        <v>44</v>
      </c>
      <c r="AC1716">
        <v>71.900000000000006</v>
      </c>
      <c r="AD1716" t="s">
        <v>38</v>
      </c>
      <c r="AE1716">
        <v>11.1</v>
      </c>
      <c r="AF1716">
        <v>0</v>
      </c>
    </row>
    <row r="1717" spans="3:32" x14ac:dyDescent="0.35">
      <c r="C1717" s="1">
        <v>44486</v>
      </c>
      <c r="D1717" s="2">
        <v>44470</v>
      </c>
      <c r="E1717">
        <v>1418</v>
      </c>
      <c r="F1717" s="3">
        <v>4075.23</v>
      </c>
      <c r="G1717" s="3">
        <v>1152.24</v>
      </c>
      <c r="H1717" s="3">
        <v>2922.99</v>
      </c>
      <c r="I1717" s="3">
        <v>0.28000000000000003</v>
      </c>
      <c r="J1717">
        <v>0.4</v>
      </c>
      <c r="K1717">
        <v>3083.69</v>
      </c>
      <c r="L1717" t="s">
        <v>35</v>
      </c>
      <c r="M1717">
        <v>671</v>
      </c>
      <c r="N1717">
        <v>0.43</v>
      </c>
      <c r="O1717" s="3">
        <v>434.12</v>
      </c>
      <c r="P1717" s="3">
        <v>0.11</v>
      </c>
      <c r="Q1717" s="3">
        <v>370.53</v>
      </c>
      <c r="R1717" s="3">
        <v>0.09</v>
      </c>
      <c r="S1717">
        <v>7</v>
      </c>
      <c r="T1717">
        <v>1487.26</v>
      </c>
      <c r="U1717">
        <v>80</v>
      </c>
      <c r="V1717">
        <v>0</v>
      </c>
      <c r="W1717">
        <v>552.13</v>
      </c>
      <c r="X1717">
        <v>2281.81</v>
      </c>
      <c r="Y1717" t="s">
        <v>36</v>
      </c>
      <c r="Z1717" s="3">
        <v>1253.49</v>
      </c>
      <c r="AA1717" t="s">
        <v>47</v>
      </c>
      <c r="AB1717" t="s">
        <v>42</v>
      </c>
      <c r="AC1717">
        <v>75.7</v>
      </c>
      <c r="AD1717" t="s">
        <v>34</v>
      </c>
      <c r="AE1717">
        <v>2922.99</v>
      </c>
      <c r="AF1717">
        <v>0</v>
      </c>
    </row>
    <row r="1718" spans="3:32" x14ac:dyDescent="0.35">
      <c r="C1718" s="1">
        <v>44486</v>
      </c>
      <c r="D1718" s="2">
        <v>44470</v>
      </c>
      <c r="E1718">
        <v>1572</v>
      </c>
      <c r="F1718" s="3">
        <v>2292.67</v>
      </c>
      <c r="G1718" s="3">
        <v>2613.5</v>
      </c>
      <c r="H1718" s="3">
        <v>-320.83</v>
      </c>
      <c r="I1718" s="3">
        <v>1.1399999999999999</v>
      </c>
      <c r="J1718">
        <v>0.22</v>
      </c>
      <c r="K1718">
        <v>2775.48</v>
      </c>
      <c r="L1718" t="s">
        <v>39</v>
      </c>
      <c r="M1718">
        <v>732</v>
      </c>
      <c r="N1718">
        <v>0.55000000000000004</v>
      </c>
      <c r="O1718" s="3">
        <v>287.29000000000002</v>
      </c>
      <c r="P1718" s="3">
        <v>0.13</v>
      </c>
      <c r="Q1718" s="3">
        <v>511.27</v>
      </c>
      <c r="R1718" s="3">
        <v>0.22</v>
      </c>
      <c r="S1718">
        <v>3</v>
      </c>
      <c r="T1718">
        <v>600.82000000000005</v>
      </c>
      <c r="U1718">
        <v>73</v>
      </c>
      <c r="V1718">
        <v>0</v>
      </c>
      <c r="W1718">
        <v>441.22</v>
      </c>
      <c r="X1718">
        <v>2527.1</v>
      </c>
      <c r="Y1718" t="s">
        <v>31</v>
      </c>
      <c r="Z1718" s="3">
        <v>349.21</v>
      </c>
      <c r="AA1718" t="s">
        <v>45</v>
      </c>
      <c r="AB1718" t="s">
        <v>44</v>
      </c>
      <c r="AC1718">
        <v>39.1</v>
      </c>
      <c r="AD1718" t="s">
        <v>34</v>
      </c>
      <c r="AE1718">
        <v>0</v>
      </c>
      <c r="AF1718">
        <v>0</v>
      </c>
    </row>
    <row r="1719" spans="3:32" x14ac:dyDescent="0.35">
      <c r="C1719" s="1">
        <v>44486</v>
      </c>
      <c r="D1719" s="2">
        <v>44470</v>
      </c>
      <c r="E1719">
        <v>1010</v>
      </c>
      <c r="F1719" s="3">
        <v>3496.37</v>
      </c>
      <c r="G1719" s="3">
        <v>3863.84</v>
      </c>
      <c r="H1719" s="3">
        <v>-367.47</v>
      </c>
      <c r="I1719" s="3">
        <v>1.1100000000000001</v>
      </c>
      <c r="J1719">
        <v>0.19</v>
      </c>
      <c r="K1719">
        <v>2388.69</v>
      </c>
      <c r="L1719" t="s">
        <v>35</v>
      </c>
      <c r="M1719">
        <v>608</v>
      </c>
      <c r="N1719">
        <v>0.25</v>
      </c>
      <c r="O1719" s="3">
        <v>736.24</v>
      </c>
      <c r="P1719" s="3">
        <v>0.21</v>
      </c>
      <c r="Q1719" s="3">
        <v>248.68</v>
      </c>
      <c r="R1719" s="3">
        <v>7.0000000000000007E-2</v>
      </c>
      <c r="S1719">
        <v>6</v>
      </c>
      <c r="T1719">
        <v>457.74</v>
      </c>
      <c r="U1719">
        <v>96</v>
      </c>
      <c r="V1719">
        <v>0</v>
      </c>
      <c r="W1719">
        <v>268.18</v>
      </c>
      <c r="X1719">
        <v>2028.19</v>
      </c>
      <c r="Y1719" t="s">
        <v>36</v>
      </c>
      <c r="Z1719" s="3">
        <v>1415.05</v>
      </c>
      <c r="AA1719" t="s">
        <v>32</v>
      </c>
      <c r="AB1719" t="s">
        <v>44</v>
      </c>
      <c r="AC1719">
        <v>65.7</v>
      </c>
      <c r="AD1719" t="s">
        <v>34</v>
      </c>
      <c r="AE1719">
        <v>0</v>
      </c>
      <c r="AF1719">
        <v>0</v>
      </c>
    </row>
    <row r="1720" spans="3:32" x14ac:dyDescent="0.35">
      <c r="C1720" s="1">
        <v>44486</v>
      </c>
      <c r="D1720" s="2">
        <v>44470</v>
      </c>
      <c r="E1720">
        <v>1271</v>
      </c>
      <c r="F1720" s="3">
        <v>4977.3500000000004</v>
      </c>
      <c r="G1720" s="3">
        <v>2036.96</v>
      </c>
      <c r="H1720" s="3">
        <v>2940.39</v>
      </c>
      <c r="I1720" s="3">
        <v>0.41</v>
      </c>
      <c r="J1720">
        <v>0.28999999999999998</v>
      </c>
      <c r="K1720">
        <v>3143.3</v>
      </c>
      <c r="L1720" t="s">
        <v>39</v>
      </c>
      <c r="M1720">
        <v>753</v>
      </c>
      <c r="N1720">
        <v>0.6</v>
      </c>
      <c r="O1720" s="3">
        <v>349.66</v>
      </c>
      <c r="P1720" s="3">
        <v>7.0000000000000007E-2</v>
      </c>
      <c r="Q1720" s="3">
        <v>621.65</v>
      </c>
      <c r="R1720" s="3">
        <v>0.12</v>
      </c>
      <c r="S1720">
        <v>4</v>
      </c>
      <c r="T1720">
        <v>843.86</v>
      </c>
      <c r="U1720">
        <v>83</v>
      </c>
      <c r="V1720">
        <v>0</v>
      </c>
      <c r="W1720">
        <v>294.19</v>
      </c>
      <c r="X1720">
        <v>2990.21</v>
      </c>
      <c r="Y1720" t="s">
        <v>49</v>
      </c>
      <c r="Z1720" s="3">
        <v>757.51</v>
      </c>
      <c r="AA1720" t="s">
        <v>37</v>
      </c>
      <c r="AB1720" t="s">
        <v>33</v>
      </c>
      <c r="AC1720">
        <v>33</v>
      </c>
      <c r="AD1720" t="s">
        <v>43</v>
      </c>
      <c r="AE1720">
        <v>2940.39</v>
      </c>
      <c r="AF1720">
        <v>0</v>
      </c>
    </row>
    <row r="1721" spans="3:32" x14ac:dyDescent="0.35">
      <c r="C1721" s="1">
        <v>44486</v>
      </c>
      <c r="D1721" s="2">
        <v>44470</v>
      </c>
      <c r="E1721">
        <v>1465</v>
      </c>
      <c r="F1721" s="3">
        <v>5655.8</v>
      </c>
      <c r="G1721" s="3">
        <v>2328.1799999999998</v>
      </c>
      <c r="H1721" s="3">
        <v>3327.62</v>
      </c>
      <c r="I1721" s="3">
        <v>0.41</v>
      </c>
      <c r="J1721">
        <v>0.17</v>
      </c>
      <c r="K1721">
        <v>2441.63</v>
      </c>
      <c r="L1721" t="s">
        <v>39</v>
      </c>
      <c r="M1721">
        <v>663</v>
      </c>
      <c r="N1721">
        <v>0.59</v>
      </c>
      <c r="O1721" s="3">
        <v>603.25</v>
      </c>
      <c r="P1721" s="3">
        <v>0.11</v>
      </c>
      <c r="Q1721" s="3">
        <v>410.79</v>
      </c>
      <c r="R1721" s="3">
        <v>7.0000000000000007E-2</v>
      </c>
      <c r="S1721">
        <v>1</v>
      </c>
      <c r="T1721">
        <v>1668.64</v>
      </c>
      <c r="U1721">
        <v>97</v>
      </c>
      <c r="V1721">
        <v>0</v>
      </c>
      <c r="W1721">
        <v>349.24</v>
      </c>
      <c r="X1721">
        <v>1983.67</v>
      </c>
      <c r="Y1721" t="s">
        <v>36</v>
      </c>
      <c r="Z1721" s="3">
        <v>1892.02</v>
      </c>
      <c r="AA1721" t="s">
        <v>50</v>
      </c>
      <c r="AB1721" t="s">
        <v>33</v>
      </c>
      <c r="AC1721">
        <v>94.6</v>
      </c>
      <c r="AD1721" t="s">
        <v>34</v>
      </c>
      <c r="AE1721">
        <v>3327.62</v>
      </c>
      <c r="AF1721">
        <v>1</v>
      </c>
    </row>
    <row r="1722" spans="3:32" x14ac:dyDescent="0.35">
      <c r="C1722" s="1">
        <v>44486</v>
      </c>
      <c r="D1722" s="2">
        <v>44470</v>
      </c>
      <c r="E1722">
        <v>1929</v>
      </c>
      <c r="F1722" s="3">
        <v>3370.26</v>
      </c>
      <c r="G1722" s="3">
        <v>2595.71</v>
      </c>
      <c r="H1722" s="3">
        <v>774.55</v>
      </c>
      <c r="I1722" s="3">
        <v>0.77</v>
      </c>
      <c r="J1722">
        <v>0.36</v>
      </c>
      <c r="K1722">
        <v>2606.29</v>
      </c>
      <c r="L1722" t="s">
        <v>30</v>
      </c>
      <c r="M1722">
        <v>651</v>
      </c>
      <c r="N1722">
        <v>0.17</v>
      </c>
      <c r="O1722" s="3">
        <v>386.21</v>
      </c>
      <c r="P1722" s="3">
        <v>0.11</v>
      </c>
      <c r="Q1722" s="3">
        <v>511.3</v>
      </c>
      <c r="R1722" s="3">
        <v>0.15</v>
      </c>
      <c r="S1722">
        <v>1</v>
      </c>
      <c r="T1722">
        <v>1223.95</v>
      </c>
      <c r="U1722">
        <v>47</v>
      </c>
      <c r="V1722">
        <v>1</v>
      </c>
      <c r="W1722">
        <v>334.91</v>
      </c>
      <c r="X1722">
        <v>2263.54</v>
      </c>
      <c r="Y1722" t="s">
        <v>36</v>
      </c>
      <c r="Z1722" s="3">
        <v>1268.81</v>
      </c>
      <c r="AA1722" t="s">
        <v>47</v>
      </c>
      <c r="AB1722" t="s">
        <v>42</v>
      </c>
      <c r="AC1722">
        <v>87.9</v>
      </c>
      <c r="AD1722" t="s">
        <v>38</v>
      </c>
      <c r="AE1722">
        <v>774.55</v>
      </c>
      <c r="AF1722">
        <v>0</v>
      </c>
    </row>
    <row r="1723" spans="3:32" x14ac:dyDescent="0.35">
      <c r="C1723" s="1">
        <v>44486</v>
      </c>
      <c r="D1723" s="2">
        <v>44470</v>
      </c>
      <c r="E1723">
        <v>1520</v>
      </c>
      <c r="F1723" s="3">
        <v>4404.16</v>
      </c>
      <c r="G1723" s="3">
        <v>3518.73</v>
      </c>
      <c r="H1723" s="3">
        <v>885.43</v>
      </c>
      <c r="I1723" s="3">
        <v>0.8</v>
      </c>
      <c r="J1723">
        <v>0.28999999999999998</v>
      </c>
      <c r="K1723">
        <v>3380.32</v>
      </c>
      <c r="L1723" t="s">
        <v>30</v>
      </c>
      <c r="M1723">
        <v>694</v>
      </c>
      <c r="N1723">
        <v>0.13</v>
      </c>
      <c r="O1723" s="3">
        <v>432.02</v>
      </c>
      <c r="P1723" s="3">
        <v>0.1</v>
      </c>
      <c r="Q1723" s="3">
        <v>214.42</v>
      </c>
      <c r="R1723" s="3">
        <v>0.05</v>
      </c>
      <c r="S1723">
        <v>8</v>
      </c>
      <c r="T1723">
        <v>1660.73</v>
      </c>
      <c r="U1723">
        <v>99</v>
      </c>
      <c r="V1723">
        <v>0</v>
      </c>
      <c r="W1723">
        <v>590</v>
      </c>
      <c r="X1723">
        <v>2905.03</v>
      </c>
      <c r="Y1723" t="s">
        <v>36</v>
      </c>
      <c r="Z1723" s="3">
        <v>1055.8900000000001</v>
      </c>
      <c r="AA1723" t="s">
        <v>47</v>
      </c>
      <c r="AB1723" t="s">
        <v>42</v>
      </c>
      <c r="AC1723">
        <v>25.4</v>
      </c>
      <c r="AD1723" t="s">
        <v>34</v>
      </c>
      <c r="AE1723">
        <v>885.43</v>
      </c>
      <c r="AF1723">
        <v>0</v>
      </c>
    </row>
    <row r="1724" spans="3:32" x14ac:dyDescent="0.35">
      <c r="C1724" s="1">
        <v>44486</v>
      </c>
      <c r="D1724" s="2">
        <v>44470</v>
      </c>
      <c r="E1724">
        <v>1599</v>
      </c>
      <c r="F1724" s="3">
        <v>5009.67</v>
      </c>
      <c r="G1724" s="3">
        <v>3363.98</v>
      </c>
      <c r="H1724" s="3">
        <v>1645.69</v>
      </c>
      <c r="I1724" s="3">
        <v>0.67</v>
      </c>
      <c r="J1724">
        <v>0.11</v>
      </c>
      <c r="K1724">
        <v>3298.25</v>
      </c>
      <c r="L1724" t="s">
        <v>30</v>
      </c>
      <c r="M1724">
        <v>659</v>
      </c>
      <c r="N1724">
        <v>0.19</v>
      </c>
      <c r="O1724" s="3">
        <v>591.25</v>
      </c>
      <c r="P1724" s="3">
        <v>0.12</v>
      </c>
      <c r="Q1724" s="3">
        <v>264.25</v>
      </c>
      <c r="R1724" s="3">
        <v>0.05</v>
      </c>
      <c r="S1724">
        <v>9</v>
      </c>
      <c r="T1724">
        <v>797.59</v>
      </c>
      <c r="U1724">
        <v>79</v>
      </c>
      <c r="V1724">
        <v>0</v>
      </c>
      <c r="W1724">
        <v>235.79</v>
      </c>
      <c r="X1724">
        <v>2164.94</v>
      </c>
      <c r="Y1724" t="s">
        <v>36</v>
      </c>
      <c r="Z1724" s="3">
        <v>1596.06</v>
      </c>
      <c r="AA1724" t="s">
        <v>32</v>
      </c>
      <c r="AB1724" t="s">
        <v>44</v>
      </c>
      <c r="AC1724">
        <v>41.2</v>
      </c>
      <c r="AD1724" t="s">
        <v>34</v>
      </c>
      <c r="AE1724">
        <v>1645.69</v>
      </c>
      <c r="AF1724">
        <v>0</v>
      </c>
    </row>
    <row r="1725" spans="3:32" x14ac:dyDescent="0.35">
      <c r="C1725" s="1">
        <v>44486</v>
      </c>
      <c r="D1725" s="2">
        <v>44470</v>
      </c>
      <c r="E1725">
        <v>1337</v>
      </c>
      <c r="F1725" s="3">
        <v>4174.9399999999996</v>
      </c>
      <c r="G1725" s="3">
        <v>2718.75</v>
      </c>
      <c r="H1725" s="3">
        <v>1456.19</v>
      </c>
      <c r="I1725" s="3">
        <v>0.65</v>
      </c>
      <c r="J1725">
        <v>0.26</v>
      </c>
      <c r="K1725">
        <v>2946.37</v>
      </c>
      <c r="L1725" t="s">
        <v>30</v>
      </c>
      <c r="M1725">
        <v>658</v>
      </c>
      <c r="N1725">
        <v>0.11</v>
      </c>
      <c r="O1725" s="3">
        <v>756.8</v>
      </c>
      <c r="P1725" s="3">
        <v>0.18</v>
      </c>
      <c r="Q1725" s="3">
        <v>325</v>
      </c>
      <c r="R1725" s="3">
        <v>0.08</v>
      </c>
      <c r="S1725">
        <v>7</v>
      </c>
      <c r="T1725">
        <v>1884.87</v>
      </c>
      <c r="U1725">
        <v>41</v>
      </c>
      <c r="V1725">
        <v>0</v>
      </c>
      <c r="W1725">
        <v>701.53</v>
      </c>
      <c r="X1725">
        <v>2254.85</v>
      </c>
      <c r="Y1725" t="s">
        <v>36</v>
      </c>
      <c r="Z1725" s="3">
        <v>1083.01</v>
      </c>
      <c r="AA1725" t="s">
        <v>51</v>
      </c>
      <c r="AB1725" t="s">
        <v>33</v>
      </c>
      <c r="AC1725">
        <v>8.3000000000000007</v>
      </c>
      <c r="AD1725" t="s">
        <v>34</v>
      </c>
      <c r="AE1725">
        <v>1456.19</v>
      </c>
      <c r="AF1725">
        <v>0</v>
      </c>
    </row>
    <row r="1726" spans="3:32" x14ac:dyDescent="0.35">
      <c r="C1726" s="1">
        <v>44486</v>
      </c>
      <c r="D1726" s="2">
        <v>44470</v>
      </c>
      <c r="E1726">
        <v>1421</v>
      </c>
      <c r="F1726" s="3">
        <v>4746.63</v>
      </c>
      <c r="G1726" s="3">
        <v>1994.56</v>
      </c>
      <c r="H1726" s="3">
        <v>2752.07</v>
      </c>
      <c r="I1726" s="3">
        <v>0.42</v>
      </c>
      <c r="J1726">
        <v>0.28999999999999998</v>
      </c>
      <c r="K1726">
        <v>2177.4899999999998</v>
      </c>
      <c r="L1726" t="s">
        <v>35</v>
      </c>
      <c r="M1726">
        <v>719</v>
      </c>
      <c r="N1726">
        <v>0.2</v>
      </c>
      <c r="O1726" s="3">
        <v>483.5</v>
      </c>
      <c r="P1726" s="3">
        <v>0.1</v>
      </c>
      <c r="Q1726" s="3">
        <v>410.04</v>
      </c>
      <c r="R1726" s="3">
        <v>0.09</v>
      </c>
      <c r="S1726">
        <v>4</v>
      </c>
      <c r="T1726">
        <v>1692.67</v>
      </c>
      <c r="U1726">
        <v>95</v>
      </c>
      <c r="V1726">
        <v>0</v>
      </c>
      <c r="W1726">
        <v>606.80999999999995</v>
      </c>
      <c r="X1726">
        <v>2967.46</v>
      </c>
      <c r="Y1726" t="s">
        <v>49</v>
      </c>
      <c r="Z1726" s="3">
        <v>929.47</v>
      </c>
      <c r="AA1726" t="s">
        <v>47</v>
      </c>
      <c r="AB1726" t="s">
        <v>33</v>
      </c>
      <c r="AC1726">
        <v>66</v>
      </c>
      <c r="AD1726" t="s">
        <v>34</v>
      </c>
      <c r="AE1726">
        <v>2752.07</v>
      </c>
      <c r="AF1726">
        <v>1</v>
      </c>
    </row>
    <row r="1727" spans="3:32" x14ac:dyDescent="0.35">
      <c r="C1727" s="1">
        <v>44486</v>
      </c>
      <c r="D1727" s="2">
        <v>44470</v>
      </c>
      <c r="E1727">
        <v>1541</v>
      </c>
      <c r="F1727" s="3">
        <v>4693.72</v>
      </c>
      <c r="G1727" s="3">
        <v>3273.57</v>
      </c>
      <c r="H1727" s="3">
        <v>1420.15</v>
      </c>
      <c r="I1727" s="3">
        <v>0.7</v>
      </c>
      <c r="J1727">
        <v>0.09</v>
      </c>
      <c r="K1727">
        <v>2088.79</v>
      </c>
      <c r="L1727" t="s">
        <v>35</v>
      </c>
      <c r="M1727">
        <v>640</v>
      </c>
      <c r="N1727">
        <v>0.27</v>
      </c>
      <c r="O1727" s="3">
        <v>434.86</v>
      </c>
      <c r="P1727" s="3">
        <v>0.09</v>
      </c>
      <c r="Q1727" s="3">
        <v>68.16</v>
      </c>
      <c r="R1727" s="3">
        <v>0.01</v>
      </c>
      <c r="S1727">
        <v>4</v>
      </c>
      <c r="T1727">
        <v>762.47</v>
      </c>
      <c r="U1727">
        <v>65</v>
      </c>
      <c r="V1727">
        <v>0</v>
      </c>
      <c r="W1727">
        <v>960.73</v>
      </c>
      <c r="X1727">
        <v>2233.0700000000002</v>
      </c>
      <c r="Y1727" t="s">
        <v>31</v>
      </c>
      <c r="Z1727" s="3">
        <v>538.49</v>
      </c>
      <c r="AA1727" t="s">
        <v>41</v>
      </c>
      <c r="AB1727" t="s">
        <v>33</v>
      </c>
      <c r="AC1727">
        <v>29.1</v>
      </c>
      <c r="AD1727" t="s">
        <v>38</v>
      </c>
      <c r="AE1727">
        <v>1420.15</v>
      </c>
      <c r="AF1727">
        <v>0</v>
      </c>
    </row>
    <row r="1728" spans="3:32" x14ac:dyDescent="0.35">
      <c r="C1728" s="1">
        <v>44486</v>
      </c>
      <c r="D1728" s="2">
        <v>44470</v>
      </c>
      <c r="E1728">
        <v>1322</v>
      </c>
      <c r="F1728" s="3">
        <v>4568.97</v>
      </c>
      <c r="G1728" s="3">
        <v>2828.91</v>
      </c>
      <c r="H1728" s="3">
        <v>1740.06</v>
      </c>
      <c r="I1728" s="3">
        <v>0.62</v>
      </c>
      <c r="J1728">
        <v>0.37</v>
      </c>
      <c r="K1728">
        <v>2403.58</v>
      </c>
      <c r="L1728" t="s">
        <v>35</v>
      </c>
      <c r="M1728">
        <v>731</v>
      </c>
      <c r="N1728">
        <v>0.41</v>
      </c>
      <c r="O1728" s="3">
        <v>524.66999999999996</v>
      </c>
      <c r="P1728" s="3">
        <v>0.11</v>
      </c>
      <c r="Q1728" s="3">
        <v>269.48</v>
      </c>
      <c r="R1728" s="3">
        <v>0.06</v>
      </c>
      <c r="S1728">
        <v>1</v>
      </c>
      <c r="T1728">
        <v>893.3</v>
      </c>
      <c r="U1728">
        <v>77</v>
      </c>
      <c r="V1728">
        <v>0</v>
      </c>
      <c r="W1728">
        <v>509.65</v>
      </c>
      <c r="X1728">
        <v>2451.62</v>
      </c>
      <c r="Y1728" t="s">
        <v>36</v>
      </c>
      <c r="Z1728" s="3">
        <v>1302.44</v>
      </c>
      <c r="AA1728" t="s">
        <v>37</v>
      </c>
      <c r="AB1728" t="s">
        <v>42</v>
      </c>
      <c r="AC1728">
        <v>51.1</v>
      </c>
      <c r="AD1728" t="s">
        <v>43</v>
      </c>
      <c r="AE1728">
        <v>1740.06</v>
      </c>
      <c r="AF1728">
        <v>0</v>
      </c>
    </row>
    <row r="1729" spans="3:32" x14ac:dyDescent="0.35">
      <c r="C1729" s="1">
        <v>44486</v>
      </c>
      <c r="D1729" s="2">
        <v>44470</v>
      </c>
      <c r="E1729">
        <v>1141</v>
      </c>
      <c r="F1729" s="3">
        <v>3298.01</v>
      </c>
      <c r="G1729" s="3">
        <v>3312.21</v>
      </c>
      <c r="H1729" s="3">
        <v>-14.2</v>
      </c>
      <c r="I1729" s="3">
        <v>1</v>
      </c>
      <c r="J1729">
        <v>0.37</v>
      </c>
      <c r="K1729">
        <v>3043.58</v>
      </c>
      <c r="L1729" t="s">
        <v>35</v>
      </c>
      <c r="M1729">
        <v>654</v>
      </c>
      <c r="N1729">
        <v>0.37</v>
      </c>
      <c r="O1729" s="3">
        <v>618.12</v>
      </c>
      <c r="P1729" s="3">
        <v>0.19</v>
      </c>
      <c r="Q1729" s="3">
        <v>269.51</v>
      </c>
      <c r="R1729" s="3">
        <v>0.08</v>
      </c>
      <c r="S1729">
        <v>5</v>
      </c>
      <c r="T1729">
        <v>1287.75</v>
      </c>
      <c r="U1729">
        <v>30</v>
      </c>
      <c r="V1729">
        <v>0</v>
      </c>
      <c r="W1729">
        <v>666.64</v>
      </c>
      <c r="X1729">
        <v>2628.05</v>
      </c>
      <c r="Y1729" t="s">
        <v>36</v>
      </c>
      <c r="Z1729" s="3">
        <v>2006.26</v>
      </c>
      <c r="AA1729" t="s">
        <v>40</v>
      </c>
      <c r="AB1729" t="s">
        <v>33</v>
      </c>
      <c r="AC1729">
        <v>78.2</v>
      </c>
      <c r="AD1729" t="s">
        <v>43</v>
      </c>
      <c r="AE1729">
        <v>0</v>
      </c>
      <c r="AF1729">
        <v>0</v>
      </c>
    </row>
    <row r="1730" spans="3:32" x14ac:dyDescent="0.35">
      <c r="C1730" s="1">
        <v>44486</v>
      </c>
      <c r="D1730" s="2">
        <v>44470</v>
      </c>
      <c r="E1730">
        <v>1449</v>
      </c>
      <c r="F1730" s="3">
        <v>2135.71</v>
      </c>
      <c r="G1730" s="3">
        <v>3858.22</v>
      </c>
      <c r="H1730" s="3">
        <v>-1722.51</v>
      </c>
      <c r="I1730" s="3">
        <v>1.81</v>
      </c>
      <c r="J1730">
        <v>0.34</v>
      </c>
      <c r="K1730">
        <v>2027.83</v>
      </c>
      <c r="L1730" t="s">
        <v>30</v>
      </c>
      <c r="M1730">
        <v>664</v>
      </c>
      <c r="N1730">
        <v>0.5</v>
      </c>
      <c r="O1730" s="3">
        <v>853.21</v>
      </c>
      <c r="P1730" s="3">
        <v>0.4</v>
      </c>
      <c r="Q1730" s="3">
        <v>382.18</v>
      </c>
      <c r="R1730" s="3">
        <v>0.18</v>
      </c>
      <c r="S1730">
        <v>2</v>
      </c>
      <c r="T1730">
        <v>1095.72</v>
      </c>
      <c r="U1730">
        <v>67</v>
      </c>
      <c r="V1730">
        <v>0</v>
      </c>
      <c r="W1730">
        <v>0</v>
      </c>
      <c r="X1730">
        <v>3160.49</v>
      </c>
      <c r="Y1730" t="s">
        <v>36</v>
      </c>
      <c r="Z1730" s="3">
        <v>1005.66</v>
      </c>
      <c r="AA1730" t="s">
        <v>41</v>
      </c>
      <c r="AB1730" t="s">
        <v>33</v>
      </c>
      <c r="AC1730">
        <v>55.2</v>
      </c>
      <c r="AD1730" t="s">
        <v>34</v>
      </c>
      <c r="AE1730">
        <v>0</v>
      </c>
      <c r="AF1730">
        <v>0</v>
      </c>
    </row>
    <row r="1731" spans="3:32" x14ac:dyDescent="0.35">
      <c r="C1731" s="1">
        <v>44486</v>
      </c>
      <c r="D1731" s="2">
        <v>44470</v>
      </c>
      <c r="E1731">
        <v>1094</v>
      </c>
      <c r="F1731" s="3">
        <v>3195.04</v>
      </c>
      <c r="G1731" s="3">
        <v>1609.11</v>
      </c>
      <c r="H1731" s="3">
        <v>1585.93</v>
      </c>
      <c r="I1731" s="3">
        <v>0.5</v>
      </c>
      <c r="J1731">
        <v>0.38</v>
      </c>
      <c r="K1731">
        <v>3121.99</v>
      </c>
      <c r="L1731" t="s">
        <v>35</v>
      </c>
      <c r="M1731">
        <v>655</v>
      </c>
      <c r="N1731">
        <v>0.55000000000000004</v>
      </c>
      <c r="O1731" s="3">
        <v>607.57000000000005</v>
      </c>
      <c r="P1731" s="3">
        <v>0.19</v>
      </c>
      <c r="Q1731" s="3">
        <v>245.19</v>
      </c>
      <c r="R1731" s="3">
        <v>0.08</v>
      </c>
      <c r="S1731">
        <v>2</v>
      </c>
      <c r="T1731">
        <v>480.94</v>
      </c>
      <c r="U1731">
        <v>43</v>
      </c>
      <c r="V1731">
        <v>0</v>
      </c>
      <c r="W1731">
        <v>277.54000000000002</v>
      </c>
      <c r="X1731">
        <v>1861.17</v>
      </c>
      <c r="Y1731" t="s">
        <v>36</v>
      </c>
      <c r="Z1731" s="3">
        <v>1056.3499999999999</v>
      </c>
      <c r="AA1731" t="s">
        <v>41</v>
      </c>
      <c r="AB1731" t="s">
        <v>44</v>
      </c>
      <c r="AC1731">
        <v>62.5</v>
      </c>
      <c r="AD1731" t="s">
        <v>38</v>
      </c>
      <c r="AE1731">
        <v>1585.93</v>
      </c>
      <c r="AF1731">
        <v>0</v>
      </c>
    </row>
    <row r="1732" spans="3:32" x14ac:dyDescent="0.35">
      <c r="C1732" s="1">
        <v>44486</v>
      </c>
      <c r="D1732" s="2">
        <v>44470</v>
      </c>
      <c r="E1732">
        <v>1172</v>
      </c>
      <c r="F1732" s="3">
        <v>5219.66</v>
      </c>
      <c r="G1732" s="3">
        <v>2336.39</v>
      </c>
      <c r="H1732" s="3">
        <v>2883.27</v>
      </c>
      <c r="I1732" s="3">
        <v>0.45</v>
      </c>
      <c r="J1732">
        <v>0.1</v>
      </c>
      <c r="K1732">
        <v>3586.82</v>
      </c>
      <c r="L1732" t="s">
        <v>35</v>
      </c>
      <c r="M1732">
        <v>648</v>
      </c>
      <c r="N1732">
        <v>0.56000000000000005</v>
      </c>
      <c r="O1732" s="3">
        <v>710.58</v>
      </c>
      <c r="P1732" s="3">
        <v>0.14000000000000001</v>
      </c>
      <c r="Q1732" s="3">
        <v>448</v>
      </c>
      <c r="R1732" s="3">
        <v>0.09</v>
      </c>
      <c r="S1732">
        <v>7</v>
      </c>
      <c r="T1732">
        <v>1625.65</v>
      </c>
      <c r="U1732">
        <v>85</v>
      </c>
      <c r="V1732">
        <v>0</v>
      </c>
      <c r="W1732">
        <v>329.86</v>
      </c>
      <c r="X1732">
        <v>1831.12</v>
      </c>
      <c r="Y1732" t="s">
        <v>36</v>
      </c>
      <c r="Z1732" s="3">
        <v>2263.7399999999998</v>
      </c>
      <c r="AA1732" t="s">
        <v>40</v>
      </c>
      <c r="AB1732" t="s">
        <v>33</v>
      </c>
      <c r="AC1732">
        <v>97.5</v>
      </c>
      <c r="AD1732" t="s">
        <v>34</v>
      </c>
      <c r="AE1732">
        <v>2883.27</v>
      </c>
      <c r="AF1732">
        <v>0</v>
      </c>
    </row>
    <row r="1733" spans="3:32" x14ac:dyDescent="0.35">
      <c r="C1733" s="1">
        <v>44486</v>
      </c>
      <c r="D1733" s="2">
        <v>44470</v>
      </c>
      <c r="E1733">
        <v>1353</v>
      </c>
      <c r="F1733" s="3">
        <v>5678.87</v>
      </c>
      <c r="G1733" s="3">
        <v>2578.7800000000002</v>
      </c>
      <c r="H1733" s="3">
        <v>3100.09</v>
      </c>
      <c r="I1733" s="3">
        <v>0.45</v>
      </c>
      <c r="J1733">
        <v>0.24</v>
      </c>
      <c r="K1733">
        <v>3564.19</v>
      </c>
      <c r="L1733" t="s">
        <v>30</v>
      </c>
      <c r="M1733">
        <v>666</v>
      </c>
      <c r="N1733">
        <v>0.33</v>
      </c>
      <c r="O1733" s="3">
        <v>119.89</v>
      </c>
      <c r="P1733" s="3">
        <v>0.02</v>
      </c>
      <c r="Q1733" s="3">
        <v>388.46</v>
      </c>
      <c r="R1733" s="3">
        <v>7.0000000000000007E-2</v>
      </c>
      <c r="S1733">
        <v>3</v>
      </c>
      <c r="T1733">
        <v>688.57</v>
      </c>
      <c r="U1733">
        <v>98</v>
      </c>
      <c r="V1733">
        <v>0</v>
      </c>
      <c r="W1733">
        <v>444.42</v>
      </c>
      <c r="X1733">
        <v>2263.4499999999998</v>
      </c>
      <c r="Y1733" t="s">
        <v>36</v>
      </c>
      <c r="Z1733" s="3">
        <v>735.75</v>
      </c>
      <c r="AA1733" t="s">
        <v>46</v>
      </c>
      <c r="AB1733" t="s">
        <v>42</v>
      </c>
      <c r="AC1733">
        <v>35.1</v>
      </c>
      <c r="AD1733" t="s">
        <v>43</v>
      </c>
      <c r="AE1733">
        <v>3100.09</v>
      </c>
      <c r="AF1733">
        <v>0</v>
      </c>
    </row>
    <row r="1734" spans="3:32" x14ac:dyDescent="0.35">
      <c r="C1734" s="1">
        <v>44486</v>
      </c>
      <c r="D1734" s="2">
        <v>44470</v>
      </c>
      <c r="E1734">
        <v>1635</v>
      </c>
      <c r="F1734" s="3">
        <v>3003.31</v>
      </c>
      <c r="G1734" s="3">
        <v>2934.01</v>
      </c>
      <c r="H1734" s="3">
        <v>69.3</v>
      </c>
      <c r="I1734" s="3">
        <v>0.98</v>
      </c>
      <c r="J1734">
        <v>0.28999999999999998</v>
      </c>
      <c r="K1734">
        <v>3305.74</v>
      </c>
      <c r="L1734" t="s">
        <v>35</v>
      </c>
      <c r="M1734">
        <v>709</v>
      </c>
      <c r="N1734">
        <v>0.51</v>
      </c>
      <c r="O1734" s="3">
        <v>404.79</v>
      </c>
      <c r="P1734" s="3">
        <v>0.13</v>
      </c>
      <c r="Q1734" s="3">
        <v>472.86</v>
      </c>
      <c r="R1734" s="3">
        <v>0.16</v>
      </c>
      <c r="S1734">
        <v>4</v>
      </c>
      <c r="T1734">
        <v>842.27</v>
      </c>
      <c r="U1734">
        <v>67</v>
      </c>
      <c r="V1734">
        <v>0</v>
      </c>
      <c r="W1734">
        <v>467.02</v>
      </c>
      <c r="X1734">
        <v>1701.51</v>
      </c>
      <c r="Y1734" t="s">
        <v>36</v>
      </c>
      <c r="Z1734" s="3">
        <v>1887.49</v>
      </c>
      <c r="AA1734" t="s">
        <v>51</v>
      </c>
      <c r="AB1734" t="s">
        <v>33</v>
      </c>
      <c r="AC1734">
        <v>67.3</v>
      </c>
      <c r="AD1734" t="s">
        <v>34</v>
      </c>
      <c r="AE1734">
        <v>69.3</v>
      </c>
      <c r="AF1734">
        <v>0</v>
      </c>
    </row>
    <row r="1735" spans="3:32" x14ac:dyDescent="0.35">
      <c r="C1735" s="1">
        <v>44486</v>
      </c>
      <c r="D1735" s="2">
        <v>44470</v>
      </c>
      <c r="E1735">
        <v>1636</v>
      </c>
      <c r="F1735" s="3">
        <v>2980.47</v>
      </c>
      <c r="G1735" s="3">
        <v>2028.71</v>
      </c>
      <c r="H1735" s="3">
        <v>951.76</v>
      </c>
      <c r="I1735" s="3">
        <v>0.68</v>
      </c>
      <c r="J1735">
        <v>0.26</v>
      </c>
      <c r="K1735">
        <v>3034.63</v>
      </c>
      <c r="L1735" t="s">
        <v>30</v>
      </c>
      <c r="M1735">
        <v>636</v>
      </c>
      <c r="N1735">
        <v>0.48</v>
      </c>
      <c r="O1735" s="3">
        <v>564.09</v>
      </c>
      <c r="P1735" s="3">
        <v>0.19</v>
      </c>
      <c r="Q1735" s="3">
        <v>278.45999999999998</v>
      </c>
      <c r="R1735" s="3">
        <v>0.09</v>
      </c>
      <c r="S1735">
        <v>7</v>
      </c>
      <c r="T1735">
        <v>898.43</v>
      </c>
      <c r="U1735">
        <v>84</v>
      </c>
      <c r="V1735">
        <v>0</v>
      </c>
      <c r="W1735">
        <v>320.36</v>
      </c>
      <c r="X1735">
        <v>3010.9</v>
      </c>
      <c r="Y1735" t="s">
        <v>36</v>
      </c>
      <c r="Z1735" s="3">
        <v>1347.15</v>
      </c>
      <c r="AA1735" t="s">
        <v>47</v>
      </c>
      <c r="AB1735" t="s">
        <v>44</v>
      </c>
      <c r="AC1735">
        <v>25.3</v>
      </c>
      <c r="AD1735" t="s">
        <v>34</v>
      </c>
      <c r="AE1735">
        <v>951.76</v>
      </c>
      <c r="AF1735">
        <v>0</v>
      </c>
    </row>
    <row r="1736" spans="3:32" x14ac:dyDescent="0.35">
      <c r="C1736" s="1">
        <v>44486</v>
      </c>
      <c r="D1736" s="2">
        <v>44470</v>
      </c>
      <c r="E1736">
        <v>1636</v>
      </c>
      <c r="F1736" s="3">
        <v>3560.32</v>
      </c>
      <c r="G1736" s="3">
        <v>3922.94</v>
      </c>
      <c r="H1736" s="3">
        <v>-362.62</v>
      </c>
      <c r="I1736" s="3">
        <v>1.1000000000000001</v>
      </c>
      <c r="J1736">
        <v>0.2</v>
      </c>
      <c r="K1736">
        <v>2907.41</v>
      </c>
      <c r="L1736" t="s">
        <v>35</v>
      </c>
      <c r="M1736">
        <v>700</v>
      </c>
      <c r="N1736">
        <v>0.42</v>
      </c>
      <c r="O1736" s="3">
        <v>657.24</v>
      </c>
      <c r="P1736" s="3">
        <v>0.18</v>
      </c>
      <c r="Q1736" s="3">
        <v>402.79</v>
      </c>
      <c r="R1736" s="3">
        <v>0.11</v>
      </c>
      <c r="S1736">
        <v>9</v>
      </c>
      <c r="T1736">
        <v>587.66</v>
      </c>
      <c r="U1736">
        <v>75</v>
      </c>
      <c r="V1736">
        <v>0</v>
      </c>
      <c r="W1736">
        <v>316.83999999999997</v>
      </c>
      <c r="X1736">
        <v>2931.72</v>
      </c>
      <c r="Y1736" t="s">
        <v>31</v>
      </c>
      <c r="Z1736" s="3">
        <v>2134.79</v>
      </c>
      <c r="AA1736" t="s">
        <v>32</v>
      </c>
      <c r="AB1736" t="s">
        <v>33</v>
      </c>
      <c r="AC1736">
        <v>47.2</v>
      </c>
      <c r="AD1736" t="s">
        <v>43</v>
      </c>
      <c r="AE1736">
        <v>0</v>
      </c>
      <c r="AF1736">
        <v>0</v>
      </c>
    </row>
    <row r="1737" spans="3:32" x14ac:dyDescent="0.35">
      <c r="C1737" s="1">
        <v>44486</v>
      </c>
      <c r="D1737" s="2">
        <v>44470</v>
      </c>
      <c r="E1737">
        <v>1171</v>
      </c>
      <c r="F1737" s="3">
        <v>4467.41</v>
      </c>
      <c r="G1737" s="3">
        <v>3659.99</v>
      </c>
      <c r="H1737" s="3">
        <v>807.42</v>
      </c>
      <c r="I1737" s="3">
        <v>0.82</v>
      </c>
      <c r="J1737">
        <v>0.2</v>
      </c>
      <c r="K1737">
        <v>2175.13</v>
      </c>
      <c r="L1737" t="s">
        <v>35</v>
      </c>
      <c r="M1737">
        <v>668</v>
      </c>
      <c r="N1737">
        <v>0.38</v>
      </c>
      <c r="O1737" s="3">
        <v>718.97</v>
      </c>
      <c r="P1737" s="3">
        <v>0.16</v>
      </c>
      <c r="Q1737" s="3">
        <v>665.35</v>
      </c>
      <c r="R1737" s="3">
        <v>0.15</v>
      </c>
      <c r="S1737">
        <v>9</v>
      </c>
      <c r="T1737">
        <v>1671.3</v>
      </c>
      <c r="U1737">
        <v>60</v>
      </c>
      <c r="V1737">
        <v>0</v>
      </c>
      <c r="W1737">
        <v>554.37</v>
      </c>
      <c r="X1737">
        <v>1736.9</v>
      </c>
      <c r="Y1737" t="s">
        <v>36</v>
      </c>
      <c r="Z1737" s="3">
        <v>686.79</v>
      </c>
      <c r="AA1737" t="s">
        <v>50</v>
      </c>
      <c r="AB1737" t="s">
        <v>33</v>
      </c>
      <c r="AC1737">
        <v>47.2</v>
      </c>
      <c r="AD1737" t="s">
        <v>38</v>
      </c>
      <c r="AE1737">
        <v>807.42</v>
      </c>
      <c r="AF1737">
        <v>0</v>
      </c>
    </row>
    <row r="1738" spans="3:32" x14ac:dyDescent="0.35">
      <c r="C1738" s="1">
        <v>44486</v>
      </c>
      <c r="D1738" s="2">
        <v>44470</v>
      </c>
      <c r="E1738">
        <v>1205</v>
      </c>
      <c r="F1738" s="3">
        <v>4100.4799999999996</v>
      </c>
      <c r="G1738" s="3">
        <v>2745.66</v>
      </c>
      <c r="H1738" s="3">
        <v>1354.82</v>
      </c>
      <c r="I1738" s="3">
        <v>0.67</v>
      </c>
      <c r="J1738">
        <v>0.11</v>
      </c>
      <c r="K1738">
        <v>2851.2</v>
      </c>
      <c r="L1738" t="s">
        <v>39</v>
      </c>
      <c r="M1738">
        <v>745</v>
      </c>
      <c r="N1738">
        <v>0.52</v>
      </c>
      <c r="O1738" s="3">
        <v>535.24</v>
      </c>
      <c r="P1738" s="3">
        <v>0.13</v>
      </c>
      <c r="Q1738" s="3">
        <v>305.60000000000002</v>
      </c>
      <c r="R1738" s="3">
        <v>7.0000000000000007E-2</v>
      </c>
      <c r="S1738">
        <v>7</v>
      </c>
      <c r="T1738">
        <v>1054.6099999999999</v>
      </c>
      <c r="U1738">
        <v>41</v>
      </c>
      <c r="V1738">
        <v>0</v>
      </c>
      <c r="W1738">
        <v>417.58</v>
      </c>
      <c r="X1738">
        <v>2604.21</v>
      </c>
      <c r="Y1738" t="s">
        <v>49</v>
      </c>
      <c r="Z1738" s="3">
        <v>300</v>
      </c>
      <c r="AA1738" t="s">
        <v>41</v>
      </c>
      <c r="AB1738" t="s">
        <v>33</v>
      </c>
      <c r="AC1738">
        <v>19.399999999999999</v>
      </c>
      <c r="AD1738" t="s">
        <v>34</v>
      </c>
      <c r="AE1738">
        <v>1354.82</v>
      </c>
      <c r="AF1738">
        <v>0</v>
      </c>
    </row>
    <row r="1739" spans="3:32" x14ac:dyDescent="0.35">
      <c r="C1739" s="1">
        <v>44486</v>
      </c>
      <c r="D1739" s="2">
        <v>44470</v>
      </c>
      <c r="E1739">
        <v>1302</v>
      </c>
      <c r="F1739" s="3">
        <v>4171.22</v>
      </c>
      <c r="G1739" s="3">
        <v>2548.5</v>
      </c>
      <c r="H1739" s="3">
        <v>1622.72</v>
      </c>
      <c r="I1739" s="3">
        <v>0.61</v>
      </c>
      <c r="J1739">
        <v>0.38</v>
      </c>
      <c r="K1739">
        <v>2874.13</v>
      </c>
      <c r="L1739" t="s">
        <v>30</v>
      </c>
      <c r="M1739">
        <v>599</v>
      </c>
      <c r="N1739">
        <v>0.21</v>
      </c>
      <c r="O1739" s="3">
        <v>0</v>
      </c>
      <c r="P1739" s="3">
        <v>0</v>
      </c>
      <c r="Q1739" s="3">
        <v>869.82</v>
      </c>
      <c r="R1739" s="3">
        <v>0.21</v>
      </c>
      <c r="S1739">
        <v>5</v>
      </c>
      <c r="T1739">
        <v>226.45</v>
      </c>
      <c r="U1739">
        <v>24</v>
      </c>
      <c r="V1739">
        <v>0</v>
      </c>
      <c r="W1739">
        <v>595.74</v>
      </c>
      <c r="X1739">
        <v>1633.11</v>
      </c>
      <c r="Y1739" t="s">
        <v>36</v>
      </c>
      <c r="Z1739" s="3">
        <v>646.15</v>
      </c>
      <c r="AA1739" t="s">
        <v>32</v>
      </c>
      <c r="AB1739" t="s">
        <v>44</v>
      </c>
      <c r="AC1739">
        <v>9.4</v>
      </c>
      <c r="AD1739" t="s">
        <v>43</v>
      </c>
      <c r="AE1739">
        <v>1622.72</v>
      </c>
      <c r="AF1739">
        <v>0</v>
      </c>
    </row>
    <row r="1740" spans="3:32" x14ac:dyDescent="0.35">
      <c r="C1740" s="1">
        <v>44486</v>
      </c>
      <c r="D1740" s="2">
        <v>44470</v>
      </c>
      <c r="E1740">
        <v>1353</v>
      </c>
      <c r="F1740" s="3">
        <v>2997.58</v>
      </c>
      <c r="G1740" s="3">
        <v>3846.24</v>
      </c>
      <c r="H1740" s="3">
        <v>-848.66</v>
      </c>
      <c r="I1740" s="3">
        <v>1.28</v>
      </c>
      <c r="J1740">
        <v>0.2</v>
      </c>
      <c r="K1740">
        <v>2829.67</v>
      </c>
      <c r="L1740" t="s">
        <v>30</v>
      </c>
      <c r="M1740">
        <v>700</v>
      </c>
      <c r="N1740">
        <v>0.33</v>
      </c>
      <c r="O1740" s="3">
        <v>555.04999999999995</v>
      </c>
      <c r="P1740" s="3">
        <v>0.19</v>
      </c>
      <c r="Q1740" s="3">
        <v>681.13</v>
      </c>
      <c r="R1740" s="3">
        <v>0.23</v>
      </c>
      <c r="S1740">
        <v>6</v>
      </c>
      <c r="T1740">
        <v>1042.8499999999999</v>
      </c>
      <c r="U1740">
        <v>35</v>
      </c>
      <c r="V1740">
        <v>0</v>
      </c>
      <c r="W1740">
        <v>591.4</v>
      </c>
      <c r="X1740">
        <v>2536.34</v>
      </c>
      <c r="Y1740" t="s">
        <v>36</v>
      </c>
      <c r="Z1740" s="3">
        <v>939.69</v>
      </c>
      <c r="AA1740" t="s">
        <v>32</v>
      </c>
      <c r="AB1740" t="s">
        <v>33</v>
      </c>
      <c r="AC1740">
        <v>23.1</v>
      </c>
      <c r="AD1740" t="s">
        <v>34</v>
      </c>
      <c r="AE1740">
        <v>0</v>
      </c>
      <c r="AF1740">
        <v>0</v>
      </c>
    </row>
    <row r="1741" spans="3:32" x14ac:dyDescent="0.35">
      <c r="C1741" s="1">
        <v>44486</v>
      </c>
      <c r="D1741" s="2">
        <v>44470</v>
      </c>
      <c r="E1741">
        <v>1417</v>
      </c>
      <c r="F1741" s="3">
        <v>4034.1</v>
      </c>
      <c r="G1741" s="3">
        <v>2383.8200000000002</v>
      </c>
      <c r="H1741" s="3">
        <v>1650.28</v>
      </c>
      <c r="I1741" s="3">
        <v>0.59</v>
      </c>
      <c r="J1741">
        <v>0.36</v>
      </c>
      <c r="K1741">
        <v>2916.37</v>
      </c>
      <c r="L1741" t="s">
        <v>39</v>
      </c>
      <c r="M1741">
        <v>774</v>
      </c>
      <c r="N1741">
        <v>0.14000000000000001</v>
      </c>
      <c r="O1741" s="3">
        <v>400.84</v>
      </c>
      <c r="P1741" s="3">
        <v>0.1</v>
      </c>
      <c r="Q1741" s="3">
        <v>231.11</v>
      </c>
      <c r="R1741" s="3">
        <v>0.06</v>
      </c>
      <c r="S1741">
        <v>7</v>
      </c>
      <c r="T1741">
        <v>1005.34</v>
      </c>
      <c r="U1741">
        <v>88</v>
      </c>
      <c r="V1741">
        <v>0</v>
      </c>
      <c r="W1741">
        <v>396.71</v>
      </c>
      <c r="X1741">
        <v>1948.51</v>
      </c>
      <c r="Y1741" t="s">
        <v>36</v>
      </c>
      <c r="Z1741" s="3">
        <v>763.91</v>
      </c>
      <c r="AA1741" t="s">
        <v>50</v>
      </c>
      <c r="AB1741" t="s">
        <v>33</v>
      </c>
      <c r="AC1741">
        <v>45.9</v>
      </c>
      <c r="AD1741" t="s">
        <v>34</v>
      </c>
      <c r="AE1741">
        <v>1650.28</v>
      </c>
      <c r="AF1741">
        <v>0</v>
      </c>
    </row>
    <row r="1742" spans="3:32" x14ac:dyDescent="0.35">
      <c r="C1742" s="1">
        <v>44486</v>
      </c>
      <c r="D1742" s="2">
        <v>44470</v>
      </c>
      <c r="E1742">
        <v>1494</v>
      </c>
      <c r="F1742" s="3">
        <v>4624.72</v>
      </c>
      <c r="G1742" s="3">
        <v>2742.81</v>
      </c>
      <c r="H1742" s="3">
        <v>1881.91</v>
      </c>
      <c r="I1742" s="3">
        <v>0.59</v>
      </c>
      <c r="J1742">
        <v>0.28999999999999998</v>
      </c>
      <c r="K1742">
        <v>2507.11</v>
      </c>
      <c r="L1742" t="s">
        <v>35</v>
      </c>
      <c r="M1742">
        <v>671</v>
      </c>
      <c r="N1742">
        <v>0.2</v>
      </c>
      <c r="O1742" s="3">
        <v>106.11</v>
      </c>
      <c r="P1742" s="3">
        <v>0.02</v>
      </c>
      <c r="Q1742" s="3">
        <v>640.12</v>
      </c>
      <c r="R1742" s="3">
        <v>0.14000000000000001</v>
      </c>
      <c r="S1742">
        <v>3</v>
      </c>
      <c r="T1742">
        <v>838.77</v>
      </c>
      <c r="U1742">
        <v>46</v>
      </c>
      <c r="V1742">
        <v>0</v>
      </c>
      <c r="W1742">
        <v>734.99</v>
      </c>
      <c r="X1742">
        <v>2431.17</v>
      </c>
      <c r="Y1742" t="s">
        <v>36</v>
      </c>
      <c r="Z1742" s="3">
        <v>1500.3</v>
      </c>
      <c r="AA1742" t="s">
        <v>40</v>
      </c>
      <c r="AB1742" t="s">
        <v>33</v>
      </c>
      <c r="AC1742">
        <v>19.899999999999999</v>
      </c>
      <c r="AD1742" t="s">
        <v>34</v>
      </c>
      <c r="AE1742">
        <v>1881.91</v>
      </c>
      <c r="AF1742">
        <v>0</v>
      </c>
    </row>
    <row r="1743" spans="3:32" x14ac:dyDescent="0.35">
      <c r="C1743" s="1">
        <v>44486</v>
      </c>
      <c r="D1743" s="2">
        <v>44470</v>
      </c>
      <c r="E1743">
        <v>1891</v>
      </c>
      <c r="F1743" s="3">
        <v>3456.96</v>
      </c>
      <c r="G1743" s="3">
        <v>3226.27</v>
      </c>
      <c r="H1743" s="3">
        <v>230.69</v>
      </c>
      <c r="I1743" s="3">
        <v>0.93</v>
      </c>
      <c r="J1743">
        <v>0.33</v>
      </c>
      <c r="K1743">
        <v>2735.93</v>
      </c>
      <c r="L1743" t="s">
        <v>35</v>
      </c>
      <c r="M1743">
        <v>662</v>
      </c>
      <c r="N1743">
        <v>0.25</v>
      </c>
      <c r="O1743" s="3">
        <v>509.75</v>
      </c>
      <c r="P1743" s="3">
        <v>0.15</v>
      </c>
      <c r="Q1743" s="3">
        <v>588.20000000000005</v>
      </c>
      <c r="R1743" s="3">
        <v>0.17</v>
      </c>
      <c r="S1743">
        <v>3</v>
      </c>
      <c r="T1743">
        <v>1685.99</v>
      </c>
      <c r="U1743">
        <v>70</v>
      </c>
      <c r="V1743">
        <v>0</v>
      </c>
      <c r="W1743">
        <v>498.34</v>
      </c>
      <c r="X1743">
        <v>2333.71</v>
      </c>
      <c r="Y1743" t="s">
        <v>31</v>
      </c>
      <c r="Z1743" s="3">
        <v>989.38</v>
      </c>
      <c r="AA1743" t="s">
        <v>37</v>
      </c>
      <c r="AB1743" t="s">
        <v>33</v>
      </c>
      <c r="AC1743">
        <v>13.1</v>
      </c>
      <c r="AD1743" t="s">
        <v>34</v>
      </c>
      <c r="AE1743">
        <v>230.69</v>
      </c>
      <c r="AF1743">
        <v>0</v>
      </c>
    </row>
    <row r="1744" spans="3:32" x14ac:dyDescent="0.35">
      <c r="C1744" s="1">
        <v>44486</v>
      </c>
      <c r="D1744" s="2">
        <v>44470</v>
      </c>
      <c r="E1744">
        <v>1288</v>
      </c>
      <c r="F1744" s="3">
        <v>3815.91</v>
      </c>
      <c r="G1744" s="3">
        <v>2120.0300000000002</v>
      </c>
      <c r="H1744" s="3">
        <v>1695.88</v>
      </c>
      <c r="I1744" s="3">
        <v>0.56000000000000005</v>
      </c>
      <c r="J1744">
        <v>0.31</v>
      </c>
      <c r="K1744">
        <v>3238.16</v>
      </c>
      <c r="L1744" t="s">
        <v>39</v>
      </c>
      <c r="M1744">
        <v>740</v>
      </c>
      <c r="N1744">
        <v>0.15</v>
      </c>
      <c r="O1744" s="3">
        <v>466</v>
      </c>
      <c r="P1744" s="3">
        <v>0.12</v>
      </c>
      <c r="Q1744" s="3">
        <v>67.97</v>
      </c>
      <c r="R1744" s="3">
        <v>0.02</v>
      </c>
      <c r="S1744">
        <v>1</v>
      </c>
      <c r="T1744">
        <v>1045.23</v>
      </c>
      <c r="U1744">
        <v>31</v>
      </c>
      <c r="V1744">
        <v>0</v>
      </c>
      <c r="W1744">
        <v>748.46</v>
      </c>
      <c r="X1744">
        <v>1773.15</v>
      </c>
      <c r="Y1744" t="s">
        <v>31</v>
      </c>
      <c r="Z1744" s="3">
        <v>397.07</v>
      </c>
      <c r="AA1744" t="s">
        <v>37</v>
      </c>
      <c r="AB1744" t="s">
        <v>33</v>
      </c>
      <c r="AC1744">
        <v>45</v>
      </c>
      <c r="AD1744" t="s">
        <v>38</v>
      </c>
      <c r="AE1744">
        <v>1695.88</v>
      </c>
      <c r="AF1744">
        <v>0</v>
      </c>
    </row>
    <row r="1745" spans="3:32" x14ac:dyDescent="0.35">
      <c r="C1745" s="1">
        <v>44486</v>
      </c>
      <c r="D1745" s="2">
        <v>44470</v>
      </c>
      <c r="E1745">
        <v>1440</v>
      </c>
      <c r="F1745" s="3">
        <v>4530.3100000000004</v>
      </c>
      <c r="G1745" s="3">
        <v>3798.56</v>
      </c>
      <c r="H1745" s="3">
        <v>731.75</v>
      </c>
      <c r="I1745" s="3">
        <v>0.84</v>
      </c>
      <c r="J1745">
        <v>0.12</v>
      </c>
      <c r="K1745">
        <v>2272.88</v>
      </c>
      <c r="L1745" t="s">
        <v>39</v>
      </c>
      <c r="M1745">
        <v>682</v>
      </c>
      <c r="N1745">
        <v>0.15</v>
      </c>
      <c r="O1745" s="3">
        <v>434.77</v>
      </c>
      <c r="P1745" s="3">
        <v>0.1</v>
      </c>
      <c r="Q1745" s="3">
        <v>0</v>
      </c>
      <c r="R1745" s="3">
        <v>0</v>
      </c>
      <c r="S1745">
        <v>3</v>
      </c>
      <c r="T1745">
        <v>801.18</v>
      </c>
      <c r="U1745">
        <v>35</v>
      </c>
      <c r="V1745">
        <v>0</v>
      </c>
      <c r="W1745">
        <v>406.72</v>
      </c>
      <c r="X1745">
        <v>1691.77</v>
      </c>
      <c r="Y1745" t="s">
        <v>36</v>
      </c>
      <c r="Z1745" s="3">
        <v>1160.8900000000001</v>
      </c>
      <c r="AA1745" t="s">
        <v>40</v>
      </c>
      <c r="AB1745" t="s">
        <v>33</v>
      </c>
      <c r="AC1745">
        <v>63.3</v>
      </c>
      <c r="AD1745" t="s">
        <v>34</v>
      </c>
      <c r="AE1745">
        <v>731.75</v>
      </c>
      <c r="AF1745">
        <v>0</v>
      </c>
    </row>
    <row r="1746" spans="3:32" x14ac:dyDescent="0.35">
      <c r="C1746" s="1">
        <v>44486</v>
      </c>
      <c r="D1746" s="2">
        <v>44470</v>
      </c>
      <c r="E1746">
        <v>1305</v>
      </c>
      <c r="F1746" s="3">
        <v>4009.96</v>
      </c>
      <c r="G1746" s="3">
        <v>3248.56</v>
      </c>
      <c r="H1746" s="3">
        <v>761.4</v>
      </c>
      <c r="I1746" s="3">
        <v>0.81</v>
      </c>
      <c r="J1746">
        <v>0.28000000000000003</v>
      </c>
      <c r="K1746">
        <v>2252.4</v>
      </c>
      <c r="L1746" t="s">
        <v>30</v>
      </c>
      <c r="M1746">
        <v>678</v>
      </c>
      <c r="N1746">
        <v>0.48</v>
      </c>
      <c r="O1746" s="3">
        <v>334.99</v>
      </c>
      <c r="P1746" s="3">
        <v>0.08</v>
      </c>
      <c r="Q1746" s="3">
        <v>874.2</v>
      </c>
      <c r="R1746" s="3">
        <v>0.22</v>
      </c>
      <c r="S1746">
        <v>5</v>
      </c>
      <c r="T1746">
        <v>1429.82</v>
      </c>
      <c r="U1746">
        <v>89</v>
      </c>
      <c r="V1746">
        <v>0</v>
      </c>
      <c r="W1746">
        <v>727.99</v>
      </c>
      <c r="X1746">
        <v>1629.61</v>
      </c>
      <c r="Y1746" t="s">
        <v>36</v>
      </c>
      <c r="Z1746" s="3">
        <v>1582.72</v>
      </c>
      <c r="AA1746" t="s">
        <v>50</v>
      </c>
      <c r="AB1746" t="s">
        <v>33</v>
      </c>
      <c r="AC1746">
        <v>86.4</v>
      </c>
      <c r="AD1746" t="s">
        <v>38</v>
      </c>
      <c r="AE1746">
        <v>761.4</v>
      </c>
      <c r="AF1746">
        <v>0</v>
      </c>
    </row>
    <row r="1747" spans="3:32" x14ac:dyDescent="0.35">
      <c r="C1747" s="1">
        <v>44486</v>
      </c>
      <c r="D1747" s="2">
        <v>44470</v>
      </c>
      <c r="E1747">
        <v>1272</v>
      </c>
      <c r="F1747" s="3">
        <v>3466.72</v>
      </c>
      <c r="G1747" s="3">
        <v>3246.7</v>
      </c>
      <c r="H1747" s="3">
        <v>220.02</v>
      </c>
      <c r="I1747" s="3">
        <v>0.94</v>
      </c>
      <c r="J1747">
        <v>0.21</v>
      </c>
      <c r="K1747">
        <v>3563.86</v>
      </c>
      <c r="L1747" t="s">
        <v>30</v>
      </c>
      <c r="M1747">
        <v>657</v>
      </c>
      <c r="N1747">
        <v>0.39</v>
      </c>
      <c r="O1747" s="3">
        <v>608.42999999999995</v>
      </c>
      <c r="P1747" s="3">
        <v>0.18</v>
      </c>
      <c r="Q1747" s="3">
        <v>0</v>
      </c>
      <c r="R1747" s="3">
        <v>0</v>
      </c>
      <c r="S1747">
        <v>9</v>
      </c>
      <c r="T1747">
        <v>714.29</v>
      </c>
      <c r="U1747">
        <v>78</v>
      </c>
      <c r="V1747">
        <v>0</v>
      </c>
      <c r="W1747">
        <v>761.25</v>
      </c>
      <c r="X1747">
        <v>2750.12</v>
      </c>
      <c r="Y1747" t="s">
        <v>36</v>
      </c>
      <c r="Z1747" s="3">
        <v>1771.87</v>
      </c>
      <c r="AA1747" t="s">
        <v>50</v>
      </c>
      <c r="AB1747" t="s">
        <v>33</v>
      </c>
      <c r="AC1747">
        <v>0.7</v>
      </c>
      <c r="AD1747" t="s">
        <v>34</v>
      </c>
      <c r="AE1747">
        <v>220.02</v>
      </c>
      <c r="AF1747">
        <v>0</v>
      </c>
    </row>
    <row r="1748" spans="3:32" x14ac:dyDescent="0.35">
      <c r="C1748" s="1">
        <v>44486</v>
      </c>
      <c r="D1748" s="2">
        <v>44470</v>
      </c>
      <c r="E1748">
        <v>1882</v>
      </c>
      <c r="F1748" s="3">
        <v>5347.9</v>
      </c>
      <c r="G1748" s="3">
        <v>3760.72</v>
      </c>
      <c r="H1748" s="3">
        <v>1587.18</v>
      </c>
      <c r="I1748" s="3">
        <v>0.7</v>
      </c>
      <c r="J1748">
        <v>0.37</v>
      </c>
      <c r="K1748">
        <v>2773.39</v>
      </c>
      <c r="L1748" t="s">
        <v>30</v>
      </c>
      <c r="M1748">
        <v>639</v>
      </c>
      <c r="N1748">
        <v>0.59</v>
      </c>
      <c r="O1748" s="3">
        <v>383.98</v>
      </c>
      <c r="P1748" s="3">
        <v>7.0000000000000007E-2</v>
      </c>
      <c r="Q1748" s="3">
        <v>371.72</v>
      </c>
      <c r="R1748" s="3">
        <v>7.0000000000000007E-2</v>
      </c>
      <c r="S1748">
        <v>7</v>
      </c>
      <c r="T1748">
        <v>2412.13</v>
      </c>
      <c r="U1748">
        <v>92</v>
      </c>
      <c r="V1748">
        <v>0</v>
      </c>
      <c r="W1748">
        <v>449.53</v>
      </c>
      <c r="X1748">
        <v>2115.7800000000002</v>
      </c>
      <c r="Y1748" t="s">
        <v>36</v>
      </c>
      <c r="Z1748" s="3">
        <v>1663.95</v>
      </c>
      <c r="AA1748" t="s">
        <v>50</v>
      </c>
      <c r="AB1748" t="s">
        <v>33</v>
      </c>
      <c r="AC1748">
        <v>93.6</v>
      </c>
      <c r="AD1748" t="s">
        <v>43</v>
      </c>
      <c r="AE1748">
        <v>1587.18</v>
      </c>
      <c r="AF1748">
        <v>0</v>
      </c>
    </row>
    <row r="1749" spans="3:32" x14ac:dyDescent="0.35">
      <c r="C1749" s="1">
        <v>44486</v>
      </c>
      <c r="D1749" s="2">
        <v>44470</v>
      </c>
      <c r="E1749">
        <v>1271</v>
      </c>
      <c r="F1749" s="3">
        <v>3917.35</v>
      </c>
      <c r="G1749" s="3">
        <v>2160.1799999999998</v>
      </c>
      <c r="H1749" s="3">
        <v>1757.17</v>
      </c>
      <c r="I1749" s="3">
        <v>0.55000000000000004</v>
      </c>
      <c r="J1749">
        <v>0.25</v>
      </c>
      <c r="K1749">
        <v>2024.55</v>
      </c>
      <c r="L1749" t="s">
        <v>30</v>
      </c>
      <c r="M1749">
        <v>633</v>
      </c>
      <c r="N1749">
        <v>0.11</v>
      </c>
      <c r="O1749" s="3">
        <v>661.66</v>
      </c>
      <c r="P1749" s="3">
        <v>0.17</v>
      </c>
      <c r="Q1749" s="3">
        <v>147.97999999999999</v>
      </c>
      <c r="R1749" s="3">
        <v>0.04</v>
      </c>
      <c r="S1749">
        <v>4</v>
      </c>
      <c r="T1749">
        <v>749.62</v>
      </c>
      <c r="U1749">
        <v>67</v>
      </c>
      <c r="V1749">
        <v>0</v>
      </c>
      <c r="W1749">
        <v>892.8</v>
      </c>
      <c r="X1749">
        <v>1518.04</v>
      </c>
      <c r="Y1749" t="s">
        <v>36</v>
      </c>
      <c r="Z1749" s="3">
        <v>2132.3000000000002</v>
      </c>
      <c r="AA1749" t="s">
        <v>51</v>
      </c>
      <c r="AB1749" t="s">
        <v>33</v>
      </c>
      <c r="AC1749">
        <v>24</v>
      </c>
      <c r="AD1749" t="s">
        <v>38</v>
      </c>
      <c r="AE1749">
        <v>1757.17</v>
      </c>
      <c r="AF1749">
        <v>0</v>
      </c>
    </row>
    <row r="1750" spans="3:32" x14ac:dyDescent="0.35">
      <c r="C1750" s="1">
        <v>44486</v>
      </c>
      <c r="D1750" s="2">
        <v>44470</v>
      </c>
      <c r="E1750">
        <v>1380</v>
      </c>
      <c r="F1750" s="3">
        <v>4416.04</v>
      </c>
      <c r="G1750" s="3">
        <v>2748.6</v>
      </c>
      <c r="H1750" s="3">
        <v>1667.44</v>
      </c>
      <c r="I1750" s="3">
        <v>0.62</v>
      </c>
      <c r="J1750">
        <v>0.39</v>
      </c>
      <c r="K1750">
        <v>2753.85</v>
      </c>
      <c r="L1750" t="s">
        <v>30</v>
      </c>
      <c r="M1750">
        <v>700</v>
      </c>
      <c r="N1750">
        <v>0.1</v>
      </c>
      <c r="O1750" s="3">
        <v>361.42</v>
      </c>
      <c r="P1750" s="3">
        <v>0.08</v>
      </c>
      <c r="Q1750" s="3">
        <v>0</v>
      </c>
      <c r="R1750" s="3">
        <v>0</v>
      </c>
      <c r="S1750">
        <v>8</v>
      </c>
      <c r="T1750">
        <v>545.98</v>
      </c>
      <c r="U1750">
        <v>43</v>
      </c>
      <c r="V1750">
        <v>0</v>
      </c>
      <c r="W1750">
        <v>143.84</v>
      </c>
      <c r="X1750">
        <v>2082.64</v>
      </c>
      <c r="Y1750" t="s">
        <v>36</v>
      </c>
      <c r="Z1750" s="3">
        <v>1577.77</v>
      </c>
      <c r="AA1750" t="s">
        <v>45</v>
      </c>
      <c r="AB1750" t="s">
        <v>33</v>
      </c>
      <c r="AC1750">
        <v>46</v>
      </c>
      <c r="AD1750" t="s">
        <v>38</v>
      </c>
      <c r="AE1750">
        <v>1667.44</v>
      </c>
      <c r="AF1750">
        <v>0</v>
      </c>
    </row>
    <row r="1751" spans="3:32" x14ac:dyDescent="0.35">
      <c r="C1751" s="1">
        <v>44486</v>
      </c>
      <c r="D1751" s="2">
        <v>44470</v>
      </c>
      <c r="E1751">
        <v>1026</v>
      </c>
      <c r="F1751" s="3">
        <v>5545.12</v>
      </c>
      <c r="G1751" s="3">
        <v>2705.48</v>
      </c>
      <c r="H1751" s="3">
        <v>2839.64</v>
      </c>
      <c r="I1751" s="3">
        <v>0.49</v>
      </c>
      <c r="J1751">
        <v>0.24</v>
      </c>
      <c r="K1751">
        <v>3874.76</v>
      </c>
      <c r="L1751" t="s">
        <v>35</v>
      </c>
      <c r="M1751">
        <v>722</v>
      </c>
      <c r="N1751">
        <v>0.15</v>
      </c>
      <c r="O1751" s="3">
        <v>502.38</v>
      </c>
      <c r="P1751" s="3">
        <v>0.09</v>
      </c>
      <c r="Q1751" s="3">
        <v>476.52</v>
      </c>
      <c r="R1751" s="3">
        <v>0.09</v>
      </c>
      <c r="S1751">
        <v>9</v>
      </c>
      <c r="T1751">
        <v>1544.95</v>
      </c>
      <c r="U1751">
        <v>91</v>
      </c>
      <c r="V1751">
        <v>0</v>
      </c>
      <c r="W1751">
        <v>265.47000000000003</v>
      </c>
      <c r="X1751">
        <v>3119.43</v>
      </c>
      <c r="Y1751" t="s">
        <v>36</v>
      </c>
      <c r="Z1751" s="3">
        <v>1202.94</v>
      </c>
      <c r="AA1751" t="s">
        <v>48</v>
      </c>
      <c r="AB1751" t="s">
        <v>33</v>
      </c>
      <c r="AC1751">
        <v>86.1</v>
      </c>
      <c r="AD1751" t="s">
        <v>43</v>
      </c>
      <c r="AE1751">
        <v>2839.64</v>
      </c>
      <c r="AF1751">
        <v>0</v>
      </c>
    </row>
    <row r="1752" spans="3:32" x14ac:dyDescent="0.35">
      <c r="C1752" s="1">
        <v>44516</v>
      </c>
      <c r="D1752" s="2">
        <v>44501</v>
      </c>
      <c r="E1752">
        <v>1340</v>
      </c>
      <c r="F1752" s="3">
        <v>5423.61</v>
      </c>
      <c r="G1752" s="3">
        <v>3424.74</v>
      </c>
      <c r="H1752" s="3">
        <v>1998.87</v>
      </c>
      <c r="I1752" s="3">
        <v>0.63</v>
      </c>
      <c r="J1752">
        <v>0.39</v>
      </c>
      <c r="K1752">
        <v>2646.35</v>
      </c>
      <c r="L1752" t="s">
        <v>39</v>
      </c>
      <c r="M1752">
        <v>718</v>
      </c>
      <c r="N1752">
        <v>0.2</v>
      </c>
      <c r="O1752" s="3">
        <v>330.56</v>
      </c>
      <c r="P1752" s="3">
        <v>0.06</v>
      </c>
      <c r="Q1752" s="3">
        <v>610.25</v>
      </c>
      <c r="R1752" s="3">
        <v>0.11</v>
      </c>
      <c r="S1752">
        <v>4</v>
      </c>
      <c r="T1752">
        <v>735.81</v>
      </c>
      <c r="U1752">
        <v>86</v>
      </c>
      <c r="V1752">
        <v>0</v>
      </c>
      <c r="W1752">
        <v>546.80999999999995</v>
      </c>
      <c r="X1752">
        <v>2287.09</v>
      </c>
      <c r="Y1752" t="s">
        <v>36</v>
      </c>
      <c r="Z1752" s="3">
        <v>1768.19</v>
      </c>
      <c r="AA1752" t="s">
        <v>48</v>
      </c>
      <c r="AB1752" t="s">
        <v>33</v>
      </c>
      <c r="AC1752">
        <v>62.6</v>
      </c>
      <c r="AD1752" t="s">
        <v>43</v>
      </c>
      <c r="AE1752">
        <v>1998.87</v>
      </c>
      <c r="AF1752">
        <v>0</v>
      </c>
    </row>
    <row r="1753" spans="3:32" x14ac:dyDescent="0.35">
      <c r="C1753" s="1">
        <v>44516</v>
      </c>
      <c r="D1753" s="2">
        <v>44501</v>
      </c>
      <c r="E1753">
        <v>1335</v>
      </c>
      <c r="F1753" s="3">
        <v>4374.4799999999996</v>
      </c>
      <c r="G1753" s="3">
        <v>4704.1099999999997</v>
      </c>
      <c r="H1753" s="3">
        <v>-329.63</v>
      </c>
      <c r="I1753" s="3">
        <v>1.08</v>
      </c>
      <c r="J1753">
        <v>0.2</v>
      </c>
      <c r="K1753">
        <v>2581.0500000000002</v>
      </c>
      <c r="L1753" t="s">
        <v>35</v>
      </c>
      <c r="M1753">
        <v>666</v>
      </c>
      <c r="N1753">
        <v>0.28000000000000003</v>
      </c>
      <c r="O1753" s="3">
        <v>791.63</v>
      </c>
      <c r="P1753" s="3">
        <v>0.18</v>
      </c>
      <c r="Q1753" s="3">
        <v>275.37</v>
      </c>
      <c r="R1753" s="3">
        <v>0.06</v>
      </c>
      <c r="S1753">
        <v>9</v>
      </c>
      <c r="T1753">
        <v>543.07000000000005</v>
      </c>
      <c r="U1753">
        <v>51</v>
      </c>
      <c r="V1753">
        <v>0</v>
      </c>
      <c r="W1753">
        <v>163.41999999999999</v>
      </c>
      <c r="X1753">
        <v>2079.27</v>
      </c>
      <c r="Y1753" t="s">
        <v>31</v>
      </c>
      <c r="Z1753" s="3">
        <v>1375.16</v>
      </c>
      <c r="AA1753" t="s">
        <v>40</v>
      </c>
      <c r="AB1753" t="s">
        <v>33</v>
      </c>
      <c r="AC1753">
        <v>48</v>
      </c>
      <c r="AD1753" t="s">
        <v>38</v>
      </c>
      <c r="AE1753">
        <v>0</v>
      </c>
      <c r="AF1753">
        <v>0</v>
      </c>
    </row>
    <row r="1754" spans="3:32" x14ac:dyDescent="0.35">
      <c r="C1754" s="1">
        <v>44516</v>
      </c>
      <c r="D1754" s="2">
        <v>44501</v>
      </c>
      <c r="E1754">
        <v>1869</v>
      </c>
      <c r="F1754" s="3">
        <v>4451.58</v>
      </c>
      <c r="G1754" s="3">
        <v>2430.48</v>
      </c>
      <c r="H1754" s="3">
        <v>2021.1</v>
      </c>
      <c r="I1754" s="3">
        <v>0.55000000000000004</v>
      </c>
      <c r="J1754">
        <v>0.13</v>
      </c>
      <c r="K1754">
        <v>3152.31</v>
      </c>
      <c r="L1754" t="s">
        <v>39</v>
      </c>
      <c r="M1754">
        <v>826</v>
      </c>
      <c r="N1754">
        <v>0.2</v>
      </c>
      <c r="O1754" s="3">
        <v>600.37</v>
      </c>
      <c r="P1754" s="3">
        <v>0.13</v>
      </c>
      <c r="Q1754" s="3">
        <v>799.51</v>
      </c>
      <c r="R1754" s="3">
        <v>0.18</v>
      </c>
      <c r="S1754">
        <v>3</v>
      </c>
      <c r="T1754">
        <v>1704.66</v>
      </c>
      <c r="U1754">
        <v>45</v>
      </c>
      <c r="V1754">
        <v>0</v>
      </c>
      <c r="W1754">
        <v>456.41</v>
      </c>
      <c r="X1754">
        <v>2881.27</v>
      </c>
      <c r="Y1754" t="s">
        <v>36</v>
      </c>
      <c r="Z1754" s="3">
        <v>1268.71</v>
      </c>
      <c r="AA1754" t="s">
        <v>47</v>
      </c>
      <c r="AB1754" t="s">
        <v>33</v>
      </c>
      <c r="AC1754">
        <v>45.9</v>
      </c>
      <c r="AD1754" t="s">
        <v>43</v>
      </c>
      <c r="AE1754">
        <v>2021.1</v>
      </c>
      <c r="AF1754">
        <v>0</v>
      </c>
    </row>
    <row r="1755" spans="3:32" x14ac:dyDescent="0.35">
      <c r="C1755" s="1">
        <v>44516</v>
      </c>
      <c r="D1755" s="2">
        <v>44501</v>
      </c>
      <c r="E1755">
        <v>1287</v>
      </c>
      <c r="F1755" s="3">
        <v>2929.28</v>
      </c>
      <c r="G1755" s="3">
        <v>2062</v>
      </c>
      <c r="H1755" s="3">
        <v>867.28</v>
      </c>
      <c r="I1755" s="3">
        <v>0.7</v>
      </c>
      <c r="J1755">
        <v>0.18</v>
      </c>
      <c r="K1755">
        <v>3302.54</v>
      </c>
      <c r="L1755" t="s">
        <v>39</v>
      </c>
      <c r="M1755">
        <v>769</v>
      </c>
      <c r="N1755">
        <v>0.35</v>
      </c>
      <c r="O1755" s="3">
        <v>736.25</v>
      </c>
      <c r="P1755" s="3">
        <v>0.25</v>
      </c>
      <c r="Q1755" s="3">
        <v>644.58000000000004</v>
      </c>
      <c r="R1755" s="3">
        <v>0.22</v>
      </c>
      <c r="S1755">
        <v>8</v>
      </c>
      <c r="T1755">
        <v>1136.83</v>
      </c>
      <c r="U1755">
        <v>81</v>
      </c>
      <c r="V1755">
        <v>0</v>
      </c>
      <c r="W1755">
        <v>629.97</v>
      </c>
      <c r="X1755">
        <v>1122.05</v>
      </c>
      <c r="Y1755" t="s">
        <v>36</v>
      </c>
      <c r="Z1755" s="3">
        <v>1149.32</v>
      </c>
      <c r="AA1755" t="s">
        <v>32</v>
      </c>
      <c r="AB1755" t="s">
        <v>33</v>
      </c>
      <c r="AC1755">
        <v>92.6</v>
      </c>
      <c r="AD1755" t="s">
        <v>34</v>
      </c>
      <c r="AE1755">
        <v>867.28</v>
      </c>
      <c r="AF1755">
        <v>0</v>
      </c>
    </row>
    <row r="1756" spans="3:32" x14ac:dyDescent="0.35">
      <c r="C1756" s="1">
        <v>44516</v>
      </c>
      <c r="D1756" s="2">
        <v>44501</v>
      </c>
      <c r="E1756">
        <v>1260</v>
      </c>
      <c r="F1756" s="3">
        <v>3322.09</v>
      </c>
      <c r="G1756" s="3">
        <v>3557.36</v>
      </c>
      <c r="H1756" s="3">
        <v>-235.27</v>
      </c>
      <c r="I1756" s="3">
        <v>1.07</v>
      </c>
      <c r="J1756">
        <v>0.11</v>
      </c>
      <c r="K1756">
        <v>2501.65</v>
      </c>
      <c r="L1756" t="s">
        <v>30</v>
      </c>
      <c r="M1756">
        <v>700</v>
      </c>
      <c r="N1756">
        <v>0.4</v>
      </c>
      <c r="O1756" s="3">
        <v>583.16</v>
      </c>
      <c r="P1756" s="3">
        <v>0.18</v>
      </c>
      <c r="Q1756" s="3">
        <v>628.83000000000004</v>
      </c>
      <c r="R1756" s="3">
        <v>0.19</v>
      </c>
      <c r="S1756">
        <v>6</v>
      </c>
      <c r="T1756">
        <v>1535.07</v>
      </c>
      <c r="U1756">
        <v>48</v>
      </c>
      <c r="V1756">
        <v>0</v>
      </c>
      <c r="W1756">
        <v>996.56</v>
      </c>
      <c r="X1756">
        <v>2094.4499999999998</v>
      </c>
      <c r="Y1756" t="s">
        <v>36</v>
      </c>
      <c r="Z1756" s="3">
        <v>802.1</v>
      </c>
      <c r="AA1756" t="s">
        <v>48</v>
      </c>
      <c r="AB1756" t="s">
        <v>33</v>
      </c>
      <c r="AC1756">
        <v>94.5</v>
      </c>
      <c r="AD1756" t="s">
        <v>34</v>
      </c>
      <c r="AE1756">
        <v>0</v>
      </c>
      <c r="AF1756">
        <v>0</v>
      </c>
    </row>
    <row r="1757" spans="3:32" x14ac:dyDescent="0.35">
      <c r="C1757" s="1">
        <v>44516</v>
      </c>
      <c r="D1757" s="2">
        <v>44501</v>
      </c>
      <c r="E1757">
        <v>1424</v>
      </c>
      <c r="F1757" s="3">
        <v>3406.61</v>
      </c>
      <c r="G1757" s="3">
        <v>1878.88</v>
      </c>
      <c r="H1757" s="3">
        <v>1527.73</v>
      </c>
      <c r="I1757" s="3">
        <v>0.55000000000000004</v>
      </c>
      <c r="J1757">
        <v>0.22</v>
      </c>
      <c r="K1757">
        <v>2730.24</v>
      </c>
      <c r="L1757" t="s">
        <v>39</v>
      </c>
      <c r="M1757">
        <v>722</v>
      </c>
      <c r="N1757">
        <v>0.38</v>
      </c>
      <c r="O1757" s="3">
        <v>413.46</v>
      </c>
      <c r="P1757" s="3">
        <v>0.12</v>
      </c>
      <c r="Q1757" s="3">
        <v>718.11</v>
      </c>
      <c r="R1757" s="3">
        <v>0.21</v>
      </c>
      <c r="S1757">
        <v>3</v>
      </c>
      <c r="T1757">
        <v>771.6</v>
      </c>
      <c r="U1757">
        <v>91</v>
      </c>
      <c r="V1757">
        <v>0</v>
      </c>
      <c r="W1757">
        <v>630.54</v>
      </c>
      <c r="X1757">
        <v>2218.15</v>
      </c>
      <c r="Y1757" t="s">
        <v>36</v>
      </c>
      <c r="Z1757" s="3">
        <v>1505.23</v>
      </c>
      <c r="AA1757" t="s">
        <v>47</v>
      </c>
      <c r="AB1757" t="s">
        <v>33</v>
      </c>
      <c r="AC1757">
        <v>79.400000000000006</v>
      </c>
      <c r="AD1757" t="s">
        <v>34</v>
      </c>
      <c r="AE1757">
        <v>1527.73</v>
      </c>
      <c r="AF1757">
        <v>0</v>
      </c>
    </row>
    <row r="1758" spans="3:32" x14ac:dyDescent="0.35">
      <c r="C1758" s="1">
        <v>44516</v>
      </c>
      <c r="D1758" s="2">
        <v>44501</v>
      </c>
      <c r="E1758">
        <v>1421</v>
      </c>
      <c r="F1758" s="3">
        <v>3737.62</v>
      </c>
      <c r="G1758" s="3">
        <v>2117.58</v>
      </c>
      <c r="H1758" s="3">
        <v>1620.04</v>
      </c>
      <c r="I1758" s="3">
        <v>0.56999999999999995</v>
      </c>
      <c r="J1758">
        <v>0.25</v>
      </c>
      <c r="K1758">
        <v>4248.53</v>
      </c>
      <c r="L1758" t="s">
        <v>35</v>
      </c>
      <c r="M1758">
        <v>606</v>
      </c>
      <c r="N1758">
        <v>0.3</v>
      </c>
      <c r="O1758" s="3">
        <v>474.48</v>
      </c>
      <c r="P1758" s="3">
        <v>0.13</v>
      </c>
      <c r="Q1758" s="3">
        <v>630.54999999999995</v>
      </c>
      <c r="R1758" s="3">
        <v>0.17</v>
      </c>
      <c r="S1758">
        <v>9</v>
      </c>
      <c r="T1758">
        <v>1308.81</v>
      </c>
      <c r="U1758">
        <v>29</v>
      </c>
      <c r="V1758">
        <v>0</v>
      </c>
      <c r="W1758">
        <v>0</v>
      </c>
      <c r="X1758">
        <v>2560.27</v>
      </c>
      <c r="Y1758" t="s">
        <v>36</v>
      </c>
      <c r="Z1758" s="3">
        <v>1416.02</v>
      </c>
      <c r="AA1758" t="s">
        <v>45</v>
      </c>
      <c r="AB1758" t="s">
        <v>33</v>
      </c>
      <c r="AC1758">
        <v>84.3</v>
      </c>
      <c r="AD1758" t="s">
        <v>34</v>
      </c>
      <c r="AE1758">
        <v>1620.04</v>
      </c>
      <c r="AF1758">
        <v>0</v>
      </c>
    </row>
    <row r="1759" spans="3:32" x14ac:dyDescent="0.35">
      <c r="C1759" s="1">
        <v>44516</v>
      </c>
      <c r="D1759" s="2">
        <v>44501</v>
      </c>
      <c r="E1759">
        <v>1659</v>
      </c>
      <c r="F1759" s="3">
        <v>3565.41</v>
      </c>
      <c r="G1759" s="3">
        <v>3692.28</v>
      </c>
      <c r="H1759" s="3">
        <v>-126.87</v>
      </c>
      <c r="I1759" s="3">
        <v>1.04</v>
      </c>
      <c r="J1759">
        <v>0.06</v>
      </c>
      <c r="K1759">
        <v>3132.17</v>
      </c>
      <c r="L1759" t="s">
        <v>39</v>
      </c>
      <c r="M1759">
        <v>666</v>
      </c>
      <c r="N1759">
        <v>0.35</v>
      </c>
      <c r="O1759" s="3">
        <v>482.65</v>
      </c>
      <c r="P1759" s="3">
        <v>0.14000000000000001</v>
      </c>
      <c r="Q1759" s="3">
        <v>123.35</v>
      </c>
      <c r="R1759" s="3">
        <v>0.03</v>
      </c>
      <c r="S1759">
        <v>7</v>
      </c>
      <c r="T1759">
        <v>216.58</v>
      </c>
      <c r="U1759">
        <v>59</v>
      </c>
      <c r="V1759">
        <v>0</v>
      </c>
      <c r="W1759">
        <v>501.54</v>
      </c>
      <c r="X1759">
        <v>2588.87</v>
      </c>
      <c r="Y1759" t="s">
        <v>31</v>
      </c>
      <c r="Z1759" s="3">
        <v>964.59</v>
      </c>
      <c r="AA1759" t="s">
        <v>45</v>
      </c>
      <c r="AB1759" t="s">
        <v>42</v>
      </c>
      <c r="AC1759">
        <v>84.1</v>
      </c>
      <c r="AD1759" t="s">
        <v>34</v>
      </c>
      <c r="AE1759">
        <v>0</v>
      </c>
      <c r="AF1759">
        <v>0</v>
      </c>
    </row>
    <row r="1760" spans="3:32" x14ac:dyDescent="0.35">
      <c r="C1760" s="1">
        <v>44516</v>
      </c>
      <c r="D1760" s="2">
        <v>44501</v>
      </c>
      <c r="E1760">
        <v>1065</v>
      </c>
      <c r="F1760" s="3">
        <v>3929.27</v>
      </c>
      <c r="G1760" s="3">
        <v>2579.42</v>
      </c>
      <c r="H1760" s="3">
        <v>1349.85</v>
      </c>
      <c r="I1760" s="3">
        <v>0.66</v>
      </c>
      <c r="J1760">
        <v>0.1</v>
      </c>
      <c r="K1760">
        <v>2718.35</v>
      </c>
      <c r="L1760" t="s">
        <v>35</v>
      </c>
      <c r="M1760">
        <v>597</v>
      </c>
      <c r="N1760">
        <v>0.31</v>
      </c>
      <c r="O1760" s="3">
        <v>558.12</v>
      </c>
      <c r="P1760" s="3">
        <v>0.14000000000000001</v>
      </c>
      <c r="Q1760" s="3">
        <v>285.81</v>
      </c>
      <c r="R1760" s="3">
        <v>7.0000000000000007E-2</v>
      </c>
      <c r="S1760">
        <v>4</v>
      </c>
      <c r="T1760">
        <v>0</v>
      </c>
      <c r="U1760">
        <v>28</v>
      </c>
      <c r="V1760">
        <v>0</v>
      </c>
      <c r="W1760">
        <v>705.68</v>
      </c>
      <c r="X1760">
        <v>2977.02</v>
      </c>
      <c r="Y1760" t="s">
        <v>31</v>
      </c>
      <c r="Z1760" s="3">
        <v>909.16</v>
      </c>
      <c r="AA1760" t="s">
        <v>37</v>
      </c>
      <c r="AB1760" t="s">
        <v>33</v>
      </c>
      <c r="AC1760">
        <v>51.6</v>
      </c>
      <c r="AD1760" t="s">
        <v>34</v>
      </c>
      <c r="AE1760">
        <v>1349.85</v>
      </c>
      <c r="AF1760">
        <v>0</v>
      </c>
    </row>
    <row r="1761" spans="3:32" x14ac:dyDescent="0.35">
      <c r="C1761" s="1">
        <v>44516</v>
      </c>
      <c r="D1761" s="2">
        <v>44501</v>
      </c>
      <c r="E1761">
        <v>1848</v>
      </c>
      <c r="F1761" s="3">
        <v>3699.45</v>
      </c>
      <c r="G1761" s="3">
        <v>1747.07</v>
      </c>
      <c r="H1761" s="3">
        <v>1952.38</v>
      </c>
      <c r="I1761" s="3">
        <v>0.47</v>
      </c>
      <c r="J1761">
        <v>0.18</v>
      </c>
      <c r="K1761">
        <v>2596.34</v>
      </c>
      <c r="L1761" t="s">
        <v>35</v>
      </c>
      <c r="M1761">
        <v>673</v>
      </c>
      <c r="N1761">
        <v>0.46</v>
      </c>
      <c r="O1761" s="3">
        <v>447.79</v>
      </c>
      <c r="P1761" s="3">
        <v>0.12</v>
      </c>
      <c r="Q1761" s="3">
        <v>319.56</v>
      </c>
      <c r="R1761" s="3">
        <v>0.09</v>
      </c>
      <c r="S1761">
        <v>6</v>
      </c>
      <c r="T1761">
        <v>655.65</v>
      </c>
      <c r="U1761">
        <v>75</v>
      </c>
      <c r="V1761">
        <v>0</v>
      </c>
      <c r="W1761">
        <v>474.01</v>
      </c>
      <c r="X1761">
        <v>2272.98</v>
      </c>
      <c r="Y1761" t="s">
        <v>31</v>
      </c>
      <c r="Z1761" s="3">
        <v>1371.17</v>
      </c>
      <c r="AA1761" t="s">
        <v>51</v>
      </c>
      <c r="AB1761" t="s">
        <v>33</v>
      </c>
      <c r="AC1761">
        <v>11.6</v>
      </c>
      <c r="AD1761" t="s">
        <v>43</v>
      </c>
      <c r="AE1761">
        <v>1952.38</v>
      </c>
      <c r="AF1761">
        <v>0</v>
      </c>
    </row>
    <row r="1762" spans="3:32" x14ac:dyDescent="0.35">
      <c r="C1762" s="1">
        <v>44516</v>
      </c>
      <c r="D1762" s="2">
        <v>44501</v>
      </c>
      <c r="E1762">
        <v>1730</v>
      </c>
      <c r="F1762" s="3">
        <v>4482.92</v>
      </c>
      <c r="G1762" s="3">
        <v>2834.68</v>
      </c>
      <c r="H1762" s="3">
        <v>1648.24</v>
      </c>
      <c r="I1762" s="3">
        <v>0.63</v>
      </c>
      <c r="J1762">
        <v>0.13</v>
      </c>
      <c r="K1762">
        <v>2120.5300000000002</v>
      </c>
      <c r="L1762" t="s">
        <v>35</v>
      </c>
      <c r="M1762">
        <v>720</v>
      </c>
      <c r="N1762">
        <v>0.25</v>
      </c>
      <c r="O1762" s="3">
        <v>437.04</v>
      </c>
      <c r="P1762" s="3">
        <v>0.1</v>
      </c>
      <c r="Q1762" s="3">
        <v>386.36</v>
      </c>
      <c r="R1762" s="3">
        <v>0.09</v>
      </c>
      <c r="S1762">
        <v>6</v>
      </c>
      <c r="T1762">
        <v>1599.62</v>
      </c>
      <c r="U1762">
        <v>24</v>
      </c>
      <c r="V1762">
        <v>0</v>
      </c>
      <c r="W1762">
        <v>436.62</v>
      </c>
      <c r="X1762">
        <v>2649.77</v>
      </c>
      <c r="Y1762" t="s">
        <v>36</v>
      </c>
      <c r="Z1762" s="3">
        <v>1237.6600000000001</v>
      </c>
      <c r="AA1762" t="s">
        <v>47</v>
      </c>
      <c r="AB1762" t="s">
        <v>44</v>
      </c>
      <c r="AC1762">
        <v>26.6</v>
      </c>
      <c r="AD1762" t="s">
        <v>34</v>
      </c>
      <c r="AE1762">
        <v>1648.24</v>
      </c>
      <c r="AF1762">
        <v>0</v>
      </c>
    </row>
    <row r="1763" spans="3:32" x14ac:dyDescent="0.35">
      <c r="C1763" s="1">
        <v>44516</v>
      </c>
      <c r="D1763" s="2">
        <v>44501</v>
      </c>
      <c r="E1763">
        <v>1955</v>
      </c>
      <c r="F1763" s="3">
        <v>5248.76</v>
      </c>
      <c r="G1763" s="3">
        <v>2266.0100000000002</v>
      </c>
      <c r="H1763" s="3">
        <v>2982.75</v>
      </c>
      <c r="I1763" s="3">
        <v>0.43</v>
      </c>
      <c r="J1763">
        <v>0.08</v>
      </c>
      <c r="K1763">
        <v>2266.7399999999998</v>
      </c>
      <c r="L1763" t="s">
        <v>35</v>
      </c>
      <c r="M1763">
        <v>691</v>
      </c>
      <c r="N1763">
        <v>0.5</v>
      </c>
      <c r="O1763" s="3">
        <v>637.88</v>
      </c>
      <c r="P1763" s="3">
        <v>0.12</v>
      </c>
      <c r="Q1763" s="3">
        <v>459.92</v>
      </c>
      <c r="R1763" s="3">
        <v>0.09</v>
      </c>
      <c r="S1763">
        <v>6</v>
      </c>
      <c r="T1763">
        <v>778.23</v>
      </c>
      <c r="U1763">
        <v>36</v>
      </c>
      <c r="V1763">
        <v>0</v>
      </c>
      <c r="W1763">
        <v>404.26</v>
      </c>
      <c r="X1763">
        <v>1748.15</v>
      </c>
      <c r="Y1763" t="s">
        <v>36</v>
      </c>
      <c r="Z1763" s="3">
        <v>1252.6400000000001</v>
      </c>
      <c r="AA1763" t="s">
        <v>48</v>
      </c>
      <c r="AB1763" t="s">
        <v>33</v>
      </c>
      <c r="AC1763">
        <v>42.8</v>
      </c>
      <c r="AD1763" t="s">
        <v>43</v>
      </c>
      <c r="AE1763">
        <v>2982.75</v>
      </c>
      <c r="AF1763">
        <v>1</v>
      </c>
    </row>
    <row r="1764" spans="3:32" x14ac:dyDescent="0.35">
      <c r="C1764" s="1">
        <v>44516</v>
      </c>
      <c r="D1764" s="2">
        <v>44501</v>
      </c>
      <c r="E1764">
        <v>1042</v>
      </c>
      <c r="F1764" s="3">
        <v>3741.08</v>
      </c>
      <c r="G1764" s="3">
        <v>3457.88</v>
      </c>
      <c r="H1764" s="3">
        <v>283.2</v>
      </c>
      <c r="I1764" s="3">
        <v>0.92</v>
      </c>
      <c r="J1764">
        <v>0.31</v>
      </c>
      <c r="K1764">
        <v>3756.28</v>
      </c>
      <c r="L1764" t="s">
        <v>35</v>
      </c>
      <c r="M1764">
        <v>631</v>
      </c>
      <c r="N1764">
        <v>0.53</v>
      </c>
      <c r="O1764" s="3">
        <v>304.41000000000003</v>
      </c>
      <c r="P1764" s="3">
        <v>0.08</v>
      </c>
      <c r="Q1764" s="3">
        <v>689.79</v>
      </c>
      <c r="R1764" s="3">
        <v>0.18</v>
      </c>
      <c r="S1764">
        <v>7</v>
      </c>
      <c r="T1764">
        <v>1674.05</v>
      </c>
      <c r="U1764">
        <v>57</v>
      </c>
      <c r="V1764">
        <v>0</v>
      </c>
      <c r="W1764">
        <v>721.31</v>
      </c>
      <c r="X1764">
        <v>2571.9299999999998</v>
      </c>
      <c r="Y1764" t="s">
        <v>36</v>
      </c>
      <c r="Z1764" s="3">
        <v>769.94</v>
      </c>
      <c r="AA1764" t="s">
        <v>48</v>
      </c>
      <c r="AB1764" t="s">
        <v>33</v>
      </c>
      <c r="AC1764">
        <v>14.6</v>
      </c>
      <c r="AD1764" t="s">
        <v>34</v>
      </c>
      <c r="AE1764">
        <v>283.2</v>
      </c>
      <c r="AF1764">
        <v>0</v>
      </c>
    </row>
    <row r="1765" spans="3:32" x14ac:dyDescent="0.35">
      <c r="C1765" s="1">
        <v>44516</v>
      </c>
      <c r="D1765" s="2">
        <v>44501</v>
      </c>
      <c r="E1765">
        <v>1189</v>
      </c>
      <c r="F1765" s="3">
        <v>3583.03</v>
      </c>
      <c r="G1765" s="3">
        <v>3549.43</v>
      </c>
      <c r="H1765" s="3">
        <v>33.6</v>
      </c>
      <c r="I1765" s="3">
        <v>0.99</v>
      </c>
      <c r="J1765">
        <v>0.16</v>
      </c>
      <c r="K1765">
        <v>2783.6</v>
      </c>
      <c r="L1765" t="s">
        <v>35</v>
      </c>
      <c r="M1765">
        <v>670</v>
      </c>
      <c r="N1765">
        <v>0.12</v>
      </c>
      <c r="O1765" s="3">
        <v>495.4</v>
      </c>
      <c r="P1765" s="3">
        <v>0.14000000000000001</v>
      </c>
      <c r="Q1765" s="3">
        <v>542.4</v>
      </c>
      <c r="R1765" s="3">
        <v>0.15</v>
      </c>
      <c r="S1765">
        <v>1</v>
      </c>
      <c r="T1765">
        <v>459.06</v>
      </c>
      <c r="U1765">
        <v>85</v>
      </c>
      <c r="V1765">
        <v>1</v>
      </c>
      <c r="W1765">
        <v>495.67</v>
      </c>
      <c r="X1765">
        <v>2350.7199999999998</v>
      </c>
      <c r="Y1765" t="s">
        <v>36</v>
      </c>
      <c r="Z1765" s="3">
        <v>1343.24</v>
      </c>
      <c r="AA1765" t="s">
        <v>45</v>
      </c>
      <c r="AB1765" t="s">
        <v>33</v>
      </c>
      <c r="AC1765">
        <v>94</v>
      </c>
      <c r="AD1765" t="s">
        <v>38</v>
      </c>
      <c r="AE1765">
        <v>33.6</v>
      </c>
      <c r="AF1765">
        <v>0</v>
      </c>
    </row>
    <row r="1766" spans="3:32" x14ac:dyDescent="0.35">
      <c r="C1766" s="1">
        <v>44516</v>
      </c>
      <c r="D1766" s="2">
        <v>44501</v>
      </c>
      <c r="E1766">
        <v>1043</v>
      </c>
      <c r="F1766" s="3">
        <v>4234.68</v>
      </c>
      <c r="G1766" s="3">
        <v>3634.7</v>
      </c>
      <c r="H1766" s="3">
        <v>599.98</v>
      </c>
      <c r="I1766" s="3">
        <v>0.86</v>
      </c>
      <c r="J1766">
        <v>0.23</v>
      </c>
      <c r="K1766">
        <v>2822.38</v>
      </c>
      <c r="L1766" t="s">
        <v>35</v>
      </c>
      <c r="M1766">
        <v>630</v>
      </c>
      <c r="N1766">
        <v>0.39</v>
      </c>
      <c r="O1766" s="3">
        <v>411.87</v>
      </c>
      <c r="P1766" s="3">
        <v>0.1</v>
      </c>
      <c r="Q1766" s="3">
        <v>0</v>
      </c>
      <c r="R1766" s="3">
        <v>0</v>
      </c>
      <c r="S1766">
        <v>2</v>
      </c>
      <c r="T1766">
        <v>1648.98</v>
      </c>
      <c r="U1766">
        <v>98</v>
      </c>
      <c r="V1766">
        <v>0</v>
      </c>
      <c r="W1766">
        <v>335.58</v>
      </c>
      <c r="X1766">
        <v>1356.33</v>
      </c>
      <c r="Y1766" t="s">
        <v>36</v>
      </c>
      <c r="Z1766" s="3">
        <v>1439.82</v>
      </c>
      <c r="AA1766" t="s">
        <v>51</v>
      </c>
      <c r="AB1766" t="s">
        <v>44</v>
      </c>
      <c r="AC1766">
        <v>30.7</v>
      </c>
      <c r="AD1766" t="s">
        <v>34</v>
      </c>
      <c r="AE1766">
        <v>599.98</v>
      </c>
      <c r="AF1766">
        <v>0</v>
      </c>
    </row>
    <row r="1767" spans="3:32" x14ac:dyDescent="0.35">
      <c r="C1767" s="1">
        <v>44516</v>
      </c>
      <c r="D1767" s="2">
        <v>44501</v>
      </c>
      <c r="E1767">
        <v>1470</v>
      </c>
      <c r="F1767" s="3">
        <v>5131.05</v>
      </c>
      <c r="G1767" s="3">
        <v>3785.65</v>
      </c>
      <c r="H1767" s="3">
        <v>1345.4</v>
      </c>
      <c r="I1767" s="3">
        <v>0.74</v>
      </c>
      <c r="J1767">
        <v>0.16</v>
      </c>
      <c r="K1767">
        <v>3399.28</v>
      </c>
      <c r="L1767" t="s">
        <v>39</v>
      </c>
      <c r="M1767">
        <v>668</v>
      </c>
      <c r="N1767">
        <v>0.47</v>
      </c>
      <c r="O1767" s="3">
        <v>364.78</v>
      </c>
      <c r="P1767" s="3">
        <v>7.0000000000000007E-2</v>
      </c>
      <c r="Q1767" s="3">
        <v>522.63</v>
      </c>
      <c r="R1767" s="3">
        <v>0.1</v>
      </c>
      <c r="S1767">
        <v>5</v>
      </c>
      <c r="T1767">
        <v>1076.92</v>
      </c>
      <c r="U1767">
        <v>75</v>
      </c>
      <c r="V1767">
        <v>0</v>
      </c>
      <c r="W1767">
        <v>507.07</v>
      </c>
      <c r="X1767">
        <v>2036.75</v>
      </c>
      <c r="Y1767" t="s">
        <v>36</v>
      </c>
      <c r="Z1767" s="3">
        <v>1072.71</v>
      </c>
      <c r="AA1767" t="s">
        <v>45</v>
      </c>
      <c r="AB1767" t="s">
        <v>42</v>
      </c>
      <c r="AC1767">
        <v>90.7</v>
      </c>
      <c r="AD1767" t="s">
        <v>34</v>
      </c>
      <c r="AE1767">
        <v>1345.4</v>
      </c>
      <c r="AF1767">
        <v>0</v>
      </c>
    </row>
    <row r="1768" spans="3:32" x14ac:dyDescent="0.35">
      <c r="C1768" s="1">
        <v>44516</v>
      </c>
      <c r="D1768" s="2">
        <v>44501</v>
      </c>
      <c r="E1768">
        <v>1369</v>
      </c>
      <c r="F1768" s="3">
        <v>4879.0600000000004</v>
      </c>
      <c r="G1768" s="3">
        <v>3026.35</v>
      </c>
      <c r="H1768" s="3">
        <v>1852.71</v>
      </c>
      <c r="I1768" s="3">
        <v>0.62</v>
      </c>
      <c r="J1768">
        <v>0.16</v>
      </c>
      <c r="K1768">
        <v>2428.5500000000002</v>
      </c>
      <c r="L1768" t="s">
        <v>35</v>
      </c>
      <c r="M1768">
        <v>674</v>
      </c>
      <c r="N1768">
        <v>0.16</v>
      </c>
      <c r="O1768" s="3">
        <v>673.95</v>
      </c>
      <c r="P1768" s="3">
        <v>0.14000000000000001</v>
      </c>
      <c r="Q1768" s="3">
        <v>285.13</v>
      </c>
      <c r="R1768" s="3">
        <v>0.06</v>
      </c>
      <c r="S1768">
        <v>7</v>
      </c>
      <c r="T1768">
        <v>981.46</v>
      </c>
      <c r="U1768">
        <v>35</v>
      </c>
      <c r="V1768">
        <v>0</v>
      </c>
      <c r="W1768">
        <v>880.66</v>
      </c>
      <c r="X1768">
        <v>1945.8</v>
      </c>
      <c r="Y1768" t="s">
        <v>36</v>
      </c>
      <c r="Z1768" s="3">
        <v>1118.68</v>
      </c>
      <c r="AA1768" t="s">
        <v>48</v>
      </c>
      <c r="AB1768" t="s">
        <v>44</v>
      </c>
      <c r="AC1768">
        <v>33.200000000000003</v>
      </c>
      <c r="AD1768" t="s">
        <v>34</v>
      </c>
      <c r="AE1768">
        <v>1852.71</v>
      </c>
      <c r="AF1768">
        <v>0</v>
      </c>
    </row>
    <row r="1769" spans="3:32" x14ac:dyDescent="0.35">
      <c r="C1769" s="1">
        <v>44516</v>
      </c>
      <c r="D1769" s="2">
        <v>44501</v>
      </c>
      <c r="E1769">
        <v>1536</v>
      </c>
      <c r="F1769" s="3">
        <v>4095.6</v>
      </c>
      <c r="G1769" s="3">
        <v>3810.03</v>
      </c>
      <c r="H1769" s="3">
        <v>285.57</v>
      </c>
      <c r="I1769" s="3">
        <v>0.93</v>
      </c>
      <c r="J1769">
        <v>0.14000000000000001</v>
      </c>
      <c r="K1769">
        <v>3334.69</v>
      </c>
      <c r="L1769" t="s">
        <v>35</v>
      </c>
      <c r="M1769">
        <v>707</v>
      </c>
      <c r="N1769">
        <v>0.24</v>
      </c>
      <c r="O1769" s="3">
        <v>554.72</v>
      </c>
      <c r="P1769" s="3">
        <v>0.14000000000000001</v>
      </c>
      <c r="Q1769" s="3">
        <v>327.25</v>
      </c>
      <c r="R1769" s="3">
        <v>0.08</v>
      </c>
      <c r="S1769">
        <v>3</v>
      </c>
      <c r="T1769">
        <v>1267.24</v>
      </c>
      <c r="U1769">
        <v>24</v>
      </c>
      <c r="V1769">
        <v>0</v>
      </c>
      <c r="W1769">
        <v>317.75</v>
      </c>
      <c r="X1769">
        <v>2565.4699999999998</v>
      </c>
      <c r="Y1769" t="s">
        <v>36</v>
      </c>
      <c r="Z1769" s="3">
        <v>1677.34</v>
      </c>
      <c r="AA1769" t="s">
        <v>51</v>
      </c>
      <c r="AB1769" t="s">
        <v>42</v>
      </c>
      <c r="AC1769">
        <v>38.299999999999997</v>
      </c>
      <c r="AD1769" t="s">
        <v>43</v>
      </c>
      <c r="AE1769">
        <v>285.57</v>
      </c>
      <c r="AF1769">
        <v>0</v>
      </c>
    </row>
    <row r="1770" spans="3:32" x14ac:dyDescent="0.35">
      <c r="C1770" s="1">
        <v>44516</v>
      </c>
      <c r="D1770" s="2">
        <v>44501</v>
      </c>
      <c r="E1770">
        <v>1622</v>
      </c>
      <c r="F1770" s="3">
        <v>4273.3500000000004</v>
      </c>
      <c r="G1770" s="3">
        <v>1621.95</v>
      </c>
      <c r="H1770" s="3">
        <v>2651.4</v>
      </c>
      <c r="I1770" s="3">
        <v>0.38</v>
      </c>
      <c r="J1770">
        <v>0.32</v>
      </c>
      <c r="K1770">
        <v>3404.88</v>
      </c>
      <c r="L1770" t="s">
        <v>35</v>
      </c>
      <c r="M1770">
        <v>608</v>
      </c>
      <c r="N1770">
        <v>0.46</v>
      </c>
      <c r="O1770" s="3">
        <v>313.75</v>
      </c>
      <c r="P1770" s="3">
        <v>7.0000000000000007E-2</v>
      </c>
      <c r="Q1770" s="3">
        <v>996.68</v>
      </c>
      <c r="R1770" s="3">
        <v>0.23</v>
      </c>
      <c r="S1770">
        <v>4</v>
      </c>
      <c r="T1770">
        <v>800.67</v>
      </c>
      <c r="U1770">
        <v>44</v>
      </c>
      <c r="V1770">
        <v>0</v>
      </c>
      <c r="W1770">
        <v>710.46</v>
      </c>
      <c r="X1770">
        <v>2483.29</v>
      </c>
      <c r="Y1770" t="s">
        <v>31</v>
      </c>
      <c r="Z1770" s="3">
        <v>1698.83</v>
      </c>
      <c r="AA1770" t="s">
        <v>41</v>
      </c>
      <c r="AB1770" t="s">
        <v>33</v>
      </c>
      <c r="AC1770">
        <v>57.1</v>
      </c>
      <c r="AD1770" t="s">
        <v>43</v>
      </c>
      <c r="AE1770">
        <v>2651.4</v>
      </c>
      <c r="AF1770">
        <v>0</v>
      </c>
    </row>
    <row r="1771" spans="3:32" x14ac:dyDescent="0.35">
      <c r="C1771" s="1">
        <v>44516</v>
      </c>
      <c r="D1771" s="2">
        <v>44501</v>
      </c>
      <c r="E1771">
        <v>1668</v>
      </c>
      <c r="F1771" s="3">
        <v>6528.31</v>
      </c>
      <c r="G1771" s="3">
        <v>3567.26</v>
      </c>
      <c r="H1771" s="3">
        <v>2961.05</v>
      </c>
      <c r="I1771" s="3">
        <v>0.55000000000000004</v>
      </c>
      <c r="J1771">
        <v>0.11</v>
      </c>
      <c r="K1771">
        <v>4195.21</v>
      </c>
      <c r="L1771" t="s">
        <v>35</v>
      </c>
      <c r="M1771">
        <v>676</v>
      </c>
      <c r="N1771">
        <v>0.51</v>
      </c>
      <c r="O1771" s="3">
        <v>507.94</v>
      </c>
      <c r="P1771" s="3">
        <v>0.08</v>
      </c>
      <c r="Q1771" s="3">
        <v>394.69</v>
      </c>
      <c r="R1771" s="3">
        <v>0.06</v>
      </c>
      <c r="S1771">
        <v>9</v>
      </c>
      <c r="T1771">
        <v>660.97</v>
      </c>
      <c r="U1771">
        <v>60</v>
      </c>
      <c r="V1771">
        <v>0</v>
      </c>
      <c r="W1771">
        <v>530.21</v>
      </c>
      <c r="X1771">
        <v>2259.81</v>
      </c>
      <c r="Y1771" t="s">
        <v>31</v>
      </c>
      <c r="Z1771" s="3">
        <v>1720.68</v>
      </c>
      <c r="AA1771" t="s">
        <v>37</v>
      </c>
      <c r="AB1771" t="s">
        <v>44</v>
      </c>
      <c r="AC1771">
        <v>80.8</v>
      </c>
      <c r="AD1771" t="s">
        <v>38</v>
      </c>
      <c r="AE1771">
        <v>2961.05</v>
      </c>
      <c r="AF1771">
        <v>0</v>
      </c>
    </row>
    <row r="1772" spans="3:32" x14ac:dyDescent="0.35">
      <c r="C1772" s="1">
        <v>44516</v>
      </c>
      <c r="D1772" s="2">
        <v>44501</v>
      </c>
      <c r="E1772">
        <v>1223</v>
      </c>
      <c r="F1772" s="3">
        <v>3501.5</v>
      </c>
      <c r="G1772" s="3">
        <v>3281.56</v>
      </c>
      <c r="H1772" s="3">
        <v>219.94</v>
      </c>
      <c r="I1772" s="3">
        <v>0.94</v>
      </c>
      <c r="J1772">
        <v>0.14000000000000001</v>
      </c>
      <c r="K1772">
        <v>3508.61</v>
      </c>
      <c r="L1772" t="s">
        <v>39</v>
      </c>
      <c r="M1772">
        <v>718</v>
      </c>
      <c r="N1772">
        <v>0.52</v>
      </c>
      <c r="O1772" s="3">
        <v>740.63</v>
      </c>
      <c r="P1772" s="3">
        <v>0.21</v>
      </c>
      <c r="Q1772" s="3">
        <v>349.22</v>
      </c>
      <c r="R1772" s="3">
        <v>0.1</v>
      </c>
      <c r="S1772">
        <v>9</v>
      </c>
      <c r="T1772">
        <v>971.53</v>
      </c>
      <c r="U1772">
        <v>22</v>
      </c>
      <c r="V1772">
        <v>0</v>
      </c>
      <c r="W1772">
        <v>381.53</v>
      </c>
      <c r="X1772">
        <v>2420.4299999999998</v>
      </c>
      <c r="Y1772" t="s">
        <v>36</v>
      </c>
      <c r="Z1772" s="3">
        <v>300</v>
      </c>
      <c r="AA1772" t="s">
        <v>50</v>
      </c>
      <c r="AB1772" t="s">
        <v>44</v>
      </c>
      <c r="AC1772">
        <v>29.7</v>
      </c>
      <c r="AD1772" t="s">
        <v>34</v>
      </c>
      <c r="AE1772">
        <v>219.94</v>
      </c>
      <c r="AF1772">
        <v>0</v>
      </c>
    </row>
    <row r="1773" spans="3:32" x14ac:dyDescent="0.35">
      <c r="C1773" s="1">
        <v>44516</v>
      </c>
      <c r="D1773" s="2">
        <v>44501</v>
      </c>
      <c r="E1773">
        <v>1350</v>
      </c>
      <c r="F1773" s="3">
        <v>2901.8</v>
      </c>
      <c r="G1773" s="3">
        <v>4108.1499999999996</v>
      </c>
      <c r="H1773" s="3">
        <v>-1206.3499999999999</v>
      </c>
      <c r="I1773" s="3">
        <v>1.42</v>
      </c>
      <c r="J1773">
        <v>0.06</v>
      </c>
      <c r="K1773">
        <v>3099.72</v>
      </c>
      <c r="L1773" t="s">
        <v>30</v>
      </c>
      <c r="M1773">
        <v>611</v>
      </c>
      <c r="N1773">
        <v>0.16</v>
      </c>
      <c r="O1773" s="3">
        <v>634.33000000000004</v>
      </c>
      <c r="P1773" s="3">
        <v>0.22</v>
      </c>
      <c r="Q1773" s="3">
        <v>52</v>
      </c>
      <c r="R1773" s="3">
        <v>0.02</v>
      </c>
      <c r="S1773">
        <v>8</v>
      </c>
      <c r="T1773">
        <v>28.31</v>
      </c>
      <c r="U1773">
        <v>49</v>
      </c>
      <c r="V1773">
        <v>0</v>
      </c>
      <c r="W1773">
        <v>601.59</v>
      </c>
      <c r="X1773">
        <v>2887.63</v>
      </c>
      <c r="Y1773" t="s">
        <v>31</v>
      </c>
      <c r="Z1773" s="3">
        <v>1116.58</v>
      </c>
      <c r="AA1773" t="s">
        <v>37</v>
      </c>
      <c r="AB1773" t="s">
        <v>33</v>
      </c>
      <c r="AC1773">
        <v>78.8</v>
      </c>
      <c r="AD1773" t="s">
        <v>43</v>
      </c>
      <c r="AE1773">
        <v>0</v>
      </c>
      <c r="AF1773">
        <v>0</v>
      </c>
    </row>
    <row r="1774" spans="3:32" x14ac:dyDescent="0.35">
      <c r="C1774" s="1">
        <v>44516</v>
      </c>
      <c r="D1774" s="2">
        <v>44501</v>
      </c>
      <c r="E1774">
        <v>1075</v>
      </c>
      <c r="F1774" s="3">
        <v>2779.08</v>
      </c>
      <c r="G1774" s="3">
        <v>4122.99</v>
      </c>
      <c r="H1774" s="3">
        <v>-1343.91</v>
      </c>
      <c r="I1774" s="3">
        <v>1.48</v>
      </c>
      <c r="J1774">
        <v>0.08</v>
      </c>
      <c r="K1774">
        <v>2542.16</v>
      </c>
      <c r="L1774" t="s">
        <v>35</v>
      </c>
      <c r="M1774">
        <v>648</v>
      </c>
      <c r="N1774">
        <v>0.25</v>
      </c>
      <c r="O1774" s="3">
        <v>705.14</v>
      </c>
      <c r="P1774" s="3">
        <v>0.25</v>
      </c>
      <c r="Q1774" s="3">
        <v>326.86</v>
      </c>
      <c r="R1774" s="3">
        <v>0.12</v>
      </c>
      <c r="S1774">
        <v>8</v>
      </c>
      <c r="T1774">
        <v>721.25</v>
      </c>
      <c r="U1774">
        <v>55</v>
      </c>
      <c r="V1774">
        <v>0</v>
      </c>
      <c r="W1774">
        <v>439.65</v>
      </c>
      <c r="X1774">
        <v>2836.88</v>
      </c>
      <c r="Y1774" t="s">
        <v>36</v>
      </c>
      <c r="Z1774" s="3">
        <v>1551.81</v>
      </c>
      <c r="AA1774" t="s">
        <v>32</v>
      </c>
      <c r="AB1774" t="s">
        <v>44</v>
      </c>
      <c r="AC1774">
        <v>69.3</v>
      </c>
      <c r="AD1774" t="s">
        <v>34</v>
      </c>
      <c r="AE1774">
        <v>0</v>
      </c>
      <c r="AF1774">
        <v>0</v>
      </c>
    </row>
    <row r="1775" spans="3:32" x14ac:dyDescent="0.35">
      <c r="C1775" s="1">
        <v>44516</v>
      </c>
      <c r="D1775" s="2">
        <v>44501</v>
      </c>
      <c r="E1775">
        <v>1278</v>
      </c>
      <c r="F1775" s="3">
        <v>4169.34</v>
      </c>
      <c r="G1775" s="3">
        <v>4226.29</v>
      </c>
      <c r="H1775" s="3">
        <v>-56.95</v>
      </c>
      <c r="I1775" s="3">
        <v>1.01</v>
      </c>
      <c r="J1775">
        <v>0.14000000000000001</v>
      </c>
      <c r="K1775">
        <v>3141.46</v>
      </c>
      <c r="L1775" t="s">
        <v>35</v>
      </c>
      <c r="M1775">
        <v>647</v>
      </c>
      <c r="N1775">
        <v>0.26</v>
      </c>
      <c r="O1775" s="3">
        <v>66.56</v>
      </c>
      <c r="P1775" s="3">
        <v>0.02</v>
      </c>
      <c r="Q1775" s="3">
        <v>262.56</v>
      </c>
      <c r="R1775" s="3">
        <v>0.06</v>
      </c>
      <c r="S1775">
        <v>9</v>
      </c>
      <c r="T1775">
        <v>1398.69</v>
      </c>
      <c r="U1775">
        <v>91</v>
      </c>
      <c r="V1775">
        <v>0</v>
      </c>
      <c r="W1775">
        <v>518.61</v>
      </c>
      <c r="X1775">
        <v>2012.28</v>
      </c>
      <c r="Y1775" t="s">
        <v>31</v>
      </c>
      <c r="Z1775" s="3">
        <v>758.51</v>
      </c>
      <c r="AA1775" t="s">
        <v>41</v>
      </c>
      <c r="AB1775" t="s">
        <v>33</v>
      </c>
      <c r="AC1775">
        <v>56.8</v>
      </c>
      <c r="AD1775" t="s">
        <v>34</v>
      </c>
      <c r="AE1775">
        <v>0</v>
      </c>
      <c r="AF1775">
        <v>0</v>
      </c>
    </row>
    <row r="1776" spans="3:32" x14ac:dyDescent="0.35">
      <c r="C1776" s="1">
        <v>44516</v>
      </c>
      <c r="D1776" s="2">
        <v>44501</v>
      </c>
      <c r="E1776">
        <v>1649</v>
      </c>
      <c r="F1776" s="3">
        <v>4238.21</v>
      </c>
      <c r="G1776" s="3">
        <v>1970.91</v>
      </c>
      <c r="H1776" s="3">
        <v>2267.3000000000002</v>
      </c>
      <c r="I1776" s="3">
        <v>0.47</v>
      </c>
      <c r="J1776">
        <v>0.37</v>
      </c>
      <c r="K1776">
        <v>3308.94</v>
      </c>
      <c r="L1776" t="s">
        <v>30</v>
      </c>
      <c r="M1776">
        <v>651</v>
      </c>
      <c r="N1776">
        <v>0.16</v>
      </c>
      <c r="O1776" s="3">
        <v>340.11</v>
      </c>
      <c r="P1776" s="3">
        <v>0.08</v>
      </c>
      <c r="Q1776" s="3">
        <v>299.39999999999998</v>
      </c>
      <c r="R1776" s="3">
        <v>7.0000000000000007E-2</v>
      </c>
      <c r="S1776">
        <v>2</v>
      </c>
      <c r="T1776">
        <v>1684.38</v>
      </c>
      <c r="U1776">
        <v>39</v>
      </c>
      <c r="V1776">
        <v>0</v>
      </c>
      <c r="W1776">
        <v>210.47</v>
      </c>
      <c r="X1776">
        <v>1464.78</v>
      </c>
      <c r="Y1776" t="s">
        <v>36</v>
      </c>
      <c r="Z1776" s="3">
        <v>1398.4</v>
      </c>
      <c r="AA1776" t="s">
        <v>46</v>
      </c>
      <c r="AB1776" t="s">
        <v>42</v>
      </c>
      <c r="AC1776">
        <v>56.5</v>
      </c>
      <c r="AD1776" t="s">
        <v>38</v>
      </c>
      <c r="AE1776">
        <v>2267.3000000000002</v>
      </c>
      <c r="AF1776">
        <v>0</v>
      </c>
    </row>
    <row r="1777" spans="3:32" x14ac:dyDescent="0.35">
      <c r="C1777" s="1">
        <v>44516</v>
      </c>
      <c r="D1777" s="2">
        <v>44501</v>
      </c>
      <c r="E1777">
        <v>1167</v>
      </c>
      <c r="F1777" s="3">
        <v>5110.47</v>
      </c>
      <c r="G1777" s="3">
        <v>2678.64</v>
      </c>
      <c r="H1777" s="3">
        <v>2431.83</v>
      </c>
      <c r="I1777" s="3">
        <v>0.52</v>
      </c>
      <c r="J1777">
        <v>0.18</v>
      </c>
      <c r="K1777">
        <v>3426.76</v>
      </c>
      <c r="L1777" t="s">
        <v>35</v>
      </c>
      <c r="M1777">
        <v>662</v>
      </c>
      <c r="N1777">
        <v>0.15</v>
      </c>
      <c r="O1777" s="3">
        <v>311.81</v>
      </c>
      <c r="P1777" s="3">
        <v>0.06</v>
      </c>
      <c r="Q1777" s="3">
        <v>293.22000000000003</v>
      </c>
      <c r="R1777" s="3">
        <v>0.06</v>
      </c>
      <c r="S1777">
        <v>6</v>
      </c>
      <c r="T1777">
        <v>1620.64</v>
      </c>
      <c r="U1777">
        <v>37</v>
      </c>
      <c r="V1777">
        <v>0</v>
      </c>
      <c r="W1777">
        <v>688.69</v>
      </c>
      <c r="X1777">
        <v>2511.06</v>
      </c>
      <c r="Y1777" t="s">
        <v>36</v>
      </c>
      <c r="Z1777" s="3">
        <v>2391.34</v>
      </c>
      <c r="AA1777" t="s">
        <v>41</v>
      </c>
      <c r="AB1777" t="s">
        <v>33</v>
      </c>
      <c r="AC1777">
        <v>94.1</v>
      </c>
      <c r="AD1777" t="s">
        <v>43</v>
      </c>
      <c r="AE1777">
        <v>2431.83</v>
      </c>
      <c r="AF1777">
        <v>0</v>
      </c>
    </row>
    <row r="1778" spans="3:32" x14ac:dyDescent="0.35">
      <c r="C1778" s="1">
        <v>44516</v>
      </c>
      <c r="D1778" s="2">
        <v>44501</v>
      </c>
      <c r="E1778">
        <v>1946</v>
      </c>
      <c r="F1778" s="3">
        <v>1763.54</v>
      </c>
      <c r="G1778" s="3">
        <v>1386.95</v>
      </c>
      <c r="H1778" s="3">
        <v>376.59</v>
      </c>
      <c r="I1778" s="3">
        <v>0.79</v>
      </c>
      <c r="J1778">
        <v>0.34</v>
      </c>
      <c r="K1778">
        <v>2305.12</v>
      </c>
      <c r="L1778" t="s">
        <v>35</v>
      </c>
      <c r="M1778">
        <v>695</v>
      </c>
      <c r="N1778">
        <v>0.53</v>
      </c>
      <c r="O1778" s="3">
        <v>544.13</v>
      </c>
      <c r="P1778" s="3">
        <v>0.31</v>
      </c>
      <c r="Q1778" s="3">
        <v>867.44</v>
      </c>
      <c r="R1778" s="3">
        <v>0.49</v>
      </c>
      <c r="S1778">
        <v>7</v>
      </c>
      <c r="T1778">
        <v>311.57</v>
      </c>
      <c r="U1778">
        <v>52</v>
      </c>
      <c r="V1778">
        <v>0</v>
      </c>
      <c r="W1778">
        <v>757.33</v>
      </c>
      <c r="X1778">
        <v>1572.16</v>
      </c>
      <c r="Y1778" t="s">
        <v>36</v>
      </c>
      <c r="Z1778" s="3">
        <v>1359.72</v>
      </c>
      <c r="AA1778" t="s">
        <v>51</v>
      </c>
      <c r="AB1778" t="s">
        <v>33</v>
      </c>
      <c r="AC1778">
        <v>79.5</v>
      </c>
      <c r="AD1778" t="s">
        <v>38</v>
      </c>
      <c r="AE1778">
        <v>376.59</v>
      </c>
      <c r="AF1778">
        <v>0</v>
      </c>
    </row>
    <row r="1779" spans="3:32" x14ac:dyDescent="0.35">
      <c r="C1779" s="1">
        <v>44516</v>
      </c>
      <c r="D1779" s="2">
        <v>44501</v>
      </c>
      <c r="E1779">
        <v>1763</v>
      </c>
      <c r="F1779" s="3">
        <v>2574.9</v>
      </c>
      <c r="G1779" s="3">
        <v>3300.72</v>
      </c>
      <c r="H1779" s="3">
        <v>-725.82</v>
      </c>
      <c r="I1779" s="3">
        <v>1.28</v>
      </c>
      <c r="J1779">
        <v>0.25</v>
      </c>
      <c r="K1779">
        <v>3085.71</v>
      </c>
      <c r="L1779" t="s">
        <v>30</v>
      </c>
      <c r="M1779">
        <v>649</v>
      </c>
      <c r="N1779">
        <v>0.25</v>
      </c>
      <c r="O1779" s="3">
        <v>695.49</v>
      </c>
      <c r="P1779" s="3">
        <v>0.27</v>
      </c>
      <c r="Q1779" s="3">
        <v>241.65</v>
      </c>
      <c r="R1779" s="3">
        <v>0.09</v>
      </c>
      <c r="S1779">
        <v>8</v>
      </c>
      <c r="T1779">
        <v>1481.63</v>
      </c>
      <c r="U1779">
        <v>83</v>
      </c>
      <c r="V1779">
        <v>0</v>
      </c>
      <c r="W1779">
        <v>405.45</v>
      </c>
      <c r="X1779">
        <v>2482.9899999999998</v>
      </c>
      <c r="Y1779" t="s">
        <v>36</v>
      </c>
      <c r="Z1779" s="3">
        <v>1682.25</v>
      </c>
      <c r="AA1779" t="s">
        <v>40</v>
      </c>
      <c r="AB1779" t="s">
        <v>42</v>
      </c>
      <c r="AC1779">
        <v>25.8</v>
      </c>
      <c r="AD1779" t="s">
        <v>34</v>
      </c>
      <c r="AE1779">
        <v>0</v>
      </c>
      <c r="AF1779">
        <v>0</v>
      </c>
    </row>
    <row r="1780" spans="3:32" x14ac:dyDescent="0.35">
      <c r="C1780" s="1">
        <v>44516</v>
      </c>
      <c r="D1780" s="2">
        <v>44501</v>
      </c>
      <c r="E1780">
        <v>1164</v>
      </c>
      <c r="F1780" s="3">
        <v>3935.93</v>
      </c>
      <c r="G1780" s="3">
        <v>3685.76</v>
      </c>
      <c r="H1780" s="3">
        <v>250.17</v>
      </c>
      <c r="I1780" s="3">
        <v>0.94</v>
      </c>
      <c r="J1780">
        <v>0.22</v>
      </c>
      <c r="K1780">
        <v>2010.51</v>
      </c>
      <c r="L1780" t="s">
        <v>30</v>
      </c>
      <c r="M1780">
        <v>666</v>
      </c>
      <c r="N1780">
        <v>0.41</v>
      </c>
      <c r="O1780" s="3">
        <v>534.66</v>
      </c>
      <c r="P1780" s="3">
        <v>0.14000000000000001</v>
      </c>
      <c r="Q1780" s="3">
        <v>230.57</v>
      </c>
      <c r="R1780" s="3">
        <v>0.06</v>
      </c>
      <c r="S1780">
        <v>9</v>
      </c>
      <c r="T1780">
        <v>951.64</v>
      </c>
      <c r="U1780">
        <v>76</v>
      </c>
      <c r="V1780">
        <v>0</v>
      </c>
      <c r="W1780">
        <v>707.43</v>
      </c>
      <c r="X1780">
        <v>2719.58</v>
      </c>
      <c r="Y1780" t="s">
        <v>49</v>
      </c>
      <c r="Z1780" s="3">
        <v>1565.65</v>
      </c>
      <c r="AA1780" t="s">
        <v>48</v>
      </c>
      <c r="AB1780" t="s">
        <v>44</v>
      </c>
      <c r="AC1780">
        <v>79.7</v>
      </c>
      <c r="AD1780" t="s">
        <v>34</v>
      </c>
      <c r="AE1780">
        <v>250.17</v>
      </c>
      <c r="AF1780">
        <v>0</v>
      </c>
    </row>
    <row r="1781" spans="3:32" x14ac:dyDescent="0.35">
      <c r="C1781" s="1">
        <v>44516</v>
      </c>
      <c r="D1781" s="2">
        <v>44501</v>
      </c>
      <c r="E1781">
        <v>1898</v>
      </c>
      <c r="F1781" s="3">
        <v>3535.09</v>
      </c>
      <c r="G1781" s="3">
        <v>4714.95</v>
      </c>
      <c r="H1781" s="3">
        <v>-1179.8599999999999</v>
      </c>
      <c r="I1781" s="3">
        <v>1.33</v>
      </c>
      <c r="J1781">
        <v>0.14000000000000001</v>
      </c>
      <c r="K1781">
        <v>3236.71</v>
      </c>
      <c r="L1781" t="s">
        <v>35</v>
      </c>
      <c r="M1781">
        <v>657</v>
      </c>
      <c r="N1781">
        <v>0.25</v>
      </c>
      <c r="O1781" s="3">
        <v>719.36</v>
      </c>
      <c r="P1781" s="3">
        <v>0.2</v>
      </c>
      <c r="Q1781" s="3">
        <v>628.41999999999996</v>
      </c>
      <c r="R1781" s="3">
        <v>0.18</v>
      </c>
      <c r="S1781">
        <v>6</v>
      </c>
      <c r="T1781">
        <v>1078.83</v>
      </c>
      <c r="U1781">
        <v>35</v>
      </c>
      <c r="V1781">
        <v>0</v>
      </c>
      <c r="W1781">
        <v>351.95</v>
      </c>
      <c r="X1781">
        <v>2341.1</v>
      </c>
      <c r="Y1781" t="s">
        <v>36</v>
      </c>
      <c r="Z1781" s="3">
        <v>951.21</v>
      </c>
      <c r="AA1781" t="s">
        <v>40</v>
      </c>
      <c r="AB1781" t="s">
        <v>42</v>
      </c>
      <c r="AC1781">
        <v>36.1</v>
      </c>
      <c r="AD1781" t="s">
        <v>34</v>
      </c>
      <c r="AE1781">
        <v>0</v>
      </c>
      <c r="AF1781">
        <v>0</v>
      </c>
    </row>
    <row r="1782" spans="3:32" x14ac:dyDescent="0.35">
      <c r="C1782" s="1">
        <v>44516</v>
      </c>
      <c r="D1782" s="2">
        <v>44501</v>
      </c>
      <c r="E1782">
        <v>1314</v>
      </c>
      <c r="F1782" s="3">
        <v>4946.59</v>
      </c>
      <c r="G1782" s="3">
        <v>3811.21</v>
      </c>
      <c r="H1782" s="3">
        <v>1135.3800000000001</v>
      </c>
      <c r="I1782" s="3">
        <v>0.77</v>
      </c>
      <c r="J1782">
        <v>0.27</v>
      </c>
      <c r="K1782">
        <v>2769.65</v>
      </c>
      <c r="L1782" t="s">
        <v>35</v>
      </c>
      <c r="M1782">
        <v>622</v>
      </c>
      <c r="N1782">
        <v>0.46</v>
      </c>
      <c r="O1782" s="3">
        <v>336.92</v>
      </c>
      <c r="P1782" s="3">
        <v>7.0000000000000007E-2</v>
      </c>
      <c r="Q1782" s="3">
        <v>595.04999999999995</v>
      </c>
      <c r="R1782" s="3">
        <v>0.12</v>
      </c>
      <c r="S1782">
        <v>4</v>
      </c>
      <c r="T1782">
        <v>1078.8399999999999</v>
      </c>
      <c r="U1782">
        <v>29</v>
      </c>
      <c r="V1782">
        <v>0</v>
      </c>
      <c r="W1782">
        <v>456.76</v>
      </c>
      <c r="X1782">
        <v>1847.29</v>
      </c>
      <c r="Y1782" t="s">
        <v>36</v>
      </c>
      <c r="Z1782" s="3">
        <v>1138.92</v>
      </c>
      <c r="AA1782" t="s">
        <v>32</v>
      </c>
      <c r="AB1782" t="s">
        <v>42</v>
      </c>
      <c r="AC1782">
        <v>63.5</v>
      </c>
      <c r="AD1782" t="s">
        <v>34</v>
      </c>
      <c r="AE1782">
        <v>1135.3800000000001</v>
      </c>
      <c r="AF1782">
        <v>0</v>
      </c>
    </row>
    <row r="1783" spans="3:32" x14ac:dyDescent="0.35">
      <c r="C1783" s="1">
        <v>44516</v>
      </c>
      <c r="D1783" s="2">
        <v>44501</v>
      </c>
      <c r="E1783">
        <v>1095</v>
      </c>
      <c r="F1783" s="3">
        <v>3724.11</v>
      </c>
      <c r="G1783" s="3">
        <v>2954.33</v>
      </c>
      <c r="H1783" s="3">
        <v>769.78</v>
      </c>
      <c r="I1783" s="3">
        <v>0.79</v>
      </c>
      <c r="J1783">
        <v>0.27</v>
      </c>
      <c r="K1783">
        <v>2563.88</v>
      </c>
      <c r="L1783" t="s">
        <v>35</v>
      </c>
      <c r="M1783">
        <v>624</v>
      </c>
      <c r="N1783">
        <v>0.43</v>
      </c>
      <c r="O1783" s="3">
        <v>522.29999999999995</v>
      </c>
      <c r="P1783" s="3">
        <v>0.14000000000000001</v>
      </c>
      <c r="Q1783" s="3">
        <v>175.93</v>
      </c>
      <c r="R1783" s="3">
        <v>0.05</v>
      </c>
      <c r="S1783">
        <v>7</v>
      </c>
      <c r="T1783">
        <v>1410.51</v>
      </c>
      <c r="U1783">
        <v>79</v>
      </c>
      <c r="V1783">
        <v>0</v>
      </c>
      <c r="W1783">
        <v>474.19</v>
      </c>
      <c r="X1783">
        <v>2235.1</v>
      </c>
      <c r="Y1783" t="s">
        <v>36</v>
      </c>
      <c r="Z1783" s="3">
        <v>826.75</v>
      </c>
      <c r="AA1783" t="s">
        <v>40</v>
      </c>
      <c r="AB1783" t="s">
        <v>33</v>
      </c>
      <c r="AC1783">
        <v>26.1</v>
      </c>
      <c r="AD1783" t="s">
        <v>43</v>
      </c>
      <c r="AE1783">
        <v>769.78</v>
      </c>
      <c r="AF1783">
        <v>0</v>
      </c>
    </row>
    <row r="1784" spans="3:32" x14ac:dyDescent="0.35">
      <c r="C1784" s="1">
        <v>44516</v>
      </c>
      <c r="D1784" s="2">
        <v>44501</v>
      </c>
      <c r="E1784">
        <v>1164</v>
      </c>
      <c r="F1784" s="3">
        <v>4150.8999999999996</v>
      </c>
      <c r="G1784" s="3">
        <v>4123.76</v>
      </c>
      <c r="H1784" s="3">
        <v>27.14</v>
      </c>
      <c r="I1784" s="3">
        <v>0.99</v>
      </c>
      <c r="J1784">
        <v>0.31</v>
      </c>
      <c r="K1784">
        <v>2104</v>
      </c>
      <c r="L1784" t="s">
        <v>35</v>
      </c>
      <c r="M1784">
        <v>590</v>
      </c>
      <c r="N1784">
        <v>0.45</v>
      </c>
      <c r="O1784" s="3">
        <v>549.6</v>
      </c>
      <c r="P1784" s="3">
        <v>0.13</v>
      </c>
      <c r="Q1784" s="3">
        <v>238.21</v>
      </c>
      <c r="R1784" s="3">
        <v>0.06</v>
      </c>
      <c r="S1784">
        <v>1</v>
      </c>
      <c r="T1784">
        <v>1217.5</v>
      </c>
      <c r="U1784">
        <v>26</v>
      </c>
      <c r="V1784">
        <v>0</v>
      </c>
      <c r="W1784">
        <v>451.85</v>
      </c>
      <c r="X1784">
        <v>1494.24</v>
      </c>
      <c r="Y1784" t="s">
        <v>31</v>
      </c>
      <c r="Z1784" s="3">
        <v>1148.6600000000001</v>
      </c>
      <c r="AA1784" t="s">
        <v>46</v>
      </c>
      <c r="AB1784" t="s">
        <v>42</v>
      </c>
      <c r="AC1784">
        <v>87.4</v>
      </c>
      <c r="AD1784" t="s">
        <v>43</v>
      </c>
      <c r="AE1784">
        <v>27.14</v>
      </c>
      <c r="AF1784">
        <v>0</v>
      </c>
    </row>
    <row r="1785" spans="3:32" x14ac:dyDescent="0.35">
      <c r="C1785" s="1">
        <v>44516</v>
      </c>
      <c r="D1785" s="2">
        <v>44501</v>
      </c>
      <c r="E1785">
        <v>1949</v>
      </c>
      <c r="F1785" s="3">
        <v>5058.21</v>
      </c>
      <c r="G1785" s="3">
        <v>3455.74</v>
      </c>
      <c r="H1785" s="3">
        <v>1602.47</v>
      </c>
      <c r="I1785" s="3">
        <v>0.68</v>
      </c>
      <c r="J1785">
        <v>0.13</v>
      </c>
      <c r="K1785">
        <v>2658</v>
      </c>
      <c r="L1785" t="s">
        <v>35</v>
      </c>
      <c r="M1785">
        <v>764</v>
      </c>
      <c r="N1785">
        <v>0.37</v>
      </c>
      <c r="O1785" s="3">
        <v>643.05999999999995</v>
      </c>
      <c r="P1785" s="3">
        <v>0.13</v>
      </c>
      <c r="Q1785" s="3">
        <v>454.75</v>
      </c>
      <c r="R1785" s="3">
        <v>0.09</v>
      </c>
      <c r="S1785">
        <v>1</v>
      </c>
      <c r="T1785">
        <v>876.02</v>
      </c>
      <c r="U1785">
        <v>65</v>
      </c>
      <c r="V1785">
        <v>0</v>
      </c>
      <c r="W1785">
        <v>317.55</v>
      </c>
      <c r="X1785">
        <v>2044.01</v>
      </c>
      <c r="Y1785" t="s">
        <v>36</v>
      </c>
      <c r="Z1785" s="3">
        <v>903.52</v>
      </c>
      <c r="AA1785" t="s">
        <v>51</v>
      </c>
      <c r="AB1785" t="s">
        <v>33</v>
      </c>
      <c r="AC1785">
        <v>92.4</v>
      </c>
      <c r="AD1785" t="s">
        <v>34</v>
      </c>
      <c r="AE1785">
        <v>1602.47</v>
      </c>
      <c r="AF1785">
        <v>0</v>
      </c>
    </row>
    <row r="1786" spans="3:32" x14ac:dyDescent="0.35">
      <c r="C1786" s="1">
        <v>44516</v>
      </c>
      <c r="D1786" s="2">
        <v>44501</v>
      </c>
      <c r="E1786">
        <v>1868</v>
      </c>
      <c r="F1786" s="3">
        <v>2004.18</v>
      </c>
      <c r="G1786" s="3">
        <v>4040.18</v>
      </c>
      <c r="H1786" s="3">
        <v>-2036</v>
      </c>
      <c r="I1786" s="3">
        <v>2.02</v>
      </c>
      <c r="J1786">
        <v>0.06</v>
      </c>
      <c r="K1786">
        <v>3115.84</v>
      </c>
      <c r="L1786" t="s">
        <v>35</v>
      </c>
      <c r="M1786">
        <v>717</v>
      </c>
      <c r="N1786">
        <v>0.3</v>
      </c>
      <c r="O1786" s="3">
        <v>316.61</v>
      </c>
      <c r="P1786" s="3">
        <v>0.16</v>
      </c>
      <c r="Q1786" s="3">
        <v>196.66</v>
      </c>
      <c r="R1786" s="3">
        <v>0.1</v>
      </c>
      <c r="S1786">
        <v>6</v>
      </c>
      <c r="T1786">
        <v>1062.3900000000001</v>
      </c>
      <c r="U1786">
        <v>89</v>
      </c>
      <c r="V1786">
        <v>0</v>
      </c>
      <c r="W1786">
        <v>392.57</v>
      </c>
      <c r="X1786">
        <v>1839.64</v>
      </c>
      <c r="Y1786" t="s">
        <v>36</v>
      </c>
      <c r="Z1786" s="3">
        <v>1502.88</v>
      </c>
      <c r="AA1786" t="s">
        <v>47</v>
      </c>
      <c r="AB1786" t="s">
        <v>33</v>
      </c>
      <c r="AC1786">
        <v>89.6</v>
      </c>
      <c r="AD1786" t="s">
        <v>38</v>
      </c>
      <c r="AE1786">
        <v>0</v>
      </c>
      <c r="AF1786">
        <v>0</v>
      </c>
    </row>
    <row r="1787" spans="3:32" x14ac:dyDescent="0.35">
      <c r="C1787" s="1">
        <v>44516</v>
      </c>
      <c r="D1787" s="2">
        <v>44501</v>
      </c>
      <c r="E1787">
        <v>1989</v>
      </c>
      <c r="F1787" s="3">
        <v>3789.01</v>
      </c>
      <c r="G1787" s="3">
        <v>2175.04</v>
      </c>
      <c r="H1787" s="3">
        <v>1613.97</v>
      </c>
      <c r="I1787" s="3">
        <v>0.56999999999999995</v>
      </c>
      <c r="J1787">
        <v>7.0000000000000007E-2</v>
      </c>
      <c r="K1787">
        <v>2931.26</v>
      </c>
      <c r="L1787" t="s">
        <v>39</v>
      </c>
      <c r="M1787">
        <v>655</v>
      </c>
      <c r="N1787">
        <v>0.38</v>
      </c>
      <c r="O1787" s="3">
        <v>78.16</v>
      </c>
      <c r="P1787" s="3">
        <v>0.02</v>
      </c>
      <c r="Q1787" s="3">
        <v>290.48</v>
      </c>
      <c r="R1787" s="3">
        <v>0.08</v>
      </c>
      <c r="S1787">
        <v>3</v>
      </c>
      <c r="T1787">
        <v>839.21</v>
      </c>
      <c r="U1787">
        <v>70</v>
      </c>
      <c r="V1787">
        <v>0</v>
      </c>
      <c r="W1787">
        <v>428.48</v>
      </c>
      <c r="X1787">
        <v>1790.14</v>
      </c>
      <c r="Y1787" t="s">
        <v>49</v>
      </c>
      <c r="Z1787" s="3">
        <v>1081.3699999999999</v>
      </c>
      <c r="AA1787" t="s">
        <v>50</v>
      </c>
      <c r="AB1787" t="s">
        <v>33</v>
      </c>
      <c r="AC1787">
        <v>8</v>
      </c>
      <c r="AD1787" t="s">
        <v>34</v>
      </c>
      <c r="AE1787">
        <v>1613.97</v>
      </c>
      <c r="AF1787">
        <v>0</v>
      </c>
    </row>
    <row r="1788" spans="3:32" x14ac:dyDescent="0.35">
      <c r="C1788" s="1">
        <v>44516</v>
      </c>
      <c r="D1788" s="2">
        <v>44501</v>
      </c>
      <c r="E1788">
        <v>1276</v>
      </c>
      <c r="F1788" s="3">
        <v>4580.83</v>
      </c>
      <c r="G1788" s="3">
        <v>3049.53</v>
      </c>
      <c r="H1788" s="3">
        <v>1531.3</v>
      </c>
      <c r="I1788" s="3">
        <v>0.67</v>
      </c>
      <c r="J1788">
        <v>0.18</v>
      </c>
      <c r="K1788">
        <v>2418.9499999999998</v>
      </c>
      <c r="L1788" t="s">
        <v>30</v>
      </c>
      <c r="M1788">
        <v>773</v>
      </c>
      <c r="N1788">
        <v>0.15</v>
      </c>
      <c r="O1788" s="3">
        <v>1023.57</v>
      </c>
      <c r="P1788" s="3">
        <v>0.22</v>
      </c>
      <c r="Q1788" s="3">
        <v>297.51</v>
      </c>
      <c r="R1788" s="3">
        <v>0.06</v>
      </c>
      <c r="S1788">
        <v>3</v>
      </c>
      <c r="T1788">
        <v>866.77</v>
      </c>
      <c r="U1788">
        <v>84</v>
      </c>
      <c r="V1788">
        <v>0</v>
      </c>
      <c r="W1788">
        <v>545.69000000000005</v>
      </c>
      <c r="X1788">
        <v>1911.25</v>
      </c>
      <c r="Y1788" t="s">
        <v>36</v>
      </c>
      <c r="Z1788" s="3">
        <v>1162.53</v>
      </c>
      <c r="AA1788" t="s">
        <v>32</v>
      </c>
      <c r="AB1788" t="s">
        <v>33</v>
      </c>
      <c r="AC1788">
        <v>50.9</v>
      </c>
      <c r="AD1788" t="s">
        <v>43</v>
      </c>
      <c r="AE1788">
        <v>1531.3</v>
      </c>
      <c r="AF1788">
        <v>0</v>
      </c>
    </row>
    <row r="1789" spans="3:32" x14ac:dyDescent="0.35">
      <c r="C1789" s="1">
        <v>44516</v>
      </c>
      <c r="D1789" s="2">
        <v>44501</v>
      </c>
      <c r="E1789">
        <v>1791</v>
      </c>
      <c r="F1789" s="3">
        <v>5134.13</v>
      </c>
      <c r="G1789" s="3">
        <v>2294.0300000000002</v>
      </c>
      <c r="H1789" s="3">
        <v>2840.1</v>
      </c>
      <c r="I1789" s="3">
        <v>0.45</v>
      </c>
      <c r="J1789">
        <v>0.2</v>
      </c>
      <c r="K1789">
        <v>3252.83</v>
      </c>
      <c r="L1789" t="s">
        <v>35</v>
      </c>
      <c r="M1789">
        <v>680</v>
      </c>
      <c r="N1789">
        <v>0.48</v>
      </c>
      <c r="O1789" s="3">
        <v>1105.97</v>
      </c>
      <c r="P1789" s="3">
        <v>0.22</v>
      </c>
      <c r="Q1789" s="3">
        <v>505.76</v>
      </c>
      <c r="R1789" s="3">
        <v>0.1</v>
      </c>
      <c r="S1789">
        <v>6</v>
      </c>
      <c r="T1789">
        <v>1068.6099999999999</v>
      </c>
      <c r="U1789">
        <v>45</v>
      </c>
      <c r="V1789">
        <v>0</v>
      </c>
      <c r="W1789">
        <v>607.17999999999995</v>
      </c>
      <c r="X1789">
        <v>2860.96</v>
      </c>
      <c r="Y1789" t="s">
        <v>49</v>
      </c>
      <c r="Z1789" s="3">
        <v>946.33</v>
      </c>
      <c r="AA1789" t="s">
        <v>32</v>
      </c>
      <c r="AB1789" t="s">
        <v>33</v>
      </c>
      <c r="AC1789">
        <v>68.3</v>
      </c>
      <c r="AD1789" t="s">
        <v>34</v>
      </c>
      <c r="AE1789">
        <v>2840.1</v>
      </c>
      <c r="AF1789">
        <v>0</v>
      </c>
    </row>
    <row r="1790" spans="3:32" x14ac:dyDescent="0.35">
      <c r="C1790" s="1">
        <v>44516</v>
      </c>
      <c r="D1790" s="2">
        <v>44501</v>
      </c>
      <c r="E1790">
        <v>1501</v>
      </c>
      <c r="F1790" s="3">
        <v>3893.02</v>
      </c>
      <c r="G1790" s="3">
        <v>3806.73</v>
      </c>
      <c r="H1790" s="3">
        <v>86.29</v>
      </c>
      <c r="I1790" s="3">
        <v>0.98</v>
      </c>
      <c r="J1790">
        <v>0.1</v>
      </c>
      <c r="K1790">
        <v>1665.95</v>
      </c>
      <c r="L1790" t="s">
        <v>30</v>
      </c>
      <c r="M1790">
        <v>718</v>
      </c>
      <c r="N1790">
        <v>0.14000000000000001</v>
      </c>
      <c r="O1790" s="3">
        <v>763.87</v>
      </c>
      <c r="P1790" s="3">
        <v>0.2</v>
      </c>
      <c r="Q1790" s="3">
        <v>756.29</v>
      </c>
      <c r="R1790" s="3">
        <v>0.19</v>
      </c>
      <c r="S1790">
        <v>7</v>
      </c>
      <c r="T1790">
        <v>1362.25</v>
      </c>
      <c r="U1790">
        <v>36</v>
      </c>
      <c r="V1790">
        <v>0</v>
      </c>
      <c r="W1790">
        <v>489.95</v>
      </c>
      <c r="X1790">
        <v>2046.04</v>
      </c>
      <c r="Y1790" t="s">
        <v>36</v>
      </c>
      <c r="Z1790" s="3">
        <v>630.11</v>
      </c>
      <c r="AA1790" t="s">
        <v>45</v>
      </c>
      <c r="AB1790" t="s">
        <v>33</v>
      </c>
      <c r="AC1790">
        <v>12.2</v>
      </c>
      <c r="AD1790" t="s">
        <v>38</v>
      </c>
      <c r="AE1790">
        <v>86.29</v>
      </c>
      <c r="AF1790">
        <v>0</v>
      </c>
    </row>
    <row r="1791" spans="3:32" x14ac:dyDescent="0.35">
      <c r="C1791" s="1">
        <v>44516</v>
      </c>
      <c r="D1791" s="2">
        <v>44501</v>
      </c>
      <c r="E1791">
        <v>1106</v>
      </c>
      <c r="F1791" s="3">
        <v>4463.04</v>
      </c>
      <c r="G1791" s="3">
        <v>4826.88</v>
      </c>
      <c r="H1791" s="3">
        <v>-363.84</v>
      </c>
      <c r="I1791" s="3">
        <v>1.08</v>
      </c>
      <c r="J1791">
        <v>0.1</v>
      </c>
      <c r="K1791">
        <v>3272.08</v>
      </c>
      <c r="L1791" t="s">
        <v>35</v>
      </c>
      <c r="M1791">
        <v>693</v>
      </c>
      <c r="N1791">
        <v>0.27</v>
      </c>
      <c r="O1791" s="3">
        <v>927.7</v>
      </c>
      <c r="P1791" s="3">
        <v>0.21</v>
      </c>
      <c r="Q1791" s="3">
        <v>513.25</v>
      </c>
      <c r="R1791" s="3">
        <v>0.12</v>
      </c>
      <c r="S1791">
        <v>3</v>
      </c>
      <c r="T1791">
        <v>1409.3</v>
      </c>
      <c r="U1791">
        <v>37</v>
      </c>
      <c r="V1791">
        <v>0</v>
      </c>
      <c r="W1791">
        <v>219.93</v>
      </c>
      <c r="X1791">
        <v>1539.67</v>
      </c>
      <c r="Y1791" t="s">
        <v>36</v>
      </c>
      <c r="Z1791" s="3">
        <v>732.21</v>
      </c>
      <c r="AA1791" t="s">
        <v>48</v>
      </c>
      <c r="AB1791" t="s">
        <v>42</v>
      </c>
      <c r="AC1791">
        <v>26.6</v>
      </c>
      <c r="AD1791" t="s">
        <v>38</v>
      </c>
      <c r="AE1791">
        <v>0</v>
      </c>
      <c r="AF1791">
        <v>0</v>
      </c>
    </row>
    <row r="1792" spans="3:32" x14ac:dyDescent="0.35">
      <c r="C1792" s="1">
        <v>44516</v>
      </c>
      <c r="D1792" s="2">
        <v>44501</v>
      </c>
      <c r="E1792">
        <v>1123</v>
      </c>
      <c r="F1792" s="3">
        <v>4034.14</v>
      </c>
      <c r="G1792" s="3">
        <v>2674.18</v>
      </c>
      <c r="H1792" s="3">
        <v>1359.96</v>
      </c>
      <c r="I1792" s="3">
        <v>0.66</v>
      </c>
      <c r="J1792">
        <v>0.18</v>
      </c>
      <c r="K1792">
        <v>3259.26</v>
      </c>
      <c r="L1792" t="s">
        <v>30</v>
      </c>
      <c r="M1792">
        <v>765</v>
      </c>
      <c r="N1792">
        <v>0.43</v>
      </c>
      <c r="O1792" s="3">
        <v>535.65</v>
      </c>
      <c r="P1792" s="3">
        <v>0.13</v>
      </c>
      <c r="Q1792" s="3">
        <v>307.25</v>
      </c>
      <c r="R1792" s="3">
        <v>0.08</v>
      </c>
      <c r="S1792">
        <v>9</v>
      </c>
      <c r="T1792">
        <v>1949.54</v>
      </c>
      <c r="U1792">
        <v>94</v>
      </c>
      <c r="V1792">
        <v>0</v>
      </c>
      <c r="W1792">
        <v>484.32</v>
      </c>
      <c r="X1792">
        <v>2712.45</v>
      </c>
      <c r="Y1792" t="s">
        <v>49</v>
      </c>
      <c r="Z1792" s="3">
        <v>1841.13</v>
      </c>
      <c r="AA1792" t="s">
        <v>41</v>
      </c>
      <c r="AB1792" t="s">
        <v>33</v>
      </c>
      <c r="AC1792">
        <v>56</v>
      </c>
      <c r="AD1792" t="s">
        <v>34</v>
      </c>
      <c r="AE1792">
        <v>1359.96</v>
      </c>
      <c r="AF1792">
        <v>0</v>
      </c>
    </row>
    <row r="1793" spans="3:32" x14ac:dyDescent="0.35">
      <c r="C1793" s="1">
        <v>44516</v>
      </c>
      <c r="D1793" s="2">
        <v>44501</v>
      </c>
      <c r="E1793">
        <v>1707</v>
      </c>
      <c r="F1793" s="3">
        <v>3626.94</v>
      </c>
      <c r="G1793" s="3">
        <v>1452.29</v>
      </c>
      <c r="H1793" s="3">
        <v>2174.65</v>
      </c>
      <c r="I1793" s="3">
        <v>0.4</v>
      </c>
      <c r="J1793">
        <v>0.1</v>
      </c>
      <c r="K1793">
        <v>2077.59</v>
      </c>
      <c r="L1793" t="s">
        <v>35</v>
      </c>
      <c r="M1793">
        <v>799</v>
      </c>
      <c r="N1793">
        <v>0.36</v>
      </c>
      <c r="O1793" s="3">
        <v>462.26</v>
      </c>
      <c r="P1793" s="3">
        <v>0.13</v>
      </c>
      <c r="Q1793" s="3">
        <v>354.03</v>
      </c>
      <c r="R1793" s="3">
        <v>0.1</v>
      </c>
      <c r="S1793">
        <v>1</v>
      </c>
      <c r="T1793">
        <v>1071.8399999999999</v>
      </c>
      <c r="U1793">
        <v>71</v>
      </c>
      <c r="V1793">
        <v>0</v>
      </c>
      <c r="W1793">
        <v>302.02999999999997</v>
      </c>
      <c r="X1793">
        <v>2100.75</v>
      </c>
      <c r="Y1793" t="s">
        <v>36</v>
      </c>
      <c r="Z1793" s="3">
        <v>1131.1300000000001</v>
      </c>
      <c r="AA1793" t="s">
        <v>50</v>
      </c>
      <c r="AB1793" t="s">
        <v>42</v>
      </c>
      <c r="AC1793">
        <v>94.4</v>
      </c>
      <c r="AD1793" t="s">
        <v>38</v>
      </c>
      <c r="AE1793">
        <v>2174.65</v>
      </c>
      <c r="AF1793">
        <v>1</v>
      </c>
    </row>
    <row r="1794" spans="3:32" x14ac:dyDescent="0.35">
      <c r="C1794" s="1">
        <v>44516</v>
      </c>
      <c r="D1794" s="2">
        <v>44501</v>
      </c>
      <c r="E1794">
        <v>1689</v>
      </c>
      <c r="F1794" s="3">
        <v>6976.51</v>
      </c>
      <c r="G1794" s="3">
        <v>3296.28</v>
      </c>
      <c r="H1794" s="3">
        <v>3680.23</v>
      </c>
      <c r="I1794" s="3">
        <v>0.47</v>
      </c>
      <c r="J1794">
        <v>0.4</v>
      </c>
      <c r="K1794">
        <v>3042.72</v>
      </c>
      <c r="L1794" t="s">
        <v>35</v>
      </c>
      <c r="M1794">
        <v>712</v>
      </c>
      <c r="N1794">
        <v>0.56999999999999995</v>
      </c>
      <c r="O1794" s="3">
        <v>484.4</v>
      </c>
      <c r="P1794" s="3">
        <v>7.0000000000000007E-2</v>
      </c>
      <c r="Q1794" s="3">
        <v>54.57</v>
      </c>
      <c r="R1794" s="3">
        <v>0.01</v>
      </c>
      <c r="S1794">
        <v>5</v>
      </c>
      <c r="T1794">
        <v>866.95</v>
      </c>
      <c r="U1794">
        <v>99</v>
      </c>
      <c r="V1794">
        <v>0</v>
      </c>
      <c r="W1794">
        <v>419.32</v>
      </c>
      <c r="X1794">
        <v>1611.65</v>
      </c>
      <c r="Y1794" t="s">
        <v>36</v>
      </c>
      <c r="Z1794" s="3">
        <v>1218.28</v>
      </c>
      <c r="AA1794" t="s">
        <v>50</v>
      </c>
      <c r="AB1794" t="s">
        <v>33</v>
      </c>
      <c r="AC1794">
        <v>43.2</v>
      </c>
      <c r="AD1794" t="s">
        <v>43</v>
      </c>
      <c r="AE1794">
        <v>3680.23</v>
      </c>
      <c r="AF1794">
        <v>1</v>
      </c>
    </row>
    <row r="1795" spans="3:32" x14ac:dyDescent="0.35">
      <c r="C1795" s="1">
        <v>44516</v>
      </c>
      <c r="D1795" s="2">
        <v>44501</v>
      </c>
      <c r="E1795">
        <v>1003</v>
      </c>
      <c r="F1795" s="3">
        <v>3465.95</v>
      </c>
      <c r="G1795" s="3">
        <v>3552.34</v>
      </c>
      <c r="H1795" s="3">
        <v>-86.39</v>
      </c>
      <c r="I1795" s="3">
        <v>1.02</v>
      </c>
      <c r="J1795">
        <v>0.09</v>
      </c>
      <c r="K1795">
        <v>3266.59</v>
      </c>
      <c r="L1795" t="s">
        <v>39</v>
      </c>
      <c r="M1795">
        <v>680</v>
      </c>
      <c r="N1795">
        <v>0.27</v>
      </c>
      <c r="O1795" s="3">
        <v>580.76</v>
      </c>
      <c r="P1795" s="3">
        <v>0.17</v>
      </c>
      <c r="Q1795" s="3">
        <v>171.01</v>
      </c>
      <c r="R1795" s="3">
        <v>0.05</v>
      </c>
      <c r="S1795">
        <v>7</v>
      </c>
      <c r="T1795">
        <v>904.01</v>
      </c>
      <c r="U1795">
        <v>92</v>
      </c>
      <c r="V1795">
        <v>0</v>
      </c>
      <c r="W1795">
        <v>621.01</v>
      </c>
      <c r="X1795">
        <v>1646.25</v>
      </c>
      <c r="Y1795" t="s">
        <v>31</v>
      </c>
      <c r="Z1795" s="3">
        <v>1385.61</v>
      </c>
      <c r="AA1795" t="s">
        <v>45</v>
      </c>
      <c r="AB1795" t="s">
        <v>33</v>
      </c>
      <c r="AC1795">
        <v>12.9</v>
      </c>
      <c r="AD1795" t="s">
        <v>34</v>
      </c>
      <c r="AE1795">
        <v>0</v>
      </c>
      <c r="AF1795">
        <v>0</v>
      </c>
    </row>
    <row r="1796" spans="3:32" x14ac:dyDescent="0.35">
      <c r="C1796" s="1">
        <v>44516</v>
      </c>
      <c r="D1796" s="2">
        <v>44501</v>
      </c>
      <c r="E1796">
        <v>1109</v>
      </c>
      <c r="F1796" s="3">
        <v>3898.66</v>
      </c>
      <c r="G1796" s="3">
        <v>3497.65</v>
      </c>
      <c r="H1796" s="3">
        <v>401.01</v>
      </c>
      <c r="I1796" s="3">
        <v>0.9</v>
      </c>
      <c r="J1796">
        <v>0.08</v>
      </c>
      <c r="K1796">
        <v>2377.0300000000002</v>
      </c>
      <c r="L1796" t="s">
        <v>30</v>
      </c>
      <c r="M1796">
        <v>608</v>
      </c>
      <c r="N1796">
        <v>0.5</v>
      </c>
      <c r="O1796" s="3">
        <v>497.64</v>
      </c>
      <c r="P1796" s="3">
        <v>0.13</v>
      </c>
      <c r="Q1796" s="3">
        <v>567.28</v>
      </c>
      <c r="R1796" s="3">
        <v>0.15</v>
      </c>
      <c r="S1796">
        <v>6</v>
      </c>
      <c r="T1796">
        <v>1236.2</v>
      </c>
      <c r="U1796">
        <v>68</v>
      </c>
      <c r="V1796">
        <v>0</v>
      </c>
      <c r="W1796">
        <v>288.32</v>
      </c>
      <c r="X1796">
        <v>3025.97</v>
      </c>
      <c r="Y1796" t="s">
        <v>36</v>
      </c>
      <c r="Z1796" s="3">
        <v>899.63</v>
      </c>
      <c r="AA1796" t="s">
        <v>40</v>
      </c>
      <c r="AB1796" t="s">
        <v>33</v>
      </c>
      <c r="AC1796">
        <v>85.4</v>
      </c>
      <c r="AD1796" t="s">
        <v>34</v>
      </c>
      <c r="AE1796">
        <v>401.01</v>
      </c>
      <c r="AF1796">
        <v>0</v>
      </c>
    </row>
    <row r="1797" spans="3:32" x14ac:dyDescent="0.35">
      <c r="C1797" s="1">
        <v>44516</v>
      </c>
      <c r="D1797" s="2">
        <v>44501</v>
      </c>
      <c r="E1797">
        <v>1155</v>
      </c>
      <c r="F1797" s="3">
        <v>3634.99</v>
      </c>
      <c r="G1797" s="3">
        <v>4646.84</v>
      </c>
      <c r="H1797" s="3">
        <v>-1011.85</v>
      </c>
      <c r="I1797" s="3">
        <v>1.28</v>
      </c>
      <c r="J1797">
        <v>0.35</v>
      </c>
      <c r="K1797">
        <v>3024.86</v>
      </c>
      <c r="L1797" t="s">
        <v>39</v>
      </c>
      <c r="M1797">
        <v>590</v>
      </c>
      <c r="N1797">
        <v>0.6</v>
      </c>
      <c r="O1797" s="3">
        <v>291.01</v>
      </c>
      <c r="P1797" s="3">
        <v>0.08</v>
      </c>
      <c r="Q1797" s="3">
        <v>305.77999999999997</v>
      </c>
      <c r="R1797" s="3">
        <v>0.08</v>
      </c>
      <c r="S1797">
        <v>1</v>
      </c>
      <c r="T1797">
        <v>556.13</v>
      </c>
      <c r="U1797">
        <v>86</v>
      </c>
      <c r="V1797">
        <v>0</v>
      </c>
      <c r="W1797">
        <v>433.19</v>
      </c>
      <c r="X1797">
        <v>1887.85</v>
      </c>
      <c r="Y1797" t="s">
        <v>36</v>
      </c>
      <c r="Z1797" s="3">
        <v>1149.33</v>
      </c>
      <c r="AA1797" t="s">
        <v>37</v>
      </c>
      <c r="AB1797" t="s">
        <v>44</v>
      </c>
      <c r="AC1797">
        <v>78.5</v>
      </c>
      <c r="AD1797" t="s">
        <v>38</v>
      </c>
      <c r="AE1797">
        <v>0</v>
      </c>
      <c r="AF1797">
        <v>0</v>
      </c>
    </row>
    <row r="1798" spans="3:32" x14ac:dyDescent="0.35">
      <c r="C1798" s="1">
        <v>44516</v>
      </c>
      <c r="D1798" s="2">
        <v>44501</v>
      </c>
      <c r="E1798">
        <v>1228</v>
      </c>
      <c r="F1798" s="3">
        <v>3473.49</v>
      </c>
      <c r="G1798" s="3">
        <v>3254.23</v>
      </c>
      <c r="H1798" s="3">
        <v>219.26</v>
      </c>
      <c r="I1798" s="3">
        <v>0.94</v>
      </c>
      <c r="J1798">
        <v>0.34</v>
      </c>
      <c r="K1798">
        <v>3218.67</v>
      </c>
      <c r="L1798" t="s">
        <v>35</v>
      </c>
      <c r="M1798">
        <v>640</v>
      </c>
      <c r="N1798">
        <v>0.23</v>
      </c>
      <c r="O1798" s="3">
        <v>956.45</v>
      </c>
      <c r="P1798" s="3">
        <v>0.28000000000000003</v>
      </c>
      <c r="Q1798" s="3">
        <v>409.35</v>
      </c>
      <c r="R1798" s="3">
        <v>0.12</v>
      </c>
      <c r="S1798">
        <v>6</v>
      </c>
      <c r="T1798">
        <v>359.86</v>
      </c>
      <c r="U1798">
        <v>83</v>
      </c>
      <c r="V1798">
        <v>0</v>
      </c>
      <c r="W1798">
        <v>365.85</v>
      </c>
      <c r="X1798">
        <v>1498.27</v>
      </c>
      <c r="Y1798" t="s">
        <v>36</v>
      </c>
      <c r="Z1798" s="3">
        <v>982.54</v>
      </c>
      <c r="AA1798" t="s">
        <v>40</v>
      </c>
      <c r="AB1798" t="s">
        <v>44</v>
      </c>
      <c r="AC1798">
        <v>33.700000000000003</v>
      </c>
      <c r="AD1798" t="s">
        <v>43</v>
      </c>
      <c r="AE1798">
        <v>219.26</v>
      </c>
      <c r="AF1798">
        <v>0</v>
      </c>
    </row>
    <row r="1799" spans="3:32" x14ac:dyDescent="0.35">
      <c r="C1799" s="1">
        <v>44516</v>
      </c>
      <c r="D1799" s="2">
        <v>44501</v>
      </c>
      <c r="E1799">
        <v>1255</v>
      </c>
      <c r="F1799" s="3">
        <v>5865.23</v>
      </c>
      <c r="G1799" s="3">
        <v>3666.39</v>
      </c>
      <c r="H1799" s="3">
        <v>2198.84</v>
      </c>
      <c r="I1799" s="3">
        <v>0.63</v>
      </c>
      <c r="J1799">
        <v>0.38</v>
      </c>
      <c r="K1799">
        <v>4028.47</v>
      </c>
      <c r="L1799" t="s">
        <v>35</v>
      </c>
      <c r="M1799">
        <v>708</v>
      </c>
      <c r="N1799">
        <v>0.45</v>
      </c>
      <c r="O1799" s="3">
        <v>385.4</v>
      </c>
      <c r="P1799" s="3">
        <v>7.0000000000000007E-2</v>
      </c>
      <c r="Q1799" s="3">
        <v>331.27</v>
      </c>
      <c r="R1799" s="3">
        <v>0.06</v>
      </c>
      <c r="S1799">
        <v>9</v>
      </c>
      <c r="T1799">
        <v>920.44</v>
      </c>
      <c r="U1799">
        <v>79</v>
      </c>
      <c r="V1799">
        <v>0</v>
      </c>
      <c r="W1799">
        <v>137.84</v>
      </c>
      <c r="X1799">
        <v>1185.71</v>
      </c>
      <c r="Y1799" t="s">
        <v>36</v>
      </c>
      <c r="Z1799" s="3">
        <v>1453.6</v>
      </c>
      <c r="AA1799" t="s">
        <v>48</v>
      </c>
      <c r="AB1799" t="s">
        <v>33</v>
      </c>
      <c r="AC1799">
        <v>48.7</v>
      </c>
      <c r="AD1799" t="s">
        <v>34</v>
      </c>
      <c r="AE1799">
        <v>2198.84</v>
      </c>
      <c r="AF1799">
        <v>0</v>
      </c>
    </row>
    <row r="1800" spans="3:32" x14ac:dyDescent="0.35">
      <c r="C1800" s="1">
        <v>44516</v>
      </c>
      <c r="D1800" s="2">
        <v>44501</v>
      </c>
      <c r="E1800">
        <v>1625</v>
      </c>
      <c r="F1800" s="3">
        <v>4898.97</v>
      </c>
      <c r="G1800" s="3">
        <v>3303.06</v>
      </c>
      <c r="H1800" s="3">
        <v>1595.91</v>
      </c>
      <c r="I1800" s="3">
        <v>0.67</v>
      </c>
      <c r="J1800">
        <v>0.18</v>
      </c>
      <c r="K1800">
        <v>3391.34</v>
      </c>
      <c r="L1800" t="s">
        <v>35</v>
      </c>
      <c r="M1800">
        <v>666</v>
      </c>
      <c r="N1800">
        <v>0.11</v>
      </c>
      <c r="O1800" s="3">
        <v>766.84</v>
      </c>
      <c r="P1800" s="3">
        <v>0.16</v>
      </c>
      <c r="Q1800" s="3">
        <v>467.32</v>
      </c>
      <c r="R1800" s="3">
        <v>0.1</v>
      </c>
      <c r="S1800">
        <v>2</v>
      </c>
      <c r="T1800">
        <v>894.36</v>
      </c>
      <c r="U1800">
        <v>76</v>
      </c>
      <c r="V1800">
        <v>0</v>
      </c>
      <c r="W1800">
        <v>500.72</v>
      </c>
      <c r="X1800">
        <v>2054.1</v>
      </c>
      <c r="Y1800" t="s">
        <v>49</v>
      </c>
      <c r="Z1800" s="3">
        <v>1475.34</v>
      </c>
      <c r="AA1800" t="s">
        <v>40</v>
      </c>
      <c r="AB1800" t="s">
        <v>33</v>
      </c>
      <c r="AC1800">
        <v>14</v>
      </c>
      <c r="AD1800" t="s">
        <v>43</v>
      </c>
      <c r="AE1800">
        <v>1595.91</v>
      </c>
      <c r="AF1800">
        <v>0</v>
      </c>
    </row>
    <row r="1801" spans="3:32" x14ac:dyDescent="0.35">
      <c r="C1801" s="1">
        <v>44516</v>
      </c>
      <c r="D1801" s="2">
        <v>44501</v>
      </c>
      <c r="E1801">
        <v>1552</v>
      </c>
      <c r="F1801" s="3">
        <v>4110.99</v>
      </c>
      <c r="G1801" s="3">
        <v>2114.38</v>
      </c>
      <c r="H1801" s="3">
        <v>1996.61</v>
      </c>
      <c r="I1801" s="3">
        <v>0.51</v>
      </c>
      <c r="J1801">
        <v>0.15</v>
      </c>
      <c r="K1801">
        <v>2782.81</v>
      </c>
      <c r="L1801" t="s">
        <v>39</v>
      </c>
      <c r="M1801">
        <v>724</v>
      </c>
      <c r="N1801">
        <v>0.23</v>
      </c>
      <c r="O1801" s="3">
        <v>617.89</v>
      </c>
      <c r="P1801" s="3">
        <v>0.15</v>
      </c>
      <c r="Q1801" s="3">
        <v>535.01</v>
      </c>
      <c r="R1801" s="3">
        <v>0.13</v>
      </c>
      <c r="S1801">
        <v>5</v>
      </c>
      <c r="T1801">
        <v>1655.32</v>
      </c>
      <c r="U1801">
        <v>80</v>
      </c>
      <c r="V1801">
        <v>0</v>
      </c>
      <c r="W1801">
        <v>199.98</v>
      </c>
      <c r="X1801">
        <v>1375.04</v>
      </c>
      <c r="Y1801" t="s">
        <v>31</v>
      </c>
      <c r="Z1801" s="3">
        <v>875.99</v>
      </c>
      <c r="AA1801" t="s">
        <v>45</v>
      </c>
      <c r="AB1801" t="s">
        <v>33</v>
      </c>
      <c r="AC1801">
        <v>34.9</v>
      </c>
      <c r="AD1801" t="s">
        <v>43</v>
      </c>
      <c r="AE1801">
        <v>1996.61</v>
      </c>
      <c r="AF1801">
        <v>0</v>
      </c>
    </row>
    <row r="1802" spans="3:32" x14ac:dyDescent="0.35">
      <c r="C1802" s="1">
        <v>44546</v>
      </c>
      <c r="D1802" s="2">
        <v>44531</v>
      </c>
      <c r="E1802">
        <v>1794</v>
      </c>
      <c r="F1802" s="3">
        <v>5273.97</v>
      </c>
      <c r="G1802" s="3">
        <v>2583.11</v>
      </c>
      <c r="H1802" s="3">
        <v>2690.86</v>
      </c>
      <c r="I1802" s="3">
        <v>0.49</v>
      </c>
      <c r="J1802">
        <v>0.16</v>
      </c>
      <c r="K1802">
        <v>3373.36</v>
      </c>
      <c r="L1802" t="s">
        <v>39</v>
      </c>
      <c r="M1802">
        <v>602</v>
      </c>
      <c r="N1802">
        <v>0.44</v>
      </c>
      <c r="O1802" s="3">
        <v>426.18</v>
      </c>
      <c r="P1802" s="3">
        <v>0.08</v>
      </c>
      <c r="Q1802" s="3">
        <v>621.55999999999995</v>
      </c>
      <c r="R1802" s="3">
        <v>0.12</v>
      </c>
      <c r="S1802">
        <v>7</v>
      </c>
      <c r="T1802">
        <v>898.01</v>
      </c>
      <c r="U1802">
        <v>71</v>
      </c>
      <c r="V1802">
        <v>0</v>
      </c>
      <c r="W1802">
        <v>547.91999999999996</v>
      </c>
      <c r="X1802">
        <v>2573.98</v>
      </c>
      <c r="Y1802" t="s">
        <v>36</v>
      </c>
      <c r="Z1802" s="3">
        <v>1370</v>
      </c>
      <c r="AA1802" t="s">
        <v>41</v>
      </c>
      <c r="AB1802" t="s">
        <v>33</v>
      </c>
      <c r="AC1802">
        <v>72.8</v>
      </c>
      <c r="AD1802" t="s">
        <v>43</v>
      </c>
      <c r="AE1802">
        <v>2690.86</v>
      </c>
      <c r="AF1802">
        <v>0</v>
      </c>
    </row>
    <row r="1803" spans="3:32" x14ac:dyDescent="0.35">
      <c r="C1803" s="1">
        <v>44546</v>
      </c>
      <c r="D1803" s="2">
        <v>44531</v>
      </c>
      <c r="E1803">
        <v>1604</v>
      </c>
      <c r="F1803" s="3">
        <v>3185.98</v>
      </c>
      <c r="G1803" s="3">
        <v>1721.25</v>
      </c>
      <c r="H1803" s="3">
        <v>1464.73</v>
      </c>
      <c r="I1803" s="3">
        <v>0.54</v>
      </c>
      <c r="J1803">
        <v>0.15</v>
      </c>
      <c r="K1803">
        <v>2148.2399999999998</v>
      </c>
      <c r="L1803" t="s">
        <v>35</v>
      </c>
      <c r="M1803">
        <v>613</v>
      </c>
      <c r="N1803">
        <v>0.32</v>
      </c>
      <c r="O1803" s="3">
        <v>421.45</v>
      </c>
      <c r="P1803" s="3">
        <v>0.13</v>
      </c>
      <c r="Q1803" s="3">
        <v>403.33</v>
      </c>
      <c r="R1803" s="3">
        <v>0.13</v>
      </c>
      <c r="S1803">
        <v>1</v>
      </c>
      <c r="T1803">
        <v>959.2</v>
      </c>
      <c r="U1803">
        <v>56</v>
      </c>
      <c r="V1803">
        <v>0</v>
      </c>
      <c r="W1803">
        <v>453.23</v>
      </c>
      <c r="X1803">
        <v>1440.94</v>
      </c>
      <c r="Y1803" t="s">
        <v>36</v>
      </c>
      <c r="Z1803" s="3">
        <v>812.36</v>
      </c>
      <c r="AA1803" t="s">
        <v>37</v>
      </c>
      <c r="AB1803" t="s">
        <v>33</v>
      </c>
      <c r="AC1803">
        <v>98.9</v>
      </c>
      <c r="AD1803" t="s">
        <v>34</v>
      </c>
      <c r="AE1803">
        <v>1464.73</v>
      </c>
      <c r="AF1803">
        <v>0</v>
      </c>
    </row>
    <row r="1804" spans="3:32" x14ac:dyDescent="0.35">
      <c r="C1804" s="1">
        <v>44546</v>
      </c>
      <c r="D1804" s="2">
        <v>44531</v>
      </c>
      <c r="E1804">
        <v>1247</v>
      </c>
      <c r="F1804" s="3">
        <v>4514.3900000000003</v>
      </c>
      <c r="G1804" s="3">
        <v>2230.66</v>
      </c>
      <c r="H1804" s="3">
        <v>2283.73</v>
      </c>
      <c r="I1804" s="3">
        <v>0.49</v>
      </c>
      <c r="J1804">
        <v>0.17</v>
      </c>
      <c r="K1804">
        <v>2506.81</v>
      </c>
      <c r="L1804" t="s">
        <v>35</v>
      </c>
      <c r="M1804">
        <v>589</v>
      </c>
      <c r="N1804">
        <v>0.36</v>
      </c>
      <c r="O1804" s="3">
        <v>811.28</v>
      </c>
      <c r="P1804" s="3">
        <v>0.18</v>
      </c>
      <c r="Q1804" s="3">
        <v>83.75</v>
      </c>
      <c r="R1804" s="3">
        <v>0.02</v>
      </c>
      <c r="S1804">
        <v>3</v>
      </c>
      <c r="T1804">
        <v>957.85</v>
      </c>
      <c r="U1804">
        <v>81</v>
      </c>
      <c r="V1804">
        <v>0</v>
      </c>
      <c r="W1804">
        <v>669.9</v>
      </c>
      <c r="X1804">
        <v>2321.88</v>
      </c>
      <c r="Y1804" t="s">
        <v>36</v>
      </c>
      <c r="Z1804" s="3">
        <v>1666.56</v>
      </c>
      <c r="AA1804" t="s">
        <v>48</v>
      </c>
      <c r="AB1804" t="s">
        <v>33</v>
      </c>
      <c r="AC1804">
        <v>72</v>
      </c>
      <c r="AD1804" t="s">
        <v>43</v>
      </c>
      <c r="AE1804">
        <v>2283.73</v>
      </c>
      <c r="AF1804">
        <v>0</v>
      </c>
    </row>
    <row r="1805" spans="3:32" x14ac:dyDescent="0.35">
      <c r="C1805" s="1">
        <v>44546</v>
      </c>
      <c r="D1805" s="2">
        <v>44531</v>
      </c>
      <c r="E1805">
        <v>1701</v>
      </c>
      <c r="F1805" s="3">
        <v>2378.14</v>
      </c>
      <c r="G1805" s="3">
        <v>3431.58</v>
      </c>
      <c r="H1805" s="3">
        <v>-1053.44</v>
      </c>
      <c r="I1805" s="3">
        <v>1.44</v>
      </c>
      <c r="J1805">
        <v>0.09</v>
      </c>
      <c r="K1805">
        <v>3004.2</v>
      </c>
      <c r="L1805" t="s">
        <v>35</v>
      </c>
      <c r="M1805">
        <v>609</v>
      </c>
      <c r="N1805">
        <v>0.53</v>
      </c>
      <c r="O1805" s="3">
        <v>0</v>
      </c>
      <c r="P1805" s="3">
        <v>0</v>
      </c>
      <c r="Q1805" s="3">
        <v>201.84</v>
      </c>
      <c r="R1805" s="3">
        <v>0.08</v>
      </c>
      <c r="S1805">
        <v>8</v>
      </c>
      <c r="T1805">
        <v>1887.34</v>
      </c>
      <c r="U1805">
        <v>86</v>
      </c>
      <c r="V1805">
        <v>0</v>
      </c>
      <c r="W1805">
        <v>446.63</v>
      </c>
      <c r="X1805">
        <v>1822.37</v>
      </c>
      <c r="Y1805" t="s">
        <v>36</v>
      </c>
      <c r="Z1805" s="3">
        <v>1372.98</v>
      </c>
      <c r="AA1805" t="s">
        <v>48</v>
      </c>
      <c r="AB1805" t="s">
        <v>42</v>
      </c>
      <c r="AC1805">
        <v>63.8</v>
      </c>
      <c r="AD1805" t="s">
        <v>38</v>
      </c>
      <c r="AE1805">
        <v>0</v>
      </c>
      <c r="AF1805">
        <v>0</v>
      </c>
    </row>
    <row r="1806" spans="3:32" x14ac:dyDescent="0.35">
      <c r="C1806" s="1">
        <v>44546</v>
      </c>
      <c r="D1806" s="2">
        <v>44531</v>
      </c>
      <c r="E1806">
        <v>1487</v>
      </c>
      <c r="F1806" s="3">
        <v>3873.44</v>
      </c>
      <c r="G1806" s="3">
        <v>2452.8000000000002</v>
      </c>
      <c r="H1806" s="3">
        <v>1420.64</v>
      </c>
      <c r="I1806" s="3">
        <v>0.63</v>
      </c>
      <c r="J1806">
        <v>0.11</v>
      </c>
      <c r="K1806">
        <v>2152.96</v>
      </c>
      <c r="L1806" t="s">
        <v>35</v>
      </c>
      <c r="M1806">
        <v>719</v>
      </c>
      <c r="N1806">
        <v>0.56999999999999995</v>
      </c>
      <c r="O1806" s="3">
        <v>231.57</v>
      </c>
      <c r="P1806" s="3">
        <v>0.06</v>
      </c>
      <c r="Q1806" s="3">
        <v>321.14</v>
      </c>
      <c r="R1806" s="3">
        <v>0.08</v>
      </c>
      <c r="S1806">
        <v>2</v>
      </c>
      <c r="T1806">
        <v>466.03</v>
      </c>
      <c r="U1806">
        <v>29</v>
      </c>
      <c r="V1806">
        <v>0</v>
      </c>
      <c r="W1806">
        <v>476.19</v>
      </c>
      <c r="X1806">
        <v>3566.47</v>
      </c>
      <c r="Y1806" t="s">
        <v>36</v>
      </c>
      <c r="Z1806" s="3">
        <v>1039.99</v>
      </c>
      <c r="AA1806" t="s">
        <v>46</v>
      </c>
      <c r="AB1806" t="s">
        <v>33</v>
      </c>
      <c r="AC1806">
        <v>91</v>
      </c>
      <c r="AD1806" t="s">
        <v>43</v>
      </c>
      <c r="AE1806">
        <v>1420.64</v>
      </c>
      <c r="AF1806">
        <v>0</v>
      </c>
    </row>
    <row r="1807" spans="3:32" x14ac:dyDescent="0.35">
      <c r="C1807" s="1">
        <v>44546</v>
      </c>
      <c r="D1807" s="2">
        <v>44531</v>
      </c>
      <c r="E1807">
        <v>1853</v>
      </c>
      <c r="F1807" s="3">
        <v>3462.58</v>
      </c>
      <c r="G1807" s="3">
        <v>3017.41</v>
      </c>
      <c r="H1807" s="3">
        <v>445.17</v>
      </c>
      <c r="I1807" s="3">
        <v>0.87</v>
      </c>
      <c r="J1807">
        <v>0.12</v>
      </c>
      <c r="K1807">
        <v>3034.22</v>
      </c>
      <c r="L1807" t="s">
        <v>30</v>
      </c>
      <c r="M1807">
        <v>699</v>
      </c>
      <c r="N1807">
        <v>0.42</v>
      </c>
      <c r="O1807" s="3">
        <v>652.12</v>
      </c>
      <c r="P1807" s="3">
        <v>0.19</v>
      </c>
      <c r="Q1807" s="3">
        <v>303.08999999999997</v>
      </c>
      <c r="R1807" s="3">
        <v>0.09</v>
      </c>
      <c r="S1807">
        <v>6</v>
      </c>
      <c r="T1807">
        <v>591.44000000000005</v>
      </c>
      <c r="U1807">
        <v>37</v>
      </c>
      <c r="V1807">
        <v>0</v>
      </c>
      <c r="W1807">
        <v>609.52</v>
      </c>
      <c r="X1807">
        <v>2748.45</v>
      </c>
      <c r="Y1807" t="s">
        <v>49</v>
      </c>
      <c r="Z1807" s="3">
        <v>1040.43</v>
      </c>
      <c r="AA1807" t="s">
        <v>48</v>
      </c>
      <c r="AB1807" t="s">
        <v>33</v>
      </c>
      <c r="AC1807">
        <v>89</v>
      </c>
      <c r="AD1807" t="s">
        <v>43</v>
      </c>
      <c r="AE1807">
        <v>445.17</v>
      </c>
      <c r="AF1807">
        <v>0</v>
      </c>
    </row>
    <row r="1808" spans="3:32" x14ac:dyDescent="0.35">
      <c r="C1808" s="1">
        <v>44546</v>
      </c>
      <c r="D1808" s="2">
        <v>44531</v>
      </c>
      <c r="E1808">
        <v>1458</v>
      </c>
      <c r="F1808" s="3">
        <v>2791.22</v>
      </c>
      <c r="G1808" s="3">
        <v>3963.88</v>
      </c>
      <c r="H1808" s="3">
        <v>-1172.6600000000001</v>
      </c>
      <c r="I1808" s="3">
        <v>1.42</v>
      </c>
      <c r="J1808">
        <v>0.22</v>
      </c>
      <c r="K1808">
        <v>2721.29</v>
      </c>
      <c r="L1808" t="s">
        <v>35</v>
      </c>
      <c r="M1808">
        <v>616</v>
      </c>
      <c r="N1808">
        <v>0.13</v>
      </c>
      <c r="O1808" s="3">
        <v>363.32</v>
      </c>
      <c r="P1808" s="3">
        <v>0.13</v>
      </c>
      <c r="Q1808" s="3">
        <v>96.27</v>
      </c>
      <c r="R1808" s="3">
        <v>0.03</v>
      </c>
      <c r="S1808">
        <v>3</v>
      </c>
      <c r="T1808">
        <v>1564.26</v>
      </c>
      <c r="U1808">
        <v>50</v>
      </c>
      <c r="V1808">
        <v>0</v>
      </c>
      <c r="W1808">
        <v>337.83</v>
      </c>
      <c r="X1808">
        <v>3095.28</v>
      </c>
      <c r="Y1808" t="s">
        <v>49</v>
      </c>
      <c r="Z1808" s="3">
        <v>1014.47</v>
      </c>
      <c r="AA1808" t="s">
        <v>45</v>
      </c>
      <c r="AB1808" t="s">
        <v>33</v>
      </c>
      <c r="AC1808">
        <v>5.0999999999999996</v>
      </c>
      <c r="AD1808" t="s">
        <v>43</v>
      </c>
      <c r="AE1808">
        <v>0</v>
      </c>
      <c r="AF1808">
        <v>0</v>
      </c>
    </row>
    <row r="1809" spans="3:32" x14ac:dyDescent="0.35">
      <c r="C1809" s="1">
        <v>44546</v>
      </c>
      <c r="D1809" s="2">
        <v>44531</v>
      </c>
      <c r="E1809">
        <v>1136</v>
      </c>
      <c r="F1809" s="3">
        <v>1812.45</v>
      </c>
      <c r="G1809" s="3">
        <v>2667.42</v>
      </c>
      <c r="H1809" s="3">
        <v>-854.97</v>
      </c>
      <c r="I1809" s="3">
        <v>1.47</v>
      </c>
      <c r="J1809">
        <v>0.12</v>
      </c>
      <c r="K1809">
        <v>2338.7399999999998</v>
      </c>
      <c r="L1809" t="s">
        <v>35</v>
      </c>
      <c r="M1809">
        <v>671</v>
      </c>
      <c r="N1809">
        <v>0.53</v>
      </c>
      <c r="O1809" s="3">
        <v>470.27</v>
      </c>
      <c r="P1809" s="3">
        <v>0.26</v>
      </c>
      <c r="Q1809" s="3">
        <v>311.11</v>
      </c>
      <c r="R1809" s="3">
        <v>0.17</v>
      </c>
      <c r="S1809">
        <v>5</v>
      </c>
      <c r="T1809">
        <v>785.76</v>
      </c>
      <c r="U1809">
        <v>64</v>
      </c>
      <c r="V1809">
        <v>0</v>
      </c>
      <c r="W1809">
        <v>419.75</v>
      </c>
      <c r="X1809">
        <v>2149.77</v>
      </c>
      <c r="Y1809" t="s">
        <v>36</v>
      </c>
      <c r="Z1809" s="3">
        <v>1314.9</v>
      </c>
      <c r="AA1809" t="s">
        <v>51</v>
      </c>
      <c r="AB1809" t="s">
        <v>44</v>
      </c>
      <c r="AC1809">
        <v>22.4</v>
      </c>
      <c r="AD1809" t="s">
        <v>34</v>
      </c>
      <c r="AE1809">
        <v>0</v>
      </c>
      <c r="AF1809">
        <v>0</v>
      </c>
    </row>
    <row r="1810" spans="3:32" x14ac:dyDescent="0.35">
      <c r="C1810" s="1">
        <v>44546</v>
      </c>
      <c r="D1810" s="2">
        <v>44531</v>
      </c>
      <c r="E1810">
        <v>1918</v>
      </c>
      <c r="F1810" s="3">
        <v>4401.09</v>
      </c>
      <c r="G1810" s="3">
        <v>3131.09</v>
      </c>
      <c r="H1810" s="3">
        <v>1270</v>
      </c>
      <c r="I1810" s="3">
        <v>0.71</v>
      </c>
      <c r="J1810">
        <v>0.28999999999999998</v>
      </c>
      <c r="K1810">
        <v>2854.08</v>
      </c>
      <c r="L1810" t="s">
        <v>39</v>
      </c>
      <c r="M1810">
        <v>671</v>
      </c>
      <c r="N1810">
        <v>0.55000000000000004</v>
      </c>
      <c r="O1810" s="3">
        <v>671.97</v>
      </c>
      <c r="P1810" s="3">
        <v>0.15</v>
      </c>
      <c r="Q1810" s="3">
        <v>400.26</v>
      </c>
      <c r="R1810" s="3">
        <v>0.09</v>
      </c>
      <c r="S1810">
        <v>6</v>
      </c>
      <c r="T1810">
        <v>1060.31</v>
      </c>
      <c r="U1810">
        <v>97</v>
      </c>
      <c r="V1810">
        <v>0</v>
      </c>
      <c r="W1810">
        <v>324.2</v>
      </c>
      <c r="X1810">
        <v>1872.22</v>
      </c>
      <c r="Y1810" t="s">
        <v>36</v>
      </c>
      <c r="Z1810" s="3">
        <v>334.47</v>
      </c>
      <c r="AA1810" t="s">
        <v>46</v>
      </c>
      <c r="AB1810" t="s">
        <v>42</v>
      </c>
      <c r="AC1810">
        <v>23.4</v>
      </c>
      <c r="AD1810" t="s">
        <v>34</v>
      </c>
      <c r="AE1810">
        <v>1270</v>
      </c>
      <c r="AF1810">
        <v>0</v>
      </c>
    </row>
    <row r="1811" spans="3:32" x14ac:dyDescent="0.35">
      <c r="C1811" s="1">
        <v>44546</v>
      </c>
      <c r="D1811" s="2">
        <v>44531</v>
      </c>
      <c r="E1811">
        <v>1220</v>
      </c>
      <c r="F1811" s="3">
        <v>4908.88</v>
      </c>
      <c r="G1811" s="3">
        <v>3075.61</v>
      </c>
      <c r="H1811" s="3">
        <v>1833.27</v>
      </c>
      <c r="I1811" s="3">
        <v>0.63</v>
      </c>
      <c r="J1811">
        <v>0.17</v>
      </c>
      <c r="K1811">
        <v>2517.83</v>
      </c>
      <c r="L1811" t="s">
        <v>35</v>
      </c>
      <c r="M1811">
        <v>751</v>
      </c>
      <c r="N1811">
        <v>0.27</v>
      </c>
      <c r="O1811" s="3">
        <v>218.68</v>
      </c>
      <c r="P1811" s="3">
        <v>0.04</v>
      </c>
      <c r="Q1811" s="3">
        <v>354.38</v>
      </c>
      <c r="R1811" s="3">
        <v>7.0000000000000007E-2</v>
      </c>
      <c r="S1811">
        <v>5</v>
      </c>
      <c r="T1811">
        <v>418.57</v>
      </c>
      <c r="U1811">
        <v>20</v>
      </c>
      <c r="V1811">
        <v>0</v>
      </c>
      <c r="W1811">
        <v>480.76</v>
      </c>
      <c r="X1811">
        <v>1608.67</v>
      </c>
      <c r="Y1811" t="s">
        <v>31</v>
      </c>
      <c r="Z1811" s="3">
        <v>643.97</v>
      </c>
      <c r="AA1811" t="s">
        <v>32</v>
      </c>
      <c r="AB1811" t="s">
        <v>44</v>
      </c>
      <c r="AC1811">
        <v>83.3</v>
      </c>
      <c r="AD1811" t="s">
        <v>38</v>
      </c>
      <c r="AE1811">
        <v>1833.27</v>
      </c>
      <c r="AF1811">
        <v>0</v>
      </c>
    </row>
    <row r="1812" spans="3:32" x14ac:dyDescent="0.35">
      <c r="C1812" s="1">
        <v>44546</v>
      </c>
      <c r="D1812" s="2">
        <v>44531</v>
      </c>
      <c r="E1812">
        <v>1582</v>
      </c>
      <c r="F1812" s="3">
        <v>3970.13</v>
      </c>
      <c r="G1812" s="3">
        <v>2110.35</v>
      </c>
      <c r="H1812" s="3">
        <v>1859.78</v>
      </c>
      <c r="I1812" s="3">
        <v>0.53</v>
      </c>
      <c r="J1812">
        <v>0.06</v>
      </c>
      <c r="K1812">
        <v>2648.37</v>
      </c>
      <c r="L1812" t="s">
        <v>35</v>
      </c>
      <c r="M1812">
        <v>671</v>
      </c>
      <c r="N1812">
        <v>0.54</v>
      </c>
      <c r="O1812" s="3">
        <v>440.4</v>
      </c>
      <c r="P1812" s="3">
        <v>0.11</v>
      </c>
      <c r="Q1812" s="3">
        <v>646.38</v>
      </c>
      <c r="R1812" s="3">
        <v>0.16</v>
      </c>
      <c r="S1812">
        <v>8</v>
      </c>
      <c r="T1812">
        <v>1064.93</v>
      </c>
      <c r="U1812">
        <v>34</v>
      </c>
      <c r="V1812">
        <v>0</v>
      </c>
      <c r="W1812">
        <v>216.74</v>
      </c>
      <c r="X1812">
        <v>2636.24</v>
      </c>
      <c r="Y1812" t="s">
        <v>36</v>
      </c>
      <c r="Z1812" s="3">
        <v>1398.31</v>
      </c>
      <c r="AA1812" t="s">
        <v>50</v>
      </c>
      <c r="AB1812" t="s">
        <v>33</v>
      </c>
      <c r="AC1812">
        <v>56.5</v>
      </c>
      <c r="AD1812" t="s">
        <v>43</v>
      </c>
      <c r="AE1812">
        <v>1859.78</v>
      </c>
      <c r="AF1812">
        <v>0</v>
      </c>
    </row>
    <row r="1813" spans="3:32" x14ac:dyDescent="0.35">
      <c r="C1813" s="1">
        <v>44546</v>
      </c>
      <c r="D1813" s="2">
        <v>44531</v>
      </c>
      <c r="E1813">
        <v>1776</v>
      </c>
      <c r="F1813" s="3">
        <v>5221.41</v>
      </c>
      <c r="G1813" s="3">
        <v>3665.15</v>
      </c>
      <c r="H1813" s="3">
        <v>1556.26</v>
      </c>
      <c r="I1813" s="3">
        <v>0.7</v>
      </c>
      <c r="J1813">
        <v>0.38</v>
      </c>
      <c r="K1813">
        <v>2437.89</v>
      </c>
      <c r="L1813" t="s">
        <v>35</v>
      </c>
      <c r="M1813">
        <v>649</v>
      </c>
      <c r="N1813">
        <v>0.13</v>
      </c>
      <c r="O1813" s="3">
        <v>628.21</v>
      </c>
      <c r="P1813" s="3">
        <v>0.12</v>
      </c>
      <c r="Q1813" s="3">
        <v>569.76</v>
      </c>
      <c r="R1813" s="3">
        <v>0.11</v>
      </c>
      <c r="S1813">
        <v>9</v>
      </c>
      <c r="T1813">
        <v>1249.18</v>
      </c>
      <c r="U1813">
        <v>74</v>
      </c>
      <c r="V1813">
        <v>0</v>
      </c>
      <c r="W1813">
        <v>526.72</v>
      </c>
      <c r="X1813">
        <v>2279.8000000000002</v>
      </c>
      <c r="Y1813" t="s">
        <v>36</v>
      </c>
      <c r="Z1813" s="3">
        <v>803.89</v>
      </c>
      <c r="AA1813" t="s">
        <v>41</v>
      </c>
      <c r="AB1813" t="s">
        <v>33</v>
      </c>
      <c r="AC1813">
        <v>78.8</v>
      </c>
      <c r="AD1813" t="s">
        <v>38</v>
      </c>
      <c r="AE1813">
        <v>1556.26</v>
      </c>
      <c r="AF1813">
        <v>0</v>
      </c>
    </row>
    <row r="1814" spans="3:32" x14ac:dyDescent="0.35">
      <c r="C1814" s="1">
        <v>44546</v>
      </c>
      <c r="D1814" s="2">
        <v>44531</v>
      </c>
      <c r="E1814">
        <v>1963</v>
      </c>
      <c r="F1814" s="3">
        <v>3897.4</v>
      </c>
      <c r="G1814" s="3">
        <v>3103.26</v>
      </c>
      <c r="H1814" s="3">
        <v>794.14</v>
      </c>
      <c r="I1814" s="3">
        <v>0.8</v>
      </c>
      <c r="J1814">
        <v>0.28000000000000003</v>
      </c>
      <c r="K1814">
        <v>2516.2800000000002</v>
      </c>
      <c r="L1814" t="s">
        <v>30</v>
      </c>
      <c r="M1814">
        <v>689</v>
      </c>
      <c r="N1814">
        <v>0.54</v>
      </c>
      <c r="O1814" s="3">
        <v>731.69</v>
      </c>
      <c r="P1814" s="3">
        <v>0.19</v>
      </c>
      <c r="Q1814" s="3">
        <v>174.12</v>
      </c>
      <c r="R1814" s="3">
        <v>0.04</v>
      </c>
      <c r="S1814">
        <v>9</v>
      </c>
      <c r="T1814">
        <v>1325.74</v>
      </c>
      <c r="U1814">
        <v>33</v>
      </c>
      <c r="V1814">
        <v>0</v>
      </c>
      <c r="W1814">
        <v>202.25</v>
      </c>
      <c r="X1814">
        <v>3092.51</v>
      </c>
      <c r="Y1814" t="s">
        <v>36</v>
      </c>
      <c r="Z1814" s="3">
        <v>1382.64</v>
      </c>
      <c r="AA1814" t="s">
        <v>48</v>
      </c>
      <c r="AB1814" t="s">
        <v>33</v>
      </c>
      <c r="AC1814">
        <v>18.600000000000001</v>
      </c>
      <c r="AD1814" t="s">
        <v>34</v>
      </c>
      <c r="AE1814">
        <v>794.14</v>
      </c>
      <c r="AF1814">
        <v>0</v>
      </c>
    </row>
    <row r="1815" spans="3:32" x14ac:dyDescent="0.35">
      <c r="C1815" s="1">
        <v>44546</v>
      </c>
      <c r="D1815" s="2">
        <v>44531</v>
      </c>
      <c r="E1815">
        <v>1581</v>
      </c>
      <c r="F1815" s="3">
        <v>4380.18</v>
      </c>
      <c r="G1815" s="3">
        <v>3799.46</v>
      </c>
      <c r="H1815" s="3">
        <v>580.72</v>
      </c>
      <c r="I1815" s="3">
        <v>0.87</v>
      </c>
      <c r="J1815">
        <v>0.27</v>
      </c>
      <c r="K1815">
        <v>2344.4299999999998</v>
      </c>
      <c r="L1815" t="s">
        <v>35</v>
      </c>
      <c r="M1815">
        <v>555</v>
      </c>
      <c r="N1815">
        <v>0.6</v>
      </c>
      <c r="O1815" s="3">
        <v>672.24</v>
      </c>
      <c r="P1815" s="3">
        <v>0.15</v>
      </c>
      <c r="Q1815" s="3">
        <v>369.26</v>
      </c>
      <c r="R1815" s="3">
        <v>0.08</v>
      </c>
      <c r="S1815">
        <v>2</v>
      </c>
      <c r="T1815">
        <v>1903.88</v>
      </c>
      <c r="U1815">
        <v>62</v>
      </c>
      <c r="V1815">
        <v>0</v>
      </c>
      <c r="W1815">
        <v>623.74</v>
      </c>
      <c r="X1815">
        <v>1203.55</v>
      </c>
      <c r="Y1815" t="s">
        <v>49</v>
      </c>
      <c r="Z1815" s="3">
        <v>1855.51</v>
      </c>
      <c r="AA1815" t="s">
        <v>48</v>
      </c>
      <c r="AB1815" t="s">
        <v>33</v>
      </c>
      <c r="AC1815">
        <v>15.4</v>
      </c>
      <c r="AD1815" t="s">
        <v>43</v>
      </c>
      <c r="AE1815">
        <v>580.72</v>
      </c>
      <c r="AF1815">
        <v>0</v>
      </c>
    </row>
    <row r="1816" spans="3:32" x14ac:dyDescent="0.35">
      <c r="C1816" s="1">
        <v>44546</v>
      </c>
      <c r="D1816" s="2">
        <v>44531</v>
      </c>
      <c r="E1816">
        <v>1138</v>
      </c>
      <c r="F1816" s="3">
        <v>6292.41</v>
      </c>
      <c r="G1816" s="3">
        <v>3382.48</v>
      </c>
      <c r="H1816" s="3">
        <v>2909.93</v>
      </c>
      <c r="I1816" s="3">
        <v>0.54</v>
      </c>
      <c r="J1816">
        <v>0.12</v>
      </c>
      <c r="K1816">
        <v>2482.0100000000002</v>
      </c>
      <c r="L1816" t="s">
        <v>35</v>
      </c>
      <c r="M1816">
        <v>701</v>
      </c>
      <c r="N1816">
        <v>0.52</v>
      </c>
      <c r="O1816" s="3">
        <v>158.59</v>
      </c>
      <c r="P1816" s="3">
        <v>0.03</v>
      </c>
      <c r="Q1816" s="3">
        <v>308.77</v>
      </c>
      <c r="R1816" s="3">
        <v>0.05</v>
      </c>
      <c r="S1816">
        <v>7</v>
      </c>
      <c r="T1816">
        <v>922.38</v>
      </c>
      <c r="U1816">
        <v>92</v>
      </c>
      <c r="V1816">
        <v>0</v>
      </c>
      <c r="W1816">
        <v>365.11</v>
      </c>
      <c r="X1816">
        <v>1758.04</v>
      </c>
      <c r="Y1816" t="s">
        <v>31</v>
      </c>
      <c r="Z1816" s="3">
        <v>1358.01</v>
      </c>
      <c r="AA1816" t="s">
        <v>47</v>
      </c>
      <c r="AB1816" t="s">
        <v>44</v>
      </c>
      <c r="AC1816">
        <v>20.5</v>
      </c>
      <c r="AD1816" t="s">
        <v>38</v>
      </c>
      <c r="AE1816">
        <v>2909.93</v>
      </c>
      <c r="AF1816">
        <v>1</v>
      </c>
    </row>
    <row r="1817" spans="3:32" x14ac:dyDescent="0.35">
      <c r="C1817" s="1">
        <v>44546</v>
      </c>
      <c r="D1817" s="2">
        <v>44531</v>
      </c>
      <c r="E1817">
        <v>1612</v>
      </c>
      <c r="F1817" s="3">
        <v>4297.1499999999996</v>
      </c>
      <c r="G1817" s="3">
        <v>3165.47</v>
      </c>
      <c r="H1817" s="3">
        <v>1131.68</v>
      </c>
      <c r="I1817" s="3">
        <v>0.74</v>
      </c>
      <c r="J1817">
        <v>0.22</v>
      </c>
      <c r="K1817">
        <v>2022.33</v>
      </c>
      <c r="L1817" t="s">
        <v>30</v>
      </c>
      <c r="M1817">
        <v>693</v>
      </c>
      <c r="N1817">
        <v>0.21</v>
      </c>
      <c r="O1817" s="3">
        <v>416.23</v>
      </c>
      <c r="P1817" s="3">
        <v>0.1</v>
      </c>
      <c r="Q1817" s="3">
        <v>449.68</v>
      </c>
      <c r="R1817" s="3">
        <v>0.1</v>
      </c>
      <c r="S1817">
        <v>1</v>
      </c>
      <c r="T1817">
        <v>1284.27</v>
      </c>
      <c r="U1817">
        <v>65</v>
      </c>
      <c r="V1817">
        <v>0</v>
      </c>
      <c r="W1817">
        <v>344.9</v>
      </c>
      <c r="X1817">
        <v>1958.64</v>
      </c>
      <c r="Y1817" t="s">
        <v>36</v>
      </c>
      <c r="Z1817" s="3">
        <v>1804.21</v>
      </c>
      <c r="AA1817" t="s">
        <v>32</v>
      </c>
      <c r="AB1817" t="s">
        <v>33</v>
      </c>
      <c r="AC1817">
        <v>90.1</v>
      </c>
      <c r="AD1817" t="s">
        <v>43</v>
      </c>
      <c r="AE1817">
        <v>1131.68</v>
      </c>
      <c r="AF1817">
        <v>0</v>
      </c>
    </row>
    <row r="1818" spans="3:32" x14ac:dyDescent="0.35">
      <c r="C1818" s="1">
        <v>44546</v>
      </c>
      <c r="D1818" s="2">
        <v>44531</v>
      </c>
      <c r="E1818">
        <v>1293</v>
      </c>
      <c r="F1818" s="3">
        <v>4181.87</v>
      </c>
      <c r="G1818" s="3">
        <v>2448.13</v>
      </c>
      <c r="H1818" s="3">
        <v>1733.74</v>
      </c>
      <c r="I1818" s="3">
        <v>0.59</v>
      </c>
      <c r="J1818">
        <v>0.08</v>
      </c>
      <c r="K1818">
        <v>3068.14</v>
      </c>
      <c r="L1818" t="s">
        <v>30</v>
      </c>
      <c r="M1818">
        <v>649</v>
      </c>
      <c r="N1818">
        <v>0.42</v>
      </c>
      <c r="O1818" s="3">
        <v>519.13</v>
      </c>
      <c r="P1818" s="3">
        <v>0.12</v>
      </c>
      <c r="Q1818" s="3">
        <v>945.01</v>
      </c>
      <c r="R1818" s="3">
        <v>0.23</v>
      </c>
      <c r="S1818">
        <v>5</v>
      </c>
      <c r="T1818">
        <v>1117.69</v>
      </c>
      <c r="U1818">
        <v>27</v>
      </c>
      <c r="V1818">
        <v>0</v>
      </c>
      <c r="W1818">
        <v>354.56</v>
      </c>
      <c r="X1818">
        <v>2432.6</v>
      </c>
      <c r="Y1818" t="s">
        <v>36</v>
      </c>
      <c r="Z1818" s="3">
        <v>1669.32</v>
      </c>
      <c r="AA1818" t="s">
        <v>46</v>
      </c>
      <c r="AB1818" t="s">
        <v>33</v>
      </c>
      <c r="AC1818">
        <v>5.3</v>
      </c>
      <c r="AD1818" t="s">
        <v>43</v>
      </c>
      <c r="AE1818">
        <v>1733.74</v>
      </c>
      <c r="AF1818">
        <v>0</v>
      </c>
    </row>
    <row r="1819" spans="3:32" x14ac:dyDescent="0.35">
      <c r="C1819" s="1">
        <v>44546</v>
      </c>
      <c r="D1819" s="2">
        <v>44531</v>
      </c>
      <c r="E1819">
        <v>1479</v>
      </c>
      <c r="F1819" s="3">
        <v>3574.03</v>
      </c>
      <c r="G1819" s="3">
        <v>2144.65</v>
      </c>
      <c r="H1819" s="3">
        <v>1429.38</v>
      </c>
      <c r="I1819" s="3">
        <v>0.6</v>
      </c>
      <c r="J1819">
        <v>0.11</v>
      </c>
      <c r="K1819">
        <v>3056.15</v>
      </c>
      <c r="L1819" t="s">
        <v>35</v>
      </c>
      <c r="M1819">
        <v>704</v>
      </c>
      <c r="N1819">
        <v>0.54</v>
      </c>
      <c r="O1819" s="3">
        <v>472.59</v>
      </c>
      <c r="P1819" s="3">
        <v>0.13</v>
      </c>
      <c r="Q1819" s="3">
        <v>554.64</v>
      </c>
      <c r="R1819" s="3">
        <v>0.16</v>
      </c>
      <c r="S1819">
        <v>1</v>
      </c>
      <c r="T1819">
        <v>615.29</v>
      </c>
      <c r="U1819">
        <v>32</v>
      </c>
      <c r="V1819">
        <v>0</v>
      </c>
      <c r="W1819">
        <v>57.12</v>
      </c>
      <c r="X1819">
        <v>3090.79</v>
      </c>
      <c r="Y1819" t="s">
        <v>36</v>
      </c>
      <c r="Z1819" s="3">
        <v>1458.91</v>
      </c>
      <c r="AA1819" t="s">
        <v>46</v>
      </c>
      <c r="AB1819" t="s">
        <v>33</v>
      </c>
      <c r="AC1819">
        <v>38.4</v>
      </c>
      <c r="AD1819" t="s">
        <v>43</v>
      </c>
      <c r="AE1819">
        <v>1429.38</v>
      </c>
      <c r="AF1819">
        <v>0</v>
      </c>
    </row>
    <row r="1820" spans="3:32" x14ac:dyDescent="0.35">
      <c r="C1820" s="1">
        <v>44546</v>
      </c>
      <c r="D1820" s="2">
        <v>44531</v>
      </c>
      <c r="E1820">
        <v>1354</v>
      </c>
      <c r="F1820" s="3">
        <v>3494.96</v>
      </c>
      <c r="G1820" s="3">
        <v>3407.34</v>
      </c>
      <c r="H1820" s="3">
        <v>87.62</v>
      </c>
      <c r="I1820" s="3">
        <v>0.97</v>
      </c>
      <c r="J1820">
        <v>0.15</v>
      </c>
      <c r="K1820">
        <v>3847.28</v>
      </c>
      <c r="L1820" t="s">
        <v>30</v>
      </c>
      <c r="M1820">
        <v>789</v>
      </c>
      <c r="N1820">
        <v>0.14000000000000001</v>
      </c>
      <c r="O1820" s="3">
        <v>339.48</v>
      </c>
      <c r="P1820" s="3">
        <v>0.1</v>
      </c>
      <c r="Q1820" s="3">
        <v>723.6</v>
      </c>
      <c r="R1820" s="3">
        <v>0.21</v>
      </c>
      <c r="S1820">
        <v>3</v>
      </c>
      <c r="T1820">
        <v>723.05</v>
      </c>
      <c r="U1820">
        <v>90</v>
      </c>
      <c r="V1820">
        <v>0</v>
      </c>
      <c r="W1820">
        <v>475.89</v>
      </c>
      <c r="X1820">
        <v>2342.17</v>
      </c>
      <c r="Y1820" t="s">
        <v>36</v>
      </c>
      <c r="Z1820" s="3">
        <v>971.1</v>
      </c>
      <c r="AA1820" t="s">
        <v>45</v>
      </c>
      <c r="AB1820" t="s">
        <v>42</v>
      </c>
      <c r="AC1820">
        <v>3.8</v>
      </c>
      <c r="AD1820" t="s">
        <v>34</v>
      </c>
      <c r="AE1820">
        <v>87.62</v>
      </c>
      <c r="AF1820">
        <v>0</v>
      </c>
    </row>
    <row r="1821" spans="3:32" x14ac:dyDescent="0.35">
      <c r="C1821" s="1">
        <v>44546</v>
      </c>
      <c r="D1821" s="2">
        <v>44531</v>
      </c>
      <c r="E1821">
        <v>1476</v>
      </c>
      <c r="F1821" s="3">
        <v>6768.22</v>
      </c>
      <c r="G1821" s="3">
        <v>3576.71</v>
      </c>
      <c r="H1821" s="3">
        <v>3191.51</v>
      </c>
      <c r="I1821" s="3">
        <v>0.53</v>
      </c>
      <c r="J1821">
        <v>0.31</v>
      </c>
      <c r="K1821">
        <v>2549.5700000000002</v>
      </c>
      <c r="L1821" t="s">
        <v>35</v>
      </c>
      <c r="M1821">
        <v>715</v>
      </c>
      <c r="N1821">
        <v>0.54</v>
      </c>
      <c r="O1821" s="3">
        <v>670.44</v>
      </c>
      <c r="P1821" s="3">
        <v>0.1</v>
      </c>
      <c r="Q1821" s="3">
        <v>0</v>
      </c>
      <c r="R1821" s="3">
        <v>0</v>
      </c>
      <c r="S1821">
        <v>5</v>
      </c>
      <c r="T1821">
        <v>583.61</v>
      </c>
      <c r="U1821">
        <v>56</v>
      </c>
      <c r="V1821">
        <v>0</v>
      </c>
      <c r="W1821">
        <v>195.43</v>
      </c>
      <c r="X1821">
        <v>2567.44</v>
      </c>
      <c r="Y1821" t="s">
        <v>36</v>
      </c>
      <c r="Z1821" s="3">
        <v>971.35</v>
      </c>
      <c r="AA1821" t="s">
        <v>51</v>
      </c>
      <c r="AB1821" t="s">
        <v>33</v>
      </c>
      <c r="AC1821">
        <v>87.2</v>
      </c>
      <c r="AD1821" t="s">
        <v>38</v>
      </c>
      <c r="AE1821">
        <v>3191.51</v>
      </c>
      <c r="AF1821">
        <v>1</v>
      </c>
    </row>
    <row r="1822" spans="3:32" x14ac:dyDescent="0.35">
      <c r="C1822" s="1">
        <v>44546</v>
      </c>
      <c r="D1822" s="2">
        <v>44531</v>
      </c>
      <c r="E1822">
        <v>1814</v>
      </c>
      <c r="F1822" s="3">
        <v>4056.63</v>
      </c>
      <c r="G1822" s="3">
        <v>2785.44</v>
      </c>
      <c r="H1822" s="3">
        <v>1271.19</v>
      </c>
      <c r="I1822" s="3">
        <v>0.69</v>
      </c>
      <c r="J1822">
        <v>0.3</v>
      </c>
      <c r="K1822">
        <v>2869.68</v>
      </c>
      <c r="L1822" t="s">
        <v>35</v>
      </c>
      <c r="M1822">
        <v>775</v>
      </c>
      <c r="N1822">
        <v>0.56000000000000005</v>
      </c>
      <c r="O1822" s="3">
        <v>308.31</v>
      </c>
      <c r="P1822" s="3">
        <v>0.08</v>
      </c>
      <c r="Q1822" s="3">
        <v>495.89</v>
      </c>
      <c r="R1822" s="3">
        <v>0.12</v>
      </c>
      <c r="S1822">
        <v>9</v>
      </c>
      <c r="T1822">
        <v>218.38</v>
      </c>
      <c r="U1822">
        <v>73</v>
      </c>
      <c r="V1822">
        <v>0</v>
      </c>
      <c r="W1822">
        <v>484.4</v>
      </c>
      <c r="X1822">
        <v>2693.64</v>
      </c>
      <c r="Y1822" t="s">
        <v>31</v>
      </c>
      <c r="Z1822" s="3">
        <v>1015.07</v>
      </c>
      <c r="AA1822" t="s">
        <v>32</v>
      </c>
      <c r="AB1822" t="s">
        <v>33</v>
      </c>
      <c r="AC1822">
        <v>57.2</v>
      </c>
      <c r="AD1822" t="s">
        <v>34</v>
      </c>
      <c r="AE1822">
        <v>1271.19</v>
      </c>
      <c r="AF1822">
        <v>0</v>
      </c>
    </row>
    <row r="1823" spans="3:32" x14ac:dyDescent="0.35">
      <c r="C1823" s="1">
        <v>44546</v>
      </c>
      <c r="D1823" s="2">
        <v>44531</v>
      </c>
      <c r="E1823">
        <v>1917</v>
      </c>
      <c r="F1823" s="3">
        <v>4358.5600000000004</v>
      </c>
      <c r="G1823" s="3">
        <v>2349.88</v>
      </c>
      <c r="H1823" s="3">
        <v>2008.68</v>
      </c>
      <c r="I1823" s="3">
        <v>0.54</v>
      </c>
      <c r="J1823">
        <v>0.28000000000000003</v>
      </c>
      <c r="K1823">
        <v>3719.85</v>
      </c>
      <c r="L1823" t="s">
        <v>39</v>
      </c>
      <c r="M1823">
        <v>643</v>
      </c>
      <c r="N1823">
        <v>0.56000000000000005</v>
      </c>
      <c r="O1823" s="3">
        <v>417.78</v>
      </c>
      <c r="P1823" s="3">
        <v>0.1</v>
      </c>
      <c r="Q1823" s="3">
        <v>439.07</v>
      </c>
      <c r="R1823" s="3">
        <v>0.1</v>
      </c>
      <c r="S1823">
        <v>6</v>
      </c>
      <c r="T1823">
        <v>640.41</v>
      </c>
      <c r="U1823">
        <v>75</v>
      </c>
      <c r="V1823">
        <v>0</v>
      </c>
      <c r="W1823">
        <v>577.23</v>
      </c>
      <c r="X1823">
        <v>1827.44</v>
      </c>
      <c r="Y1823" t="s">
        <v>36</v>
      </c>
      <c r="Z1823" s="3">
        <v>1052.03</v>
      </c>
      <c r="AA1823" t="s">
        <v>50</v>
      </c>
      <c r="AB1823" t="s">
        <v>33</v>
      </c>
      <c r="AC1823">
        <v>1.1000000000000001</v>
      </c>
      <c r="AD1823" t="s">
        <v>43</v>
      </c>
      <c r="AE1823">
        <v>2008.68</v>
      </c>
      <c r="AF1823">
        <v>0</v>
      </c>
    </row>
    <row r="1824" spans="3:32" x14ac:dyDescent="0.35">
      <c r="C1824" s="1">
        <v>44546</v>
      </c>
      <c r="D1824" s="2">
        <v>44531</v>
      </c>
      <c r="E1824">
        <v>1904</v>
      </c>
      <c r="F1824" s="3">
        <v>3440.35</v>
      </c>
      <c r="G1824" s="3">
        <v>4862.6099999999997</v>
      </c>
      <c r="H1824" s="3">
        <v>-1422.26</v>
      </c>
      <c r="I1824" s="3">
        <v>1.41</v>
      </c>
      <c r="J1824">
        <v>0.21</v>
      </c>
      <c r="K1824">
        <v>3015.67</v>
      </c>
      <c r="L1824" t="s">
        <v>35</v>
      </c>
      <c r="M1824">
        <v>713</v>
      </c>
      <c r="N1824">
        <v>0.37</v>
      </c>
      <c r="O1824" s="3">
        <v>245.9</v>
      </c>
      <c r="P1824" s="3">
        <v>7.0000000000000007E-2</v>
      </c>
      <c r="Q1824" s="3">
        <v>424.62</v>
      </c>
      <c r="R1824" s="3">
        <v>0.12</v>
      </c>
      <c r="S1824">
        <v>5</v>
      </c>
      <c r="T1824">
        <v>1609.9</v>
      </c>
      <c r="U1824">
        <v>37</v>
      </c>
      <c r="V1824">
        <v>0</v>
      </c>
      <c r="W1824">
        <v>130.76</v>
      </c>
      <c r="X1824">
        <v>2795.04</v>
      </c>
      <c r="Y1824" t="s">
        <v>31</v>
      </c>
      <c r="Z1824" s="3">
        <v>1038.31</v>
      </c>
      <c r="AA1824" t="s">
        <v>48</v>
      </c>
      <c r="AB1824" t="s">
        <v>33</v>
      </c>
      <c r="AC1824">
        <v>25.4</v>
      </c>
      <c r="AD1824" t="s">
        <v>34</v>
      </c>
      <c r="AE1824">
        <v>0</v>
      </c>
      <c r="AF1824">
        <v>0</v>
      </c>
    </row>
    <row r="1825" spans="3:32" x14ac:dyDescent="0.35">
      <c r="C1825" s="1">
        <v>44546</v>
      </c>
      <c r="D1825" s="2">
        <v>44531</v>
      </c>
      <c r="E1825">
        <v>1819</v>
      </c>
      <c r="F1825" s="3">
        <v>4224.13</v>
      </c>
      <c r="G1825" s="3">
        <v>4309.01</v>
      </c>
      <c r="H1825" s="3">
        <v>-84.88</v>
      </c>
      <c r="I1825" s="3">
        <v>1.02</v>
      </c>
      <c r="J1825">
        <v>7.0000000000000007E-2</v>
      </c>
      <c r="K1825">
        <v>2816.46</v>
      </c>
      <c r="L1825" t="s">
        <v>30</v>
      </c>
      <c r="M1825">
        <v>674</v>
      </c>
      <c r="N1825">
        <v>0.1</v>
      </c>
      <c r="O1825" s="3">
        <v>1133.5999999999999</v>
      </c>
      <c r="P1825" s="3">
        <v>0.27</v>
      </c>
      <c r="Q1825" s="3">
        <v>448.61</v>
      </c>
      <c r="R1825" s="3">
        <v>0.11</v>
      </c>
      <c r="S1825">
        <v>2</v>
      </c>
      <c r="T1825">
        <v>317.58</v>
      </c>
      <c r="U1825">
        <v>78</v>
      </c>
      <c r="V1825">
        <v>1</v>
      </c>
      <c r="W1825">
        <v>633.48</v>
      </c>
      <c r="X1825">
        <v>3220.33</v>
      </c>
      <c r="Y1825" t="s">
        <v>49</v>
      </c>
      <c r="Z1825" s="3">
        <v>1289.3</v>
      </c>
      <c r="AA1825" t="s">
        <v>50</v>
      </c>
      <c r="AB1825" t="s">
        <v>42</v>
      </c>
      <c r="AC1825">
        <v>99.1</v>
      </c>
      <c r="AD1825" t="s">
        <v>43</v>
      </c>
      <c r="AE1825">
        <v>0</v>
      </c>
      <c r="AF1825">
        <v>0</v>
      </c>
    </row>
    <row r="1826" spans="3:32" x14ac:dyDescent="0.35">
      <c r="C1826" s="1">
        <v>44546</v>
      </c>
      <c r="D1826" s="2">
        <v>44531</v>
      </c>
      <c r="E1826">
        <v>1249</v>
      </c>
      <c r="F1826" s="3">
        <v>4723.75</v>
      </c>
      <c r="G1826" s="3">
        <v>2703.66</v>
      </c>
      <c r="H1826" s="3">
        <v>2020.09</v>
      </c>
      <c r="I1826" s="3">
        <v>0.56999999999999995</v>
      </c>
      <c r="J1826">
        <v>0.28000000000000003</v>
      </c>
      <c r="K1826">
        <v>3030.22</v>
      </c>
      <c r="L1826" t="s">
        <v>30</v>
      </c>
      <c r="M1826">
        <v>642</v>
      </c>
      <c r="N1826">
        <v>0.12</v>
      </c>
      <c r="O1826" s="3">
        <v>644.01</v>
      </c>
      <c r="P1826" s="3">
        <v>0.14000000000000001</v>
      </c>
      <c r="Q1826" s="3">
        <v>351.54</v>
      </c>
      <c r="R1826" s="3">
        <v>7.0000000000000007E-2</v>
      </c>
      <c r="S1826">
        <v>2</v>
      </c>
      <c r="T1826">
        <v>1120.7</v>
      </c>
      <c r="U1826">
        <v>83</v>
      </c>
      <c r="V1826">
        <v>0</v>
      </c>
      <c r="W1826">
        <v>176.11</v>
      </c>
      <c r="X1826">
        <v>2139.42</v>
      </c>
      <c r="Y1826" t="s">
        <v>36</v>
      </c>
      <c r="Z1826" s="3">
        <v>1334.38</v>
      </c>
      <c r="AA1826" t="s">
        <v>47</v>
      </c>
      <c r="AB1826" t="s">
        <v>33</v>
      </c>
      <c r="AC1826">
        <v>18.7</v>
      </c>
      <c r="AD1826" t="s">
        <v>43</v>
      </c>
      <c r="AE1826">
        <v>2020.09</v>
      </c>
      <c r="AF1826">
        <v>0</v>
      </c>
    </row>
    <row r="1827" spans="3:32" x14ac:dyDescent="0.35">
      <c r="C1827" s="1">
        <v>44546</v>
      </c>
      <c r="D1827" s="2">
        <v>44531</v>
      </c>
      <c r="E1827">
        <v>1710</v>
      </c>
      <c r="F1827" s="3">
        <v>3582.41</v>
      </c>
      <c r="G1827" s="3">
        <v>1358.34</v>
      </c>
      <c r="H1827" s="3">
        <v>2224.0700000000002</v>
      </c>
      <c r="I1827" s="3">
        <v>0.38</v>
      </c>
      <c r="J1827">
        <v>0.38</v>
      </c>
      <c r="K1827">
        <v>3300.92</v>
      </c>
      <c r="L1827" t="s">
        <v>39</v>
      </c>
      <c r="M1827">
        <v>651</v>
      </c>
      <c r="N1827">
        <v>0.4</v>
      </c>
      <c r="O1827" s="3">
        <v>589.91999999999996</v>
      </c>
      <c r="P1827" s="3">
        <v>0.16</v>
      </c>
      <c r="Q1827" s="3">
        <v>190.7</v>
      </c>
      <c r="R1827" s="3">
        <v>0.05</v>
      </c>
      <c r="S1827">
        <v>8</v>
      </c>
      <c r="T1827">
        <v>1502.46</v>
      </c>
      <c r="U1827">
        <v>37</v>
      </c>
      <c r="V1827">
        <v>0</v>
      </c>
      <c r="W1827">
        <v>465.46</v>
      </c>
      <c r="X1827">
        <v>3167.05</v>
      </c>
      <c r="Y1827" t="s">
        <v>49</v>
      </c>
      <c r="Z1827" s="3">
        <v>1508.79</v>
      </c>
      <c r="AA1827" t="s">
        <v>47</v>
      </c>
      <c r="AB1827" t="s">
        <v>33</v>
      </c>
      <c r="AC1827">
        <v>56.3</v>
      </c>
      <c r="AD1827" t="s">
        <v>34</v>
      </c>
      <c r="AE1827">
        <v>2224.0700000000002</v>
      </c>
      <c r="AF1827">
        <v>0</v>
      </c>
    </row>
    <row r="1828" spans="3:32" x14ac:dyDescent="0.35">
      <c r="C1828" s="1">
        <v>44546</v>
      </c>
      <c r="D1828" s="2">
        <v>44531</v>
      </c>
      <c r="E1828">
        <v>1929</v>
      </c>
      <c r="F1828" s="3">
        <v>3531.89</v>
      </c>
      <c r="G1828" s="3">
        <v>3582.43</v>
      </c>
      <c r="H1828" s="3">
        <v>-50.54</v>
      </c>
      <c r="I1828" s="3">
        <v>1.01</v>
      </c>
      <c r="J1828">
        <v>0.27</v>
      </c>
      <c r="K1828">
        <v>1940.86</v>
      </c>
      <c r="L1828" t="s">
        <v>35</v>
      </c>
      <c r="M1828">
        <v>651</v>
      </c>
      <c r="N1828">
        <v>0.15</v>
      </c>
      <c r="O1828" s="3">
        <v>375.92</v>
      </c>
      <c r="P1828" s="3">
        <v>0.11</v>
      </c>
      <c r="Q1828" s="3">
        <v>102.71</v>
      </c>
      <c r="R1828" s="3">
        <v>0.03</v>
      </c>
      <c r="S1828">
        <v>8</v>
      </c>
      <c r="T1828">
        <v>0</v>
      </c>
      <c r="U1828">
        <v>90</v>
      </c>
      <c r="V1828">
        <v>1</v>
      </c>
      <c r="W1828">
        <v>577.1</v>
      </c>
      <c r="X1828">
        <v>2660.43</v>
      </c>
      <c r="Y1828" t="s">
        <v>36</v>
      </c>
      <c r="Z1828" s="3">
        <v>964.84</v>
      </c>
      <c r="AA1828" t="s">
        <v>48</v>
      </c>
      <c r="AB1828" t="s">
        <v>42</v>
      </c>
      <c r="AC1828">
        <v>71.3</v>
      </c>
      <c r="AD1828" t="s">
        <v>34</v>
      </c>
      <c r="AE1828">
        <v>0</v>
      </c>
      <c r="AF1828">
        <v>0</v>
      </c>
    </row>
    <row r="1829" spans="3:32" x14ac:dyDescent="0.35">
      <c r="C1829" s="1">
        <v>44546</v>
      </c>
      <c r="D1829" s="2">
        <v>44531</v>
      </c>
      <c r="E1829">
        <v>1132</v>
      </c>
      <c r="F1829" s="3">
        <v>3609.54</v>
      </c>
      <c r="G1829" s="3">
        <v>3008.81</v>
      </c>
      <c r="H1829" s="3">
        <v>600.73</v>
      </c>
      <c r="I1829" s="3">
        <v>0.83</v>
      </c>
      <c r="J1829">
        <v>7.0000000000000007E-2</v>
      </c>
      <c r="K1829">
        <v>2974.01</v>
      </c>
      <c r="L1829" t="s">
        <v>35</v>
      </c>
      <c r="M1829">
        <v>642</v>
      </c>
      <c r="N1829">
        <v>0.3</v>
      </c>
      <c r="O1829" s="3">
        <v>392.84</v>
      </c>
      <c r="P1829" s="3">
        <v>0.11</v>
      </c>
      <c r="Q1829" s="3">
        <v>659.34</v>
      </c>
      <c r="R1829" s="3">
        <v>0.18</v>
      </c>
      <c r="S1829">
        <v>2</v>
      </c>
      <c r="T1829">
        <v>449.12</v>
      </c>
      <c r="U1829">
        <v>65</v>
      </c>
      <c r="V1829">
        <v>0</v>
      </c>
      <c r="W1829">
        <v>65.08</v>
      </c>
      <c r="X1829">
        <v>1951.36</v>
      </c>
      <c r="Y1829" t="s">
        <v>36</v>
      </c>
      <c r="Z1829" s="3">
        <v>1208.1500000000001</v>
      </c>
      <c r="AA1829" t="s">
        <v>40</v>
      </c>
      <c r="AB1829" t="s">
        <v>44</v>
      </c>
      <c r="AC1829">
        <v>73.599999999999994</v>
      </c>
      <c r="AD1829" t="s">
        <v>34</v>
      </c>
      <c r="AE1829">
        <v>600.73</v>
      </c>
      <c r="AF1829">
        <v>0</v>
      </c>
    </row>
    <row r="1830" spans="3:32" x14ac:dyDescent="0.35">
      <c r="C1830" s="1">
        <v>44546</v>
      </c>
      <c r="D1830" s="2">
        <v>44531</v>
      </c>
      <c r="E1830">
        <v>1246</v>
      </c>
      <c r="F1830" s="3">
        <v>2418.36</v>
      </c>
      <c r="G1830" s="3">
        <v>3419.83</v>
      </c>
      <c r="H1830" s="3">
        <v>-1001.47</v>
      </c>
      <c r="I1830" s="3">
        <v>1.41</v>
      </c>
      <c r="J1830">
        <v>0.06</v>
      </c>
      <c r="K1830">
        <v>2168.44</v>
      </c>
      <c r="L1830" t="s">
        <v>39</v>
      </c>
      <c r="M1830">
        <v>732</v>
      </c>
      <c r="N1830">
        <v>0.39</v>
      </c>
      <c r="O1830" s="3">
        <v>567.08000000000004</v>
      </c>
      <c r="P1830" s="3">
        <v>0.23</v>
      </c>
      <c r="Q1830" s="3">
        <v>247.48</v>
      </c>
      <c r="R1830" s="3">
        <v>0.1</v>
      </c>
      <c r="S1830">
        <v>3</v>
      </c>
      <c r="T1830">
        <v>691.26</v>
      </c>
      <c r="U1830">
        <v>61</v>
      </c>
      <c r="V1830">
        <v>0</v>
      </c>
      <c r="W1830">
        <v>430.75</v>
      </c>
      <c r="X1830">
        <v>2242.0300000000002</v>
      </c>
      <c r="Y1830" t="s">
        <v>36</v>
      </c>
      <c r="Z1830" s="3">
        <v>636.46</v>
      </c>
      <c r="AA1830" t="s">
        <v>32</v>
      </c>
      <c r="AB1830" t="s">
        <v>33</v>
      </c>
      <c r="AC1830">
        <v>61.6</v>
      </c>
      <c r="AD1830" t="s">
        <v>43</v>
      </c>
      <c r="AE1830">
        <v>0</v>
      </c>
      <c r="AF1830">
        <v>0</v>
      </c>
    </row>
    <row r="1831" spans="3:32" x14ac:dyDescent="0.35">
      <c r="C1831" s="1">
        <v>44546</v>
      </c>
      <c r="D1831" s="2">
        <v>44531</v>
      </c>
      <c r="E1831">
        <v>1836</v>
      </c>
      <c r="F1831" s="3">
        <v>4883.1000000000004</v>
      </c>
      <c r="G1831" s="3">
        <v>2953.04</v>
      </c>
      <c r="H1831" s="3">
        <v>1930.06</v>
      </c>
      <c r="I1831" s="3">
        <v>0.6</v>
      </c>
      <c r="J1831">
        <v>0.33</v>
      </c>
      <c r="K1831">
        <v>2662.07</v>
      </c>
      <c r="L1831" t="s">
        <v>35</v>
      </c>
      <c r="M1831">
        <v>702</v>
      </c>
      <c r="N1831">
        <v>0.55000000000000004</v>
      </c>
      <c r="O1831" s="3">
        <v>567.79</v>
      </c>
      <c r="P1831" s="3">
        <v>0.12</v>
      </c>
      <c r="Q1831" s="3">
        <v>782.52</v>
      </c>
      <c r="R1831" s="3">
        <v>0.16</v>
      </c>
      <c r="S1831">
        <v>4</v>
      </c>
      <c r="T1831">
        <v>1218.23</v>
      </c>
      <c r="U1831">
        <v>73</v>
      </c>
      <c r="V1831">
        <v>0</v>
      </c>
      <c r="W1831">
        <v>496.18</v>
      </c>
      <c r="X1831">
        <v>2411.39</v>
      </c>
      <c r="Y1831" t="s">
        <v>36</v>
      </c>
      <c r="Z1831" s="3">
        <v>1324.95</v>
      </c>
      <c r="AA1831" t="s">
        <v>45</v>
      </c>
      <c r="AB1831" t="s">
        <v>33</v>
      </c>
      <c r="AC1831">
        <v>45</v>
      </c>
      <c r="AD1831" t="s">
        <v>38</v>
      </c>
      <c r="AE1831">
        <v>1930.06</v>
      </c>
      <c r="AF1831">
        <v>0</v>
      </c>
    </row>
    <row r="1832" spans="3:32" x14ac:dyDescent="0.35">
      <c r="C1832" s="1">
        <v>44546</v>
      </c>
      <c r="D1832" s="2">
        <v>44531</v>
      </c>
      <c r="E1832">
        <v>1358</v>
      </c>
      <c r="F1832" s="3">
        <v>2973.34</v>
      </c>
      <c r="G1832" s="3">
        <v>4225.71</v>
      </c>
      <c r="H1832" s="3">
        <v>-1252.3699999999999</v>
      </c>
      <c r="I1832" s="3">
        <v>1.42</v>
      </c>
      <c r="J1832">
        <v>0.17</v>
      </c>
      <c r="K1832">
        <v>3276.93</v>
      </c>
      <c r="L1832" t="s">
        <v>39</v>
      </c>
      <c r="M1832">
        <v>700</v>
      </c>
      <c r="N1832">
        <v>0.43</v>
      </c>
      <c r="O1832" s="3">
        <v>669.32</v>
      </c>
      <c r="P1832" s="3">
        <v>0.23</v>
      </c>
      <c r="Q1832" s="3">
        <v>69.14</v>
      </c>
      <c r="R1832" s="3">
        <v>0.02</v>
      </c>
      <c r="S1832">
        <v>2</v>
      </c>
      <c r="T1832">
        <v>646.79999999999995</v>
      </c>
      <c r="U1832">
        <v>74</v>
      </c>
      <c r="V1832">
        <v>0</v>
      </c>
      <c r="W1832">
        <v>795.14</v>
      </c>
      <c r="X1832">
        <v>2676.45</v>
      </c>
      <c r="Y1832" t="s">
        <v>36</v>
      </c>
      <c r="Z1832" s="3">
        <v>1313.85</v>
      </c>
      <c r="AA1832" t="s">
        <v>47</v>
      </c>
      <c r="AB1832" t="s">
        <v>42</v>
      </c>
      <c r="AC1832">
        <v>90.3</v>
      </c>
      <c r="AD1832" t="s">
        <v>34</v>
      </c>
      <c r="AE1832">
        <v>0</v>
      </c>
      <c r="AF1832">
        <v>0</v>
      </c>
    </row>
    <row r="1833" spans="3:32" x14ac:dyDescent="0.35">
      <c r="C1833" s="1">
        <v>44546</v>
      </c>
      <c r="D1833" s="2">
        <v>44531</v>
      </c>
      <c r="E1833">
        <v>1280</v>
      </c>
      <c r="F1833" s="3">
        <v>2710.11</v>
      </c>
      <c r="G1833" s="3">
        <v>2662.68</v>
      </c>
      <c r="H1833" s="3">
        <v>47.43</v>
      </c>
      <c r="I1833" s="3">
        <v>0.98</v>
      </c>
      <c r="J1833">
        <v>0.18</v>
      </c>
      <c r="K1833">
        <v>2756.23</v>
      </c>
      <c r="L1833" t="s">
        <v>35</v>
      </c>
      <c r="M1833">
        <v>676</v>
      </c>
      <c r="N1833">
        <v>0.24</v>
      </c>
      <c r="O1833" s="3">
        <v>686.15</v>
      </c>
      <c r="P1833" s="3">
        <v>0.25</v>
      </c>
      <c r="Q1833" s="3">
        <v>536.27</v>
      </c>
      <c r="R1833" s="3">
        <v>0.2</v>
      </c>
      <c r="S1833">
        <v>5</v>
      </c>
      <c r="T1833">
        <v>540.74</v>
      </c>
      <c r="U1833">
        <v>50</v>
      </c>
      <c r="V1833">
        <v>0</v>
      </c>
      <c r="W1833">
        <v>527.80999999999995</v>
      </c>
      <c r="X1833">
        <v>2706.82</v>
      </c>
      <c r="Y1833" t="s">
        <v>36</v>
      </c>
      <c r="Z1833" s="3">
        <v>1302.96</v>
      </c>
      <c r="AA1833" t="s">
        <v>50</v>
      </c>
      <c r="AB1833" t="s">
        <v>33</v>
      </c>
      <c r="AC1833">
        <v>26.5</v>
      </c>
      <c r="AD1833" t="s">
        <v>43</v>
      </c>
      <c r="AE1833">
        <v>47.43</v>
      </c>
      <c r="AF1833">
        <v>0</v>
      </c>
    </row>
    <row r="1834" spans="3:32" x14ac:dyDescent="0.35">
      <c r="C1834" s="1">
        <v>44546</v>
      </c>
      <c r="D1834" s="2">
        <v>44531</v>
      </c>
      <c r="E1834">
        <v>1047</v>
      </c>
      <c r="F1834" s="3">
        <v>3547.88</v>
      </c>
      <c r="G1834" s="3">
        <v>2115.9</v>
      </c>
      <c r="H1834" s="3">
        <v>1431.98</v>
      </c>
      <c r="I1834" s="3">
        <v>0.6</v>
      </c>
      <c r="J1834">
        <v>0.11</v>
      </c>
      <c r="K1834">
        <v>2707.6</v>
      </c>
      <c r="L1834" t="s">
        <v>35</v>
      </c>
      <c r="M1834">
        <v>587</v>
      </c>
      <c r="N1834">
        <v>0.26</v>
      </c>
      <c r="O1834" s="3">
        <v>841.81</v>
      </c>
      <c r="P1834" s="3">
        <v>0.24</v>
      </c>
      <c r="Q1834" s="3">
        <v>246.74</v>
      </c>
      <c r="R1834" s="3">
        <v>7.0000000000000007E-2</v>
      </c>
      <c r="S1834">
        <v>4</v>
      </c>
      <c r="T1834">
        <v>1984.13</v>
      </c>
      <c r="U1834">
        <v>58</v>
      </c>
      <c r="V1834">
        <v>0</v>
      </c>
      <c r="W1834">
        <v>613.72</v>
      </c>
      <c r="X1834">
        <v>1419.37</v>
      </c>
      <c r="Y1834" t="s">
        <v>31</v>
      </c>
      <c r="Z1834" s="3">
        <v>779.73</v>
      </c>
      <c r="AA1834" t="s">
        <v>48</v>
      </c>
      <c r="AB1834" t="s">
        <v>44</v>
      </c>
      <c r="AC1834">
        <v>50.9</v>
      </c>
      <c r="AD1834" t="s">
        <v>43</v>
      </c>
      <c r="AE1834">
        <v>1431.98</v>
      </c>
      <c r="AF1834">
        <v>0</v>
      </c>
    </row>
    <row r="1835" spans="3:32" x14ac:dyDescent="0.35">
      <c r="C1835" s="1">
        <v>44546</v>
      </c>
      <c r="D1835" s="2">
        <v>44531</v>
      </c>
      <c r="E1835">
        <v>1357</v>
      </c>
      <c r="F1835" s="3">
        <v>3490.4</v>
      </c>
      <c r="G1835" s="3">
        <v>1740.56</v>
      </c>
      <c r="H1835" s="3">
        <v>1749.84</v>
      </c>
      <c r="I1835" s="3">
        <v>0.5</v>
      </c>
      <c r="J1835">
        <v>0.33</v>
      </c>
      <c r="K1835">
        <v>2935.93</v>
      </c>
      <c r="L1835" t="s">
        <v>35</v>
      </c>
      <c r="M1835">
        <v>711</v>
      </c>
      <c r="N1835">
        <v>0.33</v>
      </c>
      <c r="O1835" s="3">
        <v>499.06</v>
      </c>
      <c r="P1835" s="3">
        <v>0.14000000000000001</v>
      </c>
      <c r="Q1835" s="3">
        <v>298.12</v>
      </c>
      <c r="R1835" s="3">
        <v>0.09</v>
      </c>
      <c r="S1835">
        <v>9</v>
      </c>
      <c r="T1835">
        <v>1757.36</v>
      </c>
      <c r="U1835">
        <v>84</v>
      </c>
      <c r="V1835">
        <v>0</v>
      </c>
      <c r="W1835">
        <v>845.24</v>
      </c>
      <c r="X1835">
        <v>2526.4899999999998</v>
      </c>
      <c r="Y1835" t="s">
        <v>31</v>
      </c>
      <c r="Z1835" s="3">
        <v>1126.48</v>
      </c>
      <c r="AA1835" t="s">
        <v>37</v>
      </c>
      <c r="AB1835" t="s">
        <v>42</v>
      </c>
      <c r="AC1835">
        <v>21.5</v>
      </c>
      <c r="AD1835" t="s">
        <v>34</v>
      </c>
      <c r="AE1835">
        <v>1749.84</v>
      </c>
      <c r="AF1835">
        <v>0</v>
      </c>
    </row>
    <row r="1836" spans="3:32" x14ac:dyDescent="0.35">
      <c r="C1836" s="1">
        <v>44546</v>
      </c>
      <c r="D1836" s="2">
        <v>44531</v>
      </c>
      <c r="E1836">
        <v>1153</v>
      </c>
      <c r="F1836" s="3">
        <v>1771.53</v>
      </c>
      <c r="G1836" s="3">
        <v>3041.88</v>
      </c>
      <c r="H1836" s="3">
        <v>-1270.3499999999999</v>
      </c>
      <c r="I1836" s="3">
        <v>1.72</v>
      </c>
      <c r="J1836">
        <v>0.11</v>
      </c>
      <c r="K1836">
        <v>2161.4</v>
      </c>
      <c r="L1836" t="s">
        <v>35</v>
      </c>
      <c r="M1836">
        <v>668</v>
      </c>
      <c r="N1836">
        <v>0.31</v>
      </c>
      <c r="O1836" s="3">
        <v>517.04</v>
      </c>
      <c r="P1836" s="3">
        <v>0.28999999999999998</v>
      </c>
      <c r="Q1836" s="3">
        <v>0</v>
      </c>
      <c r="R1836" s="3">
        <v>0</v>
      </c>
      <c r="S1836">
        <v>6</v>
      </c>
      <c r="T1836">
        <v>1660.27</v>
      </c>
      <c r="U1836">
        <v>97</v>
      </c>
      <c r="V1836">
        <v>0</v>
      </c>
      <c r="W1836">
        <v>201.75</v>
      </c>
      <c r="X1836">
        <v>1941.55</v>
      </c>
      <c r="Y1836" t="s">
        <v>31</v>
      </c>
      <c r="Z1836" s="3">
        <v>1430.69</v>
      </c>
      <c r="AA1836" t="s">
        <v>40</v>
      </c>
      <c r="AB1836" t="s">
        <v>33</v>
      </c>
      <c r="AC1836">
        <v>98.9</v>
      </c>
      <c r="AD1836" t="s">
        <v>34</v>
      </c>
      <c r="AE1836">
        <v>0</v>
      </c>
      <c r="AF1836">
        <v>0</v>
      </c>
    </row>
    <row r="1837" spans="3:32" x14ac:dyDescent="0.35">
      <c r="C1837" s="1">
        <v>44546</v>
      </c>
      <c r="D1837" s="2">
        <v>44531</v>
      </c>
      <c r="E1837">
        <v>1964</v>
      </c>
      <c r="F1837" s="3">
        <v>3769.57</v>
      </c>
      <c r="G1837" s="3">
        <v>2147.3000000000002</v>
      </c>
      <c r="H1837" s="3">
        <v>1622.27</v>
      </c>
      <c r="I1837" s="3">
        <v>0.56999999999999995</v>
      </c>
      <c r="J1837">
        <v>0.22</v>
      </c>
      <c r="K1837">
        <v>2945.18</v>
      </c>
      <c r="L1837" t="s">
        <v>30</v>
      </c>
      <c r="M1837">
        <v>749</v>
      </c>
      <c r="N1837">
        <v>0.59</v>
      </c>
      <c r="O1837" s="3">
        <v>496.21</v>
      </c>
      <c r="P1837" s="3">
        <v>0.13</v>
      </c>
      <c r="Q1837" s="3">
        <v>382.31</v>
      </c>
      <c r="R1837" s="3">
        <v>0.1</v>
      </c>
      <c r="S1837">
        <v>9</v>
      </c>
      <c r="T1837">
        <v>817.22</v>
      </c>
      <c r="U1837">
        <v>30</v>
      </c>
      <c r="V1837">
        <v>0</v>
      </c>
      <c r="W1837">
        <v>549.86</v>
      </c>
      <c r="X1837">
        <v>2624.53</v>
      </c>
      <c r="Y1837" t="s">
        <v>36</v>
      </c>
      <c r="Z1837" s="3">
        <v>1323.22</v>
      </c>
      <c r="AA1837" t="s">
        <v>41</v>
      </c>
      <c r="AB1837" t="s">
        <v>33</v>
      </c>
      <c r="AC1837">
        <v>88.5</v>
      </c>
      <c r="AD1837" t="s">
        <v>34</v>
      </c>
      <c r="AE1837">
        <v>1622.27</v>
      </c>
      <c r="AF1837">
        <v>0</v>
      </c>
    </row>
    <row r="1838" spans="3:32" x14ac:dyDescent="0.35">
      <c r="C1838" s="1">
        <v>44546</v>
      </c>
      <c r="D1838" s="2">
        <v>44531</v>
      </c>
      <c r="E1838">
        <v>1934</v>
      </c>
      <c r="F1838" s="3">
        <v>3372.74</v>
      </c>
      <c r="G1838" s="3">
        <v>2818.82</v>
      </c>
      <c r="H1838" s="3">
        <v>553.91999999999996</v>
      </c>
      <c r="I1838" s="3">
        <v>0.84</v>
      </c>
      <c r="J1838">
        <v>0.12</v>
      </c>
      <c r="K1838">
        <v>3076.84</v>
      </c>
      <c r="L1838" t="s">
        <v>30</v>
      </c>
      <c r="M1838">
        <v>747</v>
      </c>
      <c r="N1838">
        <v>0.57999999999999996</v>
      </c>
      <c r="O1838" s="3">
        <v>636.99</v>
      </c>
      <c r="P1838" s="3">
        <v>0.19</v>
      </c>
      <c r="Q1838" s="3">
        <v>329.37</v>
      </c>
      <c r="R1838" s="3">
        <v>0.1</v>
      </c>
      <c r="S1838">
        <v>6</v>
      </c>
      <c r="T1838">
        <v>1190.17</v>
      </c>
      <c r="U1838">
        <v>91</v>
      </c>
      <c r="V1838">
        <v>0</v>
      </c>
      <c r="W1838">
        <v>753.01</v>
      </c>
      <c r="X1838">
        <v>2052.9499999999998</v>
      </c>
      <c r="Y1838" t="s">
        <v>36</v>
      </c>
      <c r="Z1838" s="3">
        <v>1528.9</v>
      </c>
      <c r="AA1838" t="s">
        <v>37</v>
      </c>
      <c r="AB1838" t="s">
        <v>33</v>
      </c>
      <c r="AC1838">
        <v>63.4</v>
      </c>
      <c r="AD1838" t="s">
        <v>34</v>
      </c>
      <c r="AE1838">
        <v>553.91999999999996</v>
      </c>
      <c r="AF1838">
        <v>0</v>
      </c>
    </row>
    <row r="1839" spans="3:32" x14ac:dyDescent="0.35">
      <c r="C1839" s="1">
        <v>44546</v>
      </c>
      <c r="D1839" s="2">
        <v>44531</v>
      </c>
      <c r="E1839">
        <v>1670</v>
      </c>
      <c r="F1839" s="3">
        <v>4570.17</v>
      </c>
      <c r="G1839" s="3">
        <v>3163.22</v>
      </c>
      <c r="H1839" s="3">
        <v>1406.95</v>
      </c>
      <c r="I1839" s="3">
        <v>0.69</v>
      </c>
      <c r="J1839">
        <v>0.39</v>
      </c>
      <c r="K1839">
        <v>2395.65</v>
      </c>
      <c r="L1839" t="s">
        <v>35</v>
      </c>
      <c r="M1839">
        <v>620</v>
      </c>
      <c r="N1839">
        <v>0.47</v>
      </c>
      <c r="O1839" s="3">
        <v>107.82</v>
      </c>
      <c r="P1839" s="3">
        <v>0.02</v>
      </c>
      <c r="Q1839" s="3">
        <v>242.79</v>
      </c>
      <c r="R1839" s="3">
        <v>0.05</v>
      </c>
      <c r="S1839">
        <v>4</v>
      </c>
      <c r="T1839">
        <v>43.48</v>
      </c>
      <c r="U1839">
        <v>50</v>
      </c>
      <c r="V1839">
        <v>0</v>
      </c>
      <c r="W1839">
        <v>532.75</v>
      </c>
      <c r="X1839">
        <v>1037.99</v>
      </c>
      <c r="Y1839" t="s">
        <v>36</v>
      </c>
      <c r="Z1839" s="3">
        <v>1510.66</v>
      </c>
      <c r="AA1839" t="s">
        <v>45</v>
      </c>
      <c r="AB1839" t="s">
        <v>33</v>
      </c>
      <c r="AC1839">
        <v>65.099999999999994</v>
      </c>
      <c r="AD1839" t="s">
        <v>34</v>
      </c>
      <c r="AE1839">
        <v>1406.95</v>
      </c>
      <c r="AF1839">
        <v>0</v>
      </c>
    </row>
    <row r="1840" spans="3:32" x14ac:dyDescent="0.35">
      <c r="C1840" s="1">
        <v>44546</v>
      </c>
      <c r="D1840" s="2">
        <v>44531</v>
      </c>
      <c r="E1840">
        <v>1701</v>
      </c>
      <c r="F1840" s="3">
        <v>4641.3100000000004</v>
      </c>
      <c r="G1840" s="3">
        <v>3614.52</v>
      </c>
      <c r="H1840" s="3">
        <v>1026.79</v>
      </c>
      <c r="I1840" s="3">
        <v>0.78</v>
      </c>
      <c r="J1840">
        <v>0.3</v>
      </c>
      <c r="K1840">
        <v>1501.54</v>
      </c>
      <c r="L1840" t="s">
        <v>30</v>
      </c>
      <c r="M1840">
        <v>668</v>
      </c>
      <c r="N1840">
        <v>0.18</v>
      </c>
      <c r="O1840" s="3">
        <v>959.17</v>
      </c>
      <c r="P1840" s="3">
        <v>0.21</v>
      </c>
      <c r="Q1840" s="3">
        <v>673.59</v>
      </c>
      <c r="R1840" s="3">
        <v>0.15</v>
      </c>
      <c r="S1840">
        <v>8</v>
      </c>
      <c r="T1840">
        <v>1289.3699999999999</v>
      </c>
      <c r="U1840">
        <v>43</v>
      </c>
      <c r="V1840">
        <v>0</v>
      </c>
      <c r="W1840">
        <v>686.51</v>
      </c>
      <c r="X1840">
        <v>2691.27</v>
      </c>
      <c r="Y1840" t="s">
        <v>36</v>
      </c>
      <c r="Z1840" s="3">
        <v>1663.28</v>
      </c>
      <c r="AA1840" t="s">
        <v>37</v>
      </c>
      <c r="AB1840" t="s">
        <v>33</v>
      </c>
      <c r="AC1840">
        <v>88.9</v>
      </c>
      <c r="AD1840" t="s">
        <v>34</v>
      </c>
      <c r="AE1840">
        <v>1026.79</v>
      </c>
      <c r="AF1840">
        <v>0</v>
      </c>
    </row>
    <row r="1841" spans="3:32" x14ac:dyDescent="0.35">
      <c r="C1841" s="1">
        <v>44546</v>
      </c>
      <c r="D1841" s="2">
        <v>44531</v>
      </c>
      <c r="E1841">
        <v>1823</v>
      </c>
      <c r="F1841" s="3">
        <v>3834.31</v>
      </c>
      <c r="G1841" s="3">
        <v>2677.87</v>
      </c>
      <c r="H1841" s="3">
        <v>1156.44</v>
      </c>
      <c r="I1841" s="3">
        <v>0.7</v>
      </c>
      <c r="J1841">
        <v>0.39</v>
      </c>
      <c r="K1841">
        <v>2859.29</v>
      </c>
      <c r="L1841" t="s">
        <v>35</v>
      </c>
      <c r="M1841">
        <v>689</v>
      </c>
      <c r="N1841">
        <v>0.17</v>
      </c>
      <c r="O1841" s="3">
        <v>528.66999999999996</v>
      </c>
      <c r="P1841" s="3">
        <v>0.14000000000000001</v>
      </c>
      <c r="Q1841" s="3">
        <v>496.63</v>
      </c>
      <c r="R1841" s="3">
        <v>0.13</v>
      </c>
      <c r="S1841">
        <v>2</v>
      </c>
      <c r="T1841">
        <v>1267.03</v>
      </c>
      <c r="U1841">
        <v>24</v>
      </c>
      <c r="V1841">
        <v>0</v>
      </c>
      <c r="W1841">
        <v>470.94</v>
      </c>
      <c r="X1841">
        <v>1928.98</v>
      </c>
      <c r="Y1841" t="s">
        <v>36</v>
      </c>
      <c r="Z1841" s="3">
        <v>1252.3499999999999</v>
      </c>
      <c r="AA1841" t="s">
        <v>37</v>
      </c>
      <c r="AB1841" t="s">
        <v>33</v>
      </c>
      <c r="AC1841">
        <v>96</v>
      </c>
      <c r="AD1841" t="s">
        <v>43</v>
      </c>
      <c r="AE1841">
        <v>1156.44</v>
      </c>
      <c r="AF1841">
        <v>0</v>
      </c>
    </row>
    <row r="1842" spans="3:32" x14ac:dyDescent="0.35">
      <c r="C1842" s="1">
        <v>44546</v>
      </c>
      <c r="D1842" s="2">
        <v>44531</v>
      </c>
      <c r="E1842">
        <v>1699</v>
      </c>
      <c r="F1842" s="3">
        <v>3939.2</v>
      </c>
      <c r="G1842" s="3">
        <v>4184.22</v>
      </c>
      <c r="H1842" s="3">
        <v>-245.02</v>
      </c>
      <c r="I1842" s="3">
        <v>1.06</v>
      </c>
      <c r="J1842">
        <v>0.28999999999999998</v>
      </c>
      <c r="K1842">
        <v>2081.92</v>
      </c>
      <c r="L1842" t="s">
        <v>30</v>
      </c>
      <c r="M1842">
        <v>577</v>
      </c>
      <c r="N1842">
        <v>0.38</v>
      </c>
      <c r="O1842" s="3">
        <v>680.05</v>
      </c>
      <c r="P1842" s="3">
        <v>0.17</v>
      </c>
      <c r="Q1842" s="3">
        <v>344.16</v>
      </c>
      <c r="R1842" s="3">
        <v>0.09</v>
      </c>
      <c r="S1842">
        <v>5</v>
      </c>
      <c r="T1842">
        <v>1769.05</v>
      </c>
      <c r="U1842">
        <v>79</v>
      </c>
      <c r="V1842">
        <v>0</v>
      </c>
      <c r="W1842">
        <v>416.59</v>
      </c>
      <c r="X1842">
        <v>2163.71</v>
      </c>
      <c r="Y1842" t="s">
        <v>36</v>
      </c>
      <c r="Z1842" s="3">
        <v>1352.37</v>
      </c>
      <c r="AA1842" t="s">
        <v>37</v>
      </c>
      <c r="AB1842" t="s">
        <v>33</v>
      </c>
      <c r="AC1842">
        <v>11.4</v>
      </c>
      <c r="AD1842" t="s">
        <v>34</v>
      </c>
      <c r="AE1842">
        <v>0</v>
      </c>
      <c r="AF1842">
        <v>0</v>
      </c>
    </row>
    <row r="1843" spans="3:32" x14ac:dyDescent="0.35">
      <c r="C1843" s="1">
        <v>44546</v>
      </c>
      <c r="D1843" s="2">
        <v>44531</v>
      </c>
      <c r="E1843">
        <v>1505</v>
      </c>
      <c r="F1843" s="3">
        <v>3257.18</v>
      </c>
      <c r="G1843" s="3">
        <v>4136.18</v>
      </c>
      <c r="H1843" s="3">
        <v>-879</v>
      </c>
      <c r="I1843" s="3">
        <v>1.27</v>
      </c>
      <c r="J1843">
        <v>0.16</v>
      </c>
      <c r="K1843">
        <v>2506.21</v>
      </c>
      <c r="L1843" t="s">
        <v>35</v>
      </c>
      <c r="M1843">
        <v>747</v>
      </c>
      <c r="N1843">
        <v>0.31</v>
      </c>
      <c r="O1843" s="3">
        <v>586.96</v>
      </c>
      <c r="P1843" s="3">
        <v>0.18</v>
      </c>
      <c r="Q1843" s="3">
        <v>106.42</v>
      </c>
      <c r="R1843" s="3">
        <v>0.03</v>
      </c>
      <c r="S1843">
        <v>8</v>
      </c>
      <c r="T1843">
        <v>1637.71</v>
      </c>
      <c r="U1843">
        <v>20</v>
      </c>
      <c r="V1843">
        <v>0</v>
      </c>
      <c r="W1843">
        <v>261.82</v>
      </c>
      <c r="X1843">
        <v>1829.9</v>
      </c>
      <c r="Y1843" t="s">
        <v>49</v>
      </c>
      <c r="Z1843" s="3">
        <v>300</v>
      </c>
      <c r="AA1843" t="s">
        <v>40</v>
      </c>
      <c r="AB1843" t="s">
        <v>42</v>
      </c>
      <c r="AC1843">
        <v>27.4</v>
      </c>
      <c r="AD1843" t="s">
        <v>38</v>
      </c>
      <c r="AE1843">
        <v>0</v>
      </c>
      <c r="AF1843">
        <v>0</v>
      </c>
    </row>
    <row r="1844" spans="3:32" x14ac:dyDescent="0.35">
      <c r="C1844" s="1">
        <v>44546</v>
      </c>
      <c r="D1844" s="2">
        <v>44531</v>
      </c>
      <c r="E1844">
        <v>1817</v>
      </c>
      <c r="F1844" s="3">
        <v>4674.79</v>
      </c>
      <c r="G1844" s="3">
        <v>4273.9399999999996</v>
      </c>
      <c r="H1844" s="3">
        <v>400.85</v>
      </c>
      <c r="I1844" s="3">
        <v>0.91</v>
      </c>
      <c r="J1844">
        <v>0.16</v>
      </c>
      <c r="K1844">
        <v>2409.7600000000002</v>
      </c>
      <c r="L1844" t="s">
        <v>30</v>
      </c>
      <c r="M1844">
        <v>691</v>
      </c>
      <c r="N1844">
        <v>0.28000000000000003</v>
      </c>
      <c r="O1844" s="3">
        <v>436.77</v>
      </c>
      <c r="P1844" s="3">
        <v>0.09</v>
      </c>
      <c r="Q1844" s="3">
        <v>417.71</v>
      </c>
      <c r="R1844" s="3">
        <v>0.09</v>
      </c>
      <c r="S1844">
        <v>9</v>
      </c>
      <c r="T1844">
        <v>314.81</v>
      </c>
      <c r="U1844">
        <v>57</v>
      </c>
      <c r="V1844">
        <v>0</v>
      </c>
      <c r="W1844">
        <v>850.33</v>
      </c>
      <c r="X1844">
        <v>1914.88</v>
      </c>
      <c r="Y1844" t="s">
        <v>36</v>
      </c>
      <c r="Z1844" s="3">
        <v>565.38</v>
      </c>
      <c r="AA1844" t="s">
        <v>40</v>
      </c>
      <c r="AB1844" t="s">
        <v>33</v>
      </c>
      <c r="AC1844">
        <v>21.3</v>
      </c>
      <c r="AD1844" t="s">
        <v>38</v>
      </c>
      <c r="AE1844">
        <v>400.85</v>
      </c>
      <c r="AF1844">
        <v>0</v>
      </c>
    </row>
    <row r="1845" spans="3:32" x14ac:dyDescent="0.35">
      <c r="C1845" s="1">
        <v>44546</v>
      </c>
      <c r="D1845" s="2">
        <v>44531</v>
      </c>
      <c r="E1845">
        <v>1893</v>
      </c>
      <c r="F1845" s="3">
        <v>4150.37</v>
      </c>
      <c r="G1845" s="3">
        <v>4561.67</v>
      </c>
      <c r="H1845" s="3">
        <v>-411.3</v>
      </c>
      <c r="I1845" s="3">
        <v>1.1000000000000001</v>
      </c>
      <c r="J1845">
        <v>0.1</v>
      </c>
      <c r="K1845">
        <v>3145.24</v>
      </c>
      <c r="L1845" t="s">
        <v>30</v>
      </c>
      <c r="M1845">
        <v>567</v>
      </c>
      <c r="N1845">
        <v>0.51</v>
      </c>
      <c r="O1845" s="3">
        <v>396.46</v>
      </c>
      <c r="P1845" s="3">
        <v>0.1</v>
      </c>
      <c r="Q1845" s="3">
        <v>401.01</v>
      </c>
      <c r="R1845" s="3">
        <v>0.1</v>
      </c>
      <c r="S1845">
        <v>9</v>
      </c>
      <c r="T1845">
        <v>1752.97</v>
      </c>
      <c r="U1845">
        <v>96</v>
      </c>
      <c r="V1845">
        <v>0</v>
      </c>
      <c r="W1845">
        <v>561.57000000000005</v>
      </c>
      <c r="X1845">
        <v>2699.14</v>
      </c>
      <c r="Y1845" t="s">
        <v>36</v>
      </c>
      <c r="Z1845" s="3">
        <v>1098.27</v>
      </c>
      <c r="AA1845" t="s">
        <v>41</v>
      </c>
      <c r="AB1845" t="s">
        <v>42</v>
      </c>
      <c r="AC1845">
        <v>45.9</v>
      </c>
      <c r="AD1845" t="s">
        <v>34</v>
      </c>
      <c r="AE1845">
        <v>0</v>
      </c>
      <c r="AF1845">
        <v>0</v>
      </c>
    </row>
    <row r="1846" spans="3:32" x14ac:dyDescent="0.35">
      <c r="C1846" s="1">
        <v>44546</v>
      </c>
      <c r="D1846" s="2">
        <v>44531</v>
      </c>
      <c r="E1846">
        <v>1982</v>
      </c>
      <c r="F1846" s="3">
        <v>2677.14</v>
      </c>
      <c r="G1846" s="3">
        <v>1893.56</v>
      </c>
      <c r="H1846" s="3">
        <v>783.58</v>
      </c>
      <c r="I1846" s="3">
        <v>0.71</v>
      </c>
      <c r="J1846">
        <v>0.21</v>
      </c>
      <c r="K1846">
        <v>2126.29</v>
      </c>
      <c r="L1846" t="s">
        <v>30</v>
      </c>
      <c r="M1846">
        <v>743</v>
      </c>
      <c r="N1846">
        <v>0.51</v>
      </c>
      <c r="O1846" s="3">
        <v>452.15</v>
      </c>
      <c r="P1846" s="3">
        <v>0.17</v>
      </c>
      <c r="Q1846" s="3">
        <v>884.72</v>
      </c>
      <c r="R1846" s="3">
        <v>0.33</v>
      </c>
      <c r="S1846">
        <v>2</v>
      </c>
      <c r="T1846">
        <v>1257.92</v>
      </c>
      <c r="U1846">
        <v>27</v>
      </c>
      <c r="V1846">
        <v>0</v>
      </c>
      <c r="W1846">
        <v>555</v>
      </c>
      <c r="X1846">
        <v>3182.03</v>
      </c>
      <c r="Y1846" t="s">
        <v>49</v>
      </c>
      <c r="Z1846" s="3">
        <v>1154.29</v>
      </c>
      <c r="AA1846" t="s">
        <v>41</v>
      </c>
      <c r="AB1846" t="s">
        <v>33</v>
      </c>
      <c r="AC1846">
        <v>1.5</v>
      </c>
      <c r="AD1846" t="s">
        <v>34</v>
      </c>
      <c r="AE1846">
        <v>783.58</v>
      </c>
      <c r="AF1846">
        <v>0</v>
      </c>
    </row>
    <row r="1847" spans="3:32" x14ac:dyDescent="0.35">
      <c r="C1847" s="1">
        <v>44546</v>
      </c>
      <c r="D1847" s="2">
        <v>44531</v>
      </c>
      <c r="E1847">
        <v>1213</v>
      </c>
      <c r="F1847" s="3">
        <v>3878.21</v>
      </c>
      <c r="G1847" s="3">
        <v>4252.2700000000004</v>
      </c>
      <c r="H1847" s="3">
        <v>-374.06</v>
      </c>
      <c r="I1847" s="3">
        <v>1.1000000000000001</v>
      </c>
      <c r="J1847">
        <v>0.13</v>
      </c>
      <c r="K1847">
        <v>3011.93</v>
      </c>
      <c r="L1847" t="s">
        <v>35</v>
      </c>
      <c r="M1847">
        <v>737</v>
      </c>
      <c r="N1847">
        <v>0.25</v>
      </c>
      <c r="O1847" s="3">
        <v>445.08</v>
      </c>
      <c r="P1847" s="3">
        <v>0.11</v>
      </c>
      <c r="Q1847" s="3">
        <v>612.36</v>
      </c>
      <c r="R1847" s="3">
        <v>0.16</v>
      </c>
      <c r="S1847">
        <v>9</v>
      </c>
      <c r="T1847">
        <v>1199.01</v>
      </c>
      <c r="U1847">
        <v>37</v>
      </c>
      <c r="V1847">
        <v>0</v>
      </c>
      <c r="W1847">
        <v>489.46</v>
      </c>
      <c r="X1847">
        <v>3072.24</v>
      </c>
      <c r="Y1847" t="s">
        <v>36</v>
      </c>
      <c r="Z1847" s="3">
        <v>534.37</v>
      </c>
      <c r="AA1847" t="s">
        <v>41</v>
      </c>
      <c r="AB1847" t="s">
        <v>33</v>
      </c>
      <c r="AC1847">
        <v>56.4</v>
      </c>
      <c r="AD1847" t="s">
        <v>34</v>
      </c>
      <c r="AE1847">
        <v>0</v>
      </c>
      <c r="AF1847">
        <v>0</v>
      </c>
    </row>
    <row r="1848" spans="3:32" x14ac:dyDescent="0.35">
      <c r="C1848" s="1">
        <v>44546</v>
      </c>
      <c r="D1848" s="2">
        <v>44531</v>
      </c>
      <c r="E1848">
        <v>1756</v>
      </c>
      <c r="F1848" s="3">
        <v>2288.96</v>
      </c>
      <c r="G1848" s="3">
        <v>3012.86</v>
      </c>
      <c r="H1848" s="3">
        <v>-723.9</v>
      </c>
      <c r="I1848" s="3">
        <v>1.32</v>
      </c>
      <c r="J1848">
        <v>0.3</v>
      </c>
      <c r="K1848">
        <v>3148.11</v>
      </c>
      <c r="L1848" t="s">
        <v>35</v>
      </c>
      <c r="M1848">
        <v>656</v>
      </c>
      <c r="N1848">
        <v>0.47</v>
      </c>
      <c r="O1848" s="3">
        <v>563.98</v>
      </c>
      <c r="P1848" s="3">
        <v>0.25</v>
      </c>
      <c r="Q1848" s="3">
        <v>317.43</v>
      </c>
      <c r="R1848" s="3">
        <v>0.14000000000000001</v>
      </c>
      <c r="S1848">
        <v>1</v>
      </c>
      <c r="T1848">
        <v>897.06</v>
      </c>
      <c r="U1848">
        <v>33</v>
      </c>
      <c r="V1848">
        <v>0</v>
      </c>
      <c r="W1848">
        <v>535.46</v>
      </c>
      <c r="X1848">
        <v>2352.4699999999998</v>
      </c>
      <c r="Y1848" t="s">
        <v>31</v>
      </c>
      <c r="Z1848" s="3">
        <v>814.97</v>
      </c>
      <c r="AA1848" t="s">
        <v>40</v>
      </c>
      <c r="AB1848" t="s">
        <v>44</v>
      </c>
      <c r="AC1848">
        <v>75.099999999999994</v>
      </c>
      <c r="AD1848" t="s">
        <v>43</v>
      </c>
      <c r="AE1848">
        <v>0</v>
      </c>
      <c r="AF1848">
        <v>0</v>
      </c>
    </row>
    <row r="1849" spans="3:32" x14ac:dyDescent="0.35">
      <c r="C1849" s="1">
        <v>44546</v>
      </c>
      <c r="D1849" s="2">
        <v>44531</v>
      </c>
      <c r="E1849">
        <v>1005</v>
      </c>
      <c r="F1849" s="3">
        <v>4621.7700000000004</v>
      </c>
      <c r="G1849" s="3">
        <v>3289.25</v>
      </c>
      <c r="H1849" s="3">
        <v>1332.52</v>
      </c>
      <c r="I1849" s="3">
        <v>0.71</v>
      </c>
      <c r="J1849">
        <v>0.05</v>
      </c>
      <c r="K1849">
        <v>2779.03</v>
      </c>
      <c r="L1849" t="s">
        <v>35</v>
      </c>
      <c r="M1849">
        <v>767</v>
      </c>
      <c r="N1849">
        <v>0.3</v>
      </c>
      <c r="O1849" s="3">
        <v>612.69000000000005</v>
      </c>
      <c r="P1849" s="3">
        <v>0.13</v>
      </c>
      <c r="Q1849" s="3">
        <v>405.21</v>
      </c>
      <c r="R1849" s="3">
        <v>0.09</v>
      </c>
      <c r="S1849">
        <v>6</v>
      </c>
      <c r="T1849">
        <v>149.31</v>
      </c>
      <c r="U1849">
        <v>35</v>
      </c>
      <c r="V1849">
        <v>0</v>
      </c>
      <c r="W1849">
        <v>711.91</v>
      </c>
      <c r="X1849">
        <v>2145.2399999999998</v>
      </c>
      <c r="Y1849" t="s">
        <v>49</v>
      </c>
      <c r="Z1849" s="3">
        <v>680.52</v>
      </c>
      <c r="AA1849" t="s">
        <v>47</v>
      </c>
      <c r="AB1849" t="s">
        <v>33</v>
      </c>
      <c r="AC1849">
        <v>46.1</v>
      </c>
      <c r="AD1849" t="s">
        <v>34</v>
      </c>
      <c r="AE1849">
        <v>1332.52</v>
      </c>
      <c r="AF1849">
        <v>0</v>
      </c>
    </row>
    <row r="1850" spans="3:32" x14ac:dyDescent="0.35">
      <c r="C1850" s="1">
        <v>44546</v>
      </c>
      <c r="D1850" s="2">
        <v>44531</v>
      </c>
      <c r="E1850">
        <v>1057</v>
      </c>
      <c r="F1850" s="3">
        <v>4668.63</v>
      </c>
      <c r="G1850" s="3">
        <v>3140.53</v>
      </c>
      <c r="H1850" s="3">
        <v>1528.1</v>
      </c>
      <c r="I1850" s="3">
        <v>0.67</v>
      </c>
      <c r="J1850">
        <v>0.19</v>
      </c>
      <c r="K1850">
        <v>2274.37</v>
      </c>
      <c r="L1850" t="s">
        <v>39</v>
      </c>
      <c r="M1850">
        <v>694</v>
      </c>
      <c r="N1850">
        <v>0.22</v>
      </c>
      <c r="O1850" s="3">
        <v>553.57000000000005</v>
      </c>
      <c r="P1850" s="3">
        <v>0.12</v>
      </c>
      <c r="Q1850" s="3">
        <v>0</v>
      </c>
      <c r="R1850" s="3">
        <v>0</v>
      </c>
      <c r="S1850">
        <v>2</v>
      </c>
      <c r="T1850">
        <v>1169.19</v>
      </c>
      <c r="U1850">
        <v>23</v>
      </c>
      <c r="V1850">
        <v>0</v>
      </c>
      <c r="W1850">
        <v>361.98</v>
      </c>
      <c r="X1850">
        <v>1982.72</v>
      </c>
      <c r="Y1850" t="s">
        <v>36</v>
      </c>
      <c r="Z1850" s="3">
        <v>656.45</v>
      </c>
      <c r="AA1850" t="s">
        <v>46</v>
      </c>
      <c r="AB1850" t="s">
        <v>33</v>
      </c>
      <c r="AC1850">
        <v>63.2</v>
      </c>
      <c r="AD1850" t="s">
        <v>43</v>
      </c>
      <c r="AE1850">
        <v>1528.1</v>
      </c>
      <c r="AF1850">
        <v>0</v>
      </c>
    </row>
    <row r="1851" spans="3:32" x14ac:dyDescent="0.35">
      <c r="C1851" s="1">
        <v>44546</v>
      </c>
      <c r="D1851" s="2">
        <v>44531</v>
      </c>
      <c r="E1851">
        <v>1003</v>
      </c>
      <c r="F1851" s="3">
        <v>4757.29</v>
      </c>
      <c r="G1851" s="3">
        <v>3222</v>
      </c>
      <c r="H1851" s="3">
        <v>1535.29</v>
      </c>
      <c r="I1851" s="3">
        <v>0.68</v>
      </c>
      <c r="J1851">
        <v>0.22</v>
      </c>
      <c r="K1851">
        <v>2479.19</v>
      </c>
      <c r="L1851" t="s">
        <v>35</v>
      </c>
      <c r="M1851">
        <v>703</v>
      </c>
      <c r="N1851">
        <v>0.45</v>
      </c>
      <c r="O1851" s="3">
        <v>505.99</v>
      </c>
      <c r="P1851" s="3">
        <v>0.11</v>
      </c>
      <c r="Q1851" s="3">
        <v>474.38</v>
      </c>
      <c r="R1851" s="3">
        <v>0.1</v>
      </c>
      <c r="S1851">
        <v>4</v>
      </c>
      <c r="T1851">
        <v>1480.14</v>
      </c>
      <c r="U1851">
        <v>69</v>
      </c>
      <c r="V1851">
        <v>0</v>
      </c>
      <c r="W1851">
        <v>667.41</v>
      </c>
      <c r="X1851">
        <v>2888.12</v>
      </c>
      <c r="Y1851" t="s">
        <v>36</v>
      </c>
      <c r="Z1851" s="3">
        <v>1714.23</v>
      </c>
      <c r="AA1851" t="s">
        <v>41</v>
      </c>
      <c r="AB1851" t="s">
        <v>42</v>
      </c>
      <c r="AC1851">
        <v>76.400000000000006</v>
      </c>
      <c r="AD1851" t="s">
        <v>43</v>
      </c>
      <c r="AE1851">
        <v>1535.29</v>
      </c>
      <c r="AF1851">
        <v>0</v>
      </c>
    </row>
    <row r="1852" spans="3:32" x14ac:dyDescent="0.35">
      <c r="C1852" s="1">
        <v>44576</v>
      </c>
      <c r="D1852" s="2">
        <v>44562</v>
      </c>
      <c r="E1852">
        <v>1776</v>
      </c>
      <c r="F1852" s="3">
        <v>4276.99</v>
      </c>
      <c r="G1852" s="3">
        <v>2785.21</v>
      </c>
      <c r="H1852" s="3">
        <v>1491.78</v>
      </c>
      <c r="I1852" s="3">
        <v>0.65</v>
      </c>
      <c r="J1852">
        <v>0.31</v>
      </c>
      <c r="K1852">
        <v>3381.24</v>
      </c>
      <c r="L1852" t="s">
        <v>30</v>
      </c>
      <c r="M1852">
        <v>731</v>
      </c>
      <c r="N1852">
        <v>0.22</v>
      </c>
      <c r="O1852" s="3">
        <v>480.68</v>
      </c>
      <c r="P1852" s="3">
        <v>0.11</v>
      </c>
      <c r="Q1852" s="3">
        <v>282.26</v>
      </c>
      <c r="R1852" s="3">
        <v>7.0000000000000007E-2</v>
      </c>
      <c r="S1852">
        <v>7</v>
      </c>
      <c r="T1852">
        <v>2344.5300000000002</v>
      </c>
      <c r="U1852">
        <v>29</v>
      </c>
      <c r="V1852">
        <v>0</v>
      </c>
      <c r="W1852">
        <v>482.68</v>
      </c>
      <c r="X1852">
        <v>2102.2800000000002</v>
      </c>
      <c r="Y1852" t="s">
        <v>31</v>
      </c>
      <c r="Z1852" s="3">
        <v>866.95</v>
      </c>
      <c r="AA1852" t="s">
        <v>46</v>
      </c>
      <c r="AB1852" t="s">
        <v>33</v>
      </c>
      <c r="AC1852">
        <v>46.9</v>
      </c>
      <c r="AD1852" t="s">
        <v>38</v>
      </c>
      <c r="AE1852">
        <v>1491.78</v>
      </c>
      <c r="AF1852">
        <v>0</v>
      </c>
    </row>
    <row r="1853" spans="3:32" x14ac:dyDescent="0.35">
      <c r="C1853" s="1">
        <v>44576</v>
      </c>
      <c r="D1853" s="2">
        <v>44562</v>
      </c>
      <c r="E1853">
        <v>1895</v>
      </c>
      <c r="F1853" s="3">
        <v>3150.47</v>
      </c>
      <c r="G1853" s="3">
        <v>2759.67</v>
      </c>
      <c r="H1853" s="3">
        <v>390.8</v>
      </c>
      <c r="I1853" s="3">
        <v>0.88</v>
      </c>
      <c r="J1853">
        <v>0.05</v>
      </c>
      <c r="K1853">
        <v>2711.72</v>
      </c>
      <c r="L1853" t="s">
        <v>30</v>
      </c>
      <c r="M1853">
        <v>753</v>
      </c>
      <c r="N1853">
        <v>0.16</v>
      </c>
      <c r="O1853" s="3">
        <v>538.51</v>
      </c>
      <c r="P1853" s="3">
        <v>0.17</v>
      </c>
      <c r="Q1853" s="3">
        <v>418.16</v>
      </c>
      <c r="R1853" s="3">
        <v>0.13</v>
      </c>
      <c r="S1853">
        <v>6</v>
      </c>
      <c r="T1853">
        <v>689.26</v>
      </c>
      <c r="U1853">
        <v>52</v>
      </c>
      <c r="V1853">
        <v>0</v>
      </c>
      <c r="W1853">
        <v>748.25</v>
      </c>
      <c r="X1853">
        <v>1384.25</v>
      </c>
      <c r="Y1853" t="s">
        <v>36</v>
      </c>
      <c r="Z1853" s="3">
        <v>1101.52</v>
      </c>
      <c r="AA1853" t="s">
        <v>41</v>
      </c>
      <c r="AB1853" t="s">
        <v>42</v>
      </c>
      <c r="AC1853">
        <v>8.8000000000000007</v>
      </c>
      <c r="AD1853" t="s">
        <v>34</v>
      </c>
      <c r="AE1853">
        <v>390.8</v>
      </c>
      <c r="AF1853">
        <v>0</v>
      </c>
    </row>
    <row r="1854" spans="3:32" x14ac:dyDescent="0.35">
      <c r="C1854" s="1">
        <v>44576</v>
      </c>
      <c r="D1854" s="2">
        <v>44562</v>
      </c>
      <c r="E1854">
        <v>1117</v>
      </c>
      <c r="F1854" s="3">
        <v>4224.96</v>
      </c>
      <c r="G1854" s="3">
        <v>2896.18</v>
      </c>
      <c r="H1854" s="3">
        <v>1328.78</v>
      </c>
      <c r="I1854" s="3">
        <v>0.69</v>
      </c>
      <c r="J1854">
        <v>0.23</v>
      </c>
      <c r="K1854">
        <v>3389</v>
      </c>
      <c r="L1854" t="s">
        <v>39</v>
      </c>
      <c r="M1854">
        <v>590</v>
      </c>
      <c r="N1854">
        <v>0.39</v>
      </c>
      <c r="O1854" s="3">
        <v>478.88</v>
      </c>
      <c r="P1854" s="3">
        <v>0.11</v>
      </c>
      <c r="Q1854" s="3">
        <v>113.33</v>
      </c>
      <c r="R1854" s="3">
        <v>0.03</v>
      </c>
      <c r="S1854">
        <v>4</v>
      </c>
      <c r="T1854">
        <v>632.33000000000004</v>
      </c>
      <c r="U1854">
        <v>93</v>
      </c>
      <c r="V1854">
        <v>0</v>
      </c>
      <c r="W1854">
        <v>748.45</v>
      </c>
      <c r="X1854">
        <v>1618.49</v>
      </c>
      <c r="Y1854" t="s">
        <v>36</v>
      </c>
      <c r="Z1854" s="3">
        <v>647.79</v>
      </c>
      <c r="AA1854" t="s">
        <v>40</v>
      </c>
      <c r="AB1854" t="s">
        <v>33</v>
      </c>
      <c r="AC1854">
        <v>13.9</v>
      </c>
      <c r="AD1854" t="s">
        <v>34</v>
      </c>
      <c r="AE1854">
        <v>1328.78</v>
      </c>
      <c r="AF1854">
        <v>0</v>
      </c>
    </row>
    <row r="1855" spans="3:32" x14ac:dyDescent="0.35">
      <c r="C1855" s="1">
        <v>44576</v>
      </c>
      <c r="D1855" s="2">
        <v>44562</v>
      </c>
      <c r="E1855">
        <v>1528</v>
      </c>
      <c r="F1855" s="3">
        <v>2932.61</v>
      </c>
      <c r="G1855" s="3">
        <v>3926.52</v>
      </c>
      <c r="H1855" s="3">
        <v>-993.91</v>
      </c>
      <c r="I1855" s="3">
        <v>1.34</v>
      </c>
      <c r="J1855">
        <v>0.16</v>
      </c>
      <c r="K1855">
        <v>2976.24</v>
      </c>
      <c r="L1855" t="s">
        <v>35</v>
      </c>
      <c r="M1855">
        <v>714</v>
      </c>
      <c r="N1855">
        <v>0.18</v>
      </c>
      <c r="O1855" s="3">
        <v>463.01</v>
      </c>
      <c r="P1855" s="3">
        <v>0.16</v>
      </c>
      <c r="Q1855" s="3">
        <v>0</v>
      </c>
      <c r="R1855" s="3">
        <v>0</v>
      </c>
      <c r="S1855">
        <v>3</v>
      </c>
      <c r="T1855">
        <v>534.47</v>
      </c>
      <c r="U1855">
        <v>60</v>
      </c>
      <c r="V1855">
        <v>0</v>
      </c>
      <c r="W1855">
        <v>261.2</v>
      </c>
      <c r="X1855">
        <v>2403.36</v>
      </c>
      <c r="Y1855" t="s">
        <v>36</v>
      </c>
      <c r="Z1855" s="3">
        <v>955.07</v>
      </c>
      <c r="AA1855" t="s">
        <v>46</v>
      </c>
      <c r="AB1855" t="s">
        <v>33</v>
      </c>
      <c r="AC1855">
        <v>11.7</v>
      </c>
      <c r="AD1855" t="s">
        <v>34</v>
      </c>
      <c r="AE1855">
        <v>0</v>
      </c>
      <c r="AF1855">
        <v>0</v>
      </c>
    </row>
    <row r="1856" spans="3:32" x14ac:dyDescent="0.35">
      <c r="C1856" s="1">
        <v>44576</v>
      </c>
      <c r="D1856" s="2">
        <v>44562</v>
      </c>
      <c r="E1856">
        <v>1378</v>
      </c>
      <c r="F1856" s="3">
        <v>4283.67</v>
      </c>
      <c r="G1856" s="3">
        <v>2417.46</v>
      </c>
      <c r="H1856" s="3">
        <v>1866.21</v>
      </c>
      <c r="I1856" s="3">
        <v>0.56000000000000005</v>
      </c>
      <c r="J1856">
        <v>0.35</v>
      </c>
      <c r="K1856">
        <v>2988.46</v>
      </c>
      <c r="L1856" t="s">
        <v>35</v>
      </c>
      <c r="M1856">
        <v>575</v>
      </c>
      <c r="N1856">
        <v>0.12</v>
      </c>
      <c r="O1856" s="3">
        <v>590.79999999999995</v>
      </c>
      <c r="P1856" s="3">
        <v>0.14000000000000001</v>
      </c>
      <c r="Q1856" s="3">
        <v>634.71</v>
      </c>
      <c r="R1856" s="3">
        <v>0.15</v>
      </c>
      <c r="S1856">
        <v>9</v>
      </c>
      <c r="T1856">
        <v>1505.59</v>
      </c>
      <c r="U1856">
        <v>33</v>
      </c>
      <c r="V1856">
        <v>0</v>
      </c>
      <c r="W1856">
        <v>782.71</v>
      </c>
      <c r="X1856">
        <v>2718.95</v>
      </c>
      <c r="Y1856" t="s">
        <v>36</v>
      </c>
      <c r="Z1856" s="3">
        <v>749.15</v>
      </c>
      <c r="AA1856" t="s">
        <v>45</v>
      </c>
      <c r="AB1856" t="s">
        <v>42</v>
      </c>
      <c r="AC1856">
        <v>59.3</v>
      </c>
      <c r="AD1856" t="s">
        <v>38</v>
      </c>
      <c r="AE1856">
        <v>1866.21</v>
      </c>
      <c r="AF1856">
        <v>0</v>
      </c>
    </row>
    <row r="1857" spans="3:32" x14ac:dyDescent="0.35">
      <c r="C1857" s="1">
        <v>44576</v>
      </c>
      <c r="D1857" s="2">
        <v>44562</v>
      </c>
      <c r="E1857">
        <v>1199</v>
      </c>
      <c r="F1857" s="3">
        <v>3659.97</v>
      </c>
      <c r="G1857" s="3">
        <v>2801.27</v>
      </c>
      <c r="H1857" s="3">
        <v>858.7</v>
      </c>
      <c r="I1857" s="3">
        <v>0.77</v>
      </c>
      <c r="J1857">
        <v>0.25</v>
      </c>
      <c r="K1857">
        <v>3232.5</v>
      </c>
      <c r="L1857" t="s">
        <v>35</v>
      </c>
      <c r="M1857">
        <v>630</v>
      </c>
      <c r="N1857">
        <v>0.1</v>
      </c>
      <c r="O1857" s="3">
        <v>445.12</v>
      </c>
      <c r="P1857" s="3">
        <v>0.12</v>
      </c>
      <c r="Q1857" s="3">
        <v>306.85000000000002</v>
      </c>
      <c r="R1857" s="3">
        <v>0.08</v>
      </c>
      <c r="S1857">
        <v>1</v>
      </c>
      <c r="T1857">
        <v>1109.42</v>
      </c>
      <c r="U1857">
        <v>41</v>
      </c>
      <c r="V1857">
        <v>0</v>
      </c>
      <c r="W1857">
        <v>347.53</v>
      </c>
      <c r="X1857">
        <v>1755.42</v>
      </c>
      <c r="Y1857" t="s">
        <v>36</v>
      </c>
      <c r="Z1857" s="3">
        <v>355.49</v>
      </c>
      <c r="AA1857" t="s">
        <v>50</v>
      </c>
      <c r="AB1857" t="s">
        <v>33</v>
      </c>
      <c r="AC1857">
        <v>41.7</v>
      </c>
      <c r="AD1857" t="s">
        <v>43</v>
      </c>
      <c r="AE1857">
        <v>858.7</v>
      </c>
      <c r="AF1857">
        <v>0</v>
      </c>
    </row>
    <row r="1858" spans="3:32" x14ac:dyDescent="0.35">
      <c r="C1858" s="1">
        <v>44576</v>
      </c>
      <c r="D1858" s="2">
        <v>44562</v>
      </c>
      <c r="E1858">
        <v>1073</v>
      </c>
      <c r="F1858" s="3">
        <v>3525.79</v>
      </c>
      <c r="G1858" s="3">
        <v>2509.2800000000002</v>
      </c>
      <c r="H1858" s="3">
        <v>1016.51</v>
      </c>
      <c r="I1858" s="3">
        <v>0.71</v>
      </c>
      <c r="J1858">
        <v>0.38</v>
      </c>
      <c r="K1858">
        <v>3003.38</v>
      </c>
      <c r="L1858" t="s">
        <v>35</v>
      </c>
      <c r="M1858">
        <v>750</v>
      </c>
      <c r="N1858">
        <v>0.26</v>
      </c>
      <c r="O1858" s="3">
        <v>789.92</v>
      </c>
      <c r="P1858" s="3">
        <v>0.22</v>
      </c>
      <c r="Q1858" s="3">
        <v>646.9</v>
      </c>
      <c r="R1858" s="3">
        <v>0.18</v>
      </c>
      <c r="S1858">
        <v>6</v>
      </c>
      <c r="T1858">
        <v>363.48</v>
      </c>
      <c r="U1858">
        <v>76</v>
      </c>
      <c r="V1858">
        <v>0</v>
      </c>
      <c r="W1858">
        <v>653.28</v>
      </c>
      <c r="X1858">
        <v>2490.48</v>
      </c>
      <c r="Y1858" t="s">
        <v>36</v>
      </c>
      <c r="Z1858" s="3">
        <v>1158.3399999999999</v>
      </c>
      <c r="AA1858" t="s">
        <v>51</v>
      </c>
      <c r="AB1858" t="s">
        <v>33</v>
      </c>
      <c r="AC1858">
        <v>89.2</v>
      </c>
      <c r="AD1858" t="s">
        <v>43</v>
      </c>
      <c r="AE1858">
        <v>1016.51</v>
      </c>
      <c r="AF1858">
        <v>0</v>
      </c>
    </row>
    <row r="1859" spans="3:32" x14ac:dyDescent="0.35">
      <c r="C1859" s="1">
        <v>44576</v>
      </c>
      <c r="D1859" s="2">
        <v>44562</v>
      </c>
      <c r="E1859">
        <v>1351</v>
      </c>
      <c r="F1859" s="3">
        <v>3646.42</v>
      </c>
      <c r="G1859" s="3">
        <v>3513.52</v>
      </c>
      <c r="H1859" s="3">
        <v>132.9</v>
      </c>
      <c r="I1859" s="3">
        <v>0.96</v>
      </c>
      <c r="J1859">
        <v>0.3</v>
      </c>
      <c r="K1859">
        <v>3117.89</v>
      </c>
      <c r="L1859" t="s">
        <v>39</v>
      </c>
      <c r="M1859">
        <v>677</v>
      </c>
      <c r="N1859">
        <v>0.19</v>
      </c>
      <c r="O1859" s="3">
        <v>576.39</v>
      </c>
      <c r="P1859" s="3">
        <v>0.16</v>
      </c>
      <c r="Q1859" s="3">
        <v>425.7</v>
      </c>
      <c r="R1859" s="3">
        <v>0.12</v>
      </c>
      <c r="S1859">
        <v>6</v>
      </c>
      <c r="T1859">
        <v>1374.43</v>
      </c>
      <c r="U1859">
        <v>51</v>
      </c>
      <c r="V1859">
        <v>0</v>
      </c>
      <c r="W1859">
        <v>445.45</v>
      </c>
      <c r="X1859">
        <v>2637.07</v>
      </c>
      <c r="Y1859" t="s">
        <v>36</v>
      </c>
      <c r="Z1859" s="3">
        <v>1442.03</v>
      </c>
      <c r="AA1859" t="s">
        <v>47</v>
      </c>
      <c r="AB1859" t="s">
        <v>33</v>
      </c>
      <c r="AC1859">
        <v>23.4</v>
      </c>
      <c r="AD1859" t="s">
        <v>43</v>
      </c>
      <c r="AE1859">
        <v>132.9</v>
      </c>
      <c r="AF1859">
        <v>0</v>
      </c>
    </row>
    <row r="1860" spans="3:32" x14ac:dyDescent="0.35">
      <c r="C1860" s="1">
        <v>44576</v>
      </c>
      <c r="D1860" s="2">
        <v>44562</v>
      </c>
      <c r="E1860">
        <v>1533</v>
      </c>
      <c r="F1860" s="3">
        <v>4361.62</v>
      </c>
      <c r="G1860" s="3">
        <v>3684.98</v>
      </c>
      <c r="H1860" s="3">
        <v>676.64</v>
      </c>
      <c r="I1860" s="3">
        <v>0.84</v>
      </c>
      <c r="J1860">
        <v>0.38</v>
      </c>
      <c r="K1860">
        <v>3449.26</v>
      </c>
      <c r="L1860" t="s">
        <v>35</v>
      </c>
      <c r="M1860">
        <v>673</v>
      </c>
      <c r="N1860">
        <v>0.14000000000000001</v>
      </c>
      <c r="O1860" s="3">
        <v>393.36</v>
      </c>
      <c r="P1860" s="3">
        <v>0.09</v>
      </c>
      <c r="Q1860" s="3">
        <v>106.71</v>
      </c>
      <c r="R1860" s="3">
        <v>0.02</v>
      </c>
      <c r="S1860">
        <v>7</v>
      </c>
      <c r="T1860">
        <v>682.78</v>
      </c>
      <c r="U1860">
        <v>38</v>
      </c>
      <c r="V1860">
        <v>0</v>
      </c>
      <c r="W1860">
        <v>476.95</v>
      </c>
      <c r="X1860">
        <v>2050.61</v>
      </c>
      <c r="Y1860" t="s">
        <v>36</v>
      </c>
      <c r="Z1860" s="3">
        <v>1097.94</v>
      </c>
      <c r="AA1860" t="s">
        <v>51</v>
      </c>
      <c r="AB1860" t="s">
        <v>44</v>
      </c>
      <c r="AC1860">
        <v>88</v>
      </c>
      <c r="AD1860" t="s">
        <v>34</v>
      </c>
      <c r="AE1860">
        <v>676.64</v>
      </c>
      <c r="AF1860">
        <v>0</v>
      </c>
    </row>
    <row r="1861" spans="3:32" x14ac:dyDescent="0.35">
      <c r="C1861" s="1">
        <v>44576</v>
      </c>
      <c r="D1861" s="2">
        <v>44562</v>
      </c>
      <c r="E1861">
        <v>1369</v>
      </c>
      <c r="F1861" s="3">
        <v>4738.6899999999996</v>
      </c>
      <c r="G1861" s="3">
        <v>3342.15</v>
      </c>
      <c r="H1861" s="3">
        <v>1396.54</v>
      </c>
      <c r="I1861" s="3">
        <v>0.71</v>
      </c>
      <c r="J1861">
        <v>0.09</v>
      </c>
      <c r="K1861">
        <v>3274.18</v>
      </c>
      <c r="L1861" t="s">
        <v>39</v>
      </c>
      <c r="M1861">
        <v>640</v>
      </c>
      <c r="N1861">
        <v>0.22</v>
      </c>
      <c r="O1861" s="3">
        <v>493.76</v>
      </c>
      <c r="P1861" s="3">
        <v>0.1</v>
      </c>
      <c r="Q1861" s="3">
        <v>803.88</v>
      </c>
      <c r="R1861" s="3">
        <v>0.17</v>
      </c>
      <c r="S1861">
        <v>5</v>
      </c>
      <c r="T1861">
        <v>1816.54</v>
      </c>
      <c r="U1861">
        <v>68</v>
      </c>
      <c r="V1861">
        <v>1</v>
      </c>
      <c r="W1861">
        <v>813.58</v>
      </c>
      <c r="X1861">
        <v>3008.38</v>
      </c>
      <c r="Y1861" t="s">
        <v>31</v>
      </c>
      <c r="Z1861" s="3">
        <v>1049.49</v>
      </c>
      <c r="AA1861" t="s">
        <v>51</v>
      </c>
      <c r="AB1861" t="s">
        <v>44</v>
      </c>
      <c r="AC1861">
        <v>10.7</v>
      </c>
      <c r="AD1861" t="s">
        <v>38</v>
      </c>
      <c r="AE1861">
        <v>1396.54</v>
      </c>
      <c r="AF1861">
        <v>0</v>
      </c>
    </row>
    <row r="1862" spans="3:32" x14ac:dyDescent="0.35">
      <c r="C1862" s="1">
        <v>44576</v>
      </c>
      <c r="D1862" s="2">
        <v>44562</v>
      </c>
      <c r="E1862">
        <v>1888</v>
      </c>
      <c r="F1862" s="3">
        <v>3400.29</v>
      </c>
      <c r="G1862" s="3">
        <v>2324.12</v>
      </c>
      <c r="H1862" s="3">
        <v>1076.17</v>
      </c>
      <c r="I1862" s="3">
        <v>0.68</v>
      </c>
      <c r="J1862">
        <v>0.15</v>
      </c>
      <c r="K1862">
        <v>3066.71</v>
      </c>
      <c r="L1862" t="s">
        <v>30</v>
      </c>
      <c r="M1862">
        <v>713</v>
      </c>
      <c r="N1862">
        <v>0.51</v>
      </c>
      <c r="O1862" s="3">
        <v>503.49</v>
      </c>
      <c r="P1862" s="3">
        <v>0.15</v>
      </c>
      <c r="Q1862" s="3">
        <v>214.81</v>
      </c>
      <c r="R1862" s="3">
        <v>0.06</v>
      </c>
      <c r="S1862">
        <v>7</v>
      </c>
      <c r="T1862">
        <v>534.89</v>
      </c>
      <c r="U1862">
        <v>74</v>
      </c>
      <c r="V1862">
        <v>1</v>
      </c>
      <c r="W1862">
        <v>476.33</v>
      </c>
      <c r="X1862">
        <v>2655.42</v>
      </c>
      <c r="Y1862" t="s">
        <v>36</v>
      </c>
      <c r="Z1862" s="3">
        <v>573.14</v>
      </c>
      <c r="AA1862" t="s">
        <v>50</v>
      </c>
      <c r="AB1862" t="s">
        <v>33</v>
      </c>
      <c r="AC1862">
        <v>13.4</v>
      </c>
      <c r="AD1862" t="s">
        <v>38</v>
      </c>
      <c r="AE1862">
        <v>1076.17</v>
      </c>
      <c r="AF1862">
        <v>0</v>
      </c>
    </row>
    <row r="1863" spans="3:32" x14ac:dyDescent="0.35">
      <c r="C1863" s="1">
        <v>44576</v>
      </c>
      <c r="D1863" s="2">
        <v>44562</v>
      </c>
      <c r="E1863">
        <v>1597</v>
      </c>
      <c r="F1863" s="3">
        <v>4048.72</v>
      </c>
      <c r="G1863" s="3">
        <v>3784.15</v>
      </c>
      <c r="H1863" s="3">
        <v>264.57</v>
      </c>
      <c r="I1863" s="3">
        <v>0.93</v>
      </c>
      <c r="J1863">
        <v>0.22</v>
      </c>
      <c r="K1863">
        <v>2530.6</v>
      </c>
      <c r="L1863" t="s">
        <v>35</v>
      </c>
      <c r="M1863">
        <v>603</v>
      </c>
      <c r="N1863">
        <v>0.59</v>
      </c>
      <c r="O1863" s="3">
        <v>339.36</v>
      </c>
      <c r="P1863" s="3">
        <v>0.08</v>
      </c>
      <c r="Q1863" s="3">
        <v>253.85</v>
      </c>
      <c r="R1863" s="3">
        <v>0.06</v>
      </c>
      <c r="S1863">
        <v>7</v>
      </c>
      <c r="T1863">
        <v>0</v>
      </c>
      <c r="U1863">
        <v>87</v>
      </c>
      <c r="V1863">
        <v>0</v>
      </c>
      <c r="W1863">
        <v>270.61</v>
      </c>
      <c r="X1863">
        <v>2067.6</v>
      </c>
      <c r="Y1863" t="s">
        <v>31</v>
      </c>
      <c r="Z1863" s="3">
        <v>1306.2</v>
      </c>
      <c r="AA1863" t="s">
        <v>47</v>
      </c>
      <c r="AB1863" t="s">
        <v>44</v>
      </c>
      <c r="AC1863">
        <v>51.7</v>
      </c>
      <c r="AD1863" t="s">
        <v>43</v>
      </c>
      <c r="AE1863">
        <v>264.57</v>
      </c>
      <c r="AF1863">
        <v>0</v>
      </c>
    </row>
    <row r="1864" spans="3:32" x14ac:dyDescent="0.35">
      <c r="C1864" s="1">
        <v>44576</v>
      </c>
      <c r="D1864" s="2">
        <v>44562</v>
      </c>
      <c r="E1864">
        <v>1968</v>
      </c>
      <c r="F1864" s="3">
        <v>3464.86</v>
      </c>
      <c r="G1864" s="3">
        <v>3484.6</v>
      </c>
      <c r="H1864" s="3">
        <v>-19.739999999999998</v>
      </c>
      <c r="I1864" s="3">
        <v>1.01</v>
      </c>
      <c r="J1864">
        <v>0.19</v>
      </c>
      <c r="K1864">
        <v>3205.74</v>
      </c>
      <c r="L1864" t="s">
        <v>35</v>
      </c>
      <c r="M1864">
        <v>667</v>
      </c>
      <c r="N1864">
        <v>0.23</v>
      </c>
      <c r="O1864" s="3">
        <v>236.69</v>
      </c>
      <c r="P1864" s="3">
        <v>7.0000000000000007E-2</v>
      </c>
      <c r="Q1864" s="3">
        <v>332.75</v>
      </c>
      <c r="R1864" s="3">
        <v>0.1</v>
      </c>
      <c r="S1864">
        <v>3</v>
      </c>
      <c r="T1864">
        <v>1285.67</v>
      </c>
      <c r="U1864">
        <v>48</v>
      </c>
      <c r="V1864">
        <v>0</v>
      </c>
      <c r="W1864">
        <v>477.9</v>
      </c>
      <c r="X1864">
        <v>2175.25</v>
      </c>
      <c r="Y1864" t="s">
        <v>36</v>
      </c>
      <c r="Z1864" s="3">
        <v>1112.1199999999999</v>
      </c>
      <c r="AA1864" t="s">
        <v>45</v>
      </c>
      <c r="AB1864" t="s">
        <v>44</v>
      </c>
      <c r="AC1864">
        <v>73.2</v>
      </c>
      <c r="AD1864" t="s">
        <v>38</v>
      </c>
      <c r="AE1864">
        <v>0</v>
      </c>
      <c r="AF1864">
        <v>0</v>
      </c>
    </row>
    <row r="1865" spans="3:32" x14ac:dyDescent="0.35">
      <c r="C1865" s="1">
        <v>44576</v>
      </c>
      <c r="D1865" s="2">
        <v>44562</v>
      </c>
      <c r="E1865">
        <v>1427</v>
      </c>
      <c r="F1865" s="3">
        <v>4726.75</v>
      </c>
      <c r="G1865" s="3">
        <v>3067.28</v>
      </c>
      <c r="H1865" s="3">
        <v>1659.47</v>
      </c>
      <c r="I1865" s="3">
        <v>0.65</v>
      </c>
      <c r="J1865">
        <v>0.19</v>
      </c>
      <c r="K1865">
        <v>3528.87</v>
      </c>
      <c r="L1865" t="s">
        <v>35</v>
      </c>
      <c r="M1865">
        <v>639</v>
      </c>
      <c r="N1865">
        <v>0.51</v>
      </c>
      <c r="O1865" s="3">
        <v>483.23</v>
      </c>
      <c r="P1865" s="3">
        <v>0.1</v>
      </c>
      <c r="Q1865" s="3">
        <v>288.54000000000002</v>
      </c>
      <c r="R1865" s="3">
        <v>0.06</v>
      </c>
      <c r="S1865">
        <v>3</v>
      </c>
      <c r="T1865">
        <v>1174.69</v>
      </c>
      <c r="U1865">
        <v>28</v>
      </c>
      <c r="V1865">
        <v>0</v>
      </c>
      <c r="W1865">
        <v>434.01</v>
      </c>
      <c r="X1865">
        <v>3379.51</v>
      </c>
      <c r="Y1865" t="s">
        <v>36</v>
      </c>
      <c r="Z1865" s="3">
        <v>733.32</v>
      </c>
      <c r="AA1865" t="s">
        <v>51</v>
      </c>
      <c r="AB1865" t="s">
        <v>42</v>
      </c>
      <c r="AC1865">
        <v>66.8</v>
      </c>
      <c r="AD1865" t="s">
        <v>43</v>
      </c>
      <c r="AE1865">
        <v>1659.47</v>
      </c>
      <c r="AF1865">
        <v>0</v>
      </c>
    </row>
    <row r="1866" spans="3:32" x14ac:dyDescent="0.35">
      <c r="C1866" s="1">
        <v>44576</v>
      </c>
      <c r="D1866" s="2">
        <v>44562</v>
      </c>
      <c r="E1866">
        <v>1722</v>
      </c>
      <c r="F1866" s="3">
        <v>3208.88</v>
      </c>
      <c r="G1866" s="3">
        <v>2980.67</v>
      </c>
      <c r="H1866" s="3">
        <v>228.21</v>
      </c>
      <c r="I1866" s="3">
        <v>0.93</v>
      </c>
      <c r="J1866">
        <v>0.38</v>
      </c>
      <c r="K1866">
        <v>3264.37</v>
      </c>
      <c r="L1866" t="s">
        <v>35</v>
      </c>
      <c r="M1866">
        <v>742</v>
      </c>
      <c r="N1866">
        <v>0.45</v>
      </c>
      <c r="O1866" s="3">
        <v>110.92</v>
      </c>
      <c r="P1866" s="3">
        <v>0.03</v>
      </c>
      <c r="Q1866" s="3">
        <v>371.97</v>
      </c>
      <c r="R1866" s="3">
        <v>0.12</v>
      </c>
      <c r="S1866">
        <v>1</v>
      </c>
      <c r="T1866">
        <v>698.05</v>
      </c>
      <c r="U1866">
        <v>52</v>
      </c>
      <c r="V1866">
        <v>0</v>
      </c>
      <c r="W1866">
        <v>498.56</v>
      </c>
      <c r="X1866">
        <v>2137.08</v>
      </c>
      <c r="Y1866" t="s">
        <v>36</v>
      </c>
      <c r="Z1866" s="3">
        <v>903.63</v>
      </c>
      <c r="AA1866" t="s">
        <v>32</v>
      </c>
      <c r="AB1866" t="s">
        <v>33</v>
      </c>
      <c r="AC1866">
        <v>96.9</v>
      </c>
      <c r="AD1866" t="s">
        <v>38</v>
      </c>
      <c r="AE1866">
        <v>228.21</v>
      </c>
      <c r="AF1866">
        <v>0</v>
      </c>
    </row>
    <row r="1867" spans="3:32" x14ac:dyDescent="0.35">
      <c r="C1867" s="1">
        <v>44576</v>
      </c>
      <c r="D1867" s="2">
        <v>44562</v>
      </c>
      <c r="E1867">
        <v>1472</v>
      </c>
      <c r="F1867" s="3">
        <v>3454.17</v>
      </c>
      <c r="G1867" s="3">
        <v>2425.12</v>
      </c>
      <c r="H1867" s="3">
        <v>1029.05</v>
      </c>
      <c r="I1867" s="3">
        <v>0.7</v>
      </c>
      <c r="J1867">
        <v>0.15</v>
      </c>
      <c r="K1867">
        <v>2486.3000000000002</v>
      </c>
      <c r="L1867" t="s">
        <v>35</v>
      </c>
      <c r="M1867">
        <v>680</v>
      </c>
      <c r="N1867">
        <v>0.54</v>
      </c>
      <c r="O1867" s="3">
        <v>658.93</v>
      </c>
      <c r="P1867" s="3">
        <v>0.19</v>
      </c>
      <c r="Q1867" s="3">
        <v>534.41</v>
      </c>
      <c r="R1867" s="3">
        <v>0.15</v>
      </c>
      <c r="S1867">
        <v>8</v>
      </c>
      <c r="T1867">
        <v>504.36</v>
      </c>
      <c r="U1867">
        <v>32</v>
      </c>
      <c r="V1867">
        <v>0</v>
      </c>
      <c r="W1867">
        <v>139.03</v>
      </c>
      <c r="X1867">
        <v>2095.8000000000002</v>
      </c>
      <c r="Y1867" t="s">
        <v>36</v>
      </c>
      <c r="Z1867" s="3">
        <v>1434.65</v>
      </c>
      <c r="AA1867" t="s">
        <v>40</v>
      </c>
      <c r="AB1867" t="s">
        <v>33</v>
      </c>
      <c r="AC1867">
        <v>98.1</v>
      </c>
      <c r="AD1867" t="s">
        <v>38</v>
      </c>
      <c r="AE1867">
        <v>1029.05</v>
      </c>
      <c r="AF1867">
        <v>0</v>
      </c>
    </row>
    <row r="1868" spans="3:32" x14ac:dyDescent="0.35">
      <c r="C1868" s="1">
        <v>44576</v>
      </c>
      <c r="D1868" s="2">
        <v>44562</v>
      </c>
      <c r="E1868">
        <v>1880</v>
      </c>
      <c r="F1868" s="3">
        <v>2884.27</v>
      </c>
      <c r="G1868" s="3">
        <v>3415.61</v>
      </c>
      <c r="H1868" s="3">
        <v>-531.34</v>
      </c>
      <c r="I1868" s="3">
        <v>1.18</v>
      </c>
      <c r="J1868">
        <v>0.2</v>
      </c>
      <c r="K1868">
        <v>2739.26</v>
      </c>
      <c r="L1868" t="s">
        <v>39</v>
      </c>
      <c r="M1868">
        <v>631</v>
      </c>
      <c r="N1868">
        <v>0.19</v>
      </c>
      <c r="O1868" s="3">
        <v>672.31</v>
      </c>
      <c r="P1868" s="3">
        <v>0.23</v>
      </c>
      <c r="Q1868" s="3">
        <v>394.98</v>
      </c>
      <c r="R1868" s="3">
        <v>0.14000000000000001</v>
      </c>
      <c r="S1868">
        <v>8</v>
      </c>
      <c r="T1868">
        <v>696.64</v>
      </c>
      <c r="U1868">
        <v>55</v>
      </c>
      <c r="V1868">
        <v>0</v>
      </c>
      <c r="W1868">
        <v>476.4</v>
      </c>
      <c r="X1868">
        <v>1632.41</v>
      </c>
      <c r="Y1868" t="s">
        <v>36</v>
      </c>
      <c r="Z1868" s="3">
        <v>1299.8499999999999</v>
      </c>
      <c r="AA1868" t="s">
        <v>51</v>
      </c>
      <c r="AB1868" t="s">
        <v>33</v>
      </c>
      <c r="AC1868">
        <v>10.199999999999999</v>
      </c>
      <c r="AD1868" t="s">
        <v>38</v>
      </c>
      <c r="AE1868">
        <v>0</v>
      </c>
      <c r="AF1868">
        <v>0</v>
      </c>
    </row>
    <row r="1869" spans="3:32" x14ac:dyDescent="0.35">
      <c r="C1869" s="1">
        <v>44576</v>
      </c>
      <c r="D1869" s="2">
        <v>44562</v>
      </c>
      <c r="E1869">
        <v>1058</v>
      </c>
      <c r="F1869" s="3">
        <v>2808.94</v>
      </c>
      <c r="G1869" s="3">
        <v>3056.73</v>
      </c>
      <c r="H1869" s="3">
        <v>-247.79</v>
      </c>
      <c r="I1869" s="3">
        <v>1.0900000000000001</v>
      </c>
      <c r="J1869">
        <v>0.13</v>
      </c>
      <c r="K1869">
        <v>2812.41</v>
      </c>
      <c r="L1869" t="s">
        <v>35</v>
      </c>
      <c r="M1869">
        <v>684</v>
      </c>
      <c r="N1869">
        <v>0.45</v>
      </c>
      <c r="O1869" s="3">
        <v>392.4</v>
      </c>
      <c r="P1869" s="3">
        <v>0.14000000000000001</v>
      </c>
      <c r="Q1869" s="3">
        <v>234.72</v>
      </c>
      <c r="R1869" s="3">
        <v>0.08</v>
      </c>
      <c r="S1869">
        <v>5</v>
      </c>
      <c r="T1869">
        <v>1009.11</v>
      </c>
      <c r="U1869">
        <v>37</v>
      </c>
      <c r="V1869">
        <v>0</v>
      </c>
      <c r="W1869">
        <v>388.82</v>
      </c>
      <c r="X1869">
        <v>2193.13</v>
      </c>
      <c r="Y1869" t="s">
        <v>36</v>
      </c>
      <c r="Z1869" s="3">
        <v>671.01</v>
      </c>
      <c r="AA1869" t="s">
        <v>41</v>
      </c>
      <c r="AB1869" t="s">
        <v>44</v>
      </c>
      <c r="AC1869">
        <v>45.6</v>
      </c>
      <c r="AD1869" t="s">
        <v>38</v>
      </c>
      <c r="AE1869">
        <v>0</v>
      </c>
      <c r="AF1869">
        <v>0</v>
      </c>
    </row>
    <row r="1870" spans="3:32" x14ac:dyDescent="0.35">
      <c r="C1870" s="1">
        <v>44576</v>
      </c>
      <c r="D1870" s="2">
        <v>44562</v>
      </c>
      <c r="E1870">
        <v>1095</v>
      </c>
      <c r="F1870" s="3">
        <v>4543.78</v>
      </c>
      <c r="G1870" s="3">
        <v>2845.01</v>
      </c>
      <c r="H1870" s="3">
        <v>1698.77</v>
      </c>
      <c r="I1870" s="3">
        <v>0.63</v>
      </c>
      <c r="J1870">
        <v>0.28999999999999998</v>
      </c>
      <c r="K1870">
        <v>2970.76</v>
      </c>
      <c r="L1870" t="s">
        <v>30</v>
      </c>
      <c r="M1870">
        <v>601</v>
      </c>
      <c r="N1870">
        <v>0.28999999999999998</v>
      </c>
      <c r="O1870" s="3">
        <v>822.61</v>
      </c>
      <c r="P1870" s="3">
        <v>0.18</v>
      </c>
      <c r="Q1870" s="3">
        <v>494.39</v>
      </c>
      <c r="R1870" s="3">
        <v>0.11</v>
      </c>
      <c r="S1870">
        <v>2</v>
      </c>
      <c r="T1870">
        <v>1283.0899999999999</v>
      </c>
      <c r="U1870">
        <v>31</v>
      </c>
      <c r="V1870">
        <v>0</v>
      </c>
      <c r="W1870">
        <v>267.11</v>
      </c>
      <c r="X1870">
        <v>3045.19</v>
      </c>
      <c r="Y1870" t="s">
        <v>36</v>
      </c>
      <c r="Z1870" s="3">
        <v>1787.76</v>
      </c>
      <c r="AA1870" t="s">
        <v>45</v>
      </c>
      <c r="AB1870" t="s">
        <v>33</v>
      </c>
      <c r="AC1870">
        <v>67.900000000000006</v>
      </c>
      <c r="AD1870" t="s">
        <v>38</v>
      </c>
      <c r="AE1870">
        <v>1698.77</v>
      </c>
      <c r="AF1870">
        <v>0</v>
      </c>
    </row>
    <row r="1871" spans="3:32" x14ac:dyDescent="0.35">
      <c r="C1871" s="1">
        <v>44576</v>
      </c>
      <c r="D1871" s="2">
        <v>44562</v>
      </c>
      <c r="E1871">
        <v>1125</v>
      </c>
      <c r="F1871" s="3">
        <v>2979.52</v>
      </c>
      <c r="G1871" s="3">
        <v>5236.6400000000003</v>
      </c>
      <c r="H1871" s="3">
        <v>-2257.12</v>
      </c>
      <c r="I1871" s="3">
        <v>1.76</v>
      </c>
      <c r="J1871">
        <v>0.28999999999999998</v>
      </c>
      <c r="K1871">
        <v>2809.77</v>
      </c>
      <c r="L1871" t="s">
        <v>39</v>
      </c>
      <c r="M1871">
        <v>664</v>
      </c>
      <c r="N1871">
        <v>0.13</v>
      </c>
      <c r="O1871" s="3">
        <v>819.59</v>
      </c>
      <c r="P1871" s="3">
        <v>0.28000000000000003</v>
      </c>
      <c r="Q1871" s="3">
        <v>703.07</v>
      </c>
      <c r="R1871" s="3">
        <v>0.24</v>
      </c>
      <c r="S1871">
        <v>7</v>
      </c>
      <c r="T1871">
        <v>561.32000000000005</v>
      </c>
      <c r="U1871">
        <v>71</v>
      </c>
      <c r="V1871">
        <v>0</v>
      </c>
      <c r="W1871">
        <v>152.1</v>
      </c>
      <c r="X1871">
        <v>2016.11</v>
      </c>
      <c r="Y1871" t="s">
        <v>31</v>
      </c>
      <c r="Z1871" s="3">
        <v>1546.44</v>
      </c>
      <c r="AA1871" t="s">
        <v>45</v>
      </c>
      <c r="AB1871" t="s">
        <v>33</v>
      </c>
      <c r="AC1871">
        <v>12.3</v>
      </c>
      <c r="AD1871" t="s">
        <v>43</v>
      </c>
      <c r="AE1871">
        <v>0</v>
      </c>
      <c r="AF1871">
        <v>0</v>
      </c>
    </row>
    <row r="1872" spans="3:32" x14ac:dyDescent="0.35">
      <c r="C1872" s="1">
        <v>44576</v>
      </c>
      <c r="D1872" s="2">
        <v>44562</v>
      </c>
      <c r="E1872">
        <v>1929</v>
      </c>
      <c r="F1872" s="3">
        <v>3620.88</v>
      </c>
      <c r="G1872" s="3">
        <v>3298.98</v>
      </c>
      <c r="H1872" s="3">
        <v>321.89999999999998</v>
      </c>
      <c r="I1872" s="3">
        <v>0.91</v>
      </c>
      <c r="J1872">
        <v>0.32</v>
      </c>
      <c r="K1872">
        <v>2812.08</v>
      </c>
      <c r="L1872" t="s">
        <v>35</v>
      </c>
      <c r="M1872">
        <v>677</v>
      </c>
      <c r="N1872">
        <v>0.37</v>
      </c>
      <c r="O1872" s="3">
        <v>513.96</v>
      </c>
      <c r="P1872" s="3">
        <v>0.14000000000000001</v>
      </c>
      <c r="Q1872" s="3">
        <v>452.34</v>
      </c>
      <c r="R1872" s="3">
        <v>0.12</v>
      </c>
      <c r="S1872">
        <v>2</v>
      </c>
      <c r="T1872">
        <v>807.51</v>
      </c>
      <c r="U1872">
        <v>50</v>
      </c>
      <c r="V1872">
        <v>0</v>
      </c>
      <c r="W1872">
        <v>361.54</v>
      </c>
      <c r="X1872">
        <v>2728.61</v>
      </c>
      <c r="Y1872" t="s">
        <v>49</v>
      </c>
      <c r="Z1872" s="3">
        <v>624.29</v>
      </c>
      <c r="AA1872" t="s">
        <v>37</v>
      </c>
      <c r="AB1872" t="s">
        <v>33</v>
      </c>
      <c r="AC1872">
        <v>15.9</v>
      </c>
      <c r="AD1872" t="s">
        <v>34</v>
      </c>
      <c r="AE1872">
        <v>321.89999999999998</v>
      </c>
      <c r="AF1872">
        <v>0</v>
      </c>
    </row>
    <row r="1873" spans="3:32" x14ac:dyDescent="0.35">
      <c r="C1873" s="1">
        <v>44576</v>
      </c>
      <c r="D1873" s="2">
        <v>44562</v>
      </c>
      <c r="E1873">
        <v>1059</v>
      </c>
      <c r="F1873" s="3">
        <v>3262.49</v>
      </c>
      <c r="G1873" s="3">
        <v>1945.61</v>
      </c>
      <c r="H1873" s="3">
        <v>1316.88</v>
      </c>
      <c r="I1873" s="3">
        <v>0.6</v>
      </c>
      <c r="J1873">
        <v>0.11</v>
      </c>
      <c r="K1873">
        <v>1895.89</v>
      </c>
      <c r="L1873" t="s">
        <v>30</v>
      </c>
      <c r="M1873">
        <v>684</v>
      </c>
      <c r="N1873">
        <v>0.59</v>
      </c>
      <c r="O1873" s="3">
        <v>284.18</v>
      </c>
      <c r="P1873" s="3">
        <v>0.09</v>
      </c>
      <c r="Q1873" s="3">
        <v>477.64</v>
      </c>
      <c r="R1873" s="3">
        <v>0.15</v>
      </c>
      <c r="S1873">
        <v>2</v>
      </c>
      <c r="T1873">
        <v>201.21</v>
      </c>
      <c r="U1873">
        <v>99</v>
      </c>
      <c r="V1873">
        <v>0</v>
      </c>
      <c r="W1873">
        <v>578.21</v>
      </c>
      <c r="X1873">
        <v>1263.1199999999999</v>
      </c>
      <c r="Y1873" t="s">
        <v>36</v>
      </c>
      <c r="Z1873" s="3">
        <v>454.4</v>
      </c>
      <c r="AA1873" t="s">
        <v>45</v>
      </c>
      <c r="AB1873" t="s">
        <v>33</v>
      </c>
      <c r="AC1873">
        <v>9.6</v>
      </c>
      <c r="AD1873" t="s">
        <v>34</v>
      </c>
      <c r="AE1873">
        <v>1316.88</v>
      </c>
      <c r="AF1873">
        <v>0</v>
      </c>
    </row>
    <row r="1874" spans="3:32" x14ac:dyDescent="0.35">
      <c r="C1874" s="1">
        <v>44576</v>
      </c>
      <c r="D1874" s="2">
        <v>44562</v>
      </c>
      <c r="E1874">
        <v>1549</v>
      </c>
      <c r="F1874" s="3">
        <v>3709.77</v>
      </c>
      <c r="G1874" s="3">
        <v>4149.26</v>
      </c>
      <c r="H1874" s="3">
        <v>-439.49</v>
      </c>
      <c r="I1874" s="3">
        <v>1.1200000000000001</v>
      </c>
      <c r="J1874">
        <v>0.35</v>
      </c>
      <c r="K1874">
        <v>2779.88</v>
      </c>
      <c r="L1874" t="s">
        <v>35</v>
      </c>
      <c r="M1874">
        <v>667</v>
      </c>
      <c r="N1874">
        <v>0.31</v>
      </c>
      <c r="O1874" s="3">
        <v>397.65</v>
      </c>
      <c r="P1874" s="3">
        <v>0.11</v>
      </c>
      <c r="Q1874" s="3">
        <v>809.99</v>
      </c>
      <c r="R1874" s="3">
        <v>0.22</v>
      </c>
      <c r="S1874">
        <v>2</v>
      </c>
      <c r="T1874">
        <v>788.56</v>
      </c>
      <c r="U1874">
        <v>20</v>
      </c>
      <c r="V1874">
        <v>0</v>
      </c>
      <c r="W1874">
        <v>662.74</v>
      </c>
      <c r="X1874">
        <v>2872.23</v>
      </c>
      <c r="Y1874" t="s">
        <v>36</v>
      </c>
      <c r="Z1874" s="3">
        <v>1578.86</v>
      </c>
      <c r="AA1874" t="s">
        <v>51</v>
      </c>
      <c r="AB1874" t="s">
        <v>42</v>
      </c>
      <c r="AC1874">
        <v>21.1</v>
      </c>
      <c r="AD1874" t="s">
        <v>43</v>
      </c>
      <c r="AE1874">
        <v>0</v>
      </c>
      <c r="AF1874">
        <v>0</v>
      </c>
    </row>
    <row r="1875" spans="3:32" x14ac:dyDescent="0.35">
      <c r="C1875" s="1">
        <v>44576</v>
      </c>
      <c r="D1875" s="2">
        <v>44562</v>
      </c>
      <c r="E1875">
        <v>1372</v>
      </c>
      <c r="F1875" s="3">
        <v>2935.39</v>
      </c>
      <c r="G1875" s="3">
        <v>3325.89</v>
      </c>
      <c r="H1875" s="3">
        <v>-390.5</v>
      </c>
      <c r="I1875" s="3">
        <v>1.1299999999999999</v>
      </c>
      <c r="J1875">
        <v>0.3</v>
      </c>
      <c r="K1875">
        <v>2935.76</v>
      </c>
      <c r="L1875" t="s">
        <v>39</v>
      </c>
      <c r="M1875">
        <v>718</v>
      </c>
      <c r="N1875">
        <v>0.12</v>
      </c>
      <c r="O1875" s="3">
        <v>222.43</v>
      </c>
      <c r="P1875" s="3">
        <v>0.08</v>
      </c>
      <c r="Q1875" s="3">
        <v>370.96</v>
      </c>
      <c r="R1875" s="3">
        <v>0.13</v>
      </c>
      <c r="S1875">
        <v>4</v>
      </c>
      <c r="T1875">
        <v>818.65</v>
      </c>
      <c r="U1875">
        <v>30</v>
      </c>
      <c r="V1875">
        <v>0</v>
      </c>
      <c r="W1875">
        <v>264.23</v>
      </c>
      <c r="X1875">
        <v>2734.72</v>
      </c>
      <c r="Y1875" t="s">
        <v>36</v>
      </c>
      <c r="Z1875" s="3">
        <v>1609.42</v>
      </c>
      <c r="AA1875" t="s">
        <v>45</v>
      </c>
      <c r="AB1875" t="s">
        <v>33</v>
      </c>
      <c r="AC1875">
        <v>83.2</v>
      </c>
      <c r="AD1875" t="s">
        <v>38</v>
      </c>
      <c r="AE1875">
        <v>0</v>
      </c>
      <c r="AF1875">
        <v>0</v>
      </c>
    </row>
    <row r="1876" spans="3:32" x14ac:dyDescent="0.35">
      <c r="C1876" s="1">
        <v>44576</v>
      </c>
      <c r="D1876" s="2">
        <v>44562</v>
      </c>
      <c r="E1876">
        <v>1909</v>
      </c>
      <c r="F1876" s="3">
        <v>4213.2700000000004</v>
      </c>
      <c r="G1876" s="3">
        <v>2797.13</v>
      </c>
      <c r="H1876" s="3">
        <v>1416.14</v>
      </c>
      <c r="I1876" s="3">
        <v>0.66</v>
      </c>
      <c r="J1876">
        <v>0.21</v>
      </c>
      <c r="K1876">
        <v>2661.85</v>
      </c>
      <c r="L1876" t="s">
        <v>35</v>
      </c>
      <c r="M1876">
        <v>806</v>
      </c>
      <c r="N1876">
        <v>0.44</v>
      </c>
      <c r="O1876" s="3">
        <v>514.12</v>
      </c>
      <c r="P1876" s="3">
        <v>0.12</v>
      </c>
      <c r="Q1876" s="3">
        <v>105.22</v>
      </c>
      <c r="R1876" s="3">
        <v>0.02</v>
      </c>
      <c r="S1876">
        <v>3</v>
      </c>
      <c r="T1876">
        <v>860.85</v>
      </c>
      <c r="U1876">
        <v>38</v>
      </c>
      <c r="V1876">
        <v>0</v>
      </c>
      <c r="W1876">
        <v>733.79</v>
      </c>
      <c r="X1876">
        <v>2474.3000000000002</v>
      </c>
      <c r="Y1876" t="s">
        <v>36</v>
      </c>
      <c r="Z1876" s="3">
        <v>1368.35</v>
      </c>
      <c r="AA1876" t="s">
        <v>50</v>
      </c>
      <c r="AB1876" t="s">
        <v>33</v>
      </c>
      <c r="AC1876">
        <v>92.5</v>
      </c>
      <c r="AD1876" t="s">
        <v>34</v>
      </c>
      <c r="AE1876">
        <v>1416.14</v>
      </c>
      <c r="AF1876">
        <v>0</v>
      </c>
    </row>
    <row r="1877" spans="3:32" x14ac:dyDescent="0.35">
      <c r="C1877" s="1">
        <v>44576</v>
      </c>
      <c r="D1877" s="2">
        <v>44562</v>
      </c>
      <c r="E1877">
        <v>1109</v>
      </c>
      <c r="F1877" s="3">
        <v>4400.8500000000004</v>
      </c>
      <c r="G1877" s="3">
        <v>4773.28</v>
      </c>
      <c r="H1877" s="3">
        <v>-372.43</v>
      </c>
      <c r="I1877" s="3">
        <v>1.08</v>
      </c>
      <c r="J1877">
        <v>0.25</v>
      </c>
      <c r="K1877">
        <v>3370.48</v>
      </c>
      <c r="L1877" t="s">
        <v>35</v>
      </c>
      <c r="M1877">
        <v>713</v>
      </c>
      <c r="N1877">
        <v>0.18</v>
      </c>
      <c r="O1877" s="3">
        <v>360.82</v>
      </c>
      <c r="P1877" s="3">
        <v>0.08</v>
      </c>
      <c r="Q1877" s="3">
        <v>469.26</v>
      </c>
      <c r="R1877" s="3">
        <v>0.11</v>
      </c>
      <c r="S1877">
        <v>8</v>
      </c>
      <c r="T1877">
        <v>780.02</v>
      </c>
      <c r="U1877">
        <v>21</v>
      </c>
      <c r="V1877">
        <v>0</v>
      </c>
      <c r="W1877">
        <v>185.1</v>
      </c>
      <c r="X1877">
        <v>2866.2</v>
      </c>
      <c r="Y1877" t="s">
        <v>31</v>
      </c>
      <c r="Z1877" s="3">
        <v>1149.27</v>
      </c>
      <c r="AA1877" t="s">
        <v>48</v>
      </c>
      <c r="AB1877" t="s">
        <v>33</v>
      </c>
      <c r="AC1877">
        <v>31.1</v>
      </c>
      <c r="AD1877" t="s">
        <v>38</v>
      </c>
      <c r="AE1877">
        <v>0</v>
      </c>
      <c r="AF1877">
        <v>0</v>
      </c>
    </row>
    <row r="1878" spans="3:32" x14ac:dyDescent="0.35">
      <c r="C1878" s="1">
        <v>44576</v>
      </c>
      <c r="D1878" s="2">
        <v>44562</v>
      </c>
      <c r="E1878">
        <v>1819</v>
      </c>
      <c r="F1878" s="3">
        <v>3445.74</v>
      </c>
      <c r="G1878" s="3">
        <v>1742.69</v>
      </c>
      <c r="H1878" s="3">
        <v>1703.05</v>
      </c>
      <c r="I1878" s="3">
        <v>0.51</v>
      </c>
      <c r="J1878">
        <v>0.23</v>
      </c>
      <c r="K1878">
        <v>3460.53</v>
      </c>
      <c r="L1878" t="s">
        <v>30</v>
      </c>
      <c r="M1878">
        <v>720</v>
      </c>
      <c r="N1878">
        <v>0.35</v>
      </c>
      <c r="O1878" s="3">
        <v>245.83</v>
      </c>
      <c r="P1878" s="3">
        <v>7.0000000000000007E-2</v>
      </c>
      <c r="Q1878" s="3">
        <v>609.07000000000005</v>
      </c>
      <c r="R1878" s="3">
        <v>0.18</v>
      </c>
      <c r="S1878">
        <v>9</v>
      </c>
      <c r="T1878">
        <v>1116.5</v>
      </c>
      <c r="U1878">
        <v>86</v>
      </c>
      <c r="V1878">
        <v>0</v>
      </c>
      <c r="W1878">
        <v>480.47</v>
      </c>
      <c r="X1878">
        <v>2715.79</v>
      </c>
      <c r="Y1878" t="s">
        <v>36</v>
      </c>
      <c r="Z1878" s="3">
        <v>1805.71</v>
      </c>
      <c r="AA1878" t="s">
        <v>37</v>
      </c>
      <c r="AB1878" t="s">
        <v>33</v>
      </c>
      <c r="AC1878">
        <v>85.6</v>
      </c>
      <c r="AD1878" t="s">
        <v>43</v>
      </c>
      <c r="AE1878">
        <v>1703.05</v>
      </c>
      <c r="AF1878">
        <v>0</v>
      </c>
    </row>
    <row r="1879" spans="3:32" x14ac:dyDescent="0.35">
      <c r="C1879" s="1">
        <v>44576</v>
      </c>
      <c r="D1879" s="2">
        <v>44562</v>
      </c>
      <c r="E1879">
        <v>1897</v>
      </c>
      <c r="F1879" s="3">
        <v>4196.07</v>
      </c>
      <c r="G1879" s="3">
        <v>2947.04</v>
      </c>
      <c r="H1879" s="3">
        <v>1249.03</v>
      </c>
      <c r="I1879" s="3">
        <v>0.7</v>
      </c>
      <c r="J1879">
        <v>0.36</v>
      </c>
      <c r="K1879">
        <v>2608.5500000000002</v>
      </c>
      <c r="L1879" t="s">
        <v>39</v>
      </c>
      <c r="M1879">
        <v>677</v>
      </c>
      <c r="N1879">
        <v>0.53</v>
      </c>
      <c r="O1879" s="3">
        <v>0</v>
      </c>
      <c r="P1879" s="3">
        <v>0</v>
      </c>
      <c r="Q1879" s="3">
        <v>429.86</v>
      </c>
      <c r="R1879" s="3">
        <v>0.1</v>
      </c>
      <c r="S1879">
        <v>9</v>
      </c>
      <c r="T1879">
        <v>1127.6300000000001</v>
      </c>
      <c r="U1879">
        <v>86</v>
      </c>
      <c r="V1879">
        <v>0</v>
      </c>
      <c r="W1879">
        <v>338.65</v>
      </c>
      <c r="X1879">
        <v>1772.4</v>
      </c>
      <c r="Y1879" t="s">
        <v>36</v>
      </c>
      <c r="Z1879" s="3">
        <v>1615.93</v>
      </c>
      <c r="AA1879" t="s">
        <v>46</v>
      </c>
      <c r="AB1879" t="s">
        <v>33</v>
      </c>
      <c r="AC1879">
        <v>7.6</v>
      </c>
      <c r="AD1879" t="s">
        <v>43</v>
      </c>
      <c r="AE1879">
        <v>1249.03</v>
      </c>
      <c r="AF1879">
        <v>0</v>
      </c>
    </row>
    <row r="1880" spans="3:32" x14ac:dyDescent="0.35">
      <c r="C1880" s="1">
        <v>44576</v>
      </c>
      <c r="D1880" s="2">
        <v>44562</v>
      </c>
      <c r="E1880">
        <v>1609</v>
      </c>
      <c r="F1880" s="3">
        <v>3090.57</v>
      </c>
      <c r="G1880" s="3">
        <v>1936.15</v>
      </c>
      <c r="H1880" s="3">
        <v>1154.42</v>
      </c>
      <c r="I1880" s="3">
        <v>0.63</v>
      </c>
      <c r="J1880">
        <v>0.38</v>
      </c>
      <c r="K1880">
        <v>2964.43</v>
      </c>
      <c r="L1880" t="s">
        <v>35</v>
      </c>
      <c r="M1880">
        <v>701</v>
      </c>
      <c r="N1880">
        <v>0.55000000000000004</v>
      </c>
      <c r="O1880" s="3">
        <v>295.60000000000002</v>
      </c>
      <c r="P1880" s="3">
        <v>0.1</v>
      </c>
      <c r="Q1880" s="3">
        <v>269.48</v>
      </c>
      <c r="R1880" s="3">
        <v>0.09</v>
      </c>
      <c r="S1880">
        <v>3</v>
      </c>
      <c r="T1880">
        <v>890.65</v>
      </c>
      <c r="U1880">
        <v>44</v>
      </c>
      <c r="V1880">
        <v>0</v>
      </c>
      <c r="W1880">
        <v>561.77</v>
      </c>
      <c r="X1880">
        <v>2419.58</v>
      </c>
      <c r="Y1880" t="s">
        <v>31</v>
      </c>
      <c r="Z1880" s="3">
        <v>1226.48</v>
      </c>
      <c r="AA1880" t="s">
        <v>51</v>
      </c>
      <c r="AB1880" t="s">
        <v>42</v>
      </c>
      <c r="AC1880">
        <v>70.900000000000006</v>
      </c>
      <c r="AD1880" t="s">
        <v>34</v>
      </c>
      <c r="AE1880">
        <v>1154.42</v>
      </c>
      <c r="AF1880">
        <v>0</v>
      </c>
    </row>
    <row r="1881" spans="3:32" x14ac:dyDescent="0.35">
      <c r="C1881" s="1">
        <v>44576</v>
      </c>
      <c r="D1881" s="2">
        <v>44562</v>
      </c>
      <c r="E1881">
        <v>1435</v>
      </c>
      <c r="F1881" s="3">
        <v>2723.47</v>
      </c>
      <c r="G1881" s="3">
        <v>4130.8999999999996</v>
      </c>
      <c r="H1881" s="3">
        <v>-1407.43</v>
      </c>
      <c r="I1881" s="3">
        <v>1.52</v>
      </c>
      <c r="J1881">
        <v>0.22</v>
      </c>
      <c r="K1881">
        <v>3608.46</v>
      </c>
      <c r="L1881" t="s">
        <v>35</v>
      </c>
      <c r="M1881">
        <v>726</v>
      </c>
      <c r="N1881">
        <v>0.52</v>
      </c>
      <c r="O1881" s="3">
        <v>734.25</v>
      </c>
      <c r="P1881" s="3">
        <v>0.27</v>
      </c>
      <c r="Q1881" s="3">
        <v>378.09</v>
      </c>
      <c r="R1881" s="3">
        <v>0.14000000000000001</v>
      </c>
      <c r="S1881">
        <v>1</v>
      </c>
      <c r="T1881">
        <v>466.61</v>
      </c>
      <c r="U1881">
        <v>65</v>
      </c>
      <c r="V1881">
        <v>0</v>
      </c>
      <c r="W1881">
        <v>536.17999999999995</v>
      </c>
      <c r="X1881">
        <v>2159.88</v>
      </c>
      <c r="Y1881" t="s">
        <v>31</v>
      </c>
      <c r="Z1881" s="3">
        <v>1990.13</v>
      </c>
      <c r="AA1881" t="s">
        <v>41</v>
      </c>
      <c r="AB1881" t="s">
        <v>33</v>
      </c>
      <c r="AC1881">
        <v>11.5</v>
      </c>
      <c r="AD1881" t="s">
        <v>38</v>
      </c>
      <c r="AE1881">
        <v>0</v>
      </c>
      <c r="AF1881">
        <v>0</v>
      </c>
    </row>
    <row r="1882" spans="3:32" x14ac:dyDescent="0.35">
      <c r="C1882" s="1">
        <v>44576</v>
      </c>
      <c r="D1882" s="2">
        <v>44562</v>
      </c>
      <c r="E1882">
        <v>1768</v>
      </c>
      <c r="F1882" s="3">
        <v>1789.65</v>
      </c>
      <c r="G1882" s="3">
        <v>4311.8999999999996</v>
      </c>
      <c r="H1882" s="3">
        <v>-2522.25</v>
      </c>
      <c r="I1882" s="3">
        <v>2.41</v>
      </c>
      <c r="J1882">
        <v>0.1</v>
      </c>
      <c r="K1882">
        <v>3790.92</v>
      </c>
      <c r="L1882" t="s">
        <v>35</v>
      </c>
      <c r="M1882">
        <v>591</v>
      </c>
      <c r="N1882">
        <v>0.49</v>
      </c>
      <c r="O1882" s="3">
        <v>814.75</v>
      </c>
      <c r="P1882" s="3">
        <v>0.46</v>
      </c>
      <c r="Q1882" s="3">
        <v>530.91999999999996</v>
      </c>
      <c r="R1882" s="3">
        <v>0.3</v>
      </c>
      <c r="S1882">
        <v>6</v>
      </c>
      <c r="T1882">
        <v>766.87</v>
      </c>
      <c r="U1882">
        <v>59</v>
      </c>
      <c r="V1882">
        <v>0</v>
      </c>
      <c r="W1882">
        <v>554.72</v>
      </c>
      <c r="X1882">
        <v>2337.8000000000002</v>
      </c>
      <c r="Y1882" t="s">
        <v>31</v>
      </c>
      <c r="Z1882" s="3">
        <v>593.72</v>
      </c>
      <c r="AA1882" t="s">
        <v>51</v>
      </c>
      <c r="AB1882" t="s">
        <v>33</v>
      </c>
      <c r="AC1882">
        <v>75.7</v>
      </c>
      <c r="AD1882" t="s">
        <v>34</v>
      </c>
      <c r="AE1882">
        <v>0</v>
      </c>
      <c r="AF1882">
        <v>0</v>
      </c>
    </row>
    <row r="1883" spans="3:32" x14ac:dyDescent="0.35">
      <c r="C1883" s="1">
        <v>44576</v>
      </c>
      <c r="D1883" s="2">
        <v>44562</v>
      </c>
      <c r="E1883">
        <v>1560</v>
      </c>
      <c r="F1883" s="3">
        <v>5157.45</v>
      </c>
      <c r="G1883" s="3">
        <v>3992.48</v>
      </c>
      <c r="H1883" s="3">
        <v>1164.97</v>
      </c>
      <c r="I1883" s="3">
        <v>0.77</v>
      </c>
      <c r="J1883">
        <v>0.28999999999999998</v>
      </c>
      <c r="K1883">
        <v>2966.82</v>
      </c>
      <c r="L1883" t="s">
        <v>30</v>
      </c>
      <c r="M1883">
        <v>701</v>
      </c>
      <c r="N1883">
        <v>0.21</v>
      </c>
      <c r="O1883" s="3">
        <v>266.52999999999997</v>
      </c>
      <c r="P1883" s="3">
        <v>0.05</v>
      </c>
      <c r="Q1883" s="3">
        <v>584.97</v>
      </c>
      <c r="R1883" s="3">
        <v>0.11</v>
      </c>
      <c r="S1883">
        <v>6</v>
      </c>
      <c r="T1883">
        <v>1156.5999999999999</v>
      </c>
      <c r="U1883">
        <v>81</v>
      </c>
      <c r="V1883">
        <v>0</v>
      </c>
      <c r="W1883">
        <v>675.76</v>
      </c>
      <c r="X1883">
        <v>1686.46</v>
      </c>
      <c r="Y1883" t="s">
        <v>36</v>
      </c>
      <c r="Z1883" s="3">
        <v>1096.8599999999999</v>
      </c>
      <c r="AA1883" t="s">
        <v>47</v>
      </c>
      <c r="AB1883" t="s">
        <v>33</v>
      </c>
      <c r="AC1883">
        <v>5.9</v>
      </c>
      <c r="AD1883" t="s">
        <v>43</v>
      </c>
      <c r="AE1883">
        <v>1164.97</v>
      </c>
      <c r="AF1883">
        <v>0</v>
      </c>
    </row>
    <row r="1884" spans="3:32" x14ac:dyDescent="0.35">
      <c r="C1884" s="1">
        <v>44576</v>
      </c>
      <c r="D1884" s="2">
        <v>44562</v>
      </c>
      <c r="E1884">
        <v>1102</v>
      </c>
      <c r="F1884" s="3">
        <v>3048.19</v>
      </c>
      <c r="G1884" s="3">
        <v>1902.72</v>
      </c>
      <c r="H1884" s="3">
        <v>1145.47</v>
      </c>
      <c r="I1884" s="3">
        <v>0.62</v>
      </c>
      <c r="J1884">
        <v>0.34</v>
      </c>
      <c r="K1884">
        <v>3482.33</v>
      </c>
      <c r="L1884" t="s">
        <v>39</v>
      </c>
      <c r="M1884">
        <v>642</v>
      </c>
      <c r="N1884">
        <v>0.46</v>
      </c>
      <c r="O1884" s="3">
        <v>461.36</v>
      </c>
      <c r="P1884" s="3">
        <v>0.15</v>
      </c>
      <c r="Q1884" s="3">
        <v>436.21</v>
      </c>
      <c r="R1884" s="3">
        <v>0.14000000000000001</v>
      </c>
      <c r="S1884">
        <v>2</v>
      </c>
      <c r="T1884">
        <v>1046.3399999999999</v>
      </c>
      <c r="U1884">
        <v>98</v>
      </c>
      <c r="V1884">
        <v>0</v>
      </c>
      <c r="W1884">
        <v>313.26</v>
      </c>
      <c r="X1884">
        <v>3397.72</v>
      </c>
      <c r="Y1884" t="s">
        <v>36</v>
      </c>
      <c r="Z1884" s="3">
        <v>1379.39</v>
      </c>
      <c r="AA1884" t="s">
        <v>32</v>
      </c>
      <c r="AB1884" t="s">
        <v>33</v>
      </c>
      <c r="AC1884">
        <v>60.1</v>
      </c>
      <c r="AD1884" t="s">
        <v>34</v>
      </c>
      <c r="AE1884">
        <v>1145.47</v>
      </c>
      <c r="AF1884">
        <v>0</v>
      </c>
    </row>
    <row r="1885" spans="3:32" x14ac:dyDescent="0.35">
      <c r="C1885" s="1">
        <v>44576</v>
      </c>
      <c r="D1885" s="2">
        <v>44562</v>
      </c>
      <c r="E1885">
        <v>1503</v>
      </c>
      <c r="F1885" s="3">
        <v>3854.83</v>
      </c>
      <c r="G1885" s="3">
        <v>4228.26</v>
      </c>
      <c r="H1885" s="3">
        <v>-373.43</v>
      </c>
      <c r="I1885" s="3">
        <v>1.1000000000000001</v>
      </c>
      <c r="J1885">
        <v>0.32</v>
      </c>
      <c r="K1885">
        <v>2872.62</v>
      </c>
      <c r="L1885" t="s">
        <v>35</v>
      </c>
      <c r="M1885">
        <v>682</v>
      </c>
      <c r="N1885">
        <v>0.42</v>
      </c>
      <c r="O1885" s="3">
        <v>36.47</v>
      </c>
      <c r="P1885" s="3">
        <v>0.01</v>
      </c>
      <c r="Q1885" s="3">
        <v>521.62</v>
      </c>
      <c r="R1885" s="3">
        <v>0.14000000000000001</v>
      </c>
      <c r="S1885">
        <v>4</v>
      </c>
      <c r="T1885">
        <v>1235.96</v>
      </c>
      <c r="U1885">
        <v>23</v>
      </c>
      <c r="V1885">
        <v>0</v>
      </c>
      <c r="W1885">
        <v>200.59</v>
      </c>
      <c r="X1885">
        <v>1570.03</v>
      </c>
      <c r="Y1885" t="s">
        <v>36</v>
      </c>
      <c r="Z1885" s="3">
        <v>1397.23</v>
      </c>
      <c r="AA1885" t="s">
        <v>46</v>
      </c>
      <c r="AB1885" t="s">
        <v>33</v>
      </c>
      <c r="AC1885">
        <v>18.3</v>
      </c>
      <c r="AD1885" t="s">
        <v>38</v>
      </c>
      <c r="AE1885">
        <v>0</v>
      </c>
      <c r="AF1885">
        <v>0</v>
      </c>
    </row>
    <row r="1886" spans="3:32" x14ac:dyDescent="0.35">
      <c r="C1886" s="1">
        <v>44576</v>
      </c>
      <c r="D1886" s="2">
        <v>44562</v>
      </c>
      <c r="E1886">
        <v>1721</v>
      </c>
      <c r="F1886" s="3">
        <v>5684.85</v>
      </c>
      <c r="G1886" s="3">
        <v>3303.58</v>
      </c>
      <c r="H1886" s="3">
        <v>2381.27</v>
      </c>
      <c r="I1886" s="3">
        <v>0.57999999999999996</v>
      </c>
      <c r="J1886">
        <v>0.11</v>
      </c>
      <c r="K1886">
        <v>3210.78</v>
      </c>
      <c r="L1886" t="s">
        <v>35</v>
      </c>
      <c r="M1886">
        <v>728</v>
      </c>
      <c r="N1886">
        <v>0.32</v>
      </c>
      <c r="O1886" s="3">
        <v>200.03</v>
      </c>
      <c r="P1886" s="3">
        <v>0.04</v>
      </c>
      <c r="Q1886" s="3">
        <v>215.02</v>
      </c>
      <c r="R1886" s="3">
        <v>0.04</v>
      </c>
      <c r="S1886">
        <v>1</v>
      </c>
      <c r="T1886">
        <v>830.9</v>
      </c>
      <c r="U1886">
        <v>93</v>
      </c>
      <c r="V1886">
        <v>0</v>
      </c>
      <c r="W1886">
        <v>485.27</v>
      </c>
      <c r="X1886">
        <v>2057.88</v>
      </c>
      <c r="Y1886" t="s">
        <v>31</v>
      </c>
      <c r="Z1886" s="3">
        <v>953.17</v>
      </c>
      <c r="AA1886" t="s">
        <v>37</v>
      </c>
      <c r="AB1886" t="s">
        <v>33</v>
      </c>
      <c r="AC1886">
        <v>87.1</v>
      </c>
      <c r="AD1886" t="s">
        <v>34</v>
      </c>
      <c r="AE1886">
        <v>2381.27</v>
      </c>
      <c r="AF1886">
        <v>0</v>
      </c>
    </row>
    <row r="1887" spans="3:32" x14ac:dyDescent="0.35">
      <c r="C1887" s="1">
        <v>44576</v>
      </c>
      <c r="D1887" s="2">
        <v>44562</v>
      </c>
      <c r="E1887">
        <v>1003</v>
      </c>
      <c r="F1887" s="3">
        <v>4873.1099999999997</v>
      </c>
      <c r="G1887" s="3">
        <v>2797.07</v>
      </c>
      <c r="H1887" s="3">
        <v>2076.04</v>
      </c>
      <c r="I1887" s="3">
        <v>0.56999999999999995</v>
      </c>
      <c r="J1887">
        <v>0.21</v>
      </c>
      <c r="K1887">
        <v>1782.37</v>
      </c>
      <c r="L1887" t="s">
        <v>35</v>
      </c>
      <c r="M1887">
        <v>557</v>
      </c>
      <c r="N1887">
        <v>0.37</v>
      </c>
      <c r="O1887" s="3">
        <v>975.59</v>
      </c>
      <c r="P1887" s="3">
        <v>0.2</v>
      </c>
      <c r="Q1887" s="3">
        <v>459.27</v>
      </c>
      <c r="R1887" s="3">
        <v>0.09</v>
      </c>
      <c r="S1887">
        <v>2</v>
      </c>
      <c r="T1887">
        <v>469.76</v>
      </c>
      <c r="U1887">
        <v>89</v>
      </c>
      <c r="V1887">
        <v>0</v>
      </c>
      <c r="W1887">
        <v>477.07</v>
      </c>
      <c r="X1887">
        <v>2042.52</v>
      </c>
      <c r="Y1887" t="s">
        <v>31</v>
      </c>
      <c r="Z1887" s="3">
        <v>777.64</v>
      </c>
      <c r="AA1887" t="s">
        <v>41</v>
      </c>
      <c r="AB1887" t="s">
        <v>33</v>
      </c>
      <c r="AC1887">
        <v>90.2</v>
      </c>
      <c r="AD1887" t="s">
        <v>38</v>
      </c>
      <c r="AE1887">
        <v>2076.04</v>
      </c>
      <c r="AF1887">
        <v>1</v>
      </c>
    </row>
    <row r="1888" spans="3:32" x14ac:dyDescent="0.35">
      <c r="C1888" s="1">
        <v>44576</v>
      </c>
      <c r="D1888" s="2">
        <v>44562</v>
      </c>
      <c r="E1888">
        <v>1455</v>
      </c>
      <c r="F1888" s="3">
        <v>5700.56</v>
      </c>
      <c r="G1888" s="3">
        <v>2784.28</v>
      </c>
      <c r="H1888" s="3">
        <v>2916.28</v>
      </c>
      <c r="I1888" s="3">
        <v>0.49</v>
      </c>
      <c r="J1888">
        <v>0.13</v>
      </c>
      <c r="K1888">
        <v>3037.45</v>
      </c>
      <c r="L1888" t="s">
        <v>35</v>
      </c>
      <c r="M1888">
        <v>666</v>
      </c>
      <c r="N1888">
        <v>0.22</v>
      </c>
      <c r="O1888" s="3">
        <v>540.75</v>
      </c>
      <c r="P1888" s="3">
        <v>0.09</v>
      </c>
      <c r="Q1888" s="3">
        <v>75.91</v>
      </c>
      <c r="R1888" s="3">
        <v>0.01</v>
      </c>
      <c r="S1888">
        <v>6</v>
      </c>
      <c r="T1888">
        <v>1272.79</v>
      </c>
      <c r="U1888">
        <v>25</v>
      </c>
      <c r="V1888">
        <v>0</v>
      </c>
      <c r="W1888">
        <v>398.34</v>
      </c>
      <c r="X1888">
        <v>2699.42</v>
      </c>
      <c r="Y1888" t="s">
        <v>49</v>
      </c>
      <c r="Z1888" s="3">
        <v>1687.84</v>
      </c>
      <c r="AA1888" t="s">
        <v>46</v>
      </c>
      <c r="AB1888" t="s">
        <v>42</v>
      </c>
      <c r="AC1888">
        <v>97.9</v>
      </c>
      <c r="AD1888" t="s">
        <v>34</v>
      </c>
      <c r="AE1888">
        <v>2916.28</v>
      </c>
      <c r="AF1888">
        <v>0</v>
      </c>
    </row>
    <row r="1889" spans="3:32" x14ac:dyDescent="0.35">
      <c r="C1889" s="1">
        <v>44576</v>
      </c>
      <c r="D1889" s="2">
        <v>44562</v>
      </c>
      <c r="E1889">
        <v>1415</v>
      </c>
      <c r="F1889" s="3">
        <v>3898.71</v>
      </c>
      <c r="G1889" s="3">
        <v>3861.04</v>
      </c>
      <c r="H1889" s="3">
        <v>37.67</v>
      </c>
      <c r="I1889" s="3">
        <v>0.99</v>
      </c>
      <c r="J1889">
        <v>0.05</v>
      </c>
      <c r="K1889">
        <v>3391.25</v>
      </c>
      <c r="L1889" t="s">
        <v>30</v>
      </c>
      <c r="M1889">
        <v>624</v>
      </c>
      <c r="N1889">
        <v>0.2</v>
      </c>
      <c r="O1889" s="3">
        <v>226</v>
      </c>
      <c r="P1889" s="3">
        <v>0.06</v>
      </c>
      <c r="Q1889" s="3">
        <v>184.07</v>
      </c>
      <c r="R1889" s="3">
        <v>0.05</v>
      </c>
      <c r="S1889">
        <v>8</v>
      </c>
      <c r="T1889">
        <v>1573.83</v>
      </c>
      <c r="U1889">
        <v>22</v>
      </c>
      <c r="V1889">
        <v>0</v>
      </c>
      <c r="W1889">
        <v>492.68</v>
      </c>
      <c r="X1889">
        <v>2012.61</v>
      </c>
      <c r="Y1889" t="s">
        <v>36</v>
      </c>
      <c r="Z1889" s="3">
        <v>2006.58</v>
      </c>
      <c r="AA1889" t="s">
        <v>47</v>
      </c>
      <c r="AB1889" t="s">
        <v>33</v>
      </c>
      <c r="AC1889">
        <v>11.4</v>
      </c>
      <c r="AD1889" t="s">
        <v>34</v>
      </c>
      <c r="AE1889">
        <v>37.67</v>
      </c>
      <c r="AF1889">
        <v>0</v>
      </c>
    </row>
    <row r="1890" spans="3:32" x14ac:dyDescent="0.35">
      <c r="C1890" s="1">
        <v>44576</v>
      </c>
      <c r="D1890" s="2">
        <v>44562</v>
      </c>
      <c r="E1890">
        <v>1844</v>
      </c>
      <c r="F1890" s="3">
        <v>5336.88</v>
      </c>
      <c r="G1890" s="3">
        <v>2202.31</v>
      </c>
      <c r="H1890" s="3">
        <v>3134.57</v>
      </c>
      <c r="I1890" s="3">
        <v>0.41</v>
      </c>
      <c r="J1890">
        <v>0.18</v>
      </c>
      <c r="K1890">
        <v>2721.06</v>
      </c>
      <c r="L1890" t="s">
        <v>30</v>
      </c>
      <c r="M1890">
        <v>616</v>
      </c>
      <c r="N1890">
        <v>0.18</v>
      </c>
      <c r="O1890" s="3">
        <v>544.67999999999995</v>
      </c>
      <c r="P1890" s="3">
        <v>0.1</v>
      </c>
      <c r="Q1890" s="3">
        <v>55.79</v>
      </c>
      <c r="R1890" s="3">
        <v>0.01</v>
      </c>
      <c r="S1890">
        <v>9</v>
      </c>
      <c r="T1890">
        <v>1314.49</v>
      </c>
      <c r="U1890">
        <v>75</v>
      </c>
      <c r="V1890">
        <v>0</v>
      </c>
      <c r="W1890">
        <v>604.45000000000005</v>
      </c>
      <c r="X1890">
        <v>2840.97</v>
      </c>
      <c r="Y1890" t="s">
        <v>36</v>
      </c>
      <c r="Z1890" s="3">
        <v>1199.81</v>
      </c>
      <c r="AA1890" t="s">
        <v>47</v>
      </c>
      <c r="AB1890" t="s">
        <v>33</v>
      </c>
      <c r="AC1890">
        <v>50.6</v>
      </c>
      <c r="AD1890" t="s">
        <v>34</v>
      </c>
      <c r="AE1890">
        <v>3134.57</v>
      </c>
      <c r="AF1890">
        <v>1</v>
      </c>
    </row>
    <row r="1891" spans="3:32" x14ac:dyDescent="0.35">
      <c r="C1891" s="1">
        <v>44576</v>
      </c>
      <c r="D1891" s="2">
        <v>44562</v>
      </c>
      <c r="E1891">
        <v>1780</v>
      </c>
      <c r="F1891" s="3">
        <v>4351.4399999999996</v>
      </c>
      <c r="G1891" s="3">
        <v>3157.5</v>
      </c>
      <c r="H1891" s="3">
        <v>1193.94</v>
      </c>
      <c r="I1891" s="3">
        <v>0.73</v>
      </c>
      <c r="J1891">
        <v>0.37</v>
      </c>
      <c r="K1891">
        <v>1632.69</v>
      </c>
      <c r="L1891" t="s">
        <v>35</v>
      </c>
      <c r="M1891">
        <v>627</v>
      </c>
      <c r="N1891">
        <v>0.46</v>
      </c>
      <c r="O1891" s="3">
        <v>846.5</v>
      </c>
      <c r="P1891" s="3">
        <v>0.19</v>
      </c>
      <c r="Q1891" s="3">
        <v>0</v>
      </c>
      <c r="R1891" s="3">
        <v>0</v>
      </c>
      <c r="S1891">
        <v>8</v>
      </c>
      <c r="T1891">
        <v>640.74</v>
      </c>
      <c r="U1891">
        <v>33</v>
      </c>
      <c r="V1891">
        <v>0</v>
      </c>
      <c r="W1891">
        <v>666.32</v>
      </c>
      <c r="X1891">
        <v>3328.91</v>
      </c>
      <c r="Y1891" t="s">
        <v>36</v>
      </c>
      <c r="Z1891" s="3">
        <v>311.86</v>
      </c>
      <c r="AA1891" t="s">
        <v>37</v>
      </c>
      <c r="AB1891" t="s">
        <v>44</v>
      </c>
      <c r="AC1891">
        <v>86.4</v>
      </c>
      <c r="AD1891" t="s">
        <v>43</v>
      </c>
      <c r="AE1891">
        <v>1193.94</v>
      </c>
      <c r="AF1891">
        <v>0</v>
      </c>
    </row>
    <row r="1892" spans="3:32" x14ac:dyDescent="0.35">
      <c r="C1892" s="1">
        <v>44576</v>
      </c>
      <c r="D1892" s="2">
        <v>44562</v>
      </c>
      <c r="E1892">
        <v>1037</v>
      </c>
      <c r="F1892" s="3">
        <v>3343.7</v>
      </c>
      <c r="G1892" s="3">
        <v>3396.81</v>
      </c>
      <c r="H1892" s="3">
        <v>-53.11</v>
      </c>
      <c r="I1892" s="3">
        <v>1.02</v>
      </c>
      <c r="J1892">
        <v>0.32</v>
      </c>
      <c r="K1892">
        <v>2910.13</v>
      </c>
      <c r="L1892" t="s">
        <v>35</v>
      </c>
      <c r="M1892">
        <v>587</v>
      </c>
      <c r="N1892">
        <v>0.28999999999999998</v>
      </c>
      <c r="O1892" s="3">
        <v>439.42</v>
      </c>
      <c r="P1892" s="3">
        <v>0.13</v>
      </c>
      <c r="Q1892" s="3">
        <v>113.67</v>
      </c>
      <c r="R1892" s="3">
        <v>0.03</v>
      </c>
      <c r="S1892">
        <v>1</v>
      </c>
      <c r="T1892">
        <v>1126.45</v>
      </c>
      <c r="U1892">
        <v>75</v>
      </c>
      <c r="V1892">
        <v>0</v>
      </c>
      <c r="W1892">
        <v>695.22</v>
      </c>
      <c r="X1892">
        <v>1440.32</v>
      </c>
      <c r="Y1892" t="s">
        <v>36</v>
      </c>
      <c r="Z1892" s="3">
        <v>1424.58</v>
      </c>
      <c r="AA1892" t="s">
        <v>45</v>
      </c>
      <c r="AB1892" t="s">
        <v>42</v>
      </c>
      <c r="AC1892">
        <v>38.5</v>
      </c>
      <c r="AD1892" t="s">
        <v>43</v>
      </c>
      <c r="AE1892">
        <v>0</v>
      </c>
      <c r="AF1892">
        <v>0</v>
      </c>
    </row>
    <row r="1893" spans="3:32" x14ac:dyDescent="0.35">
      <c r="C1893" s="1">
        <v>44576</v>
      </c>
      <c r="D1893" s="2">
        <v>44562</v>
      </c>
      <c r="E1893">
        <v>1421</v>
      </c>
      <c r="F1893" s="3">
        <v>3416.92</v>
      </c>
      <c r="G1893" s="3">
        <v>2254.36</v>
      </c>
      <c r="H1893" s="3">
        <v>1162.56</v>
      </c>
      <c r="I1893" s="3">
        <v>0.66</v>
      </c>
      <c r="J1893">
        <v>0.16</v>
      </c>
      <c r="K1893">
        <v>3047.88</v>
      </c>
      <c r="L1893" t="s">
        <v>39</v>
      </c>
      <c r="M1893">
        <v>629</v>
      </c>
      <c r="N1893">
        <v>0.38</v>
      </c>
      <c r="O1893" s="3">
        <v>737.98</v>
      </c>
      <c r="P1893" s="3">
        <v>0.22</v>
      </c>
      <c r="Q1893" s="3">
        <v>523.75</v>
      </c>
      <c r="R1893" s="3">
        <v>0.15</v>
      </c>
      <c r="S1893">
        <v>4</v>
      </c>
      <c r="T1893">
        <v>842.98</v>
      </c>
      <c r="U1893">
        <v>32</v>
      </c>
      <c r="V1893">
        <v>0</v>
      </c>
      <c r="W1893">
        <v>419.83</v>
      </c>
      <c r="X1893">
        <v>1872.43</v>
      </c>
      <c r="Y1893" t="s">
        <v>31</v>
      </c>
      <c r="Z1893" s="3">
        <v>1968.57</v>
      </c>
      <c r="AA1893" t="s">
        <v>46</v>
      </c>
      <c r="AB1893" t="s">
        <v>33</v>
      </c>
      <c r="AC1893">
        <v>46.7</v>
      </c>
      <c r="AD1893" t="s">
        <v>34</v>
      </c>
      <c r="AE1893">
        <v>1162.56</v>
      </c>
      <c r="AF1893">
        <v>0</v>
      </c>
    </row>
    <row r="1894" spans="3:32" x14ac:dyDescent="0.35">
      <c r="C1894" s="1">
        <v>44576</v>
      </c>
      <c r="D1894" s="2">
        <v>44562</v>
      </c>
      <c r="E1894">
        <v>1268</v>
      </c>
      <c r="F1894" s="3">
        <v>4559.96</v>
      </c>
      <c r="G1894" s="3">
        <v>3047.25</v>
      </c>
      <c r="H1894" s="3">
        <v>1512.71</v>
      </c>
      <c r="I1894" s="3">
        <v>0.67</v>
      </c>
      <c r="J1894">
        <v>0.35</v>
      </c>
      <c r="K1894">
        <v>2380.08</v>
      </c>
      <c r="L1894" t="s">
        <v>30</v>
      </c>
      <c r="M1894">
        <v>662</v>
      </c>
      <c r="N1894">
        <v>0.54</v>
      </c>
      <c r="O1894" s="3">
        <v>176.77</v>
      </c>
      <c r="P1894" s="3">
        <v>0.04</v>
      </c>
      <c r="Q1894" s="3">
        <v>352.88</v>
      </c>
      <c r="R1894" s="3">
        <v>0.08</v>
      </c>
      <c r="S1894">
        <v>7</v>
      </c>
      <c r="T1894">
        <v>828.16</v>
      </c>
      <c r="U1894">
        <v>20</v>
      </c>
      <c r="V1894">
        <v>0</v>
      </c>
      <c r="W1894">
        <v>375.28</v>
      </c>
      <c r="X1894">
        <v>2766.02</v>
      </c>
      <c r="Y1894" t="s">
        <v>49</v>
      </c>
      <c r="Z1894" s="3">
        <v>977.29</v>
      </c>
      <c r="AA1894" t="s">
        <v>37</v>
      </c>
      <c r="AB1894" t="s">
        <v>44</v>
      </c>
      <c r="AC1894">
        <v>99</v>
      </c>
      <c r="AD1894" t="s">
        <v>43</v>
      </c>
      <c r="AE1894">
        <v>1512.71</v>
      </c>
      <c r="AF1894">
        <v>0</v>
      </c>
    </row>
    <row r="1895" spans="3:32" x14ac:dyDescent="0.35">
      <c r="C1895" s="1">
        <v>44576</v>
      </c>
      <c r="D1895" s="2">
        <v>44562</v>
      </c>
      <c r="E1895">
        <v>1903</v>
      </c>
      <c r="F1895" s="3">
        <v>5708.64</v>
      </c>
      <c r="G1895" s="3">
        <v>3088.06</v>
      </c>
      <c r="H1895" s="3">
        <v>2620.58</v>
      </c>
      <c r="I1895" s="3">
        <v>0.54</v>
      </c>
      <c r="J1895">
        <v>0.36</v>
      </c>
      <c r="K1895">
        <v>3827.28</v>
      </c>
      <c r="L1895" t="s">
        <v>35</v>
      </c>
      <c r="M1895">
        <v>658</v>
      </c>
      <c r="N1895">
        <v>0.51</v>
      </c>
      <c r="O1895" s="3">
        <v>761.11</v>
      </c>
      <c r="P1895" s="3">
        <v>0.13</v>
      </c>
      <c r="Q1895" s="3">
        <v>608.41999999999996</v>
      </c>
      <c r="R1895" s="3">
        <v>0.11</v>
      </c>
      <c r="S1895">
        <v>4</v>
      </c>
      <c r="T1895">
        <v>33.89</v>
      </c>
      <c r="U1895">
        <v>74</v>
      </c>
      <c r="V1895">
        <v>0</v>
      </c>
      <c r="W1895">
        <v>359.77</v>
      </c>
      <c r="X1895">
        <v>1108.42</v>
      </c>
      <c r="Y1895" t="s">
        <v>31</v>
      </c>
      <c r="Z1895" s="3">
        <v>1132.04</v>
      </c>
      <c r="AA1895" t="s">
        <v>41</v>
      </c>
      <c r="AB1895" t="s">
        <v>33</v>
      </c>
      <c r="AC1895">
        <v>61.9</v>
      </c>
      <c r="AD1895" t="s">
        <v>34</v>
      </c>
      <c r="AE1895">
        <v>2620.58</v>
      </c>
      <c r="AF1895">
        <v>0</v>
      </c>
    </row>
    <row r="1896" spans="3:32" x14ac:dyDescent="0.35">
      <c r="C1896" s="1">
        <v>44576</v>
      </c>
      <c r="D1896" s="2">
        <v>44562</v>
      </c>
      <c r="E1896">
        <v>1266</v>
      </c>
      <c r="F1896" s="3">
        <v>3127.78</v>
      </c>
      <c r="G1896" s="3">
        <v>2931.47</v>
      </c>
      <c r="H1896" s="3">
        <v>196.31</v>
      </c>
      <c r="I1896" s="3">
        <v>0.94</v>
      </c>
      <c r="J1896">
        <v>0.14000000000000001</v>
      </c>
      <c r="K1896">
        <v>3779.13</v>
      </c>
      <c r="L1896" t="s">
        <v>35</v>
      </c>
      <c r="M1896">
        <v>710</v>
      </c>
      <c r="N1896">
        <v>0.47</v>
      </c>
      <c r="O1896" s="3">
        <v>459.15</v>
      </c>
      <c r="P1896" s="3">
        <v>0.15</v>
      </c>
      <c r="Q1896" s="3">
        <v>250.32</v>
      </c>
      <c r="R1896" s="3">
        <v>0.08</v>
      </c>
      <c r="S1896">
        <v>8</v>
      </c>
      <c r="T1896">
        <v>1655.27</v>
      </c>
      <c r="U1896">
        <v>34</v>
      </c>
      <c r="V1896">
        <v>0</v>
      </c>
      <c r="W1896">
        <v>783.68</v>
      </c>
      <c r="X1896">
        <v>1779.7</v>
      </c>
      <c r="Y1896" t="s">
        <v>36</v>
      </c>
      <c r="Z1896" s="3">
        <v>1118.25</v>
      </c>
      <c r="AA1896" t="s">
        <v>51</v>
      </c>
      <c r="AB1896" t="s">
        <v>33</v>
      </c>
      <c r="AC1896">
        <v>29.8</v>
      </c>
      <c r="AD1896" t="s">
        <v>38</v>
      </c>
      <c r="AE1896">
        <v>196.31</v>
      </c>
      <c r="AF1896">
        <v>0</v>
      </c>
    </row>
    <row r="1897" spans="3:32" x14ac:dyDescent="0.35">
      <c r="C1897" s="1">
        <v>44576</v>
      </c>
      <c r="D1897" s="2">
        <v>44562</v>
      </c>
      <c r="E1897">
        <v>1098</v>
      </c>
      <c r="F1897" s="3">
        <v>3381.49</v>
      </c>
      <c r="G1897" s="3">
        <v>2511.31</v>
      </c>
      <c r="H1897" s="3">
        <v>870.18</v>
      </c>
      <c r="I1897" s="3">
        <v>0.74</v>
      </c>
      <c r="J1897">
        <v>0.15</v>
      </c>
      <c r="K1897">
        <v>3827.6</v>
      </c>
      <c r="L1897" t="s">
        <v>39</v>
      </c>
      <c r="M1897">
        <v>631</v>
      </c>
      <c r="N1897">
        <v>0.32</v>
      </c>
      <c r="O1897" s="3">
        <v>548.03</v>
      </c>
      <c r="P1897" s="3">
        <v>0.16</v>
      </c>
      <c r="Q1897" s="3">
        <v>255.31</v>
      </c>
      <c r="R1897" s="3">
        <v>0.08</v>
      </c>
      <c r="S1897">
        <v>2</v>
      </c>
      <c r="T1897">
        <v>0</v>
      </c>
      <c r="U1897">
        <v>77</v>
      </c>
      <c r="V1897">
        <v>0</v>
      </c>
      <c r="W1897">
        <v>370.14</v>
      </c>
      <c r="X1897">
        <v>1862.06</v>
      </c>
      <c r="Y1897" t="s">
        <v>36</v>
      </c>
      <c r="Z1897" s="3">
        <v>1062.79</v>
      </c>
      <c r="AA1897" t="s">
        <v>45</v>
      </c>
      <c r="AB1897" t="s">
        <v>44</v>
      </c>
      <c r="AC1897">
        <v>74.400000000000006</v>
      </c>
      <c r="AD1897" t="s">
        <v>34</v>
      </c>
      <c r="AE1897">
        <v>870.18</v>
      </c>
      <c r="AF1897">
        <v>0</v>
      </c>
    </row>
    <row r="1898" spans="3:32" x14ac:dyDescent="0.35">
      <c r="C1898" s="1">
        <v>44576</v>
      </c>
      <c r="D1898" s="2">
        <v>44562</v>
      </c>
      <c r="E1898">
        <v>1509</v>
      </c>
      <c r="F1898" s="3">
        <v>4723.72</v>
      </c>
      <c r="G1898" s="3">
        <v>1666.13</v>
      </c>
      <c r="H1898" s="3">
        <v>3057.59</v>
      </c>
      <c r="I1898" s="3">
        <v>0.35</v>
      </c>
      <c r="J1898">
        <v>0.35</v>
      </c>
      <c r="K1898">
        <v>2942.07</v>
      </c>
      <c r="L1898" t="s">
        <v>35</v>
      </c>
      <c r="M1898">
        <v>648</v>
      </c>
      <c r="N1898">
        <v>0.33</v>
      </c>
      <c r="O1898" s="3">
        <v>134.91999999999999</v>
      </c>
      <c r="P1898" s="3">
        <v>0.03</v>
      </c>
      <c r="Q1898" s="3">
        <v>259.89</v>
      </c>
      <c r="R1898" s="3">
        <v>0.06</v>
      </c>
      <c r="S1898">
        <v>1</v>
      </c>
      <c r="T1898">
        <v>935.92</v>
      </c>
      <c r="U1898">
        <v>62</v>
      </c>
      <c r="V1898">
        <v>0</v>
      </c>
      <c r="W1898">
        <v>389.75</v>
      </c>
      <c r="X1898">
        <v>2121.33</v>
      </c>
      <c r="Y1898" t="s">
        <v>36</v>
      </c>
      <c r="Z1898" s="3">
        <v>1023.2</v>
      </c>
      <c r="AA1898" t="s">
        <v>47</v>
      </c>
      <c r="AB1898" t="s">
        <v>42</v>
      </c>
      <c r="AC1898">
        <v>92</v>
      </c>
      <c r="AD1898" t="s">
        <v>38</v>
      </c>
      <c r="AE1898">
        <v>3057.59</v>
      </c>
      <c r="AF1898">
        <v>1</v>
      </c>
    </row>
    <row r="1899" spans="3:32" x14ac:dyDescent="0.35">
      <c r="C1899" s="1">
        <v>44576</v>
      </c>
      <c r="D1899" s="2">
        <v>44562</v>
      </c>
      <c r="E1899">
        <v>1339</v>
      </c>
      <c r="F1899" s="3">
        <v>3236.56</v>
      </c>
      <c r="G1899" s="3">
        <v>3967.34</v>
      </c>
      <c r="H1899" s="3">
        <v>-730.78</v>
      </c>
      <c r="I1899" s="3">
        <v>1.23</v>
      </c>
      <c r="J1899">
        <v>0.13</v>
      </c>
      <c r="K1899">
        <v>2793.95</v>
      </c>
      <c r="L1899" t="s">
        <v>39</v>
      </c>
      <c r="M1899">
        <v>683</v>
      </c>
      <c r="N1899">
        <v>0.28000000000000003</v>
      </c>
      <c r="O1899" s="3">
        <v>305.32</v>
      </c>
      <c r="P1899" s="3">
        <v>0.09</v>
      </c>
      <c r="Q1899" s="3">
        <v>269.23</v>
      </c>
      <c r="R1899" s="3">
        <v>0.08</v>
      </c>
      <c r="S1899">
        <v>4</v>
      </c>
      <c r="T1899">
        <v>1482.47</v>
      </c>
      <c r="U1899">
        <v>21</v>
      </c>
      <c r="V1899">
        <v>0</v>
      </c>
      <c r="W1899">
        <v>822.59</v>
      </c>
      <c r="X1899">
        <v>2466.9</v>
      </c>
      <c r="Y1899" t="s">
        <v>49</v>
      </c>
      <c r="Z1899" s="3">
        <v>1523.5</v>
      </c>
      <c r="AA1899" t="s">
        <v>50</v>
      </c>
      <c r="AB1899" t="s">
        <v>42</v>
      </c>
      <c r="AC1899">
        <v>64.3</v>
      </c>
      <c r="AD1899" t="s">
        <v>34</v>
      </c>
      <c r="AE1899">
        <v>0</v>
      </c>
      <c r="AF1899">
        <v>0</v>
      </c>
    </row>
    <row r="1900" spans="3:32" x14ac:dyDescent="0.35">
      <c r="C1900" s="1">
        <v>44576</v>
      </c>
      <c r="D1900" s="2">
        <v>44562</v>
      </c>
      <c r="E1900">
        <v>1223</v>
      </c>
      <c r="F1900" s="3">
        <v>4476.38</v>
      </c>
      <c r="G1900" s="3">
        <v>3222.82</v>
      </c>
      <c r="H1900" s="3">
        <v>1253.56</v>
      </c>
      <c r="I1900" s="3">
        <v>0.72</v>
      </c>
      <c r="J1900">
        <v>0.4</v>
      </c>
      <c r="K1900">
        <v>1749.03</v>
      </c>
      <c r="L1900" t="s">
        <v>35</v>
      </c>
      <c r="M1900">
        <v>634</v>
      </c>
      <c r="N1900">
        <v>0.56999999999999995</v>
      </c>
      <c r="O1900" s="3">
        <v>672.52</v>
      </c>
      <c r="P1900" s="3">
        <v>0.15</v>
      </c>
      <c r="Q1900" s="3">
        <v>367.22</v>
      </c>
      <c r="R1900" s="3">
        <v>0.08</v>
      </c>
      <c r="S1900">
        <v>6</v>
      </c>
      <c r="T1900">
        <v>954.26</v>
      </c>
      <c r="U1900">
        <v>99</v>
      </c>
      <c r="V1900">
        <v>0</v>
      </c>
      <c r="W1900">
        <v>526.51</v>
      </c>
      <c r="X1900">
        <v>2059.92</v>
      </c>
      <c r="Y1900" t="s">
        <v>36</v>
      </c>
      <c r="Z1900" s="3">
        <v>1175.1600000000001</v>
      </c>
      <c r="AA1900" t="s">
        <v>47</v>
      </c>
      <c r="AB1900" t="s">
        <v>44</v>
      </c>
      <c r="AC1900">
        <v>31.8</v>
      </c>
      <c r="AD1900" t="s">
        <v>34</v>
      </c>
      <c r="AE1900">
        <v>1253.56</v>
      </c>
      <c r="AF1900">
        <v>0</v>
      </c>
    </row>
    <row r="1901" spans="3:32" x14ac:dyDescent="0.35">
      <c r="C1901" s="1">
        <v>44576</v>
      </c>
      <c r="D1901" s="2">
        <v>44562</v>
      </c>
      <c r="E1901">
        <v>1393</v>
      </c>
      <c r="F1901" s="3">
        <v>3988.51</v>
      </c>
      <c r="G1901" s="3">
        <v>2911.85</v>
      </c>
      <c r="H1901" s="3">
        <v>1076.6600000000001</v>
      </c>
      <c r="I1901" s="3">
        <v>0.73</v>
      </c>
      <c r="J1901">
        <v>0.18</v>
      </c>
      <c r="K1901">
        <v>3015.69</v>
      </c>
      <c r="L1901" t="s">
        <v>39</v>
      </c>
      <c r="M1901">
        <v>759</v>
      </c>
      <c r="N1901">
        <v>0.47</v>
      </c>
      <c r="O1901" s="3">
        <v>449.98</v>
      </c>
      <c r="P1901" s="3">
        <v>0.11</v>
      </c>
      <c r="Q1901" s="3">
        <v>83.17</v>
      </c>
      <c r="R1901" s="3">
        <v>0.02</v>
      </c>
      <c r="S1901">
        <v>3</v>
      </c>
      <c r="T1901">
        <v>445.1</v>
      </c>
      <c r="U1901">
        <v>31</v>
      </c>
      <c r="V1901">
        <v>0</v>
      </c>
      <c r="W1901">
        <v>309.24</v>
      </c>
      <c r="X1901">
        <v>2575.14</v>
      </c>
      <c r="Y1901" t="s">
        <v>36</v>
      </c>
      <c r="Z1901" s="3">
        <v>765.94</v>
      </c>
      <c r="AA1901" t="s">
        <v>37</v>
      </c>
      <c r="AB1901" t="s">
        <v>42</v>
      </c>
      <c r="AC1901">
        <v>7.8</v>
      </c>
      <c r="AD1901" t="s">
        <v>38</v>
      </c>
      <c r="AE1901">
        <v>1076.6600000000001</v>
      </c>
      <c r="AF1901">
        <v>0</v>
      </c>
    </row>
    <row r="1902" spans="3:32" x14ac:dyDescent="0.35">
      <c r="C1902" s="1">
        <v>44606</v>
      </c>
      <c r="D1902" s="2">
        <v>44593</v>
      </c>
      <c r="E1902">
        <v>1173</v>
      </c>
      <c r="F1902" s="3">
        <v>4781.3900000000003</v>
      </c>
      <c r="G1902" s="3">
        <v>3279.82</v>
      </c>
      <c r="H1902" s="3">
        <v>1501.57</v>
      </c>
      <c r="I1902" s="3">
        <v>0.69</v>
      </c>
      <c r="J1902">
        <v>0.28999999999999998</v>
      </c>
      <c r="K1902">
        <v>2503.33</v>
      </c>
      <c r="L1902" t="s">
        <v>39</v>
      </c>
      <c r="M1902">
        <v>691</v>
      </c>
      <c r="N1902">
        <v>0.36</v>
      </c>
      <c r="O1902" s="3">
        <v>742.09</v>
      </c>
      <c r="P1902" s="3">
        <v>0.16</v>
      </c>
      <c r="Q1902" s="3">
        <v>0</v>
      </c>
      <c r="R1902" s="3">
        <v>0</v>
      </c>
      <c r="S1902">
        <v>7</v>
      </c>
      <c r="T1902">
        <v>0</v>
      </c>
      <c r="U1902">
        <v>62</v>
      </c>
      <c r="V1902">
        <v>0</v>
      </c>
      <c r="W1902">
        <v>119.8</v>
      </c>
      <c r="X1902">
        <v>2368.1</v>
      </c>
      <c r="Y1902" t="s">
        <v>36</v>
      </c>
      <c r="Z1902" s="3">
        <v>1530.57</v>
      </c>
      <c r="AA1902" t="s">
        <v>45</v>
      </c>
      <c r="AB1902" t="s">
        <v>33</v>
      </c>
      <c r="AC1902">
        <v>22.2</v>
      </c>
      <c r="AD1902" t="s">
        <v>38</v>
      </c>
      <c r="AE1902">
        <v>1501.57</v>
      </c>
      <c r="AF1902">
        <v>0</v>
      </c>
    </row>
    <row r="1903" spans="3:32" x14ac:dyDescent="0.35">
      <c r="C1903" s="1">
        <v>44606</v>
      </c>
      <c r="D1903" s="2">
        <v>44593</v>
      </c>
      <c r="E1903">
        <v>1662</v>
      </c>
      <c r="F1903" s="3">
        <v>3797.06</v>
      </c>
      <c r="G1903" s="3">
        <v>2792.7</v>
      </c>
      <c r="H1903" s="3">
        <v>1004.36</v>
      </c>
      <c r="I1903" s="3">
        <v>0.74</v>
      </c>
      <c r="J1903">
        <v>0.37</v>
      </c>
      <c r="K1903">
        <v>2453.8000000000002</v>
      </c>
      <c r="L1903" t="s">
        <v>30</v>
      </c>
      <c r="M1903">
        <v>690</v>
      </c>
      <c r="N1903">
        <v>0.34</v>
      </c>
      <c r="O1903" s="3">
        <v>372.48</v>
      </c>
      <c r="P1903" s="3">
        <v>0.1</v>
      </c>
      <c r="Q1903" s="3">
        <v>25.42</v>
      </c>
      <c r="R1903" s="3">
        <v>0.01</v>
      </c>
      <c r="S1903">
        <v>1</v>
      </c>
      <c r="T1903">
        <v>1593.13</v>
      </c>
      <c r="U1903">
        <v>63</v>
      </c>
      <c r="V1903">
        <v>0</v>
      </c>
      <c r="W1903">
        <v>920.17</v>
      </c>
      <c r="X1903">
        <v>2452.58</v>
      </c>
      <c r="Y1903" t="s">
        <v>36</v>
      </c>
      <c r="Z1903" s="3">
        <v>1380.33</v>
      </c>
      <c r="AA1903" t="s">
        <v>40</v>
      </c>
      <c r="AB1903" t="s">
        <v>33</v>
      </c>
      <c r="AC1903">
        <v>97.7</v>
      </c>
      <c r="AD1903" t="s">
        <v>34</v>
      </c>
      <c r="AE1903">
        <v>1004.36</v>
      </c>
      <c r="AF1903">
        <v>0</v>
      </c>
    </row>
    <row r="1904" spans="3:32" x14ac:dyDescent="0.35">
      <c r="C1904" s="1">
        <v>44606</v>
      </c>
      <c r="D1904" s="2">
        <v>44593</v>
      </c>
      <c r="E1904">
        <v>1401</v>
      </c>
      <c r="F1904" s="3">
        <v>3522.96</v>
      </c>
      <c r="G1904" s="3">
        <v>3828.39</v>
      </c>
      <c r="H1904" s="3">
        <v>-305.43</v>
      </c>
      <c r="I1904" s="3">
        <v>1.0900000000000001</v>
      </c>
      <c r="J1904">
        <v>0.05</v>
      </c>
      <c r="K1904">
        <v>3072.32</v>
      </c>
      <c r="L1904" t="s">
        <v>30</v>
      </c>
      <c r="M1904">
        <v>682</v>
      </c>
      <c r="N1904">
        <v>0.36</v>
      </c>
      <c r="O1904" s="3">
        <v>279.02</v>
      </c>
      <c r="P1904" s="3">
        <v>0.08</v>
      </c>
      <c r="Q1904" s="3">
        <v>298.87</v>
      </c>
      <c r="R1904" s="3">
        <v>0.08</v>
      </c>
      <c r="S1904">
        <v>8</v>
      </c>
      <c r="T1904">
        <v>1881.79</v>
      </c>
      <c r="U1904">
        <v>45</v>
      </c>
      <c r="V1904">
        <v>0</v>
      </c>
      <c r="W1904">
        <v>302.61</v>
      </c>
      <c r="X1904">
        <v>1994.3</v>
      </c>
      <c r="Y1904" t="s">
        <v>36</v>
      </c>
      <c r="Z1904" s="3">
        <v>1237.43</v>
      </c>
      <c r="AA1904" t="s">
        <v>32</v>
      </c>
      <c r="AB1904" t="s">
        <v>33</v>
      </c>
      <c r="AC1904">
        <v>61.9</v>
      </c>
      <c r="AD1904" t="s">
        <v>34</v>
      </c>
      <c r="AE1904">
        <v>0</v>
      </c>
      <c r="AF1904">
        <v>0</v>
      </c>
    </row>
    <row r="1905" spans="3:32" x14ac:dyDescent="0.35">
      <c r="C1905" s="1">
        <v>44606</v>
      </c>
      <c r="D1905" s="2">
        <v>44593</v>
      </c>
      <c r="E1905">
        <v>1271</v>
      </c>
      <c r="F1905" s="3">
        <v>4008.54</v>
      </c>
      <c r="G1905" s="3">
        <v>2737.67</v>
      </c>
      <c r="H1905" s="3">
        <v>1270.8699999999999</v>
      </c>
      <c r="I1905" s="3">
        <v>0.68</v>
      </c>
      <c r="J1905">
        <v>0.23</v>
      </c>
      <c r="K1905">
        <v>2528.4</v>
      </c>
      <c r="L1905" t="s">
        <v>39</v>
      </c>
      <c r="M1905">
        <v>629</v>
      </c>
      <c r="N1905">
        <v>0.15</v>
      </c>
      <c r="O1905" s="3">
        <v>587.48</v>
      </c>
      <c r="P1905" s="3">
        <v>0.15</v>
      </c>
      <c r="Q1905" s="3">
        <v>150.28</v>
      </c>
      <c r="R1905" s="3">
        <v>0.04</v>
      </c>
      <c r="S1905">
        <v>5</v>
      </c>
      <c r="T1905">
        <v>1254.6300000000001</v>
      </c>
      <c r="U1905">
        <v>62</v>
      </c>
      <c r="V1905">
        <v>0</v>
      </c>
      <c r="W1905">
        <v>730.14</v>
      </c>
      <c r="X1905">
        <v>2945.52</v>
      </c>
      <c r="Y1905" t="s">
        <v>36</v>
      </c>
      <c r="Z1905" s="3">
        <v>1646.5</v>
      </c>
      <c r="AA1905" t="s">
        <v>47</v>
      </c>
      <c r="AB1905" t="s">
        <v>33</v>
      </c>
      <c r="AC1905">
        <v>6.2</v>
      </c>
      <c r="AD1905" t="s">
        <v>43</v>
      </c>
      <c r="AE1905">
        <v>1270.8699999999999</v>
      </c>
      <c r="AF1905">
        <v>0</v>
      </c>
    </row>
    <row r="1906" spans="3:32" x14ac:dyDescent="0.35">
      <c r="C1906" s="1">
        <v>44606</v>
      </c>
      <c r="D1906" s="2">
        <v>44593</v>
      </c>
      <c r="E1906">
        <v>1119</v>
      </c>
      <c r="F1906" s="3">
        <v>4741.24</v>
      </c>
      <c r="G1906" s="3">
        <v>2250.81</v>
      </c>
      <c r="H1906" s="3">
        <v>2490.4299999999998</v>
      </c>
      <c r="I1906" s="3">
        <v>0.47</v>
      </c>
      <c r="J1906">
        <v>0.26</v>
      </c>
      <c r="K1906">
        <v>2820</v>
      </c>
      <c r="L1906" t="s">
        <v>30</v>
      </c>
      <c r="M1906">
        <v>769</v>
      </c>
      <c r="N1906">
        <v>0.56000000000000005</v>
      </c>
      <c r="O1906" s="3">
        <v>569.44000000000005</v>
      </c>
      <c r="P1906" s="3">
        <v>0.12</v>
      </c>
      <c r="Q1906" s="3">
        <v>461.04</v>
      </c>
      <c r="R1906" s="3">
        <v>0.1</v>
      </c>
      <c r="S1906">
        <v>4</v>
      </c>
      <c r="T1906">
        <v>856.31</v>
      </c>
      <c r="U1906">
        <v>52</v>
      </c>
      <c r="V1906">
        <v>0</v>
      </c>
      <c r="W1906">
        <v>690.65</v>
      </c>
      <c r="X1906">
        <v>2450.71</v>
      </c>
      <c r="Y1906" t="s">
        <v>36</v>
      </c>
      <c r="Z1906" s="3">
        <v>1696.36</v>
      </c>
      <c r="AA1906" t="s">
        <v>41</v>
      </c>
      <c r="AB1906" t="s">
        <v>33</v>
      </c>
      <c r="AC1906">
        <v>35.6</v>
      </c>
      <c r="AD1906" t="s">
        <v>34</v>
      </c>
      <c r="AE1906">
        <v>2490.4299999999998</v>
      </c>
      <c r="AF1906">
        <v>0</v>
      </c>
    </row>
    <row r="1907" spans="3:32" x14ac:dyDescent="0.35">
      <c r="C1907" s="1">
        <v>44606</v>
      </c>
      <c r="D1907" s="2">
        <v>44593</v>
      </c>
      <c r="E1907">
        <v>1959</v>
      </c>
      <c r="F1907" s="3">
        <v>3842.98</v>
      </c>
      <c r="G1907" s="3">
        <v>3322.65</v>
      </c>
      <c r="H1907" s="3">
        <v>520.33000000000004</v>
      </c>
      <c r="I1907" s="3">
        <v>0.86</v>
      </c>
      <c r="J1907">
        <v>0.28999999999999998</v>
      </c>
      <c r="K1907">
        <v>3413.11</v>
      </c>
      <c r="L1907" t="s">
        <v>35</v>
      </c>
      <c r="M1907">
        <v>665</v>
      </c>
      <c r="N1907">
        <v>0.26</v>
      </c>
      <c r="O1907" s="3">
        <v>433.77</v>
      </c>
      <c r="P1907" s="3">
        <v>0.11</v>
      </c>
      <c r="Q1907" s="3">
        <v>336.52</v>
      </c>
      <c r="R1907" s="3">
        <v>0.09</v>
      </c>
      <c r="S1907">
        <v>6</v>
      </c>
      <c r="T1907">
        <v>1188.44</v>
      </c>
      <c r="U1907">
        <v>69</v>
      </c>
      <c r="V1907">
        <v>0</v>
      </c>
      <c r="W1907">
        <v>696.81</v>
      </c>
      <c r="X1907">
        <v>2758.48</v>
      </c>
      <c r="Y1907" t="s">
        <v>36</v>
      </c>
      <c r="Z1907" s="3">
        <v>858.11</v>
      </c>
      <c r="AA1907" t="s">
        <v>51</v>
      </c>
      <c r="AB1907" t="s">
        <v>44</v>
      </c>
      <c r="AC1907">
        <v>4.4000000000000004</v>
      </c>
      <c r="AD1907" t="s">
        <v>43</v>
      </c>
      <c r="AE1907">
        <v>520.33000000000004</v>
      </c>
      <c r="AF1907">
        <v>0</v>
      </c>
    </row>
    <row r="1908" spans="3:32" x14ac:dyDescent="0.35">
      <c r="C1908" s="1">
        <v>44606</v>
      </c>
      <c r="D1908" s="2">
        <v>44593</v>
      </c>
      <c r="E1908">
        <v>1796</v>
      </c>
      <c r="F1908" s="3">
        <v>3538.65</v>
      </c>
      <c r="G1908" s="3">
        <v>2538.87</v>
      </c>
      <c r="H1908" s="3">
        <v>999.78</v>
      </c>
      <c r="I1908" s="3">
        <v>0.72</v>
      </c>
      <c r="J1908">
        <v>0.05</v>
      </c>
      <c r="K1908">
        <v>3694.37</v>
      </c>
      <c r="L1908" t="s">
        <v>35</v>
      </c>
      <c r="M1908">
        <v>667</v>
      </c>
      <c r="N1908">
        <v>0.18</v>
      </c>
      <c r="O1908" s="3">
        <v>494.42</v>
      </c>
      <c r="P1908" s="3">
        <v>0.14000000000000001</v>
      </c>
      <c r="Q1908" s="3">
        <v>650.53</v>
      </c>
      <c r="R1908" s="3">
        <v>0.18</v>
      </c>
      <c r="S1908">
        <v>1</v>
      </c>
      <c r="T1908">
        <v>1226.71</v>
      </c>
      <c r="U1908">
        <v>42</v>
      </c>
      <c r="V1908">
        <v>0</v>
      </c>
      <c r="W1908">
        <v>396.44</v>
      </c>
      <c r="X1908">
        <v>2739.96</v>
      </c>
      <c r="Y1908" t="s">
        <v>36</v>
      </c>
      <c r="Z1908" s="3">
        <v>1519.53</v>
      </c>
      <c r="AA1908" t="s">
        <v>47</v>
      </c>
      <c r="AB1908" t="s">
        <v>33</v>
      </c>
      <c r="AC1908">
        <v>67.400000000000006</v>
      </c>
      <c r="AD1908" t="s">
        <v>34</v>
      </c>
      <c r="AE1908">
        <v>999.78</v>
      </c>
      <c r="AF1908">
        <v>0</v>
      </c>
    </row>
    <row r="1909" spans="3:32" x14ac:dyDescent="0.35">
      <c r="C1909" s="1">
        <v>44606</v>
      </c>
      <c r="D1909" s="2">
        <v>44593</v>
      </c>
      <c r="E1909">
        <v>1289</v>
      </c>
      <c r="F1909" s="3">
        <v>6760.38</v>
      </c>
      <c r="G1909" s="3">
        <v>3027.02</v>
      </c>
      <c r="H1909" s="3">
        <v>3733.36</v>
      </c>
      <c r="I1909" s="3">
        <v>0.45</v>
      </c>
      <c r="J1909">
        <v>0.15</v>
      </c>
      <c r="K1909">
        <v>2402.42</v>
      </c>
      <c r="L1909" t="s">
        <v>35</v>
      </c>
      <c r="M1909">
        <v>672</v>
      </c>
      <c r="N1909">
        <v>0.26</v>
      </c>
      <c r="O1909" s="3">
        <v>658.54</v>
      </c>
      <c r="P1909" s="3">
        <v>0.1</v>
      </c>
      <c r="Q1909" s="3">
        <v>1020.97</v>
      </c>
      <c r="R1909" s="3">
        <v>0.15</v>
      </c>
      <c r="S1909">
        <v>4</v>
      </c>
      <c r="T1909">
        <v>1248.67</v>
      </c>
      <c r="U1909">
        <v>74</v>
      </c>
      <c r="V1909">
        <v>0</v>
      </c>
      <c r="W1909">
        <v>419.73</v>
      </c>
      <c r="X1909">
        <v>2098.87</v>
      </c>
      <c r="Y1909" t="s">
        <v>36</v>
      </c>
      <c r="Z1909" s="3">
        <v>1790.89</v>
      </c>
      <c r="AA1909" t="s">
        <v>46</v>
      </c>
      <c r="AB1909" t="s">
        <v>42</v>
      </c>
      <c r="AC1909">
        <v>11.5</v>
      </c>
      <c r="AD1909" t="s">
        <v>34</v>
      </c>
      <c r="AE1909">
        <v>3733.36</v>
      </c>
      <c r="AF1909">
        <v>1</v>
      </c>
    </row>
    <row r="1910" spans="3:32" x14ac:dyDescent="0.35">
      <c r="C1910" s="1">
        <v>44606</v>
      </c>
      <c r="D1910" s="2">
        <v>44593</v>
      </c>
      <c r="E1910">
        <v>1649</v>
      </c>
      <c r="F1910" s="3">
        <v>4718.26</v>
      </c>
      <c r="G1910" s="3">
        <v>5019.91</v>
      </c>
      <c r="H1910" s="3">
        <v>-301.64999999999998</v>
      </c>
      <c r="I1910" s="3">
        <v>1.06</v>
      </c>
      <c r="J1910">
        <v>0.27</v>
      </c>
      <c r="K1910">
        <v>2940.14</v>
      </c>
      <c r="L1910" t="s">
        <v>39</v>
      </c>
      <c r="M1910">
        <v>672</v>
      </c>
      <c r="N1910">
        <v>0.16</v>
      </c>
      <c r="O1910" s="3">
        <v>729.14</v>
      </c>
      <c r="P1910" s="3">
        <v>0.15</v>
      </c>
      <c r="Q1910" s="3">
        <v>567.32000000000005</v>
      </c>
      <c r="R1910" s="3">
        <v>0.12</v>
      </c>
      <c r="S1910">
        <v>5</v>
      </c>
      <c r="T1910">
        <v>1339.5</v>
      </c>
      <c r="U1910">
        <v>86</v>
      </c>
      <c r="V1910">
        <v>0</v>
      </c>
      <c r="W1910">
        <v>808.39</v>
      </c>
      <c r="X1910">
        <v>2435.91</v>
      </c>
      <c r="Y1910" t="s">
        <v>36</v>
      </c>
      <c r="Z1910" s="3">
        <v>1328.22</v>
      </c>
      <c r="AA1910" t="s">
        <v>37</v>
      </c>
      <c r="AB1910" t="s">
        <v>44</v>
      </c>
      <c r="AC1910">
        <v>89.2</v>
      </c>
      <c r="AD1910" t="s">
        <v>34</v>
      </c>
      <c r="AE1910">
        <v>0</v>
      </c>
      <c r="AF1910">
        <v>0</v>
      </c>
    </row>
    <row r="1911" spans="3:32" x14ac:dyDescent="0.35">
      <c r="C1911" s="1">
        <v>44606</v>
      </c>
      <c r="D1911" s="2">
        <v>44593</v>
      </c>
      <c r="E1911">
        <v>1911</v>
      </c>
      <c r="F1911" s="3">
        <v>4117.59</v>
      </c>
      <c r="G1911" s="3">
        <v>1482.06</v>
      </c>
      <c r="H1911" s="3">
        <v>2635.53</v>
      </c>
      <c r="I1911" s="3">
        <v>0.36</v>
      </c>
      <c r="J1911">
        <v>0.36</v>
      </c>
      <c r="K1911">
        <v>3138.21</v>
      </c>
      <c r="L1911" t="s">
        <v>35</v>
      </c>
      <c r="M1911">
        <v>690</v>
      </c>
      <c r="N1911">
        <v>0.49</v>
      </c>
      <c r="O1911" s="3">
        <v>285.60000000000002</v>
      </c>
      <c r="P1911" s="3">
        <v>7.0000000000000007E-2</v>
      </c>
      <c r="Q1911" s="3">
        <v>50.05</v>
      </c>
      <c r="R1911" s="3">
        <v>0.01</v>
      </c>
      <c r="S1911">
        <v>3</v>
      </c>
      <c r="T1911">
        <v>966.19</v>
      </c>
      <c r="U1911">
        <v>73</v>
      </c>
      <c r="V1911">
        <v>0</v>
      </c>
      <c r="W1911">
        <v>117.44</v>
      </c>
      <c r="X1911">
        <v>2153.52</v>
      </c>
      <c r="Y1911" t="s">
        <v>49</v>
      </c>
      <c r="Z1911" s="3">
        <v>2127.9299999999998</v>
      </c>
      <c r="AA1911" t="s">
        <v>47</v>
      </c>
      <c r="AB1911" t="s">
        <v>42</v>
      </c>
      <c r="AC1911">
        <v>49.3</v>
      </c>
      <c r="AD1911" t="s">
        <v>34</v>
      </c>
      <c r="AE1911">
        <v>2635.53</v>
      </c>
      <c r="AF1911">
        <v>0</v>
      </c>
    </row>
    <row r="1912" spans="3:32" x14ac:dyDescent="0.35">
      <c r="C1912" s="1">
        <v>44606</v>
      </c>
      <c r="D1912" s="2">
        <v>44593</v>
      </c>
      <c r="E1912">
        <v>1538</v>
      </c>
      <c r="F1912" s="3">
        <v>3019.64</v>
      </c>
      <c r="G1912" s="3">
        <v>3008</v>
      </c>
      <c r="H1912" s="3">
        <v>11.64</v>
      </c>
      <c r="I1912" s="3">
        <v>1</v>
      </c>
      <c r="J1912">
        <v>0.19</v>
      </c>
      <c r="K1912">
        <v>2585.2199999999998</v>
      </c>
      <c r="L1912" t="s">
        <v>39</v>
      </c>
      <c r="M1912">
        <v>701</v>
      </c>
      <c r="N1912">
        <v>0.13</v>
      </c>
      <c r="O1912" s="3">
        <v>565.46</v>
      </c>
      <c r="P1912" s="3">
        <v>0.19</v>
      </c>
      <c r="Q1912" s="3">
        <v>231.14</v>
      </c>
      <c r="R1912" s="3">
        <v>0.08</v>
      </c>
      <c r="S1912">
        <v>1</v>
      </c>
      <c r="T1912">
        <v>1600.26</v>
      </c>
      <c r="U1912">
        <v>26</v>
      </c>
      <c r="V1912">
        <v>0</v>
      </c>
      <c r="W1912">
        <v>630</v>
      </c>
      <c r="X1912">
        <v>2303.98</v>
      </c>
      <c r="Y1912" t="s">
        <v>31</v>
      </c>
      <c r="Z1912" s="3">
        <v>1485.58</v>
      </c>
      <c r="AA1912" t="s">
        <v>51</v>
      </c>
      <c r="AB1912" t="s">
        <v>44</v>
      </c>
      <c r="AC1912">
        <v>99.5</v>
      </c>
      <c r="AD1912" t="s">
        <v>38</v>
      </c>
      <c r="AE1912">
        <v>11.64</v>
      </c>
      <c r="AF1912">
        <v>0</v>
      </c>
    </row>
    <row r="1913" spans="3:32" x14ac:dyDescent="0.35">
      <c r="C1913" s="1">
        <v>44606</v>
      </c>
      <c r="D1913" s="2">
        <v>44593</v>
      </c>
      <c r="E1913">
        <v>1473</v>
      </c>
      <c r="F1913" s="3">
        <v>4040.51</v>
      </c>
      <c r="G1913" s="3">
        <v>2627.91</v>
      </c>
      <c r="H1913" s="3">
        <v>1412.6</v>
      </c>
      <c r="I1913" s="3">
        <v>0.65</v>
      </c>
      <c r="J1913">
        <v>0.23</v>
      </c>
      <c r="K1913">
        <v>3206.36</v>
      </c>
      <c r="L1913" t="s">
        <v>35</v>
      </c>
      <c r="M1913">
        <v>726</v>
      </c>
      <c r="N1913">
        <v>0.47</v>
      </c>
      <c r="O1913" s="3">
        <v>416.88</v>
      </c>
      <c r="P1913" s="3">
        <v>0.1</v>
      </c>
      <c r="Q1913" s="3">
        <v>301.02999999999997</v>
      </c>
      <c r="R1913" s="3">
        <v>7.0000000000000007E-2</v>
      </c>
      <c r="S1913">
        <v>6</v>
      </c>
      <c r="T1913">
        <v>746.66</v>
      </c>
      <c r="U1913">
        <v>32</v>
      </c>
      <c r="V1913">
        <v>0</v>
      </c>
      <c r="W1913">
        <v>261.77999999999997</v>
      </c>
      <c r="X1913">
        <v>1761.81</v>
      </c>
      <c r="Y1913" t="s">
        <v>36</v>
      </c>
      <c r="Z1913" s="3">
        <v>2360.4899999999998</v>
      </c>
      <c r="AA1913" t="s">
        <v>32</v>
      </c>
      <c r="AB1913" t="s">
        <v>42</v>
      </c>
      <c r="AC1913">
        <v>75.099999999999994</v>
      </c>
      <c r="AD1913" t="s">
        <v>38</v>
      </c>
      <c r="AE1913">
        <v>1412.6</v>
      </c>
      <c r="AF1913">
        <v>0</v>
      </c>
    </row>
    <row r="1914" spans="3:32" x14ac:dyDescent="0.35">
      <c r="C1914" s="1">
        <v>44606</v>
      </c>
      <c r="D1914" s="2">
        <v>44593</v>
      </c>
      <c r="E1914">
        <v>1899</v>
      </c>
      <c r="F1914" s="3">
        <v>2432.9</v>
      </c>
      <c r="G1914" s="3">
        <v>3479.84</v>
      </c>
      <c r="H1914" s="3">
        <v>-1046.94</v>
      </c>
      <c r="I1914" s="3">
        <v>1.43</v>
      </c>
      <c r="J1914">
        <v>0.34</v>
      </c>
      <c r="K1914">
        <v>2906.75</v>
      </c>
      <c r="L1914" t="s">
        <v>35</v>
      </c>
      <c r="M1914">
        <v>655</v>
      </c>
      <c r="N1914">
        <v>0.28000000000000003</v>
      </c>
      <c r="O1914" s="3">
        <v>281.38</v>
      </c>
      <c r="P1914" s="3">
        <v>0.12</v>
      </c>
      <c r="Q1914" s="3">
        <v>215.94</v>
      </c>
      <c r="R1914" s="3">
        <v>0.09</v>
      </c>
      <c r="S1914">
        <v>6</v>
      </c>
      <c r="T1914">
        <v>1921.07</v>
      </c>
      <c r="U1914">
        <v>65</v>
      </c>
      <c r="V1914">
        <v>0</v>
      </c>
      <c r="W1914">
        <v>245.92</v>
      </c>
      <c r="X1914">
        <v>2505.3200000000002</v>
      </c>
      <c r="Y1914" t="s">
        <v>36</v>
      </c>
      <c r="Z1914" s="3">
        <v>1213.33</v>
      </c>
      <c r="AA1914" t="s">
        <v>40</v>
      </c>
      <c r="AB1914" t="s">
        <v>33</v>
      </c>
      <c r="AC1914">
        <v>22.6</v>
      </c>
      <c r="AD1914" t="s">
        <v>34</v>
      </c>
      <c r="AE1914">
        <v>0</v>
      </c>
      <c r="AF1914">
        <v>0</v>
      </c>
    </row>
    <row r="1915" spans="3:32" x14ac:dyDescent="0.35">
      <c r="C1915" s="1">
        <v>44606</v>
      </c>
      <c r="D1915" s="2">
        <v>44593</v>
      </c>
      <c r="E1915">
        <v>1912</v>
      </c>
      <c r="F1915" s="3">
        <v>4092.12</v>
      </c>
      <c r="G1915" s="3">
        <v>3388.07</v>
      </c>
      <c r="H1915" s="3">
        <v>704.05</v>
      </c>
      <c r="I1915" s="3">
        <v>0.83</v>
      </c>
      <c r="J1915">
        <v>0.1</v>
      </c>
      <c r="K1915">
        <v>2752.37</v>
      </c>
      <c r="L1915" t="s">
        <v>39</v>
      </c>
      <c r="M1915">
        <v>687</v>
      </c>
      <c r="N1915">
        <v>0.27</v>
      </c>
      <c r="O1915" s="3">
        <v>501.72</v>
      </c>
      <c r="P1915" s="3">
        <v>0.12</v>
      </c>
      <c r="Q1915" s="3">
        <v>265.89</v>
      </c>
      <c r="R1915" s="3">
        <v>0.06</v>
      </c>
      <c r="S1915">
        <v>4</v>
      </c>
      <c r="T1915">
        <v>1170.45</v>
      </c>
      <c r="U1915">
        <v>51</v>
      </c>
      <c r="V1915">
        <v>0</v>
      </c>
      <c r="W1915">
        <v>747.78</v>
      </c>
      <c r="X1915">
        <v>2016.51</v>
      </c>
      <c r="Y1915" t="s">
        <v>36</v>
      </c>
      <c r="Z1915" s="3">
        <v>1678.29</v>
      </c>
      <c r="AA1915" t="s">
        <v>37</v>
      </c>
      <c r="AB1915" t="s">
        <v>33</v>
      </c>
      <c r="AC1915">
        <v>5.3</v>
      </c>
      <c r="AD1915" t="s">
        <v>43</v>
      </c>
      <c r="AE1915">
        <v>704.05</v>
      </c>
      <c r="AF1915">
        <v>0</v>
      </c>
    </row>
    <row r="1916" spans="3:32" x14ac:dyDescent="0.35">
      <c r="C1916" s="1">
        <v>44606</v>
      </c>
      <c r="D1916" s="2">
        <v>44593</v>
      </c>
      <c r="E1916">
        <v>1322</v>
      </c>
      <c r="F1916" s="3">
        <v>4118.3500000000004</v>
      </c>
      <c r="G1916" s="3">
        <v>3206.11</v>
      </c>
      <c r="H1916" s="3">
        <v>912.24</v>
      </c>
      <c r="I1916" s="3">
        <v>0.78</v>
      </c>
      <c r="J1916">
        <v>0.09</v>
      </c>
      <c r="K1916">
        <v>2967.28</v>
      </c>
      <c r="L1916" t="s">
        <v>35</v>
      </c>
      <c r="M1916">
        <v>654</v>
      </c>
      <c r="N1916">
        <v>0.57999999999999996</v>
      </c>
      <c r="O1916" s="3">
        <v>353.98</v>
      </c>
      <c r="P1916" s="3">
        <v>0.09</v>
      </c>
      <c r="Q1916" s="3">
        <v>288.49</v>
      </c>
      <c r="R1916" s="3">
        <v>7.0000000000000007E-2</v>
      </c>
      <c r="S1916">
        <v>3</v>
      </c>
      <c r="T1916">
        <v>438.27</v>
      </c>
      <c r="U1916">
        <v>95</v>
      </c>
      <c r="V1916">
        <v>0</v>
      </c>
      <c r="W1916">
        <v>436.8</v>
      </c>
      <c r="X1916">
        <v>2524.06</v>
      </c>
      <c r="Y1916" t="s">
        <v>36</v>
      </c>
      <c r="Z1916" s="3">
        <v>1431.62</v>
      </c>
      <c r="AA1916" t="s">
        <v>41</v>
      </c>
      <c r="AB1916" t="s">
        <v>33</v>
      </c>
      <c r="AC1916">
        <v>86.5</v>
      </c>
      <c r="AD1916" t="s">
        <v>34</v>
      </c>
      <c r="AE1916">
        <v>912.24</v>
      </c>
      <c r="AF1916">
        <v>0</v>
      </c>
    </row>
    <row r="1917" spans="3:32" x14ac:dyDescent="0.35">
      <c r="C1917" s="1">
        <v>44606</v>
      </c>
      <c r="D1917" s="2">
        <v>44593</v>
      </c>
      <c r="E1917">
        <v>1839</v>
      </c>
      <c r="F1917" s="3">
        <v>4859.54</v>
      </c>
      <c r="G1917" s="3">
        <v>3578.86</v>
      </c>
      <c r="H1917" s="3">
        <v>1280.68</v>
      </c>
      <c r="I1917" s="3">
        <v>0.74</v>
      </c>
      <c r="J1917">
        <v>0.12</v>
      </c>
      <c r="K1917">
        <v>2374.2800000000002</v>
      </c>
      <c r="L1917" t="s">
        <v>35</v>
      </c>
      <c r="M1917">
        <v>711</v>
      </c>
      <c r="N1917">
        <v>0.13</v>
      </c>
      <c r="O1917" s="3">
        <v>645.39</v>
      </c>
      <c r="P1917" s="3">
        <v>0.13</v>
      </c>
      <c r="Q1917" s="3">
        <v>233.26</v>
      </c>
      <c r="R1917" s="3">
        <v>0.05</v>
      </c>
      <c r="S1917">
        <v>7</v>
      </c>
      <c r="T1917">
        <v>1010.71</v>
      </c>
      <c r="U1917">
        <v>44</v>
      </c>
      <c r="V1917">
        <v>0</v>
      </c>
      <c r="W1917">
        <v>491.67</v>
      </c>
      <c r="X1917">
        <v>2094.77</v>
      </c>
      <c r="Y1917" t="s">
        <v>36</v>
      </c>
      <c r="Z1917" s="3">
        <v>637.72</v>
      </c>
      <c r="AA1917" t="s">
        <v>41</v>
      </c>
      <c r="AB1917" t="s">
        <v>42</v>
      </c>
      <c r="AC1917">
        <v>86.3</v>
      </c>
      <c r="AD1917" t="s">
        <v>43</v>
      </c>
      <c r="AE1917">
        <v>1280.68</v>
      </c>
      <c r="AF1917">
        <v>0</v>
      </c>
    </row>
    <row r="1918" spans="3:32" x14ac:dyDescent="0.35">
      <c r="C1918" s="1">
        <v>44606</v>
      </c>
      <c r="D1918" s="2">
        <v>44593</v>
      </c>
      <c r="E1918">
        <v>1416</v>
      </c>
      <c r="F1918" s="3">
        <v>3495.12</v>
      </c>
      <c r="G1918" s="3">
        <v>3507.61</v>
      </c>
      <c r="H1918" s="3">
        <v>-12.49</v>
      </c>
      <c r="I1918" s="3">
        <v>1</v>
      </c>
      <c r="J1918">
        <v>0.22</v>
      </c>
      <c r="K1918">
        <v>1458.28</v>
      </c>
      <c r="L1918" t="s">
        <v>35</v>
      </c>
      <c r="M1918">
        <v>696</v>
      </c>
      <c r="N1918">
        <v>0.39</v>
      </c>
      <c r="O1918" s="3">
        <v>883.06</v>
      </c>
      <c r="P1918" s="3">
        <v>0.25</v>
      </c>
      <c r="Q1918" s="3">
        <v>353.65</v>
      </c>
      <c r="R1918" s="3">
        <v>0.1</v>
      </c>
      <c r="S1918">
        <v>4</v>
      </c>
      <c r="T1918">
        <v>926.41</v>
      </c>
      <c r="U1918">
        <v>63</v>
      </c>
      <c r="V1918">
        <v>0</v>
      </c>
      <c r="W1918">
        <v>276.56</v>
      </c>
      <c r="X1918">
        <v>1936.52</v>
      </c>
      <c r="Y1918" t="s">
        <v>36</v>
      </c>
      <c r="Z1918" s="3">
        <v>1349.68</v>
      </c>
      <c r="AA1918" t="s">
        <v>41</v>
      </c>
      <c r="AB1918" t="s">
        <v>42</v>
      </c>
      <c r="AC1918">
        <v>25.3</v>
      </c>
      <c r="AD1918" t="s">
        <v>38</v>
      </c>
      <c r="AE1918">
        <v>0</v>
      </c>
      <c r="AF1918">
        <v>0</v>
      </c>
    </row>
    <row r="1919" spans="3:32" x14ac:dyDescent="0.35">
      <c r="C1919" s="1">
        <v>44606</v>
      </c>
      <c r="D1919" s="2">
        <v>44593</v>
      </c>
      <c r="E1919">
        <v>1047</v>
      </c>
      <c r="F1919" s="3">
        <v>2963.77</v>
      </c>
      <c r="G1919" s="3">
        <v>3715.67</v>
      </c>
      <c r="H1919" s="3">
        <v>-751.9</v>
      </c>
      <c r="I1919" s="3">
        <v>1.25</v>
      </c>
      <c r="J1919">
        <v>0.24</v>
      </c>
      <c r="K1919">
        <v>3239.8</v>
      </c>
      <c r="L1919" t="s">
        <v>30</v>
      </c>
      <c r="M1919">
        <v>631</v>
      </c>
      <c r="N1919">
        <v>0.45</v>
      </c>
      <c r="O1919" s="3">
        <v>445.48</v>
      </c>
      <c r="P1919" s="3">
        <v>0.15</v>
      </c>
      <c r="Q1919" s="3">
        <v>142.13</v>
      </c>
      <c r="R1919" s="3">
        <v>0.05</v>
      </c>
      <c r="S1919">
        <v>1</v>
      </c>
      <c r="T1919">
        <v>659.64</v>
      </c>
      <c r="U1919">
        <v>34</v>
      </c>
      <c r="V1919">
        <v>0</v>
      </c>
      <c r="W1919">
        <v>129.80000000000001</v>
      </c>
      <c r="X1919">
        <v>1851.71</v>
      </c>
      <c r="Y1919" t="s">
        <v>31</v>
      </c>
      <c r="Z1919" s="3">
        <v>1325.53</v>
      </c>
      <c r="AA1919" t="s">
        <v>47</v>
      </c>
      <c r="AB1919" t="s">
        <v>33</v>
      </c>
      <c r="AC1919">
        <v>37.700000000000003</v>
      </c>
      <c r="AD1919" t="s">
        <v>34</v>
      </c>
      <c r="AE1919">
        <v>0</v>
      </c>
      <c r="AF1919">
        <v>0</v>
      </c>
    </row>
    <row r="1920" spans="3:32" x14ac:dyDescent="0.35">
      <c r="C1920" s="1">
        <v>44606</v>
      </c>
      <c r="D1920" s="2">
        <v>44593</v>
      </c>
      <c r="E1920">
        <v>1660</v>
      </c>
      <c r="F1920" s="3">
        <v>5528.53</v>
      </c>
      <c r="G1920" s="3">
        <v>3360.99</v>
      </c>
      <c r="H1920" s="3">
        <v>2167.54</v>
      </c>
      <c r="I1920" s="3">
        <v>0.61</v>
      </c>
      <c r="J1920">
        <v>0.13</v>
      </c>
      <c r="K1920">
        <v>1913.92</v>
      </c>
      <c r="L1920" t="s">
        <v>35</v>
      </c>
      <c r="M1920">
        <v>607</v>
      </c>
      <c r="N1920">
        <v>0.54</v>
      </c>
      <c r="O1920" s="3">
        <v>567.11</v>
      </c>
      <c r="P1920" s="3">
        <v>0.1</v>
      </c>
      <c r="Q1920" s="3">
        <v>0</v>
      </c>
      <c r="R1920" s="3">
        <v>0</v>
      </c>
      <c r="S1920">
        <v>2</v>
      </c>
      <c r="T1920">
        <v>1743.28</v>
      </c>
      <c r="U1920">
        <v>83</v>
      </c>
      <c r="V1920">
        <v>0</v>
      </c>
      <c r="W1920">
        <v>769.97</v>
      </c>
      <c r="X1920">
        <v>1317.05</v>
      </c>
      <c r="Y1920" t="s">
        <v>36</v>
      </c>
      <c r="Z1920" s="3">
        <v>1112.51</v>
      </c>
      <c r="AA1920" t="s">
        <v>41</v>
      </c>
      <c r="AB1920" t="s">
        <v>33</v>
      </c>
      <c r="AC1920">
        <v>25.6</v>
      </c>
      <c r="AD1920" t="s">
        <v>43</v>
      </c>
      <c r="AE1920">
        <v>2167.54</v>
      </c>
      <c r="AF1920">
        <v>1</v>
      </c>
    </row>
    <row r="1921" spans="3:32" x14ac:dyDescent="0.35">
      <c r="C1921" s="1">
        <v>44606</v>
      </c>
      <c r="D1921" s="2">
        <v>44593</v>
      </c>
      <c r="E1921">
        <v>1459</v>
      </c>
      <c r="F1921" s="3">
        <v>4147.24</v>
      </c>
      <c r="G1921" s="3">
        <v>3104.08</v>
      </c>
      <c r="H1921" s="3">
        <v>1043.1600000000001</v>
      </c>
      <c r="I1921" s="3">
        <v>0.75</v>
      </c>
      <c r="J1921">
        <v>0.25</v>
      </c>
      <c r="K1921">
        <v>2452.09</v>
      </c>
      <c r="L1921" t="s">
        <v>30</v>
      </c>
      <c r="M1921">
        <v>656</v>
      </c>
      <c r="N1921">
        <v>0.23</v>
      </c>
      <c r="O1921" s="3">
        <v>633.07000000000005</v>
      </c>
      <c r="P1921" s="3">
        <v>0.15</v>
      </c>
      <c r="Q1921" s="3">
        <v>125.67</v>
      </c>
      <c r="R1921" s="3">
        <v>0.03</v>
      </c>
      <c r="S1921">
        <v>3</v>
      </c>
      <c r="T1921">
        <v>231.51</v>
      </c>
      <c r="U1921">
        <v>20</v>
      </c>
      <c r="V1921">
        <v>0</v>
      </c>
      <c r="W1921">
        <v>256.75</v>
      </c>
      <c r="X1921">
        <v>2248.77</v>
      </c>
      <c r="Y1921" t="s">
        <v>36</v>
      </c>
      <c r="Z1921" s="3">
        <v>916.7</v>
      </c>
      <c r="AA1921" t="s">
        <v>37</v>
      </c>
      <c r="AB1921" t="s">
        <v>44</v>
      </c>
      <c r="AC1921">
        <v>44.4</v>
      </c>
      <c r="AD1921" t="s">
        <v>34</v>
      </c>
      <c r="AE1921">
        <v>1043.1600000000001</v>
      </c>
      <c r="AF1921">
        <v>0</v>
      </c>
    </row>
    <row r="1922" spans="3:32" x14ac:dyDescent="0.35">
      <c r="C1922" s="1">
        <v>44606</v>
      </c>
      <c r="D1922" s="2">
        <v>44593</v>
      </c>
      <c r="E1922">
        <v>1753</v>
      </c>
      <c r="F1922" s="3">
        <v>4795.3599999999997</v>
      </c>
      <c r="G1922" s="3">
        <v>3075.58</v>
      </c>
      <c r="H1922" s="3">
        <v>1719.78</v>
      </c>
      <c r="I1922" s="3">
        <v>0.64</v>
      </c>
      <c r="J1922">
        <v>0.22</v>
      </c>
      <c r="K1922">
        <v>2778.83</v>
      </c>
      <c r="L1922" t="s">
        <v>35</v>
      </c>
      <c r="M1922">
        <v>591</v>
      </c>
      <c r="N1922">
        <v>0.28000000000000003</v>
      </c>
      <c r="O1922" s="3">
        <v>722.63</v>
      </c>
      <c r="P1922" s="3">
        <v>0.15</v>
      </c>
      <c r="Q1922" s="3">
        <v>6.38</v>
      </c>
      <c r="R1922" s="3">
        <v>0</v>
      </c>
      <c r="S1922">
        <v>6</v>
      </c>
      <c r="T1922">
        <v>1219.3</v>
      </c>
      <c r="U1922">
        <v>94</v>
      </c>
      <c r="V1922">
        <v>0</v>
      </c>
      <c r="W1922">
        <v>390.51</v>
      </c>
      <c r="X1922">
        <v>1569.27</v>
      </c>
      <c r="Y1922" t="s">
        <v>36</v>
      </c>
      <c r="Z1922" s="3">
        <v>1701.05</v>
      </c>
      <c r="AA1922" t="s">
        <v>41</v>
      </c>
      <c r="AB1922" t="s">
        <v>33</v>
      </c>
      <c r="AC1922">
        <v>33.299999999999997</v>
      </c>
      <c r="AD1922" t="s">
        <v>34</v>
      </c>
      <c r="AE1922">
        <v>1719.78</v>
      </c>
      <c r="AF1922">
        <v>0</v>
      </c>
    </row>
    <row r="1923" spans="3:32" x14ac:dyDescent="0.35">
      <c r="C1923" s="1">
        <v>44606</v>
      </c>
      <c r="D1923" s="2">
        <v>44593</v>
      </c>
      <c r="E1923">
        <v>1580</v>
      </c>
      <c r="F1923" s="3">
        <v>3261.75</v>
      </c>
      <c r="G1923" s="3">
        <v>3296.65</v>
      </c>
      <c r="H1923" s="3">
        <v>-34.9</v>
      </c>
      <c r="I1923" s="3">
        <v>1.01</v>
      </c>
      <c r="J1923">
        <v>0.15</v>
      </c>
      <c r="K1923">
        <v>3692.32</v>
      </c>
      <c r="L1923" t="s">
        <v>35</v>
      </c>
      <c r="M1923">
        <v>712</v>
      </c>
      <c r="N1923">
        <v>0.43</v>
      </c>
      <c r="O1923" s="3">
        <v>346.92</v>
      </c>
      <c r="P1923" s="3">
        <v>0.11</v>
      </c>
      <c r="Q1923" s="3">
        <v>608.29999999999995</v>
      </c>
      <c r="R1923" s="3">
        <v>0.19</v>
      </c>
      <c r="S1923">
        <v>2</v>
      </c>
      <c r="T1923">
        <v>1226.32</v>
      </c>
      <c r="U1923">
        <v>62</v>
      </c>
      <c r="V1923">
        <v>0</v>
      </c>
      <c r="W1923">
        <v>612.03</v>
      </c>
      <c r="X1923">
        <v>1480.1</v>
      </c>
      <c r="Y1923" t="s">
        <v>36</v>
      </c>
      <c r="Z1923" s="3">
        <v>379.36</v>
      </c>
      <c r="AA1923" t="s">
        <v>37</v>
      </c>
      <c r="AB1923" t="s">
        <v>33</v>
      </c>
      <c r="AC1923">
        <v>21.2</v>
      </c>
      <c r="AD1923" t="s">
        <v>43</v>
      </c>
      <c r="AE1923">
        <v>0</v>
      </c>
      <c r="AF1923">
        <v>0</v>
      </c>
    </row>
    <row r="1924" spans="3:32" x14ac:dyDescent="0.35">
      <c r="C1924" s="1">
        <v>44606</v>
      </c>
      <c r="D1924" s="2">
        <v>44593</v>
      </c>
      <c r="E1924">
        <v>1358</v>
      </c>
      <c r="F1924" s="3">
        <v>4117.8900000000003</v>
      </c>
      <c r="G1924" s="3">
        <v>3313.45</v>
      </c>
      <c r="H1924" s="3">
        <v>804.44</v>
      </c>
      <c r="I1924" s="3">
        <v>0.8</v>
      </c>
      <c r="J1924">
        <v>0.14000000000000001</v>
      </c>
      <c r="K1924">
        <v>2666.16</v>
      </c>
      <c r="L1924" t="s">
        <v>35</v>
      </c>
      <c r="M1924">
        <v>702</v>
      </c>
      <c r="N1924">
        <v>0.28999999999999998</v>
      </c>
      <c r="O1924" s="3">
        <v>762.38</v>
      </c>
      <c r="P1924" s="3">
        <v>0.19</v>
      </c>
      <c r="Q1924" s="3">
        <v>493.47</v>
      </c>
      <c r="R1924" s="3">
        <v>0.12</v>
      </c>
      <c r="S1924">
        <v>2</v>
      </c>
      <c r="T1924">
        <v>1255.2</v>
      </c>
      <c r="U1924">
        <v>73</v>
      </c>
      <c r="V1924">
        <v>0</v>
      </c>
      <c r="W1924">
        <v>556.30999999999995</v>
      </c>
      <c r="X1924">
        <v>1035.92</v>
      </c>
      <c r="Y1924" t="s">
        <v>36</v>
      </c>
      <c r="Z1924" s="3">
        <v>671.68</v>
      </c>
      <c r="AA1924" t="s">
        <v>37</v>
      </c>
      <c r="AB1924" t="s">
        <v>42</v>
      </c>
      <c r="AC1924">
        <v>31.4</v>
      </c>
      <c r="AD1924" t="s">
        <v>38</v>
      </c>
      <c r="AE1924">
        <v>804.44</v>
      </c>
      <c r="AF1924">
        <v>0</v>
      </c>
    </row>
    <row r="1925" spans="3:32" x14ac:dyDescent="0.35">
      <c r="C1925" s="1">
        <v>44606</v>
      </c>
      <c r="D1925" s="2">
        <v>44593</v>
      </c>
      <c r="E1925">
        <v>1585</v>
      </c>
      <c r="F1925" s="3">
        <v>4133.59</v>
      </c>
      <c r="G1925" s="3">
        <v>3752.5</v>
      </c>
      <c r="H1925" s="3">
        <v>381.09</v>
      </c>
      <c r="I1925" s="3">
        <v>0.91</v>
      </c>
      <c r="J1925">
        <v>0.28000000000000003</v>
      </c>
      <c r="K1925">
        <v>3830.88</v>
      </c>
      <c r="L1925" t="s">
        <v>39</v>
      </c>
      <c r="M1925">
        <v>728</v>
      </c>
      <c r="N1925">
        <v>0.47</v>
      </c>
      <c r="O1925" s="3">
        <v>963.5</v>
      </c>
      <c r="P1925" s="3">
        <v>0.23</v>
      </c>
      <c r="Q1925" s="3">
        <v>346.21</v>
      </c>
      <c r="R1925" s="3">
        <v>0.08</v>
      </c>
      <c r="S1925">
        <v>8</v>
      </c>
      <c r="T1925">
        <v>0</v>
      </c>
      <c r="U1925">
        <v>96</v>
      </c>
      <c r="V1925">
        <v>1</v>
      </c>
      <c r="W1925">
        <v>132.94999999999999</v>
      </c>
      <c r="X1925">
        <v>2705.24</v>
      </c>
      <c r="Y1925" t="s">
        <v>36</v>
      </c>
      <c r="Z1925" s="3">
        <v>1472.42</v>
      </c>
      <c r="AA1925" t="s">
        <v>37</v>
      </c>
      <c r="AB1925" t="s">
        <v>44</v>
      </c>
      <c r="AC1925">
        <v>25.1</v>
      </c>
      <c r="AD1925" t="s">
        <v>43</v>
      </c>
      <c r="AE1925">
        <v>381.09</v>
      </c>
      <c r="AF1925">
        <v>0</v>
      </c>
    </row>
    <row r="1926" spans="3:32" x14ac:dyDescent="0.35">
      <c r="C1926" s="1">
        <v>44606</v>
      </c>
      <c r="D1926" s="2">
        <v>44593</v>
      </c>
      <c r="E1926">
        <v>1297</v>
      </c>
      <c r="F1926" s="3">
        <v>5808.8</v>
      </c>
      <c r="G1926" s="3">
        <v>2941.58</v>
      </c>
      <c r="H1926" s="3">
        <v>2867.22</v>
      </c>
      <c r="I1926" s="3">
        <v>0.51</v>
      </c>
      <c r="J1926">
        <v>0.15</v>
      </c>
      <c r="K1926">
        <v>2588.56</v>
      </c>
      <c r="L1926" t="s">
        <v>35</v>
      </c>
      <c r="M1926">
        <v>695</v>
      </c>
      <c r="N1926">
        <v>0.25</v>
      </c>
      <c r="O1926" s="3">
        <v>309.47000000000003</v>
      </c>
      <c r="P1926" s="3">
        <v>0.05</v>
      </c>
      <c r="Q1926" s="3">
        <v>848.44</v>
      </c>
      <c r="R1926" s="3">
        <v>0.15</v>
      </c>
      <c r="S1926">
        <v>8</v>
      </c>
      <c r="T1926">
        <v>1320.74</v>
      </c>
      <c r="U1926">
        <v>96</v>
      </c>
      <c r="V1926">
        <v>0</v>
      </c>
      <c r="W1926">
        <v>668.22</v>
      </c>
      <c r="X1926">
        <v>1264.3699999999999</v>
      </c>
      <c r="Y1926" t="s">
        <v>49</v>
      </c>
      <c r="Z1926" s="3">
        <v>1298.5899999999999</v>
      </c>
      <c r="AA1926" t="s">
        <v>41</v>
      </c>
      <c r="AB1926" t="s">
        <v>42</v>
      </c>
      <c r="AC1926">
        <v>78.400000000000006</v>
      </c>
      <c r="AD1926" t="s">
        <v>34</v>
      </c>
      <c r="AE1926">
        <v>2867.22</v>
      </c>
      <c r="AF1926">
        <v>1</v>
      </c>
    </row>
    <row r="1927" spans="3:32" x14ac:dyDescent="0.35">
      <c r="C1927" s="1">
        <v>44606</v>
      </c>
      <c r="D1927" s="2">
        <v>44593</v>
      </c>
      <c r="E1927">
        <v>1538</v>
      </c>
      <c r="F1927" s="3">
        <v>5125.55</v>
      </c>
      <c r="G1927" s="3">
        <v>4817.68</v>
      </c>
      <c r="H1927" s="3">
        <v>307.87</v>
      </c>
      <c r="I1927" s="3">
        <v>0.94</v>
      </c>
      <c r="J1927">
        <v>0.2</v>
      </c>
      <c r="K1927">
        <v>2315.3000000000002</v>
      </c>
      <c r="L1927" t="s">
        <v>35</v>
      </c>
      <c r="M1927">
        <v>755</v>
      </c>
      <c r="N1927">
        <v>0.38</v>
      </c>
      <c r="O1927" s="3">
        <v>289.45</v>
      </c>
      <c r="P1927" s="3">
        <v>0.06</v>
      </c>
      <c r="Q1927" s="3">
        <v>0</v>
      </c>
      <c r="R1927" s="3">
        <v>0</v>
      </c>
      <c r="S1927">
        <v>2</v>
      </c>
      <c r="T1927">
        <v>1504.74</v>
      </c>
      <c r="U1927">
        <v>71</v>
      </c>
      <c r="V1927">
        <v>0</v>
      </c>
      <c r="W1927">
        <v>442.83</v>
      </c>
      <c r="X1927">
        <v>2374.19</v>
      </c>
      <c r="Y1927" t="s">
        <v>36</v>
      </c>
      <c r="Z1927" s="3">
        <v>1101.75</v>
      </c>
      <c r="AA1927" t="s">
        <v>45</v>
      </c>
      <c r="AB1927" t="s">
        <v>42</v>
      </c>
      <c r="AC1927">
        <v>6.7</v>
      </c>
      <c r="AD1927" t="s">
        <v>43</v>
      </c>
      <c r="AE1927">
        <v>307.87</v>
      </c>
      <c r="AF1927">
        <v>0</v>
      </c>
    </row>
    <row r="1928" spans="3:32" x14ac:dyDescent="0.35">
      <c r="C1928" s="1">
        <v>44606</v>
      </c>
      <c r="D1928" s="2">
        <v>44593</v>
      </c>
      <c r="E1928">
        <v>1883</v>
      </c>
      <c r="F1928" s="3">
        <v>2620.15</v>
      </c>
      <c r="G1928" s="3">
        <v>4298.8999999999996</v>
      </c>
      <c r="H1928" s="3">
        <v>-1678.75</v>
      </c>
      <c r="I1928" s="3">
        <v>1.64</v>
      </c>
      <c r="J1928">
        <v>0.05</v>
      </c>
      <c r="K1928">
        <v>2433.38</v>
      </c>
      <c r="L1928" t="s">
        <v>35</v>
      </c>
      <c r="M1928">
        <v>659</v>
      </c>
      <c r="N1928">
        <v>0.43</v>
      </c>
      <c r="O1928" s="3">
        <v>374.14</v>
      </c>
      <c r="P1928" s="3">
        <v>0.14000000000000001</v>
      </c>
      <c r="Q1928" s="3">
        <v>76.290000000000006</v>
      </c>
      <c r="R1928" s="3">
        <v>0.03</v>
      </c>
      <c r="S1928">
        <v>3</v>
      </c>
      <c r="T1928">
        <v>796.27</v>
      </c>
      <c r="U1928">
        <v>30</v>
      </c>
      <c r="V1928">
        <v>0</v>
      </c>
      <c r="W1928">
        <v>389.36</v>
      </c>
      <c r="X1928">
        <v>2926.15</v>
      </c>
      <c r="Y1928" t="s">
        <v>36</v>
      </c>
      <c r="Z1928" s="3">
        <v>1403.57</v>
      </c>
      <c r="AA1928" t="s">
        <v>47</v>
      </c>
      <c r="AB1928" t="s">
        <v>44</v>
      </c>
      <c r="AC1928">
        <v>15</v>
      </c>
      <c r="AD1928" t="s">
        <v>38</v>
      </c>
      <c r="AE1928">
        <v>0</v>
      </c>
      <c r="AF1928">
        <v>0</v>
      </c>
    </row>
    <row r="1929" spans="3:32" x14ac:dyDescent="0.35">
      <c r="C1929" s="1">
        <v>44606</v>
      </c>
      <c r="D1929" s="2">
        <v>44593</v>
      </c>
      <c r="E1929">
        <v>1084</v>
      </c>
      <c r="F1929" s="3">
        <v>4176.41</v>
      </c>
      <c r="G1929" s="3">
        <v>3269.49</v>
      </c>
      <c r="H1929" s="3">
        <v>906.92</v>
      </c>
      <c r="I1929" s="3">
        <v>0.78</v>
      </c>
      <c r="J1929">
        <v>0.11</v>
      </c>
      <c r="K1929">
        <v>3026.66</v>
      </c>
      <c r="L1929" t="s">
        <v>35</v>
      </c>
      <c r="M1929">
        <v>754</v>
      </c>
      <c r="N1929">
        <v>0.11</v>
      </c>
      <c r="O1929" s="3">
        <v>359.2</v>
      </c>
      <c r="P1929" s="3">
        <v>0.09</v>
      </c>
      <c r="Q1929" s="3">
        <v>617.11</v>
      </c>
      <c r="R1929" s="3">
        <v>0.15</v>
      </c>
      <c r="S1929">
        <v>9</v>
      </c>
      <c r="T1929">
        <v>423.96</v>
      </c>
      <c r="U1929">
        <v>78</v>
      </c>
      <c r="V1929">
        <v>0</v>
      </c>
      <c r="W1929">
        <v>606.27</v>
      </c>
      <c r="X1929">
        <v>1049.19</v>
      </c>
      <c r="Y1929" t="s">
        <v>31</v>
      </c>
      <c r="Z1929" s="3">
        <v>1616.71</v>
      </c>
      <c r="AA1929" t="s">
        <v>48</v>
      </c>
      <c r="AB1929" t="s">
        <v>42</v>
      </c>
      <c r="AC1929">
        <v>25.1</v>
      </c>
      <c r="AD1929" t="s">
        <v>38</v>
      </c>
      <c r="AE1929">
        <v>906.92</v>
      </c>
      <c r="AF1929">
        <v>0</v>
      </c>
    </row>
    <row r="1930" spans="3:32" x14ac:dyDescent="0.35">
      <c r="C1930" s="1">
        <v>44606</v>
      </c>
      <c r="D1930" s="2">
        <v>44593</v>
      </c>
      <c r="E1930">
        <v>1858</v>
      </c>
      <c r="F1930" s="3">
        <v>3583.16</v>
      </c>
      <c r="G1930" s="3">
        <v>2122.85</v>
      </c>
      <c r="H1930" s="3">
        <v>1460.31</v>
      </c>
      <c r="I1930" s="3">
        <v>0.59</v>
      </c>
      <c r="J1930">
        <v>0.12</v>
      </c>
      <c r="K1930">
        <v>2385.7600000000002</v>
      </c>
      <c r="L1930" t="s">
        <v>35</v>
      </c>
      <c r="M1930">
        <v>689</v>
      </c>
      <c r="N1930">
        <v>0.11</v>
      </c>
      <c r="O1930" s="3">
        <v>226.63</v>
      </c>
      <c r="P1930" s="3">
        <v>0.06</v>
      </c>
      <c r="Q1930" s="3">
        <v>614.92999999999995</v>
      </c>
      <c r="R1930" s="3">
        <v>0.17</v>
      </c>
      <c r="S1930">
        <v>5</v>
      </c>
      <c r="T1930">
        <v>431.69</v>
      </c>
      <c r="U1930">
        <v>48</v>
      </c>
      <c r="V1930">
        <v>0</v>
      </c>
      <c r="W1930">
        <v>7.49</v>
      </c>
      <c r="X1930">
        <v>2300.71</v>
      </c>
      <c r="Y1930" t="s">
        <v>36</v>
      </c>
      <c r="Z1930" s="3">
        <v>1241.98</v>
      </c>
      <c r="AA1930" t="s">
        <v>48</v>
      </c>
      <c r="AB1930" t="s">
        <v>33</v>
      </c>
      <c r="AC1930">
        <v>87.6</v>
      </c>
      <c r="AD1930" t="s">
        <v>43</v>
      </c>
      <c r="AE1930">
        <v>1460.31</v>
      </c>
      <c r="AF1930">
        <v>0</v>
      </c>
    </row>
    <row r="1931" spans="3:32" x14ac:dyDescent="0.35">
      <c r="C1931" s="1">
        <v>44606</v>
      </c>
      <c r="D1931" s="2">
        <v>44593</v>
      </c>
      <c r="E1931">
        <v>1153</v>
      </c>
      <c r="F1931" s="3">
        <v>3857.32</v>
      </c>
      <c r="G1931" s="3">
        <v>2987.43</v>
      </c>
      <c r="H1931" s="3">
        <v>869.89</v>
      </c>
      <c r="I1931" s="3">
        <v>0.77</v>
      </c>
      <c r="J1931">
        <v>0.36</v>
      </c>
      <c r="K1931">
        <v>1991.53</v>
      </c>
      <c r="L1931" t="s">
        <v>35</v>
      </c>
      <c r="M1931">
        <v>665</v>
      </c>
      <c r="N1931">
        <v>0.44</v>
      </c>
      <c r="O1931" s="3">
        <v>743.16</v>
      </c>
      <c r="P1931" s="3">
        <v>0.19</v>
      </c>
      <c r="Q1931" s="3">
        <v>444.38</v>
      </c>
      <c r="R1931" s="3">
        <v>0.12</v>
      </c>
      <c r="S1931">
        <v>7</v>
      </c>
      <c r="T1931">
        <v>982.22</v>
      </c>
      <c r="U1931">
        <v>92</v>
      </c>
      <c r="V1931">
        <v>0</v>
      </c>
      <c r="W1931">
        <v>474.4</v>
      </c>
      <c r="X1931">
        <v>1547.33</v>
      </c>
      <c r="Y1931" t="s">
        <v>36</v>
      </c>
      <c r="Z1931" s="3">
        <v>971.23</v>
      </c>
      <c r="AA1931" t="s">
        <v>47</v>
      </c>
      <c r="AB1931" t="s">
        <v>42</v>
      </c>
      <c r="AC1931">
        <v>8.9</v>
      </c>
      <c r="AD1931" t="s">
        <v>34</v>
      </c>
      <c r="AE1931">
        <v>869.89</v>
      </c>
      <c r="AF1931">
        <v>0</v>
      </c>
    </row>
    <row r="1932" spans="3:32" x14ac:dyDescent="0.35">
      <c r="C1932" s="1">
        <v>44606</v>
      </c>
      <c r="D1932" s="2">
        <v>44593</v>
      </c>
      <c r="E1932">
        <v>1916</v>
      </c>
      <c r="F1932" s="3">
        <v>5224.2700000000004</v>
      </c>
      <c r="G1932" s="3">
        <v>2935.97</v>
      </c>
      <c r="H1932" s="3">
        <v>2288.3000000000002</v>
      </c>
      <c r="I1932" s="3">
        <v>0.56000000000000005</v>
      </c>
      <c r="J1932">
        <v>0.12</v>
      </c>
      <c r="K1932">
        <v>2229.61</v>
      </c>
      <c r="L1932" t="s">
        <v>30</v>
      </c>
      <c r="M1932">
        <v>645</v>
      </c>
      <c r="N1932">
        <v>0.19</v>
      </c>
      <c r="O1932" s="3">
        <v>527.41</v>
      </c>
      <c r="P1932" s="3">
        <v>0.1</v>
      </c>
      <c r="Q1932" s="3">
        <v>353.8</v>
      </c>
      <c r="R1932" s="3">
        <v>7.0000000000000007E-2</v>
      </c>
      <c r="S1932">
        <v>6</v>
      </c>
      <c r="T1932">
        <v>640.33000000000004</v>
      </c>
      <c r="U1932">
        <v>49</v>
      </c>
      <c r="V1932">
        <v>0</v>
      </c>
      <c r="W1932">
        <v>424.75</v>
      </c>
      <c r="X1932">
        <v>2231.63</v>
      </c>
      <c r="Y1932" t="s">
        <v>36</v>
      </c>
      <c r="Z1932" s="3">
        <v>470.65</v>
      </c>
      <c r="AA1932" t="s">
        <v>51</v>
      </c>
      <c r="AB1932" t="s">
        <v>33</v>
      </c>
      <c r="AC1932">
        <v>34.299999999999997</v>
      </c>
      <c r="AD1932" t="s">
        <v>38</v>
      </c>
      <c r="AE1932">
        <v>2288.3000000000002</v>
      </c>
      <c r="AF1932">
        <v>1</v>
      </c>
    </row>
    <row r="1933" spans="3:32" x14ac:dyDescent="0.35">
      <c r="C1933" s="1">
        <v>44606</v>
      </c>
      <c r="D1933" s="2">
        <v>44593</v>
      </c>
      <c r="E1933">
        <v>1726</v>
      </c>
      <c r="F1933" s="3">
        <v>5737.26</v>
      </c>
      <c r="G1933" s="3">
        <v>2677.31</v>
      </c>
      <c r="H1933" s="3">
        <v>3059.95</v>
      </c>
      <c r="I1933" s="3">
        <v>0.47</v>
      </c>
      <c r="J1933">
        <v>0.34</v>
      </c>
      <c r="K1933">
        <v>2440.27</v>
      </c>
      <c r="L1933" t="s">
        <v>30</v>
      </c>
      <c r="M1933">
        <v>677</v>
      </c>
      <c r="N1933">
        <v>0.59</v>
      </c>
      <c r="O1933" s="3">
        <v>404.81</v>
      </c>
      <c r="P1933" s="3">
        <v>7.0000000000000007E-2</v>
      </c>
      <c r="Q1933" s="3">
        <v>0</v>
      </c>
      <c r="R1933" s="3">
        <v>0</v>
      </c>
      <c r="S1933">
        <v>8</v>
      </c>
      <c r="T1933">
        <v>864.43</v>
      </c>
      <c r="U1933">
        <v>24</v>
      </c>
      <c r="V1933">
        <v>0</v>
      </c>
      <c r="W1933">
        <v>638.19000000000005</v>
      </c>
      <c r="X1933">
        <v>2668.1</v>
      </c>
      <c r="Y1933" t="s">
        <v>31</v>
      </c>
      <c r="Z1933" s="3">
        <v>1000.29</v>
      </c>
      <c r="AA1933" t="s">
        <v>40</v>
      </c>
      <c r="AB1933" t="s">
        <v>33</v>
      </c>
      <c r="AC1933">
        <v>63.5</v>
      </c>
      <c r="AD1933" t="s">
        <v>43</v>
      </c>
      <c r="AE1933">
        <v>3059.95</v>
      </c>
      <c r="AF1933">
        <v>1</v>
      </c>
    </row>
    <row r="1934" spans="3:32" x14ac:dyDescent="0.35">
      <c r="C1934" s="1">
        <v>44606</v>
      </c>
      <c r="D1934" s="2">
        <v>44593</v>
      </c>
      <c r="E1934">
        <v>1995</v>
      </c>
      <c r="F1934" s="3">
        <v>4650.0600000000004</v>
      </c>
      <c r="G1934" s="3">
        <v>3652.85</v>
      </c>
      <c r="H1934" s="3">
        <v>997.21</v>
      </c>
      <c r="I1934" s="3">
        <v>0.79</v>
      </c>
      <c r="J1934">
        <v>0.15</v>
      </c>
      <c r="K1934">
        <v>3181.53</v>
      </c>
      <c r="L1934" t="s">
        <v>30</v>
      </c>
      <c r="M1934">
        <v>617</v>
      </c>
      <c r="N1934">
        <v>0.34</v>
      </c>
      <c r="O1934" s="3">
        <v>205.57</v>
      </c>
      <c r="P1934" s="3">
        <v>0.04</v>
      </c>
      <c r="Q1934" s="3">
        <v>47.26</v>
      </c>
      <c r="R1934" s="3">
        <v>0.01</v>
      </c>
      <c r="S1934">
        <v>1</v>
      </c>
      <c r="T1934">
        <v>1317.32</v>
      </c>
      <c r="U1934">
        <v>43</v>
      </c>
      <c r="V1934">
        <v>0</v>
      </c>
      <c r="W1934">
        <v>470.11</v>
      </c>
      <c r="X1934">
        <v>2388.92</v>
      </c>
      <c r="Y1934" t="s">
        <v>36</v>
      </c>
      <c r="Z1934" s="3">
        <v>1189.51</v>
      </c>
      <c r="AA1934" t="s">
        <v>32</v>
      </c>
      <c r="AB1934" t="s">
        <v>33</v>
      </c>
      <c r="AC1934">
        <v>31.3</v>
      </c>
      <c r="AD1934" t="s">
        <v>34</v>
      </c>
      <c r="AE1934">
        <v>997.21</v>
      </c>
      <c r="AF1934">
        <v>0</v>
      </c>
    </row>
    <row r="1935" spans="3:32" x14ac:dyDescent="0.35">
      <c r="C1935" s="1">
        <v>44606</v>
      </c>
      <c r="D1935" s="2">
        <v>44593</v>
      </c>
      <c r="E1935">
        <v>1934</v>
      </c>
      <c r="F1935" s="3">
        <v>4435.67</v>
      </c>
      <c r="G1935" s="3">
        <v>2745.13</v>
      </c>
      <c r="H1935" s="3">
        <v>1690.54</v>
      </c>
      <c r="I1935" s="3">
        <v>0.62</v>
      </c>
      <c r="J1935">
        <v>0.39</v>
      </c>
      <c r="K1935">
        <v>2523.33</v>
      </c>
      <c r="L1935" t="s">
        <v>35</v>
      </c>
      <c r="M1935">
        <v>657</v>
      </c>
      <c r="N1935">
        <v>0.26</v>
      </c>
      <c r="O1935" s="3">
        <v>474.31</v>
      </c>
      <c r="P1935" s="3">
        <v>0.11</v>
      </c>
      <c r="Q1935" s="3">
        <v>266.20999999999998</v>
      </c>
      <c r="R1935" s="3">
        <v>0.06</v>
      </c>
      <c r="S1935">
        <v>5</v>
      </c>
      <c r="T1935">
        <v>347.33</v>
      </c>
      <c r="U1935">
        <v>66</v>
      </c>
      <c r="V1935">
        <v>0</v>
      </c>
      <c r="W1935">
        <v>474.08</v>
      </c>
      <c r="X1935">
        <v>1792.89</v>
      </c>
      <c r="Y1935" t="s">
        <v>36</v>
      </c>
      <c r="Z1935" s="3">
        <v>1687.74</v>
      </c>
      <c r="AA1935" t="s">
        <v>37</v>
      </c>
      <c r="AB1935" t="s">
        <v>42</v>
      </c>
      <c r="AC1935">
        <v>26.9</v>
      </c>
      <c r="AD1935" t="s">
        <v>38</v>
      </c>
      <c r="AE1935">
        <v>1690.54</v>
      </c>
      <c r="AF1935">
        <v>0</v>
      </c>
    </row>
    <row r="1936" spans="3:32" x14ac:dyDescent="0.35">
      <c r="C1936" s="1">
        <v>44606</v>
      </c>
      <c r="D1936" s="2">
        <v>44593</v>
      </c>
      <c r="E1936">
        <v>1534</v>
      </c>
      <c r="F1936" s="3">
        <v>4393.54</v>
      </c>
      <c r="G1936" s="3">
        <v>3511.84</v>
      </c>
      <c r="H1936" s="3">
        <v>881.7</v>
      </c>
      <c r="I1936" s="3">
        <v>0.8</v>
      </c>
      <c r="J1936">
        <v>0.36</v>
      </c>
      <c r="K1936">
        <v>2752.58</v>
      </c>
      <c r="L1936" t="s">
        <v>35</v>
      </c>
      <c r="M1936">
        <v>688</v>
      </c>
      <c r="N1936">
        <v>0.26</v>
      </c>
      <c r="O1936" s="3">
        <v>466.63</v>
      </c>
      <c r="P1936" s="3">
        <v>0.11</v>
      </c>
      <c r="Q1936" s="3">
        <v>396.53</v>
      </c>
      <c r="R1936" s="3">
        <v>0.09</v>
      </c>
      <c r="S1936">
        <v>3</v>
      </c>
      <c r="T1936">
        <v>1939.31</v>
      </c>
      <c r="U1936">
        <v>47</v>
      </c>
      <c r="V1936">
        <v>0</v>
      </c>
      <c r="W1936">
        <v>197.56</v>
      </c>
      <c r="X1936">
        <v>2114.79</v>
      </c>
      <c r="Y1936" t="s">
        <v>49</v>
      </c>
      <c r="Z1936" s="3">
        <v>1498.16</v>
      </c>
      <c r="AA1936" t="s">
        <v>51</v>
      </c>
      <c r="AB1936" t="s">
        <v>44</v>
      </c>
      <c r="AC1936">
        <v>41.2</v>
      </c>
      <c r="AD1936" t="s">
        <v>38</v>
      </c>
      <c r="AE1936">
        <v>881.7</v>
      </c>
      <c r="AF1936">
        <v>0</v>
      </c>
    </row>
    <row r="1937" spans="3:32" x14ac:dyDescent="0.35">
      <c r="C1937" s="1">
        <v>44606</v>
      </c>
      <c r="D1937" s="2">
        <v>44593</v>
      </c>
      <c r="E1937">
        <v>1510</v>
      </c>
      <c r="F1937" s="3">
        <v>3713.15</v>
      </c>
      <c r="G1937" s="3">
        <v>1267.44</v>
      </c>
      <c r="H1937" s="3">
        <v>2445.71</v>
      </c>
      <c r="I1937" s="3">
        <v>0.34</v>
      </c>
      <c r="J1937">
        <v>0.15</v>
      </c>
      <c r="K1937">
        <v>2591.9299999999998</v>
      </c>
      <c r="L1937" t="s">
        <v>35</v>
      </c>
      <c r="M1937">
        <v>709</v>
      </c>
      <c r="N1937">
        <v>0.38</v>
      </c>
      <c r="O1937" s="3">
        <v>584.87</v>
      </c>
      <c r="P1937" s="3">
        <v>0.16</v>
      </c>
      <c r="Q1937" s="3">
        <v>466.19</v>
      </c>
      <c r="R1937" s="3">
        <v>0.13</v>
      </c>
      <c r="S1937">
        <v>1</v>
      </c>
      <c r="T1937">
        <v>696.89</v>
      </c>
      <c r="U1937">
        <v>87</v>
      </c>
      <c r="V1937">
        <v>0</v>
      </c>
      <c r="W1937">
        <v>791.73</v>
      </c>
      <c r="X1937">
        <v>1649.15</v>
      </c>
      <c r="Y1937" t="s">
        <v>36</v>
      </c>
      <c r="Z1937" s="3">
        <v>805.59</v>
      </c>
      <c r="AA1937" t="s">
        <v>32</v>
      </c>
      <c r="AB1937" t="s">
        <v>42</v>
      </c>
      <c r="AC1937">
        <v>72</v>
      </c>
      <c r="AD1937" t="s">
        <v>34</v>
      </c>
      <c r="AE1937">
        <v>2445.71</v>
      </c>
      <c r="AF1937">
        <v>0</v>
      </c>
    </row>
    <row r="1938" spans="3:32" x14ac:dyDescent="0.35">
      <c r="C1938" s="1">
        <v>44606</v>
      </c>
      <c r="D1938" s="2">
        <v>44593</v>
      </c>
      <c r="E1938">
        <v>1997</v>
      </c>
      <c r="F1938" s="3">
        <v>3484.62</v>
      </c>
      <c r="G1938" s="3">
        <v>1878.67</v>
      </c>
      <c r="H1938" s="3">
        <v>1605.95</v>
      </c>
      <c r="I1938" s="3">
        <v>0.54</v>
      </c>
      <c r="J1938">
        <v>0.35</v>
      </c>
      <c r="K1938">
        <v>3007.27</v>
      </c>
      <c r="L1938" t="s">
        <v>30</v>
      </c>
      <c r="M1938">
        <v>727</v>
      </c>
      <c r="N1938">
        <v>0.19</v>
      </c>
      <c r="O1938" s="3">
        <v>603.83000000000004</v>
      </c>
      <c r="P1938" s="3">
        <v>0.17</v>
      </c>
      <c r="Q1938" s="3">
        <v>475.26</v>
      </c>
      <c r="R1938" s="3">
        <v>0.14000000000000001</v>
      </c>
      <c r="S1938">
        <v>2</v>
      </c>
      <c r="T1938">
        <v>1658.73</v>
      </c>
      <c r="U1938">
        <v>32</v>
      </c>
      <c r="V1938">
        <v>0</v>
      </c>
      <c r="W1938">
        <v>468.64</v>
      </c>
      <c r="X1938">
        <v>2826.34</v>
      </c>
      <c r="Y1938" t="s">
        <v>36</v>
      </c>
      <c r="Z1938" s="3">
        <v>1659.52</v>
      </c>
      <c r="AA1938" t="s">
        <v>41</v>
      </c>
      <c r="AB1938" t="s">
        <v>33</v>
      </c>
      <c r="AC1938">
        <v>72.900000000000006</v>
      </c>
      <c r="AD1938" t="s">
        <v>34</v>
      </c>
      <c r="AE1938">
        <v>1605.95</v>
      </c>
      <c r="AF1938">
        <v>0</v>
      </c>
    </row>
    <row r="1939" spans="3:32" x14ac:dyDescent="0.35">
      <c r="C1939" s="1">
        <v>44606</v>
      </c>
      <c r="D1939" s="2">
        <v>44593</v>
      </c>
      <c r="E1939">
        <v>1924</v>
      </c>
      <c r="F1939" s="3">
        <v>3878.41</v>
      </c>
      <c r="G1939" s="3">
        <v>2047.95</v>
      </c>
      <c r="H1939" s="3">
        <v>1830.46</v>
      </c>
      <c r="I1939" s="3">
        <v>0.53</v>
      </c>
      <c r="J1939">
        <v>0.38</v>
      </c>
      <c r="K1939">
        <v>2301.6999999999998</v>
      </c>
      <c r="L1939" t="s">
        <v>39</v>
      </c>
      <c r="M1939">
        <v>768</v>
      </c>
      <c r="N1939">
        <v>0.46</v>
      </c>
      <c r="O1939" s="3">
        <v>465.39</v>
      </c>
      <c r="P1939" s="3">
        <v>0.12</v>
      </c>
      <c r="Q1939" s="3">
        <v>737.6</v>
      </c>
      <c r="R1939" s="3">
        <v>0.19</v>
      </c>
      <c r="S1939">
        <v>7</v>
      </c>
      <c r="T1939">
        <v>465.75</v>
      </c>
      <c r="U1939">
        <v>98</v>
      </c>
      <c r="V1939">
        <v>0</v>
      </c>
      <c r="W1939">
        <v>400.4</v>
      </c>
      <c r="X1939">
        <v>1603.36</v>
      </c>
      <c r="Y1939" t="s">
        <v>36</v>
      </c>
      <c r="Z1939" s="3">
        <v>842.51</v>
      </c>
      <c r="AA1939" t="s">
        <v>50</v>
      </c>
      <c r="AB1939" t="s">
        <v>42</v>
      </c>
      <c r="AC1939">
        <v>84.3</v>
      </c>
      <c r="AD1939" t="s">
        <v>34</v>
      </c>
      <c r="AE1939">
        <v>1830.46</v>
      </c>
      <c r="AF1939">
        <v>0</v>
      </c>
    </row>
    <row r="1940" spans="3:32" x14ac:dyDescent="0.35">
      <c r="C1940" s="1">
        <v>44606</v>
      </c>
      <c r="D1940" s="2">
        <v>44593</v>
      </c>
      <c r="E1940">
        <v>1964</v>
      </c>
      <c r="F1940" s="3">
        <v>4736.5200000000004</v>
      </c>
      <c r="G1940" s="3">
        <v>2417.5300000000002</v>
      </c>
      <c r="H1940" s="3">
        <v>2318.9899999999998</v>
      </c>
      <c r="I1940" s="3">
        <v>0.51</v>
      </c>
      <c r="J1940">
        <v>7.0000000000000007E-2</v>
      </c>
      <c r="K1940">
        <v>2122.13</v>
      </c>
      <c r="L1940" t="s">
        <v>35</v>
      </c>
      <c r="M1940">
        <v>608</v>
      </c>
      <c r="N1940">
        <v>0.55000000000000004</v>
      </c>
      <c r="O1940" s="3">
        <v>931.82</v>
      </c>
      <c r="P1940" s="3">
        <v>0.2</v>
      </c>
      <c r="Q1940" s="3">
        <v>657.29</v>
      </c>
      <c r="R1940" s="3">
        <v>0.14000000000000001</v>
      </c>
      <c r="S1940">
        <v>7</v>
      </c>
      <c r="T1940">
        <v>1704.18</v>
      </c>
      <c r="U1940">
        <v>41</v>
      </c>
      <c r="V1940">
        <v>0</v>
      </c>
      <c r="W1940">
        <v>481.38</v>
      </c>
      <c r="X1940">
        <v>2958.11</v>
      </c>
      <c r="Y1940" t="s">
        <v>36</v>
      </c>
      <c r="Z1940" s="3">
        <v>1406.13</v>
      </c>
      <c r="AA1940" t="s">
        <v>46</v>
      </c>
      <c r="AB1940" t="s">
        <v>42</v>
      </c>
      <c r="AC1940">
        <v>2.2999999999999998</v>
      </c>
      <c r="AD1940" t="s">
        <v>43</v>
      </c>
      <c r="AE1940">
        <v>2318.9899999999998</v>
      </c>
      <c r="AF1940">
        <v>1</v>
      </c>
    </row>
    <row r="1941" spans="3:32" x14ac:dyDescent="0.35">
      <c r="C1941" s="1">
        <v>44606</v>
      </c>
      <c r="D1941" s="2">
        <v>44593</v>
      </c>
      <c r="E1941">
        <v>1047</v>
      </c>
      <c r="F1941" s="3">
        <v>4356.51</v>
      </c>
      <c r="G1941" s="3">
        <v>3613.41</v>
      </c>
      <c r="H1941" s="3">
        <v>743.1</v>
      </c>
      <c r="I1941" s="3">
        <v>0.83</v>
      </c>
      <c r="J1941">
        <v>0.38</v>
      </c>
      <c r="K1941">
        <v>2880.88</v>
      </c>
      <c r="L1941" t="s">
        <v>30</v>
      </c>
      <c r="M1941">
        <v>704</v>
      </c>
      <c r="N1941">
        <v>0.36</v>
      </c>
      <c r="O1941" s="3">
        <v>668.37</v>
      </c>
      <c r="P1941" s="3">
        <v>0.15</v>
      </c>
      <c r="Q1941" s="3">
        <v>688.19</v>
      </c>
      <c r="R1941" s="3">
        <v>0.16</v>
      </c>
      <c r="S1941">
        <v>3</v>
      </c>
      <c r="T1941">
        <v>519.78</v>
      </c>
      <c r="U1941">
        <v>55</v>
      </c>
      <c r="V1941">
        <v>0</v>
      </c>
      <c r="W1941">
        <v>593.80999999999995</v>
      </c>
      <c r="X1941">
        <v>1245.93</v>
      </c>
      <c r="Y1941" t="s">
        <v>36</v>
      </c>
      <c r="Z1941" s="3">
        <v>1270.69</v>
      </c>
      <c r="AA1941" t="s">
        <v>37</v>
      </c>
      <c r="AB1941" t="s">
        <v>44</v>
      </c>
      <c r="AC1941">
        <v>12.7</v>
      </c>
      <c r="AD1941" t="s">
        <v>34</v>
      </c>
      <c r="AE1941">
        <v>743.1</v>
      </c>
      <c r="AF1941">
        <v>0</v>
      </c>
    </row>
    <row r="1942" spans="3:32" x14ac:dyDescent="0.35">
      <c r="C1942" s="1">
        <v>44606</v>
      </c>
      <c r="D1942" s="2">
        <v>44593</v>
      </c>
      <c r="E1942">
        <v>1387</v>
      </c>
      <c r="F1942" s="3">
        <v>5179.9799999999996</v>
      </c>
      <c r="G1942" s="3">
        <v>3081</v>
      </c>
      <c r="H1942" s="3">
        <v>2098.98</v>
      </c>
      <c r="I1942" s="3">
        <v>0.59</v>
      </c>
      <c r="J1942">
        <v>0.22</v>
      </c>
      <c r="K1942">
        <v>2750.05</v>
      </c>
      <c r="L1942" t="s">
        <v>35</v>
      </c>
      <c r="M1942">
        <v>699</v>
      </c>
      <c r="N1942">
        <v>0.28999999999999998</v>
      </c>
      <c r="O1942" s="3">
        <v>723.93</v>
      </c>
      <c r="P1942" s="3">
        <v>0.14000000000000001</v>
      </c>
      <c r="Q1942" s="3">
        <v>89.44</v>
      </c>
      <c r="R1942" s="3">
        <v>0.02</v>
      </c>
      <c r="S1942">
        <v>7</v>
      </c>
      <c r="T1942">
        <v>767.81</v>
      </c>
      <c r="U1942">
        <v>77</v>
      </c>
      <c r="V1942">
        <v>0</v>
      </c>
      <c r="W1942">
        <v>546.82000000000005</v>
      </c>
      <c r="X1942">
        <v>1876.39</v>
      </c>
      <c r="Y1942" t="s">
        <v>36</v>
      </c>
      <c r="Z1942" s="3">
        <v>1014.02</v>
      </c>
      <c r="AA1942" t="s">
        <v>41</v>
      </c>
      <c r="AB1942" t="s">
        <v>33</v>
      </c>
      <c r="AC1942">
        <v>76.900000000000006</v>
      </c>
      <c r="AD1942" t="s">
        <v>34</v>
      </c>
      <c r="AE1942">
        <v>2098.98</v>
      </c>
      <c r="AF1942">
        <v>0</v>
      </c>
    </row>
    <row r="1943" spans="3:32" x14ac:dyDescent="0.35">
      <c r="C1943" s="1">
        <v>44606</v>
      </c>
      <c r="D1943" s="2">
        <v>44593</v>
      </c>
      <c r="E1943">
        <v>1895</v>
      </c>
      <c r="F1943" s="3">
        <v>5189.22</v>
      </c>
      <c r="G1943" s="3">
        <v>1731.26</v>
      </c>
      <c r="H1943" s="3">
        <v>3457.96</v>
      </c>
      <c r="I1943" s="3">
        <v>0.33</v>
      </c>
      <c r="J1943">
        <v>0.34</v>
      </c>
      <c r="K1943">
        <v>2264.17</v>
      </c>
      <c r="L1943" t="s">
        <v>30</v>
      </c>
      <c r="M1943">
        <v>688</v>
      </c>
      <c r="N1943">
        <v>0.14000000000000001</v>
      </c>
      <c r="O1943" s="3">
        <v>380.23</v>
      </c>
      <c r="P1943" s="3">
        <v>7.0000000000000007E-2</v>
      </c>
      <c r="Q1943" s="3">
        <v>963.23</v>
      </c>
      <c r="R1943" s="3">
        <v>0.19</v>
      </c>
      <c r="S1943">
        <v>1</v>
      </c>
      <c r="T1943">
        <v>768.31</v>
      </c>
      <c r="U1943">
        <v>96</v>
      </c>
      <c r="V1943">
        <v>0</v>
      </c>
      <c r="W1943">
        <v>535.57000000000005</v>
      </c>
      <c r="X1943">
        <v>1579.9</v>
      </c>
      <c r="Y1943" t="s">
        <v>36</v>
      </c>
      <c r="Z1943" s="3">
        <v>1034.42</v>
      </c>
      <c r="AA1943" t="s">
        <v>40</v>
      </c>
      <c r="AB1943" t="s">
        <v>44</v>
      </c>
      <c r="AC1943">
        <v>10.6</v>
      </c>
      <c r="AD1943" t="s">
        <v>34</v>
      </c>
      <c r="AE1943">
        <v>3457.96</v>
      </c>
      <c r="AF1943">
        <v>1</v>
      </c>
    </row>
    <row r="1944" spans="3:32" x14ac:dyDescent="0.35">
      <c r="C1944" s="1">
        <v>44606</v>
      </c>
      <c r="D1944" s="2">
        <v>44593</v>
      </c>
      <c r="E1944">
        <v>1607</v>
      </c>
      <c r="F1944" s="3">
        <v>3471.52</v>
      </c>
      <c r="G1944" s="3">
        <v>581.14</v>
      </c>
      <c r="H1944" s="3">
        <v>2890.38</v>
      </c>
      <c r="I1944" s="3">
        <v>0.17</v>
      </c>
      <c r="J1944">
        <v>0.22</v>
      </c>
      <c r="K1944">
        <v>2915.97</v>
      </c>
      <c r="L1944" t="s">
        <v>35</v>
      </c>
      <c r="M1944">
        <v>706</v>
      </c>
      <c r="N1944">
        <v>0.39</v>
      </c>
      <c r="O1944" s="3">
        <v>565.95000000000005</v>
      </c>
      <c r="P1944" s="3">
        <v>0.16</v>
      </c>
      <c r="Q1944" s="3">
        <v>307.02</v>
      </c>
      <c r="R1944" s="3">
        <v>0.09</v>
      </c>
      <c r="S1944">
        <v>4</v>
      </c>
      <c r="T1944">
        <v>1370.02</v>
      </c>
      <c r="U1944">
        <v>53</v>
      </c>
      <c r="V1944">
        <v>0</v>
      </c>
      <c r="W1944">
        <v>380.02</v>
      </c>
      <c r="X1944">
        <v>3168.79</v>
      </c>
      <c r="Y1944" t="s">
        <v>31</v>
      </c>
      <c r="Z1944" s="3">
        <v>1577.7</v>
      </c>
      <c r="AA1944" t="s">
        <v>45</v>
      </c>
      <c r="AB1944" t="s">
        <v>33</v>
      </c>
      <c r="AC1944">
        <v>24.3</v>
      </c>
      <c r="AD1944" t="s">
        <v>38</v>
      </c>
      <c r="AE1944">
        <v>2890.38</v>
      </c>
      <c r="AF1944">
        <v>0</v>
      </c>
    </row>
    <row r="1945" spans="3:32" x14ac:dyDescent="0.35">
      <c r="C1945" s="1">
        <v>44606</v>
      </c>
      <c r="D1945" s="2">
        <v>44593</v>
      </c>
      <c r="E1945">
        <v>1572</v>
      </c>
      <c r="F1945" s="3">
        <v>5251.15</v>
      </c>
      <c r="G1945" s="3">
        <v>3146.78</v>
      </c>
      <c r="H1945" s="3">
        <v>2104.37</v>
      </c>
      <c r="I1945" s="3">
        <v>0.6</v>
      </c>
      <c r="J1945">
        <v>0.24</v>
      </c>
      <c r="K1945">
        <v>2918.64</v>
      </c>
      <c r="L1945" t="s">
        <v>35</v>
      </c>
      <c r="M1945">
        <v>702</v>
      </c>
      <c r="N1945">
        <v>0.44</v>
      </c>
      <c r="O1945" s="3">
        <v>553</v>
      </c>
      <c r="P1945" s="3">
        <v>0.11</v>
      </c>
      <c r="Q1945" s="3">
        <v>607.88</v>
      </c>
      <c r="R1945" s="3">
        <v>0.12</v>
      </c>
      <c r="S1945">
        <v>9</v>
      </c>
      <c r="T1945">
        <v>986.26</v>
      </c>
      <c r="U1945">
        <v>72</v>
      </c>
      <c r="V1945">
        <v>0</v>
      </c>
      <c r="W1945">
        <v>189.89</v>
      </c>
      <c r="X1945">
        <v>2117.2399999999998</v>
      </c>
      <c r="Y1945" t="s">
        <v>36</v>
      </c>
      <c r="Z1945" s="3">
        <v>804.71</v>
      </c>
      <c r="AA1945" t="s">
        <v>41</v>
      </c>
      <c r="AB1945" t="s">
        <v>44</v>
      </c>
      <c r="AC1945">
        <v>36.6</v>
      </c>
      <c r="AD1945" t="s">
        <v>38</v>
      </c>
      <c r="AE1945">
        <v>2104.37</v>
      </c>
      <c r="AF1945">
        <v>0</v>
      </c>
    </row>
    <row r="1946" spans="3:32" x14ac:dyDescent="0.35">
      <c r="C1946" s="1">
        <v>44606</v>
      </c>
      <c r="D1946" s="2">
        <v>44593</v>
      </c>
      <c r="E1946">
        <v>1200</v>
      </c>
      <c r="F1946" s="3">
        <v>4064.16</v>
      </c>
      <c r="G1946" s="3">
        <v>2708.73</v>
      </c>
      <c r="H1946" s="3">
        <v>1355.43</v>
      </c>
      <c r="I1946" s="3">
        <v>0.67</v>
      </c>
      <c r="J1946">
        <v>0.28000000000000003</v>
      </c>
      <c r="K1946">
        <v>3720.47</v>
      </c>
      <c r="L1946" t="s">
        <v>35</v>
      </c>
      <c r="M1946">
        <v>542</v>
      </c>
      <c r="N1946">
        <v>0.28999999999999998</v>
      </c>
      <c r="O1946" s="3">
        <v>265.23</v>
      </c>
      <c r="P1946" s="3">
        <v>7.0000000000000007E-2</v>
      </c>
      <c r="Q1946" s="3">
        <v>455.75</v>
      </c>
      <c r="R1946" s="3">
        <v>0.11</v>
      </c>
      <c r="S1946">
        <v>8</v>
      </c>
      <c r="T1946">
        <v>1138.6400000000001</v>
      </c>
      <c r="U1946">
        <v>91</v>
      </c>
      <c r="V1946">
        <v>0</v>
      </c>
      <c r="W1946">
        <v>442.76</v>
      </c>
      <c r="X1946">
        <v>1616.87</v>
      </c>
      <c r="Y1946" t="s">
        <v>36</v>
      </c>
      <c r="Z1946" s="3">
        <v>396.07</v>
      </c>
      <c r="AA1946" t="s">
        <v>51</v>
      </c>
      <c r="AB1946" t="s">
        <v>33</v>
      </c>
      <c r="AC1946">
        <v>79.099999999999994</v>
      </c>
      <c r="AD1946" t="s">
        <v>43</v>
      </c>
      <c r="AE1946">
        <v>1355.43</v>
      </c>
      <c r="AF1946">
        <v>0</v>
      </c>
    </row>
    <row r="1947" spans="3:32" x14ac:dyDescent="0.35">
      <c r="C1947" s="1">
        <v>44606</v>
      </c>
      <c r="D1947" s="2">
        <v>44593</v>
      </c>
      <c r="E1947">
        <v>1367</v>
      </c>
      <c r="F1947" s="3">
        <v>3721.78</v>
      </c>
      <c r="G1947" s="3">
        <v>3474.64</v>
      </c>
      <c r="H1947" s="3">
        <v>247.14</v>
      </c>
      <c r="I1947" s="3">
        <v>0.93</v>
      </c>
      <c r="J1947">
        <v>0.18</v>
      </c>
      <c r="K1947">
        <v>2525.5700000000002</v>
      </c>
      <c r="L1947" t="s">
        <v>30</v>
      </c>
      <c r="M1947">
        <v>688</v>
      </c>
      <c r="N1947">
        <v>0.36</v>
      </c>
      <c r="O1947" s="3">
        <v>617.54</v>
      </c>
      <c r="P1947" s="3">
        <v>0.17</v>
      </c>
      <c r="Q1947" s="3">
        <v>415.47</v>
      </c>
      <c r="R1947" s="3">
        <v>0.11</v>
      </c>
      <c r="S1947">
        <v>2</v>
      </c>
      <c r="T1947">
        <v>520.92999999999995</v>
      </c>
      <c r="U1947">
        <v>55</v>
      </c>
      <c r="V1947">
        <v>0</v>
      </c>
      <c r="W1947">
        <v>366.05</v>
      </c>
      <c r="X1947">
        <v>2204.38</v>
      </c>
      <c r="Y1947" t="s">
        <v>36</v>
      </c>
      <c r="Z1947" s="3">
        <v>1225.51</v>
      </c>
      <c r="AA1947" t="s">
        <v>50</v>
      </c>
      <c r="AB1947" t="s">
        <v>33</v>
      </c>
      <c r="AC1947">
        <v>92.9</v>
      </c>
      <c r="AD1947" t="s">
        <v>34</v>
      </c>
      <c r="AE1947">
        <v>247.14</v>
      </c>
      <c r="AF1947">
        <v>0</v>
      </c>
    </row>
    <row r="1948" spans="3:32" x14ac:dyDescent="0.35">
      <c r="C1948" s="1">
        <v>44606</v>
      </c>
      <c r="D1948" s="2">
        <v>44593</v>
      </c>
      <c r="E1948">
        <v>1769</v>
      </c>
      <c r="F1948" s="3">
        <v>3548.63</v>
      </c>
      <c r="G1948" s="3">
        <v>2946.21</v>
      </c>
      <c r="H1948" s="3">
        <v>602.41999999999996</v>
      </c>
      <c r="I1948" s="3">
        <v>0.83</v>
      </c>
      <c r="J1948">
        <v>0.3</v>
      </c>
      <c r="K1948">
        <v>3203.3</v>
      </c>
      <c r="L1948" t="s">
        <v>30</v>
      </c>
      <c r="M1948">
        <v>702</v>
      </c>
      <c r="N1948">
        <v>0.59</v>
      </c>
      <c r="O1948" s="3">
        <v>407.48</v>
      </c>
      <c r="P1948" s="3">
        <v>0.11</v>
      </c>
      <c r="Q1948" s="3">
        <v>244.93</v>
      </c>
      <c r="R1948" s="3">
        <v>7.0000000000000007E-2</v>
      </c>
      <c r="S1948">
        <v>4</v>
      </c>
      <c r="T1948">
        <v>1070.1099999999999</v>
      </c>
      <c r="U1948">
        <v>83</v>
      </c>
      <c r="V1948">
        <v>0</v>
      </c>
      <c r="W1948">
        <v>432.16</v>
      </c>
      <c r="X1948">
        <v>1646.46</v>
      </c>
      <c r="Y1948" t="s">
        <v>36</v>
      </c>
      <c r="Z1948" s="3">
        <v>632.1</v>
      </c>
      <c r="AA1948" t="s">
        <v>40</v>
      </c>
      <c r="AB1948" t="s">
        <v>33</v>
      </c>
      <c r="AC1948">
        <v>60.4</v>
      </c>
      <c r="AD1948" t="s">
        <v>43</v>
      </c>
      <c r="AE1948">
        <v>602.41999999999996</v>
      </c>
      <c r="AF1948">
        <v>0</v>
      </c>
    </row>
    <row r="1949" spans="3:32" x14ac:dyDescent="0.35">
      <c r="C1949" s="1">
        <v>44606</v>
      </c>
      <c r="D1949" s="2">
        <v>44593</v>
      </c>
      <c r="E1949">
        <v>1580</v>
      </c>
      <c r="F1949" s="3">
        <v>4942.42</v>
      </c>
      <c r="G1949" s="3">
        <v>2770.88</v>
      </c>
      <c r="H1949" s="3">
        <v>2171.54</v>
      </c>
      <c r="I1949" s="3">
        <v>0.56000000000000005</v>
      </c>
      <c r="J1949">
        <v>0.08</v>
      </c>
      <c r="K1949">
        <v>3312.92</v>
      </c>
      <c r="L1949" t="s">
        <v>35</v>
      </c>
      <c r="M1949">
        <v>754</v>
      </c>
      <c r="N1949">
        <v>0.23</v>
      </c>
      <c r="O1949" s="3">
        <v>399.71</v>
      </c>
      <c r="P1949" s="3">
        <v>0.08</v>
      </c>
      <c r="Q1949" s="3">
        <v>458.55</v>
      </c>
      <c r="R1949" s="3">
        <v>0.09</v>
      </c>
      <c r="S1949">
        <v>5</v>
      </c>
      <c r="T1949">
        <v>895.11</v>
      </c>
      <c r="U1949">
        <v>71</v>
      </c>
      <c r="V1949">
        <v>0</v>
      </c>
      <c r="W1949">
        <v>870.33</v>
      </c>
      <c r="X1949">
        <v>1015.29</v>
      </c>
      <c r="Y1949" t="s">
        <v>31</v>
      </c>
      <c r="Z1949" s="3">
        <v>1358.84</v>
      </c>
      <c r="AA1949" t="s">
        <v>48</v>
      </c>
      <c r="AB1949" t="s">
        <v>33</v>
      </c>
      <c r="AC1949">
        <v>6.7</v>
      </c>
      <c r="AD1949" t="s">
        <v>34</v>
      </c>
      <c r="AE1949">
        <v>2171.54</v>
      </c>
      <c r="AF1949">
        <v>0</v>
      </c>
    </row>
    <row r="1950" spans="3:32" x14ac:dyDescent="0.35">
      <c r="C1950" s="1">
        <v>44606</v>
      </c>
      <c r="D1950" s="2">
        <v>44593</v>
      </c>
      <c r="E1950">
        <v>1518</v>
      </c>
      <c r="F1950" s="3">
        <v>4102.03</v>
      </c>
      <c r="G1950" s="3">
        <v>2703</v>
      </c>
      <c r="H1950" s="3">
        <v>1399.03</v>
      </c>
      <c r="I1950" s="3">
        <v>0.66</v>
      </c>
      <c r="J1950">
        <v>0.27</v>
      </c>
      <c r="K1950">
        <v>2097.5</v>
      </c>
      <c r="L1950" t="s">
        <v>30</v>
      </c>
      <c r="M1950">
        <v>733</v>
      </c>
      <c r="N1950">
        <v>0.31</v>
      </c>
      <c r="O1950" s="3">
        <v>439.8</v>
      </c>
      <c r="P1950" s="3">
        <v>0.11</v>
      </c>
      <c r="Q1950" s="3">
        <v>448.72</v>
      </c>
      <c r="R1950" s="3">
        <v>0.11</v>
      </c>
      <c r="S1950">
        <v>5</v>
      </c>
      <c r="T1950">
        <v>150</v>
      </c>
      <c r="U1950">
        <v>23</v>
      </c>
      <c r="V1950">
        <v>0</v>
      </c>
      <c r="W1950">
        <v>666.59</v>
      </c>
      <c r="X1950">
        <v>2983.82</v>
      </c>
      <c r="Y1950" t="s">
        <v>36</v>
      </c>
      <c r="Z1950" s="3">
        <v>1080.98</v>
      </c>
      <c r="AA1950" t="s">
        <v>32</v>
      </c>
      <c r="AB1950" t="s">
        <v>44</v>
      </c>
      <c r="AC1950">
        <v>97.2</v>
      </c>
      <c r="AD1950" t="s">
        <v>34</v>
      </c>
      <c r="AE1950">
        <v>1399.03</v>
      </c>
      <c r="AF1950">
        <v>0</v>
      </c>
    </row>
    <row r="1951" spans="3:32" x14ac:dyDescent="0.35">
      <c r="C1951" s="1">
        <v>44606</v>
      </c>
      <c r="D1951" s="2">
        <v>44593</v>
      </c>
      <c r="E1951">
        <v>1859</v>
      </c>
      <c r="F1951" s="3">
        <v>5569.24</v>
      </c>
      <c r="G1951" s="3">
        <v>4227.33</v>
      </c>
      <c r="H1951" s="3">
        <v>1341.91</v>
      </c>
      <c r="I1951" s="3">
        <v>0.76</v>
      </c>
      <c r="J1951">
        <v>0.3</v>
      </c>
      <c r="K1951">
        <v>1420.07</v>
      </c>
      <c r="L1951" t="s">
        <v>35</v>
      </c>
      <c r="M1951">
        <v>711</v>
      </c>
      <c r="N1951">
        <v>0.45</v>
      </c>
      <c r="O1951" s="3">
        <v>383.95</v>
      </c>
      <c r="P1951" s="3">
        <v>7.0000000000000007E-2</v>
      </c>
      <c r="Q1951" s="3">
        <v>261.48</v>
      </c>
      <c r="R1951" s="3">
        <v>0.05</v>
      </c>
      <c r="S1951">
        <v>7</v>
      </c>
      <c r="T1951">
        <v>1218.68</v>
      </c>
      <c r="U1951">
        <v>56</v>
      </c>
      <c r="V1951">
        <v>0</v>
      </c>
      <c r="W1951">
        <v>704.9</v>
      </c>
      <c r="X1951">
        <v>2117.77</v>
      </c>
      <c r="Y1951" t="s">
        <v>36</v>
      </c>
      <c r="Z1951" s="3">
        <v>1354.42</v>
      </c>
      <c r="AA1951" t="s">
        <v>48</v>
      </c>
      <c r="AB1951" t="s">
        <v>44</v>
      </c>
      <c r="AC1951">
        <v>1</v>
      </c>
      <c r="AD1951" t="s">
        <v>43</v>
      </c>
      <c r="AE1951">
        <v>1341.91</v>
      </c>
      <c r="AF1951">
        <v>0</v>
      </c>
    </row>
    <row r="1952" spans="3:32" x14ac:dyDescent="0.35">
      <c r="C1952" s="1">
        <v>44636</v>
      </c>
      <c r="D1952" s="2">
        <v>44621</v>
      </c>
      <c r="E1952">
        <v>1482</v>
      </c>
      <c r="F1952" s="3">
        <v>4457.6899999999996</v>
      </c>
      <c r="G1952" s="3">
        <v>3522.27</v>
      </c>
      <c r="H1952" s="3">
        <v>935.42</v>
      </c>
      <c r="I1952" s="3">
        <v>0.79</v>
      </c>
      <c r="J1952">
        <v>0.3</v>
      </c>
      <c r="K1952">
        <v>2887.95</v>
      </c>
      <c r="L1952" t="s">
        <v>35</v>
      </c>
      <c r="M1952">
        <v>632</v>
      </c>
      <c r="N1952">
        <v>0.13</v>
      </c>
      <c r="O1952" s="3">
        <v>390.65</v>
      </c>
      <c r="P1952" s="3">
        <v>0.09</v>
      </c>
      <c r="Q1952" s="3">
        <v>0</v>
      </c>
      <c r="R1952" s="3">
        <v>0</v>
      </c>
      <c r="S1952">
        <v>3</v>
      </c>
      <c r="T1952">
        <v>1154.6600000000001</v>
      </c>
      <c r="U1952">
        <v>35</v>
      </c>
      <c r="V1952">
        <v>0</v>
      </c>
      <c r="W1952">
        <v>469.88</v>
      </c>
      <c r="X1952">
        <v>2333.02</v>
      </c>
      <c r="Y1952" t="s">
        <v>36</v>
      </c>
      <c r="Z1952" s="3">
        <v>1607.09</v>
      </c>
      <c r="AA1952" t="s">
        <v>51</v>
      </c>
      <c r="AB1952" t="s">
        <v>42</v>
      </c>
      <c r="AC1952">
        <v>51.5</v>
      </c>
      <c r="AD1952" t="s">
        <v>43</v>
      </c>
      <c r="AE1952">
        <v>935.42</v>
      </c>
      <c r="AF1952">
        <v>0</v>
      </c>
    </row>
    <row r="1953" spans="3:32" x14ac:dyDescent="0.35">
      <c r="C1953" s="1">
        <v>44636</v>
      </c>
      <c r="D1953" s="2">
        <v>44621</v>
      </c>
      <c r="E1953">
        <v>1461</v>
      </c>
      <c r="F1953" s="3">
        <v>3152.89</v>
      </c>
      <c r="G1953" s="3">
        <v>1886.08</v>
      </c>
      <c r="H1953" s="3">
        <v>1266.81</v>
      </c>
      <c r="I1953" s="3">
        <v>0.6</v>
      </c>
      <c r="J1953">
        <v>0.13</v>
      </c>
      <c r="K1953">
        <v>3334.43</v>
      </c>
      <c r="L1953" t="s">
        <v>30</v>
      </c>
      <c r="M1953">
        <v>754</v>
      </c>
      <c r="N1953">
        <v>0.54</v>
      </c>
      <c r="O1953" s="3">
        <v>728.33</v>
      </c>
      <c r="P1953" s="3">
        <v>0.23</v>
      </c>
      <c r="Q1953" s="3">
        <v>325.3</v>
      </c>
      <c r="R1953" s="3">
        <v>0.1</v>
      </c>
      <c r="S1953">
        <v>9</v>
      </c>
      <c r="T1953">
        <v>988.54</v>
      </c>
      <c r="U1953">
        <v>61</v>
      </c>
      <c r="V1953">
        <v>0</v>
      </c>
      <c r="W1953">
        <v>329.4</v>
      </c>
      <c r="X1953">
        <v>1350.44</v>
      </c>
      <c r="Y1953" t="s">
        <v>36</v>
      </c>
      <c r="Z1953" s="3">
        <v>642.61</v>
      </c>
      <c r="AA1953" t="s">
        <v>37</v>
      </c>
      <c r="AB1953" t="s">
        <v>33</v>
      </c>
      <c r="AC1953">
        <v>57.6</v>
      </c>
      <c r="AD1953" t="s">
        <v>34</v>
      </c>
      <c r="AE1953">
        <v>1266.81</v>
      </c>
      <c r="AF1953">
        <v>0</v>
      </c>
    </row>
    <row r="1954" spans="3:32" x14ac:dyDescent="0.35">
      <c r="C1954" s="1">
        <v>44636</v>
      </c>
      <c r="D1954" s="2">
        <v>44621</v>
      </c>
      <c r="E1954">
        <v>1805</v>
      </c>
      <c r="F1954" s="3">
        <v>5599.7</v>
      </c>
      <c r="G1954" s="3">
        <v>2721.35</v>
      </c>
      <c r="H1954" s="3">
        <v>2878.35</v>
      </c>
      <c r="I1954" s="3">
        <v>0.49</v>
      </c>
      <c r="J1954">
        <v>0.34</v>
      </c>
      <c r="K1954">
        <v>2719.29</v>
      </c>
      <c r="L1954" t="s">
        <v>39</v>
      </c>
      <c r="M1954">
        <v>523</v>
      </c>
      <c r="N1954">
        <v>0.15</v>
      </c>
      <c r="O1954" s="3">
        <v>586.9</v>
      </c>
      <c r="P1954" s="3">
        <v>0.1</v>
      </c>
      <c r="Q1954" s="3">
        <v>1049.32</v>
      </c>
      <c r="R1954" s="3">
        <v>0.19</v>
      </c>
      <c r="S1954">
        <v>5</v>
      </c>
      <c r="T1954">
        <v>0</v>
      </c>
      <c r="U1954">
        <v>81</v>
      </c>
      <c r="V1954">
        <v>0</v>
      </c>
      <c r="W1954">
        <v>547.21</v>
      </c>
      <c r="X1954">
        <v>1000</v>
      </c>
      <c r="Y1954" t="s">
        <v>49</v>
      </c>
      <c r="Z1954" s="3">
        <v>999.3</v>
      </c>
      <c r="AA1954" t="s">
        <v>40</v>
      </c>
      <c r="AB1954" t="s">
        <v>33</v>
      </c>
      <c r="AC1954">
        <v>82.8</v>
      </c>
      <c r="AD1954" t="s">
        <v>38</v>
      </c>
      <c r="AE1954">
        <v>2878.35</v>
      </c>
      <c r="AF1954">
        <v>1</v>
      </c>
    </row>
    <row r="1955" spans="3:32" x14ac:dyDescent="0.35">
      <c r="C1955" s="1">
        <v>44636</v>
      </c>
      <c r="D1955" s="2">
        <v>44621</v>
      </c>
      <c r="E1955">
        <v>1119</v>
      </c>
      <c r="F1955" s="3">
        <v>4018.94</v>
      </c>
      <c r="G1955" s="3">
        <v>2129.4899999999998</v>
      </c>
      <c r="H1955" s="3">
        <v>1889.45</v>
      </c>
      <c r="I1955" s="3">
        <v>0.53</v>
      </c>
      <c r="J1955">
        <v>0.26</v>
      </c>
      <c r="K1955">
        <v>3067.24</v>
      </c>
      <c r="L1955" t="s">
        <v>35</v>
      </c>
      <c r="M1955">
        <v>652</v>
      </c>
      <c r="N1955">
        <v>0.56999999999999995</v>
      </c>
      <c r="O1955" s="3">
        <v>727.8</v>
      </c>
      <c r="P1955" s="3">
        <v>0.18</v>
      </c>
      <c r="Q1955" s="3">
        <v>709.48</v>
      </c>
      <c r="R1955" s="3">
        <v>0.18</v>
      </c>
      <c r="S1955">
        <v>7</v>
      </c>
      <c r="T1955">
        <v>846.47</v>
      </c>
      <c r="U1955">
        <v>62</v>
      </c>
      <c r="V1955">
        <v>0</v>
      </c>
      <c r="W1955">
        <v>238.98</v>
      </c>
      <c r="X1955">
        <v>2600.4899999999998</v>
      </c>
      <c r="Y1955" t="s">
        <v>36</v>
      </c>
      <c r="Z1955" s="3">
        <v>1007.75</v>
      </c>
      <c r="AA1955" t="s">
        <v>48</v>
      </c>
      <c r="AB1955" t="s">
        <v>33</v>
      </c>
      <c r="AC1955">
        <v>41.6</v>
      </c>
      <c r="AD1955" t="s">
        <v>34</v>
      </c>
      <c r="AE1955">
        <v>1889.45</v>
      </c>
      <c r="AF1955">
        <v>0</v>
      </c>
    </row>
    <row r="1956" spans="3:32" x14ac:dyDescent="0.35">
      <c r="C1956" s="1">
        <v>44636</v>
      </c>
      <c r="D1956" s="2">
        <v>44621</v>
      </c>
      <c r="E1956">
        <v>1804</v>
      </c>
      <c r="F1956" s="3">
        <v>3561.44</v>
      </c>
      <c r="G1956" s="3">
        <v>4684.1099999999997</v>
      </c>
      <c r="H1956" s="3">
        <v>-1122.67</v>
      </c>
      <c r="I1956" s="3">
        <v>1.32</v>
      </c>
      <c r="J1956">
        <v>0.09</v>
      </c>
      <c r="K1956">
        <v>3305.09</v>
      </c>
      <c r="L1956" t="s">
        <v>39</v>
      </c>
      <c r="M1956">
        <v>765</v>
      </c>
      <c r="N1956">
        <v>0.37</v>
      </c>
      <c r="O1956" s="3">
        <v>541.53</v>
      </c>
      <c r="P1956" s="3">
        <v>0.15</v>
      </c>
      <c r="Q1956" s="3">
        <v>102.87</v>
      </c>
      <c r="R1956" s="3">
        <v>0.03</v>
      </c>
      <c r="S1956">
        <v>4</v>
      </c>
      <c r="T1956">
        <v>849.78</v>
      </c>
      <c r="U1956">
        <v>69</v>
      </c>
      <c r="V1956">
        <v>0</v>
      </c>
      <c r="W1956">
        <v>731.04</v>
      </c>
      <c r="X1956">
        <v>2901.39</v>
      </c>
      <c r="Y1956" t="s">
        <v>36</v>
      </c>
      <c r="Z1956" s="3">
        <v>872.25</v>
      </c>
      <c r="AA1956" t="s">
        <v>51</v>
      </c>
      <c r="AB1956" t="s">
        <v>33</v>
      </c>
      <c r="AC1956">
        <v>81.400000000000006</v>
      </c>
      <c r="AD1956" t="s">
        <v>38</v>
      </c>
      <c r="AE1956">
        <v>0</v>
      </c>
      <c r="AF1956">
        <v>0</v>
      </c>
    </row>
    <row r="1957" spans="3:32" x14ac:dyDescent="0.35">
      <c r="C1957" s="1">
        <v>44636</v>
      </c>
      <c r="D1957" s="2">
        <v>44621</v>
      </c>
      <c r="E1957">
        <v>1279</v>
      </c>
      <c r="F1957" s="3">
        <v>3223.75</v>
      </c>
      <c r="G1957" s="3">
        <v>1694.9</v>
      </c>
      <c r="H1957" s="3">
        <v>1528.85</v>
      </c>
      <c r="I1957" s="3">
        <v>0.53</v>
      </c>
      <c r="J1957">
        <v>0.33</v>
      </c>
      <c r="K1957">
        <v>2570.46</v>
      </c>
      <c r="L1957" t="s">
        <v>30</v>
      </c>
      <c r="M1957">
        <v>655</v>
      </c>
      <c r="N1957">
        <v>0.11</v>
      </c>
      <c r="O1957" s="3">
        <v>167</v>
      </c>
      <c r="P1957" s="3">
        <v>0.05</v>
      </c>
      <c r="Q1957" s="3">
        <v>567.37</v>
      </c>
      <c r="R1957" s="3">
        <v>0.18</v>
      </c>
      <c r="S1957">
        <v>5</v>
      </c>
      <c r="T1957">
        <v>606.59</v>
      </c>
      <c r="U1957">
        <v>72</v>
      </c>
      <c r="V1957">
        <v>0</v>
      </c>
      <c r="W1957">
        <v>187.17</v>
      </c>
      <c r="X1957">
        <v>1554.8</v>
      </c>
      <c r="Y1957" t="s">
        <v>49</v>
      </c>
      <c r="Z1957" s="3">
        <v>1201.1500000000001</v>
      </c>
      <c r="AA1957" t="s">
        <v>50</v>
      </c>
      <c r="AB1957" t="s">
        <v>44</v>
      </c>
      <c r="AC1957">
        <v>59.9</v>
      </c>
      <c r="AD1957" t="s">
        <v>34</v>
      </c>
      <c r="AE1957">
        <v>1528.85</v>
      </c>
      <c r="AF1957">
        <v>0</v>
      </c>
    </row>
    <row r="1958" spans="3:32" x14ac:dyDescent="0.35">
      <c r="C1958" s="1">
        <v>44636</v>
      </c>
      <c r="D1958" s="2">
        <v>44621</v>
      </c>
      <c r="E1958">
        <v>1479</v>
      </c>
      <c r="F1958" s="3">
        <v>5984.12</v>
      </c>
      <c r="G1958" s="3">
        <v>3374.13</v>
      </c>
      <c r="H1958" s="3">
        <v>2609.9899999999998</v>
      </c>
      <c r="I1958" s="3">
        <v>0.56000000000000005</v>
      </c>
      <c r="J1958">
        <v>0.34</v>
      </c>
      <c r="K1958">
        <v>2858.98</v>
      </c>
      <c r="L1958" t="s">
        <v>35</v>
      </c>
      <c r="M1958">
        <v>676</v>
      </c>
      <c r="N1958">
        <v>0.14000000000000001</v>
      </c>
      <c r="O1958" s="3">
        <v>927.83</v>
      </c>
      <c r="P1958" s="3">
        <v>0.16</v>
      </c>
      <c r="Q1958" s="3">
        <v>779.21</v>
      </c>
      <c r="R1958" s="3">
        <v>0.13</v>
      </c>
      <c r="S1958">
        <v>7</v>
      </c>
      <c r="T1958">
        <v>1569</v>
      </c>
      <c r="U1958">
        <v>87</v>
      </c>
      <c r="V1958">
        <v>0</v>
      </c>
      <c r="W1958">
        <v>16.62</v>
      </c>
      <c r="X1958">
        <v>3573.37</v>
      </c>
      <c r="Y1958" t="s">
        <v>49</v>
      </c>
      <c r="Z1958" s="3">
        <v>1165.33</v>
      </c>
      <c r="AA1958" t="s">
        <v>37</v>
      </c>
      <c r="AB1958" t="s">
        <v>33</v>
      </c>
      <c r="AC1958">
        <v>74.400000000000006</v>
      </c>
      <c r="AD1958" t="s">
        <v>34</v>
      </c>
      <c r="AE1958">
        <v>2609.9899999999998</v>
      </c>
      <c r="AF1958">
        <v>0</v>
      </c>
    </row>
    <row r="1959" spans="3:32" x14ac:dyDescent="0.35">
      <c r="C1959" s="1">
        <v>44636</v>
      </c>
      <c r="D1959" s="2">
        <v>44621</v>
      </c>
      <c r="E1959">
        <v>1631</v>
      </c>
      <c r="F1959" s="3">
        <v>4919.8500000000004</v>
      </c>
      <c r="G1959" s="3">
        <v>3837.39</v>
      </c>
      <c r="H1959" s="3">
        <v>1082.46</v>
      </c>
      <c r="I1959" s="3">
        <v>0.78</v>
      </c>
      <c r="J1959">
        <v>0.12</v>
      </c>
      <c r="K1959">
        <v>2045.35</v>
      </c>
      <c r="L1959" t="s">
        <v>39</v>
      </c>
      <c r="M1959">
        <v>668</v>
      </c>
      <c r="N1959">
        <v>0.34</v>
      </c>
      <c r="O1959" s="3">
        <v>673.47</v>
      </c>
      <c r="P1959" s="3">
        <v>0.14000000000000001</v>
      </c>
      <c r="Q1959" s="3">
        <v>521.54</v>
      </c>
      <c r="R1959" s="3">
        <v>0.11</v>
      </c>
      <c r="S1959">
        <v>9</v>
      </c>
      <c r="T1959">
        <v>539.1</v>
      </c>
      <c r="U1959">
        <v>79</v>
      </c>
      <c r="V1959">
        <v>0</v>
      </c>
      <c r="W1959">
        <v>643.24</v>
      </c>
      <c r="X1959">
        <v>2270.6</v>
      </c>
      <c r="Y1959" t="s">
        <v>31</v>
      </c>
      <c r="Z1959" s="3">
        <v>1366.15</v>
      </c>
      <c r="AA1959" t="s">
        <v>50</v>
      </c>
      <c r="AB1959" t="s">
        <v>44</v>
      </c>
      <c r="AC1959">
        <v>18</v>
      </c>
      <c r="AD1959" t="s">
        <v>34</v>
      </c>
      <c r="AE1959">
        <v>1082.46</v>
      </c>
      <c r="AF1959">
        <v>0</v>
      </c>
    </row>
    <row r="1960" spans="3:32" x14ac:dyDescent="0.35">
      <c r="C1960" s="1">
        <v>44636</v>
      </c>
      <c r="D1960" s="2">
        <v>44621</v>
      </c>
      <c r="E1960">
        <v>1846</v>
      </c>
      <c r="F1960" s="3">
        <v>3873.5</v>
      </c>
      <c r="G1960" s="3">
        <v>4052.4</v>
      </c>
      <c r="H1960" s="3">
        <v>-178.9</v>
      </c>
      <c r="I1960" s="3">
        <v>1.05</v>
      </c>
      <c r="J1960">
        <v>0.16</v>
      </c>
      <c r="K1960">
        <v>3406.47</v>
      </c>
      <c r="L1960" t="s">
        <v>30</v>
      </c>
      <c r="M1960">
        <v>630</v>
      </c>
      <c r="N1960">
        <v>0.41</v>
      </c>
      <c r="O1960" s="3">
        <v>804.56</v>
      </c>
      <c r="P1960" s="3">
        <v>0.21</v>
      </c>
      <c r="Q1960" s="3">
        <v>272.07</v>
      </c>
      <c r="R1960" s="3">
        <v>7.0000000000000007E-2</v>
      </c>
      <c r="S1960">
        <v>3</v>
      </c>
      <c r="T1960">
        <v>251.89</v>
      </c>
      <c r="U1960">
        <v>22</v>
      </c>
      <c r="V1960">
        <v>0</v>
      </c>
      <c r="W1960">
        <v>828.26</v>
      </c>
      <c r="X1960">
        <v>2364.3000000000002</v>
      </c>
      <c r="Y1960" t="s">
        <v>36</v>
      </c>
      <c r="Z1960" s="3">
        <v>725.83</v>
      </c>
      <c r="AA1960" t="s">
        <v>45</v>
      </c>
      <c r="AB1960" t="s">
        <v>44</v>
      </c>
      <c r="AC1960">
        <v>27.1</v>
      </c>
      <c r="AD1960" t="s">
        <v>34</v>
      </c>
      <c r="AE1960">
        <v>0</v>
      </c>
      <c r="AF1960">
        <v>0</v>
      </c>
    </row>
    <row r="1961" spans="3:32" x14ac:dyDescent="0.35">
      <c r="C1961" s="1">
        <v>44636</v>
      </c>
      <c r="D1961" s="2">
        <v>44621</v>
      </c>
      <c r="E1961">
        <v>1837</v>
      </c>
      <c r="F1961" s="3">
        <v>4250.74</v>
      </c>
      <c r="G1961" s="3">
        <v>4297.49</v>
      </c>
      <c r="H1961" s="3">
        <v>-46.75</v>
      </c>
      <c r="I1961" s="3">
        <v>1.01</v>
      </c>
      <c r="J1961">
        <v>0.25</v>
      </c>
      <c r="K1961">
        <v>3063.59</v>
      </c>
      <c r="L1961" t="s">
        <v>35</v>
      </c>
      <c r="M1961">
        <v>707</v>
      </c>
      <c r="N1961">
        <v>0.16</v>
      </c>
      <c r="O1961" s="3">
        <v>405.56</v>
      </c>
      <c r="P1961" s="3">
        <v>0.1</v>
      </c>
      <c r="Q1961" s="3">
        <v>684.38</v>
      </c>
      <c r="R1961" s="3">
        <v>0.16</v>
      </c>
      <c r="S1961">
        <v>7</v>
      </c>
      <c r="T1961">
        <v>968.16</v>
      </c>
      <c r="U1961">
        <v>32</v>
      </c>
      <c r="V1961">
        <v>0</v>
      </c>
      <c r="W1961">
        <v>289.02</v>
      </c>
      <c r="X1961">
        <v>1000</v>
      </c>
      <c r="Y1961" t="s">
        <v>36</v>
      </c>
      <c r="Z1961" s="3">
        <v>542.13</v>
      </c>
      <c r="AA1961" t="s">
        <v>46</v>
      </c>
      <c r="AB1961" t="s">
        <v>33</v>
      </c>
      <c r="AC1961">
        <v>49.4</v>
      </c>
      <c r="AD1961" t="s">
        <v>43</v>
      </c>
      <c r="AE1961">
        <v>0</v>
      </c>
      <c r="AF1961">
        <v>0</v>
      </c>
    </row>
    <row r="1962" spans="3:32" x14ac:dyDescent="0.35">
      <c r="C1962" s="1">
        <v>44636</v>
      </c>
      <c r="D1962" s="2">
        <v>44621</v>
      </c>
      <c r="E1962">
        <v>1580</v>
      </c>
      <c r="F1962" s="3">
        <v>2511.69</v>
      </c>
      <c r="G1962" s="3">
        <v>3208.66</v>
      </c>
      <c r="H1962" s="3">
        <v>-696.97</v>
      </c>
      <c r="I1962" s="3">
        <v>1.28</v>
      </c>
      <c r="J1962">
        <v>0.11</v>
      </c>
      <c r="K1962">
        <v>3096.48</v>
      </c>
      <c r="L1962" t="s">
        <v>35</v>
      </c>
      <c r="M1962">
        <v>689</v>
      </c>
      <c r="N1962">
        <v>0.49</v>
      </c>
      <c r="O1962" s="3">
        <v>682.08</v>
      </c>
      <c r="P1962" s="3">
        <v>0.27</v>
      </c>
      <c r="Q1962" s="3">
        <v>307.62</v>
      </c>
      <c r="R1962" s="3">
        <v>0.12</v>
      </c>
      <c r="S1962">
        <v>9</v>
      </c>
      <c r="T1962">
        <v>406.54</v>
      </c>
      <c r="U1962">
        <v>33</v>
      </c>
      <c r="V1962">
        <v>0</v>
      </c>
      <c r="W1962">
        <v>647.83000000000004</v>
      </c>
      <c r="X1962">
        <v>1497.29</v>
      </c>
      <c r="Y1962" t="s">
        <v>31</v>
      </c>
      <c r="Z1962" s="3">
        <v>300</v>
      </c>
      <c r="AA1962" t="s">
        <v>50</v>
      </c>
      <c r="AB1962" t="s">
        <v>42</v>
      </c>
      <c r="AC1962">
        <v>40.5</v>
      </c>
      <c r="AD1962" t="s">
        <v>43</v>
      </c>
      <c r="AE1962">
        <v>0</v>
      </c>
      <c r="AF1962">
        <v>0</v>
      </c>
    </row>
    <row r="1963" spans="3:32" x14ac:dyDescent="0.35">
      <c r="C1963" s="1">
        <v>44636</v>
      </c>
      <c r="D1963" s="2">
        <v>44621</v>
      </c>
      <c r="E1963">
        <v>1831</v>
      </c>
      <c r="F1963" s="3">
        <v>3964.65</v>
      </c>
      <c r="G1963" s="3">
        <v>2923.91</v>
      </c>
      <c r="H1963" s="3">
        <v>1040.74</v>
      </c>
      <c r="I1963" s="3">
        <v>0.74</v>
      </c>
      <c r="J1963">
        <v>0.28999999999999998</v>
      </c>
      <c r="K1963">
        <v>3017.87</v>
      </c>
      <c r="L1963" t="s">
        <v>39</v>
      </c>
      <c r="M1963">
        <v>820</v>
      </c>
      <c r="N1963">
        <v>0.53</v>
      </c>
      <c r="O1963" s="3">
        <v>411.63</v>
      </c>
      <c r="P1963" s="3">
        <v>0.1</v>
      </c>
      <c r="Q1963" s="3">
        <v>179.44</v>
      </c>
      <c r="R1963" s="3">
        <v>0.05</v>
      </c>
      <c r="S1963">
        <v>7</v>
      </c>
      <c r="T1963">
        <v>1573.37</v>
      </c>
      <c r="U1963">
        <v>96</v>
      </c>
      <c r="V1963">
        <v>0</v>
      </c>
      <c r="W1963">
        <v>556.89</v>
      </c>
      <c r="X1963">
        <v>1576.52</v>
      </c>
      <c r="Y1963" t="s">
        <v>49</v>
      </c>
      <c r="Z1963" s="3">
        <v>1707.71</v>
      </c>
      <c r="AA1963" t="s">
        <v>50</v>
      </c>
      <c r="AB1963" t="s">
        <v>33</v>
      </c>
      <c r="AC1963">
        <v>80.599999999999994</v>
      </c>
      <c r="AD1963" t="s">
        <v>43</v>
      </c>
      <c r="AE1963">
        <v>1040.74</v>
      </c>
      <c r="AF1963">
        <v>0</v>
      </c>
    </row>
    <row r="1964" spans="3:32" x14ac:dyDescent="0.35">
      <c r="C1964" s="1">
        <v>44636</v>
      </c>
      <c r="D1964" s="2">
        <v>44621</v>
      </c>
      <c r="E1964">
        <v>1076</v>
      </c>
      <c r="F1964" s="3">
        <v>2408.4499999999998</v>
      </c>
      <c r="G1964" s="3">
        <v>3925.75</v>
      </c>
      <c r="H1964" s="3">
        <v>-1517.3</v>
      </c>
      <c r="I1964" s="3">
        <v>1.63</v>
      </c>
      <c r="J1964">
        <v>0.22</v>
      </c>
      <c r="K1964">
        <v>2359.19</v>
      </c>
      <c r="L1964" t="s">
        <v>30</v>
      </c>
      <c r="M1964">
        <v>631</v>
      </c>
      <c r="N1964">
        <v>0.13</v>
      </c>
      <c r="O1964" s="3">
        <v>529.16999999999996</v>
      </c>
      <c r="P1964" s="3">
        <v>0.22</v>
      </c>
      <c r="Q1964" s="3">
        <v>596.36</v>
      </c>
      <c r="R1964" s="3">
        <v>0.25</v>
      </c>
      <c r="S1964">
        <v>9</v>
      </c>
      <c r="T1964">
        <v>1366.44</v>
      </c>
      <c r="U1964">
        <v>52</v>
      </c>
      <c r="V1964">
        <v>0</v>
      </c>
      <c r="W1964">
        <v>646.61</v>
      </c>
      <c r="X1964">
        <v>2148.69</v>
      </c>
      <c r="Y1964" t="s">
        <v>36</v>
      </c>
      <c r="Z1964" s="3">
        <v>1968.44</v>
      </c>
      <c r="AA1964" t="s">
        <v>41</v>
      </c>
      <c r="AB1964" t="s">
        <v>33</v>
      </c>
      <c r="AC1964">
        <v>14</v>
      </c>
      <c r="AD1964" t="s">
        <v>34</v>
      </c>
      <c r="AE1964">
        <v>0</v>
      </c>
      <c r="AF1964">
        <v>0</v>
      </c>
    </row>
    <row r="1965" spans="3:32" x14ac:dyDescent="0.35">
      <c r="C1965" s="1">
        <v>44636</v>
      </c>
      <c r="D1965" s="2">
        <v>44621</v>
      </c>
      <c r="E1965">
        <v>1810</v>
      </c>
      <c r="F1965" s="3">
        <v>4439.2299999999996</v>
      </c>
      <c r="G1965" s="3">
        <v>3228.16</v>
      </c>
      <c r="H1965" s="3">
        <v>1211.07</v>
      </c>
      <c r="I1965" s="3">
        <v>0.73</v>
      </c>
      <c r="J1965">
        <v>0.37</v>
      </c>
      <c r="K1965">
        <v>2745.61</v>
      </c>
      <c r="L1965" t="s">
        <v>35</v>
      </c>
      <c r="M1965">
        <v>698</v>
      </c>
      <c r="N1965">
        <v>0.56999999999999995</v>
      </c>
      <c r="O1965" s="3">
        <v>407.05</v>
      </c>
      <c r="P1965" s="3">
        <v>0.09</v>
      </c>
      <c r="Q1965" s="3">
        <v>183.54</v>
      </c>
      <c r="R1965" s="3">
        <v>0.04</v>
      </c>
      <c r="S1965">
        <v>7</v>
      </c>
      <c r="T1965">
        <v>702.06</v>
      </c>
      <c r="U1965">
        <v>24</v>
      </c>
      <c r="V1965">
        <v>0</v>
      </c>
      <c r="W1965">
        <v>508.62</v>
      </c>
      <c r="X1965">
        <v>1456.06</v>
      </c>
      <c r="Y1965" t="s">
        <v>36</v>
      </c>
      <c r="Z1965" s="3">
        <v>877.71</v>
      </c>
      <c r="AA1965" t="s">
        <v>48</v>
      </c>
      <c r="AB1965" t="s">
        <v>42</v>
      </c>
      <c r="AC1965">
        <v>60.5</v>
      </c>
      <c r="AD1965" t="s">
        <v>34</v>
      </c>
      <c r="AE1965">
        <v>1211.07</v>
      </c>
      <c r="AF1965">
        <v>0</v>
      </c>
    </row>
    <row r="1966" spans="3:32" x14ac:dyDescent="0.35">
      <c r="C1966" s="1">
        <v>44636</v>
      </c>
      <c r="D1966" s="2">
        <v>44621</v>
      </c>
      <c r="E1966">
        <v>1326</v>
      </c>
      <c r="F1966" s="3">
        <v>3493.23</v>
      </c>
      <c r="G1966" s="3">
        <v>2715.97</v>
      </c>
      <c r="H1966" s="3">
        <v>777.26</v>
      </c>
      <c r="I1966" s="3">
        <v>0.78</v>
      </c>
      <c r="J1966">
        <v>0.15</v>
      </c>
      <c r="K1966">
        <v>2550.46</v>
      </c>
      <c r="L1966" t="s">
        <v>35</v>
      </c>
      <c r="M1966">
        <v>686</v>
      </c>
      <c r="N1966">
        <v>0.28000000000000003</v>
      </c>
      <c r="O1966" s="3">
        <v>711.12</v>
      </c>
      <c r="P1966" s="3">
        <v>0.2</v>
      </c>
      <c r="Q1966" s="3">
        <v>263.23</v>
      </c>
      <c r="R1966" s="3">
        <v>0.08</v>
      </c>
      <c r="S1966">
        <v>8</v>
      </c>
      <c r="T1966">
        <v>1440.77</v>
      </c>
      <c r="U1966">
        <v>74</v>
      </c>
      <c r="V1966">
        <v>0</v>
      </c>
      <c r="W1966">
        <v>223.33</v>
      </c>
      <c r="X1966">
        <v>1284.42</v>
      </c>
      <c r="Y1966" t="s">
        <v>31</v>
      </c>
      <c r="Z1966" s="3">
        <v>1174.82</v>
      </c>
      <c r="AA1966" t="s">
        <v>48</v>
      </c>
      <c r="AB1966" t="s">
        <v>33</v>
      </c>
      <c r="AC1966">
        <v>81</v>
      </c>
      <c r="AD1966" t="s">
        <v>34</v>
      </c>
      <c r="AE1966">
        <v>777.26</v>
      </c>
      <c r="AF1966">
        <v>0</v>
      </c>
    </row>
    <row r="1967" spans="3:32" x14ac:dyDescent="0.35">
      <c r="C1967" s="1">
        <v>44636</v>
      </c>
      <c r="D1967" s="2">
        <v>44621</v>
      </c>
      <c r="E1967">
        <v>1626</v>
      </c>
      <c r="F1967" s="3">
        <v>2642.03</v>
      </c>
      <c r="G1967" s="3">
        <v>3856.75</v>
      </c>
      <c r="H1967" s="3">
        <v>-1214.72</v>
      </c>
      <c r="I1967" s="3">
        <v>1.46</v>
      </c>
      <c r="J1967">
        <v>0.15</v>
      </c>
      <c r="K1967">
        <v>2694.91</v>
      </c>
      <c r="L1967" t="s">
        <v>39</v>
      </c>
      <c r="M1967">
        <v>715</v>
      </c>
      <c r="N1967">
        <v>0.35</v>
      </c>
      <c r="O1967" s="3">
        <v>447.08</v>
      </c>
      <c r="P1967" s="3">
        <v>0.17</v>
      </c>
      <c r="Q1967" s="3">
        <v>11.87</v>
      </c>
      <c r="R1967" s="3">
        <v>0</v>
      </c>
      <c r="S1967">
        <v>5</v>
      </c>
      <c r="T1967">
        <v>2286.29</v>
      </c>
      <c r="U1967">
        <v>50</v>
      </c>
      <c r="V1967">
        <v>0</v>
      </c>
      <c r="W1967">
        <v>361.38</v>
      </c>
      <c r="X1967">
        <v>2078.2800000000002</v>
      </c>
      <c r="Y1967" t="s">
        <v>36</v>
      </c>
      <c r="Z1967" s="3">
        <v>763.44</v>
      </c>
      <c r="AA1967" t="s">
        <v>41</v>
      </c>
      <c r="AB1967" t="s">
        <v>33</v>
      </c>
      <c r="AC1967">
        <v>32.799999999999997</v>
      </c>
      <c r="AD1967" t="s">
        <v>43</v>
      </c>
      <c r="AE1967">
        <v>0</v>
      </c>
      <c r="AF1967">
        <v>0</v>
      </c>
    </row>
    <row r="1968" spans="3:32" x14ac:dyDescent="0.35">
      <c r="C1968" s="1">
        <v>44636</v>
      </c>
      <c r="D1968" s="2">
        <v>44621</v>
      </c>
      <c r="E1968">
        <v>1171</v>
      </c>
      <c r="F1968" s="3">
        <v>4297.09</v>
      </c>
      <c r="G1968" s="3">
        <v>3052.68</v>
      </c>
      <c r="H1968" s="3">
        <v>1244.4100000000001</v>
      </c>
      <c r="I1968" s="3">
        <v>0.71</v>
      </c>
      <c r="J1968">
        <v>0.38</v>
      </c>
      <c r="K1968">
        <v>3429</v>
      </c>
      <c r="L1968" t="s">
        <v>35</v>
      </c>
      <c r="M1968">
        <v>666</v>
      </c>
      <c r="N1968">
        <v>0.4</v>
      </c>
      <c r="O1968" s="3">
        <v>550.85</v>
      </c>
      <c r="P1968" s="3">
        <v>0.13</v>
      </c>
      <c r="Q1968" s="3">
        <v>378.06</v>
      </c>
      <c r="R1968" s="3">
        <v>0.09</v>
      </c>
      <c r="S1968">
        <v>2</v>
      </c>
      <c r="T1968">
        <v>1219.18</v>
      </c>
      <c r="U1968">
        <v>47</v>
      </c>
      <c r="V1968">
        <v>0</v>
      </c>
      <c r="W1968">
        <v>611.27</v>
      </c>
      <c r="X1968">
        <v>1799.55</v>
      </c>
      <c r="Y1968" t="s">
        <v>36</v>
      </c>
      <c r="Z1968" s="3">
        <v>982.23</v>
      </c>
      <c r="AA1968" t="s">
        <v>45</v>
      </c>
      <c r="AB1968" t="s">
        <v>44</v>
      </c>
      <c r="AC1968">
        <v>87.9</v>
      </c>
      <c r="AD1968" t="s">
        <v>43</v>
      </c>
      <c r="AE1968">
        <v>1244.4100000000001</v>
      </c>
      <c r="AF1968">
        <v>0</v>
      </c>
    </row>
    <row r="1969" spans="3:32" x14ac:dyDescent="0.35">
      <c r="C1969" s="1">
        <v>44636</v>
      </c>
      <c r="D1969" s="2">
        <v>44621</v>
      </c>
      <c r="E1969">
        <v>1267</v>
      </c>
      <c r="F1969" s="3">
        <v>2534.09</v>
      </c>
      <c r="G1969" s="3">
        <v>2596.83</v>
      </c>
      <c r="H1969" s="3">
        <v>-62.74</v>
      </c>
      <c r="I1969" s="3">
        <v>1.02</v>
      </c>
      <c r="J1969">
        <v>0.35</v>
      </c>
      <c r="K1969">
        <v>2561.79</v>
      </c>
      <c r="L1969" t="s">
        <v>39</v>
      </c>
      <c r="M1969">
        <v>664</v>
      </c>
      <c r="N1969">
        <v>0.33</v>
      </c>
      <c r="O1969" s="3">
        <v>799.93</v>
      </c>
      <c r="P1969" s="3">
        <v>0.32</v>
      </c>
      <c r="Q1969" s="3">
        <v>364.1</v>
      </c>
      <c r="R1969" s="3">
        <v>0.14000000000000001</v>
      </c>
      <c r="S1969">
        <v>6</v>
      </c>
      <c r="T1969">
        <v>1427.01</v>
      </c>
      <c r="U1969">
        <v>88</v>
      </c>
      <c r="V1969">
        <v>0</v>
      </c>
      <c r="W1969">
        <v>429.81</v>
      </c>
      <c r="X1969">
        <v>1461.85</v>
      </c>
      <c r="Y1969" t="s">
        <v>36</v>
      </c>
      <c r="Z1969" s="3">
        <v>742.35</v>
      </c>
      <c r="AA1969" t="s">
        <v>47</v>
      </c>
      <c r="AB1969" t="s">
        <v>44</v>
      </c>
      <c r="AC1969">
        <v>42</v>
      </c>
      <c r="AD1969" t="s">
        <v>38</v>
      </c>
      <c r="AE1969">
        <v>0</v>
      </c>
      <c r="AF1969">
        <v>0</v>
      </c>
    </row>
    <row r="1970" spans="3:32" x14ac:dyDescent="0.35">
      <c r="C1970" s="1">
        <v>44636</v>
      </c>
      <c r="D1970" s="2">
        <v>44621</v>
      </c>
      <c r="E1970">
        <v>1737</v>
      </c>
      <c r="F1970" s="3">
        <v>4817.76</v>
      </c>
      <c r="G1970" s="3">
        <v>3645.15</v>
      </c>
      <c r="H1970" s="3">
        <v>1172.6099999999999</v>
      </c>
      <c r="I1970" s="3">
        <v>0.76</v>
      </c>
      <c r="J1970">
        <v>0.16</v>
      </c>
      <c r="K1970">
        <v>2243.17</v>
      </c>
      <c r="L1970" t="s">
        <v>39</v>
      </c>
      <c r="M1970">
        <v>724</v>
      </c>
      <c r="N1970">
        <v>0.25</v>
      </c>
      <c r="O1970" s="3">
        <v>688.21</v>
      </c>
      <c r="P1970" s="3">
        <v>0.14000000000000001</v>
      </c>
      <c r="Q1970" s="3">
        <v>0</v>
      </c>
      <c r="R1970" s="3">
        <v>0</v>
      </c>
      <c r="S1970">
        <v>5</v>
      </c>
      <c r="T1970">
        <v>1679.86</v>
      </c>
      <c r="U1970">
        <v>53</v>
      </c>
      <c r="V1970">
        <v>0</v>
      </c>
      <c r="W1970">
        <v>504.2</v>
      </c>
      <c r="X1970">
        <v>1719.35</v>
      </c>
      <c r="Y1970" t="s">
        <v>31</v>
      </c>
      <c r="Z1970" s="3">
        <v>1687.13</v>
      </c>
      <c r="AA1970" t="s">
        <v>32</v>
      </c>
      <c r="AB1970" t="s">
        <v>33</v>
      </c>
      <c r="AC1970">
        <v>20.6</v>
      </c>
      <c r="AD1970" t="s">
        <v>43</v>
      </c>
      <c r="AE1970">
        <v>1172.6099999999999</v>
      </c>
      <c r="AF1970">
        <v>0</v>
      </c>
    </row>
    <row r="1971" spans="3:32" x14ac:dyDescent="0.35">
      <c r="C1971" s="1">
        <v>44636</v>
      </c>
      <c r="D1971" s="2">
        <v>44621</v>
      </c>
      <c r="E1971">
        <v>1467</v>
      </c>
      <c r="F1971" s="3">
        <v>5065.6099999999997</v>
      </c>
      <c r="G1971" s="3">
        <v>3998.17</v>
      </c>
      <c r="H1971" s="3">
        <v>1067.44</v>
      </c>
      <c r="I1971" s="3">
        <v>0.79</v>
      </c>
      <c r="J1971">
        <v>0.35</v>
      </c>
      <c r="K1971">
        <v>3671.81</v>
      </c>
      <c r="L1971" t="s">
        <v>30</v>
      </c>
      <c r="M1971">
        <v>698</v>
      </c>
      <c r="N1971">
        <v>0.32</v>
      </c>
      <c r="O1971" s="3">
        <v>612.35</v>
      </c>
      <c r="P1971" s="3">
        <v>0.12</v>
      </c>
      <c r="Q1971" s="3">
        <v>36.229999999999997</v>
      </c>
      <c r="R1971" s="3">
        <v>0.01</v>
      </c>
      <c r="S1971">
        <v>7</v>
      </c>
      <c r="T1971">
        <v>915.39</v>
      </c>
      <c r="U1971">
        <v>45</v>
      </c>
      <c r="V1971">
        <v>0</v>
      </c>
      <c r="W1971">
        <v>473.78</v>
      </c>
      <c r="X1971">
        <v>3003.61</v>
      </c>
      <c r="Y1971" t="s">
        <v>36</v>
      </c>
      <c r="Z1971" s="3">
        <v>1601.17</v>
      </c>
      <c r="AA1971" t="s">
        <v>45</v>
      </c>
      <c r="AB1971" t="s">
        <v>33</v>
      </c>
      <c r="AC1971">
        <v>58.7</v>
      </c>
      <c r="AD1971" t="s">
        <v>43</v>
      </c>
      <c r="AE1971">
        <v>1067.44</v>
      </c>
      <c r="AF1971">
        <v>0</v>
      </c>
    </row>
    <row r="1972" spans="3:32" x14ac:dyDescent="0.35">
      <c r="C1972" s="1">
        <v>44636</v>
      </c>
      <c r="D1972" s="2">
        <v>44621</v>
      </c>
      <c r="E1972">
        <v>1483</v>
      </c>
      <c r="F1972" s="3">
        <v>4037.64</v>
      </c>
      <c r="G1972" s="3">
        <v>3110.89</v>
      </c>
      <c r="H1972" s="3">
        <v>926.75</v>
      </c>
      <c r="I1972" s="3">
        <v>0.77</v>
      </c>
      <c r="J1972">
        <v>0.33</v>
      </c>
      <c r="K1972">
        <v>3173.99</v>
      </c>
      <c r="L1972" t="s">
        <v>35</v>
      </c>
      <c r="M1972">
        <v>586</v>
      </c>
      <c r="N1972">
        <v>0.2</v>
      </c>
      <c r="O1972" s="3">
        <v>867.33</v>
      </c>
      <c r="P1972" s="3">
        <v>0.21</v>
      </c>
      <c r="Q1972" s="3">
        <v>437.01</v>
      </c>
      <c r="R1972" s="3">
        <v>0.11</v>
      </c>
      <c r="S1972">
        <v>4</v>
      </c>
      <c r="T1972">
        <v>1192.0899999999999</v>
      </c>
      <c r="U1972">
        <v>37</v>
      </c>
      <c r="V1972">
        <v>0</v>
      </c>
      <c r="W1972">
        <v>556.79999999999995</v>
      </c>
      <c r="X1972">
        <v>3136.69</v>
      </c>
      <c r="Y1972" t="s">
        <v>31</v>
      </c>
      <c r="Z1972" s="3">
        <v>1334.68</v>
      </c>
      <c r="AA1972" t="s">
        <v>32</v>
      </c>
      <c r="AB1972" t="s">
        <v>44</v>
      </c>
      <c r="AC1972">
        <v>65.900000000000006</v>
      </c>
      <c r="AD1972" t="s">
        <v>43</v>
      </c>
      <c r="AE1972">
        <v>926.75</v>
      </c>
      <c r="AF1972">
        <v>0</v>
      </c>
    </row>
    <row r="1973" spans="3:32" x14ac:dyDescent="0.35">
      <c r="C1973" s="1">
        <v>44636</v>
      </c>
      <c r="D1973" s="2">
        <v>44621</v>
      </c>
      <c r="E1973">
        <v>1029</v>
      </c>
      <c r="F1973" s="3">
        <v>3933.14</v>
      </c>
      <c r="G1973" s="3">
        <v>2949.17</v>
      </c>
      <c r="H1973" s="3">
        <v>983.97</v>
      </c>
      <c r="I1973" s="3">
        <v>0.75</v>
      </c>
      <c r="J1973">
        <v>0.3</v>
      </c>
      <c r="K1973">
        <v>2529.63</v>
      </c>
      <c r="L1973" t="s">
        <v>39</v>
      </c>
      <c r="M1973">
        <v>706</v>
      </c>
      <c r="N1973">
        <v>0.35</v>
      </c>
      <c r="O1973" s="3">
        <v>558.03</v>
      </c>
      <c r="P1973" s="3">
        <v>0.14000000000000001</v>
      </c>
      <c r="Q1973" s="3">
        <v>718.47</v>
      </c>
      <c r="R1973" s="3">
        <v>0.18</v>
      </c>
      <c r="S1973">
        <v>3</v>
      </c>
      <c r="T1973">
        <v>942.69</v>
      </c>
      <c r="U1973">
        <v>45</v>
      </c>
      <c r="V1973">
        <v>0</v>
      </c>
      <c r="W1973">
        <v>171.36</v>
      </c>
      <c r="X1973">
        <v>1517.5</v>
      </c>
      <c r="Y1973" t="s">
        <v>36</v>
      </c>
      <c r="Z1973" s="3">
        <v>684.91</v>
      </c>
      <c r="AA1973" t="s">
        <v>37</v>
      </c>
      <c r="AB1973" t="s">
        <v>33</v>
      </c>
      <c r="AC1973">
        <v>7.2</v>
      </c>
      <c r="AD1973" t="s">
        <v>43</v>
      </c>
      <c r="AE1973">
        <v>983.97</v>
      </c>
      <c r="AF1973">
        <v>0</v>
      </c>
    </row>
    <row r="1974" spans="3:32" x14ac:dyDescent="0.35">
      <c r="C1974" s="1">
        <v>44636</v>
      </c>
      <c r="D1974" s="2">
        <v>44621</v>
      </c>
      <c r="E1974">
        <v>1986</v>
      </c>
      <c r="F1974" s="3">
        <v>4672.8599999999997</v>
      </c>
      <c r="G1974" s="3">
        <v>1182.03</v>
      </c>
      <c r="H1974" s="3">
        <v>3490.83</v>
      </c>
      <c r="I1974" s="3">
        <v>0.25</v>
      </c>
      <c r="J1974">
        <v>0.36</v>
      </c>
      <c r="K1974">
        <v>3069.94</v>
      </c>
      <c r="L1974" t="s">
        <v>39</v>
      </c>
      <c r="M1974">
        <v>710</v>
      </c>
      <c r="N1974">
        <v>0.59</v>
      </c>
      <c r="O1974" s="3">
        <v>560.47</v>
      </c>
      <c r="P1974" s="3">
        <v>0.12</v>
      </c>
      <c r="Q1974" s="3">
        <v>0</v>
      </c>
      <c r="R1974" s="3">
        <v>0</v>
      </c>
      <c r="S1974">
        <v>4</v>
      </c>
      <c r="T1974">
        <v>621.72</v>
      </c>
      <c r="U1974">
        <v>40</v>
      </c>
      <c r="V1974">
        <v>0</v>
      </c>
      <c r="W1974">
        <v>689.73</v>
      </c>
      <c r="X1974">
        <v>2375.34</v>
      </c>
      <c r="Y1974" t="s">
        <v>36</v>
      </c>
      <c r="Z1974" s="3">
        <v>793.22</v>
      </c>
      <c r="AA1974" t="s">
        <v>51</v>
      </c>
      <c r="AB1974" t="s">
        <v>33</v>
      </c>
      <c r="AC1974">
        <v>2.7</v>
      </c>
      <c r="AD1974" t="s">
        <v>38</v>
      </c>
      <c r="AE1974">
        <v>3490.83</v>
      </c>
      <c r="AF1974">
        <v>1</v>
      </c>
    </row>
    <row r="1975" spans="3:32" x14ac:dyDescent="0.35">
      <c r="C1975" s="1">
        <v>44636</v>
      </c>
      <c r="D1975" s="2">
        <v>44621</v>
      </c>
      <c r="E1975">
        <v>1734</v>
      </c>
      <c r="F1975" s="3">
        <v>5105.01</v>
      </c>
      <c r="G1975" s="3">
        <v>2992.1</v>
      </c>
      <c r="H1975" s="3">
        <v>2112.91</v>
      </c>
      <c r="I1975" s="3">
        <v>0.59</v>
      </c>
      <c r="J1975">
        <v>0.23</v>
      </c>
      <c r="K1975">
        <v>2244.41</v>
      </c>
      <c r="L1975" t="s">
        <v>39</v>
      </c>
      <c r="M1975">
        <v>660</v>
      </c>
      <c r="N1975">
        <v>0.15</v>
      </c>
      <c r="O1975" s="3">
        <v>426.18</v>
      </c>
      <c r="P1975" s="3">
        <v>0.08</v>
      </c>
      <c r="Q1975" s="3">
        <v>43.01</v>
      </c>
      <c r="R1975" s="3">
        <v>0.01</v>
      </c>
      <c r="S1975">
        <v>5</v>
      </c>
      <c r="T1975">
        <v>527.87</v>
      </c>
      <c r="U1975">
        <v>97</v>
      </c>
      <c r="V1975">
        <v>0</v>
      </c>
      <c r="W1975">
        <v>782.1</v>
      </c>
      <c r="X1975">
        <v>2109.54</v>
      </c>
      <c r="Y1975" t="s">
        <v>31</v>
      </c>
      <c r="Z1975" s="3">
        <v>1285.5999999999999</v>
      </c>
      <c r="AA1975" t="s">
        <v>50</v>
      </c>
      <c r="AB1975" t="s">
        <v>33</v>
      </c>
      <c r="AC1975">
        <v>3.8</v>
      </c>
      <c r="AD1975" t="s">
        <v>38</v>
      </c>
      <c r="AE1975">
        <v>2112.91</v>
      </c>
      <c r="AF1975">
        <v>0</v>
      </c>
    </row>
    <row r="1976" spans="3:32" x14ac:dyDescent="0.35">
      <c r="C1976" s="1">
        <v>44636</v>
      </c>
      <c r="D1976" s="2">
        <v>44621</v>
      </c>
      <c r="E1976">
        <v>1362</v>
      </c>
      <c r="F1976" s="3">
        <v>2050.84</v>
      </c>
      <c r="G1976" s="3">
        <v>3514.53</v>
      </c>
      <c r="H1976" s="3">
        <v>-1463.69</v>
      </c>
      <c r="I1976" s="3">
        <v>1.71</v>
      </c>
      <c r="J1976">
        <v>0.1</v>
      </c>
      <c r="K1976">
        <v>2577.3000000000002</v>
      </c>
      <c r="L1976" t="s">
        <v>35</v>
      </c>
      <c r="M1976">
        <v>713</v>
      </c>
      <c r="N1976">
        <v>0.56999999999999995</v>
      </c>
      <c r="O1976" s="3">
        <v>571.59</v>
      </c>
      <c r="P1976" s="3">
        <v>0.28000000000000003</v>
      </c>
      <c r="Q1976" s="3">
        <v>773.22</v>
      </c>
      <c r="R1976" s="3">
        <v>0.38</v>
      </c>
      <c r="S1976">
        <v>8</v>
      </c>
      <c r="T1976">
        <v>1154.55</v>
      </c>
      <c r="U1976">
        <v>58</v>
      </c>
      <c r="V1976">
        <v>0</v>
      </c>
      <c r="W1976">
        <v>601.34</v>
      </c>
      <c r="X1976">
        <v>1464.26</v>
      </c>
      <c r="Y1976" t="s">
        <v>31</v>
      </c>
      <c r="Z1976" s="3">
        <v>1463.58</v>
      </c>
      <c r="AA1976" t="s">
        <v>41</v>
      </c>
      <c r="AB1976" t="s">
        <v>42</v>
      </c>
      <c r="AC1976">
        <v>33.700000000000003</v>
      </c>
      <c r="AD1976" t="s">
        <v>34</v>
      </c>
      <c r="AE1976">
        <v>0</v>
      </c>
      <c r="AF1976">
        <v>0</v>
      </c>
    </row>
    <row r="1977" spans="3:32" x14ac:dyDescent="0.35">
      <c r="C1977" s="1">
        <v>44636</v>
      </c>
      <c r="D1977" s="2">
        <v>44621</v>
      </c>
      <c r="E1977">
        <v>1168</v>
      </c>
      <c r="F1977" s="3">
        <v>2909.27</v>
      </c>
      <c r="G1977" s="3">
        <v>3417.82</v>
      </c>
      <c r="H1977" s="3">
        <v>-508.55</v>
      </c>
      <c r="I1977" s="3">
        <v>1.17</v>
      </c>
      <c r="J1977">
        <v>0.08</v>
      </c>
      <c r="K1977">
        <v>2575.31</v>
      </c>
      <c r="L1977" t="s">
        <v>35</v>
      </c>
      <c r="M1977">
        <v>733</v>
      </c>
      <c r="N1977">
        <v>0.24</v>
      </c>
      <c r="O1977" s="3">
        <v>286.81</v>
      </c>
      <c r="P1977" s="3">
        <v>0.1</v>
      </c>
      <c r="Q1977" s="3">
        <v>335.51</v>
      </c>
      <c r="R1977" s="3">
        <v>0.12</v>
      </c>
      <c r="S1977">
        <v>1</v>
      </c>
      <c r="T1977">
        <v>1286.96</v>
      </c>
      <c r="U1977">
        <v>69</v>
      </c>
      <c r="V1977">
        <v>0</v>
      </c>
      <c r="W1977">
        <v>573.28</v>
      </c>
      <c r="X1977">
        <v>3741.69</v>
      </c>
      <c r="Y1977" t="s">
        <v>49</v>
      </c>
      <c r="Z1977" s="3">
        <v>1283.8599999999999</v>
      </c>
      <c r="AA1977" t="s">
        <v>47</v>
      </c>
      <c r="AB1977" t="s">
        <v>44</v>
      </c>
      <c r="AC1977">
        <v>14.4</v>
      </c>
      <c r="AD1977" t="s">
        <v>38</v>
      </c>
      <c r="AE1977">
        <v>0</v>
      </c>
      <c r="AF1977">
        <v>0</v>
      </c>
    </row>
    <row r="1978" spans="3:32" x14ac:dyDescent="0.35">
      <c r="C1978" s="1">
        <v>44636</v>
      </c>
      <c r="D1978" s="2">
        <v>44621</v>
      </c>
      <c r="E1978">
        <v>1390</v>
      </c>
      <c r="F1978" s="3">
        <v>3931.59</v>
      </c>
      <c r="G1978" s="3">
        <v>2936.45</v>
      </c>
      <c r="H1978" s="3">
        <v>995.14</v>
      </c>
      <c r="I1978" s="3">
        <v>0.75</v>
      </c>
      <c r="J1978">
        <v>0.28000000000000003</v>
      </c>
      <c r="K1978">
        <v>2502.89</v>
      </c>
      <c r="L1978" t="s">
        <v>35</v>
      </c>
      <c r="M1978">
        <v>737</v>
      </c>
      <c r="N1978">
        <v>0.15</v>
      </c>
      <c r="O1978" s="3">
        <v>589.30999999999995</v>
      </c>
      <c r="P1978" s="3">
        <v>0.15</v>
      </c>
      <c r="Q1978" s="3">
        <v>0</v>
      </c>
      <c r="R1978" s="3">
        <v>0</v>
      </c>
      <c r="S1978">
        <v>9</v>
      </c>
      <c r="T1978">
        <v>1311.01</v>
      </c>
      <c r="U1978">
        <v>36</v>
      </c>
      <c r="V1978">
        <v>0</v>
      </c>
      <c r="W1978">
        <v>197.44</v>
      </c>
      <c r="X1978">
        <v>3500.06</v>
      </c>
      <c r="Y1978" t="s">
        <v>36</v>
      </c>
      <c r="Z1978" s="3">
        <v>1483.48</v>
      </c>
      <c r="AA1978" t="s">
        <v>37</v>
      </c>
      <c r="AB1978" t="s">
        <v>42</v>
      </c>
      <c r="AC1978">
        <v>69.400000000000006</v>
      </c>
      <c r="AD1978" t="s">
        <v>38</v>
      </c>
      <c r="AE1978">
        <v>995.14</v>
      </c>
      <c r="AF1978">
        <v>0</v>
      </c>
    </row>
    <row r="1979" spans="3:32" x14ac:dyDescent="0.35">
      <c r="C1979" s="1">
        <v>44636</v>
      </c>
      <c r="D1979" s="2">
        <v>44621</v>
      </c>
      <c r="E1979">
        <v>1372</v>
      </c>
      <c r="F1979" s="3">
        <v>3984.54</v>
      </c>
      <c r="G1979" s="3">
        <v>2371.1</v>
      </c>
      <c r="H1979" s="3">
        <v>1613.44</v>
      </c>
      <c r="I1979" s="3">
        <v>0.6</v>
      </c>
      <c r="J1979">
        <v>0.27</v>
      </c>
      <c r="K1979">
        <v>2890.87</v>
      </c>
      <c r="L1979" t="s">
        <v>35</v>
      </c>
      <c r="M1979">
        <v>679</v>
      </c>
      <c r="N1979">
        <v>0.35</v>
      </c>
      <c r="O1979" s="3">
        <v>343.75</v>
      </c>
      <c r="P1979" s="3">
        <v>0.09</v>
      </c>
      <c r="Q1979" s="3">
        <v>548.55999999999995</v>
      </c>
      <c r="R1979" s="3">
        <v>0.14000000000000001</v>
      </c>
      <c r="S1979">
        <v>2</v>
      </c>
      <c r="T1979">
        <v>1801.51</v>
      </c>
      <c r="U1979">
        <v>58</v>
      </c>
      <c r="V1979">
        <v>0</v>
      </c>
      <c r="W1979">
        <v>145.22999999999999</v>
      </c>
      <c r="X1979">
        <v>1888.25</v>
      </c>
      <c r="Y1979" t="s">
        <v>36</v>
      </c>
      <c r="Z1979" s="3">
        <v>973.15</v>
      </c>
      <c r="AA1979" t="s">
        <v>51</v>
      </c>
      <c r="AB1979" t="s">
        <v>33</v>
      </c>
      <c r="AC1979">
        <v>84.3</v>
      </c>
      <c r="AD1979" t="s">
        <v>34</v>
      </c>
      <c r="AE1979">
        <v>1613.44</v>
      </c>
      <c r="AF1979">
        <v>0</v>
      </c>
    </row>
    <row r="1980" spans="3:32" x14ac:dyDescent="0.35">
      <c r="C1980" s="1">
        <v>44636</v>
      </c>
      <c r="D1980" s="2">
        <v>44621</v>
      </c>
      <c r="E1980">
        <v>1622</v>
      </c>
      <c r="F1980" s="3">
        <v>4393.93</v>
      </c>
      <c r="G1980" s="3">
        <v>2663.01</v>
      </c>
      <c r="H1980" s="3">
        <v>1730.92</v>
      </c>
      <c r="I1980" s="3">
        <v>0.61</v>
      </c>
      <c r="J1980">
        <v>0.26</v>
      </c>
      <c r="K1980">
        <v>3347.42</v>
      </c>
      <c r="L1980" t="s">
        <v>35</v>
      </c>
      <c r="M1980">
        <v>752</v>
      </c>
      <c r="N1980">
        <v>0.32</v>
      </c>
      <c r="O1980" s="3">
        <v>252.74</v>
      </c>
      <c r="P1980" s="3">
        <v>0.06</v>
      </c>
      <c r="Q1980" s="3">
        <v>595.99</v>
      </c>
      <c r="R1980" s="3">
        <v>0.14000000000000001</v>
      </c>
      <c r="S1980">
        <v>4</v>
      </c>
      <c r="T1980">
        <v>1687.05</v>
      </c>
      <c r="U1980">
        <v>63</v>
      </c>
      <c r="V1980">
        <v>0</v>
      </c>
      <c r="W1980">
        <v>419.17</v>
      </c>
      <c r="X1980">
        <v>2342.2199999999998</v>
      </c>
      <c r="Y1980" t="s">
        <v>31</v>
      </c>
      <c r="Z1980" s="3">
        <v>1178.43</v>
      </c>
      <c r="AA1980" t="s">
        <v>45</v>
      </c>
      <c r="AB1980" t="s">
        <v>33</v>
      </c>
      <c r="AC1980">
        <v>85.1</v>
      </c>
      <c r="AD1980" t="s">
        <v>34</v>
      </c>
      <c r="AE1980">
        <v>1730.92</v>
      </c>
      <c r="AF1980">
        <v>0</v>
      </c>
    </row>
    <row r="1981" spans="3:32" x14ac:dyDescent="0.35">
      <c r="C1981" s="1">
        <v>44636</v>
      </c>
      <c r="D1981" s="2">
        <v>44621</v>
      </c>
      <c r="E1981">
        <v>1362</v>
      </c>
      <c r="F1981" s="3">
        <v>1762.91</v>
      </c>
      <c r="G1981" s="3">
        <v>2523.27</v>
      </c>
      <c r="H1981" s="3">
        <v>-760.36</v>
      </c>
      <c r="I1981" s="3">
        <v>1.43</v>
      </c>
      <c r="J1981">
        <v>0.17</v>
      </c>
      <c r="K1981">
        <v>3078.71</v>
      </c>
      <c r="L1981" t="s">
        <v>35</v>
      </c>
      <c r="M1981">
        <v>719</v>
      </c>
      <c r="N1981">
        <v>0.36</v>
      </c>
      <c r="O1981" s="3">
        <v>626.41</v>
      </c>
      <c r="P1981" s="3">
        <v>0.36</v>
      </c>
      <c r="Q1981" s="3">
        <v>578.41</v>
      </c>
      <c r="R1981" s="3">
        <v>0.33</v>
      </c>
      <c r="S1981">
        <v>3</v>
      </c>
      <c r="T1981">
        <v>862.23</v>
      </c>
      <c r="U1981">
        <v>47</v>
      </c>
      <c r="V1981">
        <v>0</v>
      </c>
      <c r="W1981">
        <v>471.16</v>
      </c>
      <c r="X1981">
        <v>2694.49</v>
      </c>
      <c r="Y1981" t="s">
        <v>36</v>
      </c>
      <c r="Z1981" s="3">
        <v>467.95</v>
      </c>
      <c r="AA1981" t="s">
        <v>40</v>
      </c>
      <c r="AB1981" t="s">
        <v>44</v>
      </c>
      <c r="AC1981">
        <v>67.5</v>
      </c>
      <c r="AD1981" t="s">
        <v>43</v>
      </c>
      <c r="AE1981">
        <v>0</v>
      </c>
      <c r="AF1981">
        <v>0</v>
      </c>
    </row>
    <row r="1982" spans="3:32" x14ac:dyDescent="0.35">
      <c r="C1982" s="1">
        <v>44636</v>
      </c>
      <c r="D1982" s="2">
        <v>44621</v>
      </c>
      <c r="E1982">
        <v>1045</v>
      </c>
      <c r="F1982" s="3">
        <v>5699.57</v>
      </c>
      <c r="G1982" s="3">
        <v>3825.34</v>
      </c>
      <c r="H1982" s="3">
        <v>1874.23</v>
      </c>
      <c r="I1982" s="3">
        <v>0.67</v>
      </c>
      <c r="J1982">
        <v>0.08</v>
      </c>
      <c r="K1982">
        <v>2782.39</v>
      </c>
      <c r="L1982" t="s">
        <v>35</v>
      </c>
      <c r="M1982">
        <v>666</v>
      </c>
      <c r="N1982">
        <v>0.24</v>
      </c>
      <c r="O1982" s="3">
        <v>686.07</v>
      </c>
      <c r="P1982" s="3">
        <v>0.12</v>
      </c>
      <c r="Q1982" s="3">
        <v>484.15</v>
      </c>
      <c r="R1982" s="3">
        <v>0.08</v>
      </c>
      <c r="S1982">
        <v>8</v>
      </c>
      <c r="T1982">
        <v>647.94000000000005</v>
      </c>
      <c r="U1982">
        <v>20</v>
      </c>
      <c r="V1982">
        <v>0</v>
      </c>
      <c r="W1982">
        <v>505.08</v>
      </c>
      <c r="X1982">
        <v>1389.66</v>
      </c>
      <c r="Y1982" t="s">
        <v>36</v>
      </c>
      <c r="Z1982" s="3">
        <v>885.31</v>
      </c>
      <c r="AA1982" t="s">
        <v>50</v>
      </c>
      <c r="AB1982" t="s">
        <v>42</v>
      </c>
      <c r="AC1982">
        <v>86.2</v>
      </c>
      <c r="AD1982" t="s">
        <v>43</v>
      </c>
      <c r="AE1982">
        <v>1874.23</v>
      </c>
      <c r="AF1982">
        <v>0</v>
      </c>
    </row>
    <row r="1983" spans="3:32" x14ac:dyDescent="0.35">
      <c r="C1983" s="1">
        <v>44636</v>
      </c>
      <c r="D1983" s="2">
        <v>44621</v>
      </c>
      <c r="E1983">
        <v>1555</v>
      </c>
      <c r="F1983" s="3">
        <v>1858.09</v>
      </c>
      <c r="G1983" s="3">
        <v>4503.12</v>
      </c>
      <c r="H1983" s="3">
        <v>-2645.03</v>
      </c>
      <c r="I1983" s="3">
        <v>2.42</v>
      </c>
      <c r="J1983">
        <v>0.06</v>
      </c>
      <c r="K1983">
        <v>2782.8</v>
      </c>
      <c r="L1983" t="s">
        <v>39</v>
      </c>
      <c r="M1983">
        <v>623</v>
      </c>
      <c r="N1983">
        <v>0.2</v>
      </c>
      <c r="O1983" s="3">
        <v>247.12</v>
      </c>
      <c r="P1983" s="3">
        <v>0.13</v>
      </c>
      <c r="Q1983" s="3">
        <v>57.88</v>
      </c>
      <c r="R1983" s="3">
        <v>0.03</v>
      </c>
      <c r="S1983">
        <v>1</v>
      </c>
      <c r="T1983">
        <v>257.38</v>
      </c>
      <c r="U1983">
        <v>94</v>
      </c>
      <c r="V1983">
        <v>0</v>
      </c>
      <c r="W1983">
        <v>208.69</v>
      </c>
      <c r="X1983">
        <v>1739.83</v>
      </c>
      <c r="Y1983" t="s">
        <v>36</v>
      </c>
      <c r="Z1983" s="3">
        <v>1239.72</v>
      </c>
      <c r="AA1983" t="s">
        <v>41</v>
      </c>
      <c r="AB1983" t="s">
        <v>33</v>
      </c>
      <c r="AC1983">
        <v>42.3</v>
      </c>
      <c r="AD1983" t="s">
        <v>34</v>
      </c>
      <c r="AE1983">
        <v>0</v>
      </c>
      <c r="AF1983">
        <v>0</v>
      </c>
    </row>
    <row r="1984" spans="3:32" x14ac:dyDescent="0.35">
      <c r="C1984" s="1">
        <v>44636</v>
      </c>
      <c r="D1984" s="2">
        <v>44621</v>
      </c>
      <c r="E1984">
        <v>1572</v>
      </c>
      <c r="F1984" s="3">
        <v>4858.6899999999996</v>
      </c>
      <c r="G1984" s="3">
        <v>2473.39</v>
      </c>
      <c r="H1984" s="3">
        <v>2385.3000000000002</v>
      </c>
      <c r="I1984" s="3">
        <v>0.51</v>
      </c>
      <c r="J1984">
        <v>0.28999999999999998</v>
      </c>
      <c r="K1984">
        <v>2312.35</v>
      </c>
      <c r="L1984" t="s">
        <v>35</v>
      </c>
      <c r="M1984">
        <v>671</v>
      </c>
      <c r="N1984">
        <v>0.25</v>
      </c>
      <c r="O1984" s="3">
        <v>376.61</v>
      </c>
      <c r="P1984" s="3">
        <v>0.08</v>
      </c>
      <c r="Q1984" s="3">
        <v>237.36</v>
      </c>
      <c r="R1984" s="3">
        <v>0.05</v>
      </c>
      <c r="S1984">
        <v>7</v>
      </c>
      <c r="T1984">
        <v>1071.1099999999999</v>
      </c>
      <c r="U1984">
        <v>91</v>
      </c>
      <c r="V1984">
        <v>0</v>
      </c>
      <c r="W1984">
        <v>647.69000000000005</v>
      </c>
      <c r="X1984">
        <v>1330.85</v>
      </c>
      <c r="Y1984" t="s">
        <v>36</v>
      </c>
      <c r="Z1984" s="3">
        <v>1071.98</v>
      </c>
      <c r="AA1984" t="s">
        <v>32</v>
      </c>
      <c r="AB1984" t="s">
        <v>33</v>
      </c>
      <c r="AC1984">
        <v>9</v>
      </c>
      <c r="AD1984" t="s">
        <v>34</v>
      </c>
      <c r="AE1984">
        <v>2385.3000000000002</v>
      </c>
      <c r="AF1984">
        <v>1</v>
      </c>
    </row>
    <row r="1985" spans="3:32" x14ac:dyDescent="0.35">
      <c r="C1985" s="1">
        <v>44636</v>
      </c>
      <c r="D1985" s="2">
        <v>44621</v>
      </c>
      <c r="E1985">
        <v>1422</v>
      </c>
      <c r="F1985" s="3">
        <v>4918.09</v>
      </c>
      <c r="G1985" s="3">
        <v>3302.32</v>
      </c>
      <c r="H1985" s="3">
        <v>1615.77</v>
      </c>
      <c r="I1985" s="3">
        <v>0.67</v>
      </c>
      <c r="J1985">
        <v>0.14000000000000001</v>
      </c>
      <c r="K1985">
        <v>3646.45</v>
      </c>
      <c r="L1985" t="s">
        <v>35</v>
      </c>
      <c r="M1985">
        <v>764</v>
      </c>
      <c r="N1985">
        <v>0.44</v>
      </c>
      <c r="O1985" s="3">
        <v>468.61</v>
      </c>
      <c r="P1985" s="3">
        <v>0.1</v>
      </c>
      <c r="Q1985" s="3">
        <v>617.36</v>
      </c>
      <c r="R1985" s="3">
        <v>0.13</v>
      </c>
      <c r="S1985">
        <v>4</v>
      </c>
      <c r="T1985">
        <v>1257.01</v>
      </c>
      <c r="U1985">
        <v>70</v>
      </c>
      <c r="V1985">
        <v>0</v>
      </c>
      <c r="W1985">
        <v>512.04999999999995</v>
      </c>
      <c r="X1985">
        <v>1832.29</v>
      </c>
      <c r="Y1985" t="s">
        <v>36</v>
      </c>
      <c r="Z1985" s="3">
        <v>300</v>
      </c>
      <c r="AA1985" t="s">
        <v>41</v>
      </c>
      <c r="AB1985" t="s">
        <v>42</v>
      </c>
      <c r="AC1985">
        <v>27.4</v>
      </c>
      <c r="AD1985" t="s">
        <v>38</v>
      </c>
      <c r="AE1985">
        <v>1615.77</v>
      </c>
      <c r="AF1985">
        <v>0</v>
      </c>
    </row>
    <row r="1986" spans="3:32" x14ac:dyDescent="0.35">
      <c r="C1986" s="1">
        <v>44636</v>
      </c>
      <c r="D1986" s="2">
        <v>44621</v>
      </c>
      <c r="E1986">
        <v>1548</v>
      </c>
      <c r="F1986" s="3">
        <v>3321.07</v>
      </c>
      <c r="G1986" s="3">
        <v>2931.84</v>
      </c>
      <c r="H1986" s="3">
        <v>389.23</v>
      </c>
      <c r="I1986" s="3">
        <v>0.88</v>
      </c>
      <c r="J1986">
        <v>7.0000000000000007E-2</v>
      </c>
      <c r="K1986">
        <v>1921.08</v>
      </c>
      <c r="L1986" t="s">
        <v>35</v>
      </c>
      <c r="M1986">
        <v>736</v>
      </c>
      <c r="N1986">
        <v>0.55000000000000004</v>
      </c>
      <c r="O1986" s="3">
        <v>1025.3800000000001</v>
      </c>
      <c r="P1986" s="3">
        <v>0.31</v>
      </c>
      <c r="Q1986" s="3">
        <v>735.92</v>
      </c>
      <c r="R1986" s="3">
        <v>0.22</v>
      </c>
      <c r="S1986">
        <v>8</v>
      </c>
      <c r="T1986">
        <v>1541.02</v>
      </c>
      <c r="U1986">
        <v>28</v>
      </c>
      <c r="V1986">
        <v>0</v>
      </c>
      <c r="W1986">
        <v>343</v>
      </c>
      <c r="X1986">
        <v>2416.48</v>
      </c>
      <c r="Y1986" t="s">
        <v>36</v>
      </c>
      <c r="Z1986" s="3">
        <v>1205.7</v>
      </c>
      <c r="AA1986" t="s">
        <v>40</v>
      </c>
      <c r="AB1986" t="s">
        <v>33</v>
      </c>
      <c r="AC1986">
        <v>49.3</v>
      </c>
      <c r="AD1986" t="s">
        <v>34</v>
      </c>
      <c r="AE1986">
        <v>389.23</v>
      </c>
      <c r="AF1986">
        <v>0</v>
      </c>
    </row>
    <row r="1987" spans="3:32" x14ac:dyDescent="0.35">
      <c r="C1987" s="1">
        <v>44636</v>
      </c>
      <c r="D1987" s="2">
        <v>44621</v>
      </c>
      <c r="E1987">
        <v>1090</v>
      </c>
      <c r="F1987" s="3">
        <v>4952.95</v>
      </c>
      <c r="G1987" s="3">
        <v>2009.89</v>
      </c>
      <c r="H1987" s="3">
        <v>2943.06</v>
      </c>
      <c r="I1987" s="3">
        <v>0.41</v>
      </c>
      <c r="J1987">
        <v>0.34</v>
      </c>
      <c r="K1987">
        <v>2031.86</v>
      </c>
      <c r="L1987" t="s">
        <v>39</v>
      </c>
      <c r="M1987">
        <v>748</v>
      </c>
      <c r="N1987">
        <v>0.5</v>
      </c>
      <c r="O1987" s="3">
        <v>719.05</v>
      </c>
      <c r="P1987" s="3">
        <v>0.15</v>
      </c>
      <c r="Q1987" s="3">
        <v>57.91</v>
      </c>
      <c r="R1987" s="3">
        <v>0.01</v>
      </c>
      <c r="S1987">
        <v>3</v>
      </c>
      <c r="T1987">
        <v>1463.54</v>
      </c>
      <c r="U1987">
        <v>25</v>
      </c>
      <c r="V1987">
        <v>0</v>
      </c>
      <c r="W1987">
        <v>378.73</v>
      </c>
      <c r="X1987">
        <v>2149.2600000000002</v>
      </c>
      <c r="Y1987" t="s">
        <v>36</v>
      </c>
      <c r="Z1987" s="3">
        <v>1214.33</v>
      </c>
      <c r="AA1987" t="s">
        <v>40</v>
      </c>
      <c r="AB1987" t="s">
        <v>33</v>
      </c>
      <c r="AC1987">
        <v>10</v>
      </c>
      <c r="AD1987" t="s">
        <v>38</v>
      </c>
      <c r="AE1987">
        <v>2943.06</v>
      </c>
      <c r="AF1987">
        <v>1</v>
      </c>
    </row>
    <row r="1988" spans="3:32" x14ac:dyDescent="0.35">
      <c r="C1988" s="1">
        <v>44636</v>
      </c>
      <c r="D1988" s="2">
        <v>44621</v>
      </c>
      <c r="E1988">
        <v>1373</v>
      </c>
      <c r="F1988" s="3">
        <v>5903.16</v>
      </c>
      <c r="G1988" s="3">
        <v>3950.83</v>
      </c>
      <c r="H1988" s="3">
        <v>1952.33</v>
      </c>
      <c r="I1988" s="3">
        <v>0.67</v>
      </c>
      <c r="J1988">
        <v>7.0000000000000007E-2</v>
      </c>
      <c r="K1988">
        <v>3177.92</v>
      </c>
      <c r="L1988" t="s">
        <v>39</v>
      </c>
      <c r="M1988">
        <v>729</v>
      </c>
      <c r="N1988">
        <v>0.28000000000000003</v>
      </c>
      <c r="O1988" s="3">
        <v>473.94</v>
      </c>
      <c r="P1988" s="3">
        <v>0.08</v>
      </c>
      <c r="Q1988" s="3">
        <v>154.62</v>
      </c>
      <c r="R1988" s="3">
        <v>0.03</v>
      </c>
      <c r="S1988">
        <v>2</v>
      </c>
      <c r="T1988">
        <v>861.84</v>
      </c>
      <c r="U1988">
        <v>58</v>
      </c>
      <c r="V1988">
        <v>0</v>
      </c>
      <c r="W1988">
        <v>415.01</v>
      </c>
      <c r="X1988">
        <v>2607.33</v>
      </c>
      <c r="Y1988" t="s">
        <v>36</v>
      </c>
      <c r="Z1988" s="3">
        <v>961.07</v>
      </c>
      <c r="AA1988" t="s">
        <v>46</v>
      </c>
      <c r="AB1988" t="s">
        <v>42</v>
      </c>
      <c r="AC1988">
        <v>12.5</v>
      </c>
      <c r="AD1988" t="s">
        <v>34</v>
      </c>
      <c r="AE1988">
        <v>1952.33</v>
      </c>
      <c r="AF1988">
        <v>0</v>
      </c>
    </row>
    <row r="1989" spans="3:32" x14ac:dyDescent="0.35">
      <c r="C1989" s="1">
        <v>44636</v>
      </c>
      <c r="D1989" s="2">
        <v>44621</v>
      </c>
      <c r="E1989">
        <v>1353</v>
      </c>
      <c r="F1989" s="3">
        <v>4224.28</v>
      </c>
      <c r="G1989" s="3">
        <v>3702.41</v>
      </c>
      <c r="H1989" s="3">
        <v>521.87</v>
      </c>
      <c r="I1989" s="3">
        <v>0.88</v>
      </c>
      <c r="J1989">
        <v>0.33</v>
      </c>
      <c r="K1989">
        <v>2943.29</v>
      </c>
      <c r="L1989" t="s">
        <v>35</v>
      </c>
      <c r="M1989">
        <v>666</v>
      </c>
      <c r="N1989">
        <v>0.33</v>
      </c>
      <c r="O1989" s="3">
        <v>383.94</v>
      </c>
      <c r="P1989" s="3">
        <v>0.09</v>
      </c>
      <c r="Q1989" s="3">
        <v>435.17</v>
      </c>
      <c r="R1989" s="3">
        <v>0.1</v>
      </c>
      <c r="S1989">
        <v>2</v>
      </c>
      <c r="T1989">
        <v>1702.58</v>
      </c>
      <c r="U1989">
        <v>72</v>
      </c>
      <c r="V1989">
        <v>0</v>
      </c>
      <c r="W1989">
        <v>408.52</v>
      </c>
      <c r="X1989">
        <v>2123.31</v>
      </c>
      <c r="Y1989" t="s">
        <v>31</v>
      </c>
      <c r="Z1989" s="3">
        <v>1386.74</v>
      </c>
      <c r="AA1989" t="s">
        <v>40</v>
      </c>
      <c r="AB1989" t="s">
        <v>33</v>
      </c>
      <c r="AC1989">
        <v>47</v>
      </c>
      <c r="AD1989" t="s">
        <v>34</v>
      </c>
      <c r="AE1989">
        <v>521.87</v>
      </c>
      <c r="AF1989">
        <v>0</v>
      </c>
    </row>
    <row r="1990" spans="3:32" x14ac:dyDescent="0.35">
      <c r="C1990" s="1">
        <v>44636</v>
      </c>
      <c r="D1990" s="2">
        <v>44621</v>
      </c>
      <c r="E1990">
        <v>1692</v>
      </c>
      <c r="F1990" s="3">
        <v>5223.8</v>
      </c>
      <c r="G1990" s="3">
        <v>3800.74</v>
      </c>
      <c r="H1990" s="3">
        <v>1423.06</v>
      </c>
      <c r="I1990" s="3">
        <v>0.73</v>
      </c>
      <c r="J1990">
        <v>0.26</v>
      </c>
      <c r="K1990">
        <v>3225.8</v>
      </c>
      <c r="L1990" t="s">
        <v>35</v>
      </c>
      <c r="M1990">
        <v>705</v>
      </c>
      <c r="N1990">
        <v>0.38</v>
      </c>
      <c r="O1990" s="3">
        <v>550.16</v>
      </c>
      <c r="P1990" s="3">
        <v>0.11</v>
      </c>
      <c r="Q1990" s="3">
        <v>421.83</v>
      </c>
      <c r="R1990" s="3">
        <v>0.08</v>
      </c>
      <c r="S1990">
        <v>6</v>
      </c>
      <c r="T1990">
        <v>874.04</v>
      </c>
      <c r="U1990">
        <v>47</v>
      </c>
      <c r="V1990">
        <v>0</v>
      </c>
      <c r="W1990">
        <v>533.73</v>
      </c>
      <c r="X1990">
        <v>1000</v>
      </c>
      <c r="Y1990" t="s">
        <v>49</v>
      </c>
      <c r="Z1990" s="3">
        <v>1831.74</v>
      </c>
      <c r="AA1990" t="s">
        <v>32</v>
      </c>
      <c r="AB1990" t="s">
        <v>33</v>
      </c>
      <c r="AC1990">
        <v>42</v>
      </c>
      <c r="AD1990" t="s">
        <v>34</v>
      </c>
      <c r="AE1990">
        <v>1423.06</v>
      </c>
      <c r="AF1990">
        <v>0</v>
      </c>
    </row>
    <row r="1991" spans="3:32" x14ac:dyDescent="0.35">
      <c r="C1991" s="1">
        <v>44636</v>
      </c>
      <c r="D1991" s="2">
        <v>44621</v>
      </c>
      <c r="E1991">
        <v>1426</v>
      </c>
      <c r="F1991" s="3">
        <v>2608.4</v>
      </c>
      <c r="G1991" s="3">
        <v>3356.88</v>
      </c>
      <c r="H1991" s="3">
        <v>-748.48</v>
      </c>
      <c r="I1991" s="3">
        <v>1.29</v>
      </c>
      <c r="J1991">
        <v>0.33</v>
      </c>
      <c r="K1991">
        <v>1956.45</v>
      </c>
      <c r="L1991" t="s">
        <v>39</v>
      </c>
      <c r="M1991">
        <v>680</v>
      </c>
      <c r="N1991">
        <v>0.48</v>
      </c>
      <c r="O1991" s="3">
        <v>573.49</v>
      </c>
      <c r="P1991" s="3">
        <v>0.22</v>
      </c>
      <c r="Q1991" s="3">
        <v>297.97000000000003</v>
      </c>
      <c r="R1991" s="3">
        <v>0.11</v>
      </c>
      <c r="S1991">
        <v>3</v>
      </c>
      <c r="T1991">
        <v>1138.6199999999999</v>
      </c>
      <c r="U1991">
        <v>37</v>
      </c>
      <c r="V1991">
        <v>0</v>
      </c>
      <c r="W1991">
        <v>251.74</v>
      </c>
      <c r="X1991">
        <v>2403.73</v>
      </c>
      <c r="Y1991" t="s">
        <v>36</v>
      </c>
      <c r="Z1991" s="3">
        <v>760.39</v>
      </c>
      <c r="AA1991" t="s">
        <v>41</v>
      </c>
      <c r="AB1991" t="s">
        <v>42</v>
      </c>
      <c r="AC1991">
        <v>93.9</v>
      </c>
      <c r="AD1991" t="s">
        <v>34</v>
      </c>
      <c r="AE1991">
        <v>0</v>
      </c>
      <c r="AF1991">
        <v>0</v>
      </c>
    </row>
    <row r="1992" spans="3:32" x14ac:dyDescent="0.35">
      <c r="C1992" s="1">
        <v>44636</v>
      </c>
      <c r="D1992" s="2">
        <v>44621</v>
      </c>
      <c r="E1992">
        <v>1237</v>
      </c>
      <c r="F1992" s="3">
        <v>4806.25</v>
      </c>
      <c r="G1992" s="3">
        <v>2769.27</v>
      </c>
      <c r="H1992" s="3">
        <v>2036.98</v>
      </c>
      <c r="I1992" s="3">
        <v>0.57999999999999996</v>
      </c>
      <c r="J1992">
        <v>0.19</v>
      </c>
      <c r="K1992">
        <v>3270.08</v>
      </c>
      <c r="L1992" t="s">
        <v>39</v>
      </c>
      <c r="M1992">
        <v>649</v>
      </c>
      <c r="N1992">
        <v>0.44</v>
      </c>
      <c r="O1992" s="3">
        <v>475.72</v>
      </c>
      <c r="P1992" s="3">
        <v>0.1</v>
      </c>
      <c r="Q1992" s="3">
        <v>542.84</v>
      </c>
      <c r="R1992" s="3">
        <v>0.11</v>
      </c>
      <c r="S1992">
        <v>2</v>
      </c>
      <c r="T1992">
        <v>430.11</v>
      </c>
      <c r="U1992">
        <v>69</v>
      </c>
      <c r="V1992">
        <v>0</v>
      </c>
      <c r="W1992">
        <v>661.63</v>
      </c>
      <c r="X1992">
        <v>1839.33</v>
      </c>
      <c r="Y1992" t="s">
        <v>36</v>
      </c>
      <c r="Z1992" s="3">
        <v>1267.28</v>
      </c>
      <c r="AA1992" t="s">
        <v>41</v>
      </c>
      <c r="AB1992" t="s">
        <v>33</v>
      </c>
      <c r="AC1992">
        <v>21.6</v>
      </c>
      <c r="AD1992" t="s">
        <v>34</v>
      </c>
      <c r="AE1992">
        <v>2036.98</v>
      </c>
      <c r="AF1992">
        <v>0</v>
      </c>
    </row>
    <row r="1993" spans="3:32" x14ac:dyDescent="0.35">
      <c r="C1993" s="1">
        <v>44636</v>
      </c>
      <c r="D1993" s="2">
        <v>44621</v>
      </c>
      <c r="E1993">
        <v>1038</v>
      </c>
      <c r="F1993" s="3">
        <v>3019.22</v>
      </c>
      <c r="G1993" s="3">
        <v>3564.12</v>
      </c>
      <c r="H1993" s="3">
        <v>-544.9</v>
      </c>
      <c r="I1993" s="3">
        <v>1.18</v>
      </c>
      <c r="J1993">
        <v>0.2</v>
      </c>
      <c r="K1993">
        <v>3178.94</v>
      </c>
      <c r="L1993" t="s">
        <v>35</v>
      </c>
      <c r="M1993">
        <v>676</v>
      </c>
      <c r="N1993">
        <v>0.51</v>
      </c>
      <c r="O1993" s="3">
        <v>945.73</v>
      </c>
      <c r="P1993" s="3">
        <v>0.31</v>
      </c>
      <c r="Q1993" s="3">
        <v>283.07</v>
      </c>
      <c r="R1993" s="3">
        <v>0.09</v>
      </c>
      <c r="S1993">
        <v>8</v>
      </c>
      <c r="T1993">
        <v>775.77</v>
      </c>
      <c r="U1993">
        <v>97</v>
      </c>
      <c r="V1993">
        <v>0</v>
      </c>
      <c r="W1993">
        <v>289.51</v>
      </c>
      <c r="X1993">
        <v>1000</v>
      </c>
      <c r="Y1993" t="s">
        <v>36</v>
      </c>
      <c r="Z1993" s="3">
        <v>617.71</v>
      </c>
      <c r="AA1993" t="s">
        <v>37</v>
      </c>
      <c r="AB1993" t="s">
        <v>44</v>
      </c>
      <c r="AC1993">
        <v>87.6</v>
      </c>
      <c r="AD1993" t="s">
        <v>43</v>
      </c>
      <c r="AE1993">
        <v>0</v>
      </c>
      <c r="AF1993">
        <v>0</v>
      </c>
    </row>
    <row r="1994" spans="3:32" x14ac:dyDescent="0.35">
      <c r="C1994" s="1">
        <v>44636</v>
      </c>
      <c r="D1994" s="2">
        <v>44621</v>
      </c>
      <c r="E1994">
        <v>1424</v>
      </c>
      <c r="F1994" s="3">
        <v>2653.08</v>
      </c>
      <c r="G1994" s="3">
        <v>3376.93</v>
      </c>
      <c r="H1994" s="3">
        <v>-723.85</v>
      </c>
      <c r="I1994" s="3">
        <v>1.27</v>
      </c>
      <c r="J1994">
        <v>0.12</v>
      </c>
      <c r="K1994">
        <v>2898.49</v>
      </c>
      <c r="L1994" t="s">
        <v>35</v>
      </c>
      <c r="M1994">
        <v>687</v>
      </c>
      <c r="N1994">
        <v>0.27</v>
      </c>
      <c r="O1994" s="3">
        <v>163.16</v>
      </c>
      <c r="P1994" s="3">
        <v>0.06</v>
      </c>
      <c r="Q1994" s="3">
        <v>0</v>
      </c>
      <c r="R1994" s="3">
        <v>0</v>
      </c>
      <c r="S1994">
        <v>5</v>
      </c>
      <c r="T1994">
        <v>0</v>
      </c>
      <c r="U1994">
        <v>42</v>
      </c>
      <c r="V1994">
        <v>0</v>
      </c>
      <c r="W1994">
        <v>676.93</v>
      </c>
      <c r="X1994">
        <v>1413.37</v>
      </c>
      <c r="Y1994" t="s">
        <v>36</v>
      </c>
      <c r="Z1994" s="3">
        <v>1124</v>
      </c>
      <c r="AA1994" t="s">
        <v>32</v>
      </c>
      <c r="AB1994" t="s">
        <v>44</v>
      </c>
      <c r="AC1994">
        <v>96.7</v>
      </c>
      <c r="AD1994" t="s">
        <v>34</v>
      </c>
      <c r="AE1994">
        <v>0</v>
      </c>
      <c r="AF1994">
        <v>0</v>
      </c>
    </row>
    <row r="1995" spans="3:32" x14ac:dyDescent="0.35">
      <c r="C1995" s="1">
        <v>44636</v>
      </c>
      <c r="D1995" s="2">
        <v>44621</v>
      </c>
      <c r="E1995">
        <v>1491</v>
      </c>
      <c r="F1995" s="3">
        <v>4405.9399999999996</v>
      </c>
      <c r="G1995" s="3">
        <v>3244.75</v>
      </c>
      <c r="H1995" s="3">
        <v>1161.19</v>
      </c>
      <c r="I1995" s="3">
        <v>0.74</v>
      </c>
      <c r="J1995">
        <v>0.39</v>
      </c>
      <c r="K1995">
        <v>2223.09</v>
      </c>
      <c r="L1995" t="s">
        <v>39</v>
      </c>
      <c r="M1995">
        <v>694</v>
      </c>
      <c r="N1995">
        <v>0.18</v>
      </c>
      <c r="O1995" s="3">
        <v>662.79</v>
      </c>
      <c r="P1995" s="3">
        <v>0.15</v>
      </c>
      <c r="Q1995" s="3">
        <v>510.18</v>
      </c>
      <c r="R1995" s="3">
        <v>0.12</v>
      </c>
      <c r="S1995">
        <v>9</v>
      </c>
      <c r="T1995">
        <v>541.48</v>
      </c>
      <c r="U1995">
        <v>70</v>
      </c>
      <c r="V1995">
        <v>0</v>
      </c>
      <c r="W1995">
        <v>39.76</v>
      </c>
      <c r="X1995">
        <v>1649.31</v>
      </c>
      <c r="Y1995" t="s">
        <v>36</v>
      </c>
      <c r="Z1995" s="3">
        <v>1163.8</v>
      </c>
      <c r="AA1995" t="s">
        <v>48</v>
      </c>
      <c r="AB1995" t="s">
        <v>33</v>
      </c>
      <c r="AC1995">
        <v>45.3</v>
      </c>
      <c r="AD1995" t="s">
        <v>34</v>
      </c>
      <c r="AE1995">
        <v>1161.19</v>
      </c>
      <c r="AF1995">
        <v>0</v>
      </c>
    </row>
    <row r="1996" spans="3:32" x14ac:dyDescent="0.35">
      <c r="C1996" s="1">
        <v>44636</v>
      </c>
      <c r="D1996" s="2">
        <v>44621</v>
      </c>
      <c r="E1996">
        <v>1931</v>
      </c>
      <c r="F1996" s="3">
        <v>2309.58</v>
      </c>
      <c r="G1996" s="3">
        <v>2313.79</v>
      </c>
      <c r="H1996" s="3">
        <v>-4.21</v>
      </c>
      <c r="I1996" s="3">
        <v>1</v>
      </c>
      <c r="J1996">
        <v>0.2</v>
      </c>
      <c r="K1996">
        <v>2261.35</v>
      </c>
      <c r="L1996" t="s">
        <v>35</v>
      </c>
      <c r="M1996">
        <v>663</v>
      </c>
      <c r="N1996">
        <v>0.41</v>
      </c>
      <c r="O1996" s="3">
        <v>306.97000000000003</v>
      </c>
      <c r="P1996" s="3">
        <v>0.13</v>
      </c>
      <c r="Q1996" s="3">
        <v>897.12</v>
      </c>
      <c r="R1996" s="3">
        <v>0.39</v>
      </c>
      <c r="S1996">
        <v>7</v>
      </c>
      <c r="T1996">
        <v>681.62</v>
      </c>
      <c r="U1996">
        <v>55</v>
      </c>
      <c r="V1996">
        <v>0</v>
      </c>
      <c r="W1996">
        <v>243.34</v>
      </c>
      <c r="X1996">
        <v>2065.36</v>
      </c>
      <c r="Y1996" t="s">
        <v>36</v>
      </c>
      <c r="Z1996" s="3">
        <v>851.49</v>
      </c>
      <c r="AA1996" t="s">
        <v>51</v>
      </c>
      <c r="AB1996" t="s">
        <v>44</v>
      </c>
      <c r="AC1996">
        <v>24.8</v>
      </c>
      <c r="AD1996" t="s">
        <v>34</v>
      </c>
      <c r="AE1996">
        <v>0</v>
      </c>
      <c r="AF1996">
        <v>0</v>
      </c>
    </row>
    <row r="1997" spans="3:32" x14ac:dyDescent="0.35">
      <c r="C1997" s="1">
        <v>44636</v>
      </c>
      <c r="D1997" s="2">
        <v>44621</v>
      </c>
      <c r="E1997">
        <v>1975</v>
      </c>
      <c r="F1997" s="3">
        <v>4103.18</v>
      </c>
      <c r="G1997" s="3">
        <v>1429.14</v>
      </c>
      <c r="H1997" s="3">
        <v>2674.04</v>
      </c>
      <c r="I1997" s="3">
        <v>0.35</v>
      </c>
      <c r="J1997">
        <v>0.14000000000000001</v>
      </c>
      <c r="K1997">
        <v>3061.88</v>
      </c>
      <c r="L1997" t="s">
        <v>35</v>
      </c>
      <c r="M1997">
        <v>578</v>
      </c>
      <c r="N1997">
        <v>0.48</v>
      </c>
      <c r="O1997" s="3">
        <v>838.61</v>
      </c>
      <c r="P1997" s="3">
        <v>0.2</v>
      </c>
      <c r="Q1997" s="3">
        <v>218.39</v>
      </c>
      <c r="R1997" s="3">
        <v>0.05</v>
      </c>
      <c r="S1997">
        <v>6</v>
      </c>
      <c r="T1997">
        <v>1314.01</v>
      </c>
      <c r="U1997">
        <v>62</v>
      </c>
      <c r="V1997">
        <v>0</v>
      </c>
      <c r="W1997">
        <v>538.49</v>
      </c>
      <c r="X1997">
        <v>1622.35</v>
      </c>
      <c r="Y1997" t="s">
        <v>31</v>
      </c>
      <c r="Z1997" s="3">
        <v>1188.24</v>
      </c>
      <c r="AA1997" t="s">
        <v>50</v>
      </c>
      <c r="AB1997" t="s">
        <v>33</v>
      </c>
      <c r="AC1997">
        <v>42.2</v>
      </c>
      <c r="AD1997" t="s">
        <v>43</v>
      </c>
      <c r="AE1997">
        <v>2674.04</v>
      </c>
      <c r="AF1997">
        <v>0</v>
      </c>
    </row>
    <row r="1998" spans="3:32" x14ac:dyDescent="0.35">
      <c r="C1998" s="1">
        <v>44636</v>
      </c>
      <c r="D1998" s="2">
        <v>44621</v>
      </c>
      <c r="E1998">
        <v>1750</v>
      </c>
      <c r="F1998" s="3">
        <v>4056.64</v>
      </c>
      <c r="G1998" s="3">
        <v>2764.49</v>
      </c>
      <c r="H1998" s="3">
        <v>1292.1500000000001</v>
      </c>
      <c r="I1998" s="3">
        <v>0.68</v>
      </c>
      <c r="J1998">
        <v>0.17</v>
      </c>
      <c r="K1998">
        <v>2822.13</v>
      </c>
      <c r="L1998" t="s">
        <v>30</v>
      </c>
      <c r="M1998">
        <v>649</v>
      </c>
      <c r="N1998">
        <v>0.25</v>
      </c>
      <c r="O1998" s="3">
        <v>542.19000000000005</v>
      </c>
      <c r="P1998" s="3">
        <v>0.13</v>
      </c>
      <c r="Q1998" s="3">
        <v>359.37</v>
      </c>
      <c r="R1998" s="3">
        <v>0.09</v>
      </c>
      <c r="S1998">
        <v>5</v>
      </c>
      <c r="T1998">
        <v>1258.19</v>
      </c>
      <c r="U1998">
        <v>63</v>
      </c>
      <c r="V1998">
        <v>0</v>
      </c>
      <c r="W1998">
        <v>309.10000000000002</v>
      </c>
      <c r="X1998">
        <v>2440.89</v>
      </c>
      <c r="Y1998" t="s">
        <v>36</v>
      </c>
      <c r="Z1998" s="3">
        <v>1239.51</v>
      </c>
      <c r="AA1998" t="s">
        <v>37</v>
      </c>
      <c r="AB1998" t="s">
        <v>42</v>
      </c>
      <c r="AC1998">
        <v>1.4</v>
      </c>
      <c r="AD1998" t="s">
        <v>34</v>
      </c>
      <c r="AE1998">
        <v>1292.1500000000001</v>
      </c>
      <c r="AF1998">
        <v>0</v>
      </c>
    </row>
    <row r="1999" spans="3:32" x14ac:dyDescent="0.35">
      <c r="C1999" s="1">
        <v>44636</v>
      </c>
      <c r="D1999" s="2">
        <v>44621</v>
      </c>
      <c r="E1999">
        <v>1171</v>
      </c>
      <c r="F1999" s="3">
        <v>4718.97</v>
      </c>
      <c r="G1999" s="3">
        <v>3348.12</v>
      </c>
      <c r="H1999" s="3">
        <v>1370.85</v>
      </c>
      <c r="I1999" s="3">
        <v>0.71</v>
      </c>
      <c r="J1999">
        <v>0.28000000000000003</v>
      </c>
      <c r="K1999">
        <v>3399.58</v>
      </c>
      <c r="L1999" t="s">
        <v>35</v>
      </c>
      <c r="M1999">
        <v>713</v>
      </c>
      <c r="N1999">
        <v>0.37</v>
      </c>
      <c r="O1999" s="3">
        <v>552.89</v>
      </c>
      <c r="P1999" s="3">
        <v>0.12</v>
      </c>
      <c r="Q1999" s="3">
        <v>817.77</v>
      </c>
      <c r="R1999" s="3">
        <v>0.17</v>
      </c>
      <c r="S1999">
        <v>5</v>
      </c>
      <c r="T1999">
        <v>1403.7</v>
      </c>
      <c r="U1999">
        <v>86</v>
      </c>
      <c r="V1999">
        <v>0</v>
      </c>
      <c r="W1999">
        <v>514.04999999999995</v>
      </c>
      <c r="X1999">
        <v>1995.95</v>
      </c>
      <c r="Y1999" t="s">
        <v>36</v>
      </c>
      <c r="Z1999" s="3">
        <v>750.6</v>
      </c>
      <c r="AA1999" t="s">
        <v>46</v>
      </c>
      <c r="AB1999" t="s">
        <v>33</v>
      </c>
      <c r="AC1999">
        <v>57.8</v>
      </c>
      <c r="AD1999" t="s">
        <v>38</v>
      </c>
      <c r="AE1999">
        <v>1370.85</v>
      </c>
      <c r="AF1999">
        <v>0</v>
      </c>
    </row>
    <row r="2000" spans="3:32" x14ac:dyDescent="0.35">
      <c r="C2000" s="1">
        <v>44636</v>
      </c>
      <c r="D2000" s="2">
        <v>44621</v>
      </c>
      <c r="E2000">
        <v>1613</v>
      </c>
      <c r="F2000" s="3">
        <v>4500.8100000000004</v>
      </c>
      <c r="G2000" s="3">
        <v>3431.49</v>
      </c>
      <c r="H2000" s="3">
        <v>1069.32</v>
      </c>
      <c r="I2000" s="3">
        <v>0.76</v>
      </c>
      <c r="J2000">
        <v>0.13</v>
      </c>
      <c r="K2000">
        <v>2160.4</v>
      </c>
      <c r="L2000" t="s">
        <v>30</v>
      </c>
      <c r="M2000">
        <v>633</v>
      </c>
      <c r="N2000">
        <v>0.24</v>
      </c>
      <c r="O2000" s="3">
        <v>448.69</v>
      </c>
      <c r="P2000" s="3">
        <v>0.1</v>
      </c>
      <c r="Q2000" s="3">
        <v>575.98</v>
      </c>
      <c r="R2000" s="3">
        <v>0.13</v>
      </c>
      <c r="S2000">
        <v>3</v>
      </c>
      <c r="T2000">
        <v>1454.65</v>
      </c>
      <c r="U2000">
        <v>27</v>
      </c>
      <c r="V2000">
        <v>0</v>
      </c>
      <c r="W2000">
        <v>389.36</v>
      </c>
      <c r="X2000">
        <v>1312.4</v>
      </c>
      <c r="Y2000" t="s">
        <v>36</v>
      </c>
      <c r="Z2000" s="3">
        <v>1051.97</v>
      </c>
      <c r="AA2000" t="s">
        <v>37</v>
      </c>
      <c r="AB2000" t="s">
        <v>33</v>
      </c>
      <c r="AC2000">
        <v>20.9</v>
      </c>
      <c r="AD2000" t="s">
        <v>34</v>
      </c>
      <c r="AE2000">
        <v>1069.32</v>
      </c>
      <c r="AF2000">
        <v>0</v>
      </c>
    </row>
    <row r="2001" spans="3:32" x14ac:dyDescent="0.35">
      <c r="C2001" s="1">
        <v>44636</v>
      </c>
      <c r="D2001" s="2">
        <v>44621</v>
      </c>
      <c r="E2001">
        <v>1370</v>
      </c>
      <c r="F2001" s="3">
        <v>4280.45</v>
      </c>
      <c r="G2001" s="3">
        <v>3611.48</v>
      </c>
      <c r="H2001" s="3">
        <v>668.97</v>
      </c>
      <c r="I2001" s="3">
        <v>0.84</v>
      </c>
      <c r="J2001">
        <v>0.23</v>
      </c>
      <c r="K2001">
        <v>3033.93</v>
      </c>
      <c r="L2001" t="s">
        <v>35</v>
      </c>
      <c r="M2001">
        <v>621</v>
      </c>
      <c r="N2001">
        <v>0.24</v>
      </c>
      <c r="O2001" s="3">
        <v>257.52</v>
      </c>
      <c r="P2001" s="3">
        <v>0.06</v>
      </c>
      <c r="Q2001" s="3">
        <v>748.77</v>
      </c>
      <c r="R2001" s="3">
        <v>0.17</v>
      </c>
      <c r="S2001">
        <v>3</v>
      </c>
      <c r="T2001">
        <v>1326.04</v>
      </c>
      <c r="U2001">
        <v>86</v>
      </c>
      <c r="V2001">
        <v>0</v>
      </c>
      <c r="W2001">
        <v>109.94</v>
      </c>
      <c r="X2001">
        <v>3438.13</v>
      </c>
      <c r="Y2001" t="s">
        <v>36</v>
      </c>
      <c r="Z2001" s="3">
        <v>1518.92</v>
      </c>
      <c r="AA2001" t="s">
        <v>37</v>
      </c>
      <c r="AB2001" t="s">
        <v>42</v>
      </c>
      <c r="AC2001">
        <v>31.2</v>
      </c>
      <c r="AD2001" t="s">
        <v>38</v>
      </c>
      <c r="AE2001">
        <v>668.97</v>
      </c>
      <c r="AF2001">
        <v>0</v>
      </c>
    </row>
    <row r="2002" spans="3:32" x14ac:dyDescent="0.35">
      <c r="C2002" s="1">
        <v>44666</v>
      </c>
      <c r="D2002" s="2">
        <v>44652</v>
      </c>
      <c r="E2002">
        <v>1913</v>
      </c>
      <c r="F2002" s="3">
        <v>3782.73</v>
      </c>
      <c r="G2002" s="3">
        <v>2241.48</v>
      </c>
      <c r="H2002" s="3">
        <v>1541.25</v>
      </c>
      <c r="I2002" s="3">
        <v>0.59</v>
      </c>
      <c r="J2002">
        <v>0.16</v>
      </c>
      <c r="K2002">
        <v>3606</v>
      </c>
      <c r="L2002" t="s">
        <v>35</v>
      </c>
      <c r="M2002">
        <v>689</v>
      </c>
      <c r="N2002">
        <v>0.5</v>
      </c>
      <c r="O2002" s="3">
        <v>564.04</v>
      </c>
      <c r="P2002" s="3">
        <v>0.15</v>
      </c>
      <c r="Q2002" s="3">
        <v>278.85000000000002</v>
      </c>
      <c r="R2002" s="3">
        <v>7.0000000000000007E-2</v>
      </c>
      <c r="S2002">
        <v>9</v>
      </c>
      <c r="T2002">
        <v>790.98</v>
      </c>
      <c r="U2002">
        <v>25</v>
      </c>
      <c r="V2002">
        <v>0</v>
      </c>
      <c r="W2002">
        <v>260.49</v>
      </c>
      <c r="X2002">
        <v>2092.8000000000002</v>
      </c>
      <c r="Y2002" t="s">
        <v>36</v>
      </c>
      <c r="Z2002" s="3">
        <v>1181.67</v>
      </c>
      <c r="AA2002" t="s">
        <v>50</v>
      </c>
      <c r="AB2002" t="s">
        <v>44</v>
      </c>
      <c r="AC2002">
        <v>4.2</v>
      </c>
      <c r="AD2002" t="s">
        <v>34</v>
      </c>
      <c r="AE2002">
        <v>1541.25</v>
      </c>
      <c r="AF2002">
        <v>0</v>
      </c>
    </row>
    <row r="2003" spans="3:32" x14ac:dyDescent="0.35">
      <c r="C2003" s="1">
        <v>44666</v>
      </c>
      <c r="D2003" s="2">
        <v>44652</v>
      </c>
      <c r="E2003">
        <v>1243</v>
      </c>
      <c r="F2003" s="3">
        <v>4953.7299999999996</v>
      </c>
      <c r="G2003" s="3">
        <v>3013.09</v>
      </c>
      <c r="H2003" s="3">
        <v>1940.64</v>
      </c>
      <c r="I2003" s="3">
        <v>0.61</v>
      </c>
      <c r="J2003">
        <v>0.31</v>
      </c>
      <c r="K2003">
        <v>2929.87</v>
      </c>
      <c r="L2003" t="s">
        <v>30</v>
      </c>
      <c r="M2003">
        <v>651</v>
      </c>
      <c r="N2003">
        <v>0.56000000000000005</v>
      </c>
      <c r="O2003" s="3">
        <v>1110.26</v>
      </c>
      <c r="P2003" s="3">
        <v>0.22</v>
      </c>
      <c r="Q2003" s="3">
        <v>521.1</v>
      </c>
      <c r="R2003" s="3">
        <v>0.11</v>
      </c>
      <c r="S2003">
        <v>9</v>
      </c>
      <c r="T2003">
        <v>1472.05</v>
      </c>
      <c r="U2003">
        <v>88</v>
      </c>
      <c r="V2003">
        <v>0</v>
      </c>
      <c r="W2003">
        <v>517.53</v>
      </c>
      <c r="X2003">
        <v>1553.91</v>
      </c>
      <c r="Y2003" t="s">
        <v>36</v>
      </c>
      <c r="Z2003" s="3">
        <v>557.02</v>
      </c>
      <c r="AA2003" t="s">
        <v>40</v>
      </c>
      <c r="AB2003" t="s">
        <v>44</v>
      </c>
      <c r="AC2003">
        <v>45.5</v>
      </c>
      <c r="AD2003" t="s">
        <v>43</v>
      </c>
      <c r="AE2003">
        <v>1940.64</v>
      </c>
      <c r="AF2003">
        <v>0</v>
      </c>
    </row>
    <row r="2004" spans="3:32" x14ac:dyDescent="0.35">
      <c r="C2004" s="1">
        <v>44666</v>
      </c>
      <c r="D2004" s="2">
        <v>44652</v>
      </c>
      <c r="E2004">
        <v>1808</v>
      </c>
      <c r="F2004" s="3">
        <v>4148.47</v>
      </c>
      <c r="G2004" s="3">
        <v>3669.69</v>
      </c>
      <c r="H2004" s="3">
        <v>478.78</v>
      </c>
      <c r="I2004" s="3">
        <v>0.88</v>
      </c>
      <c r="J2004">
        <v>0.36</v>
      </c>
      <c r="K2004">
        <v>2487.54</v>
      </c>
      <c r="L2004" t="s">
        <v>30</v>
      </c>
      <c r="M2004">
        <v>720</v>
      </c>
      <c r="N2004">
        <v>0.32</v>
      </c>
      <c r="O2004" s="3">
        <v>369.29</v>
      </c>
      <c r="P2004" s="3">
        <v>0.09</v>
      </c>
      <c r="Q2004" s="3">
        <v>45.38</v>
      </c>
      <c r="R2004" s="3">
        <v>0.01</v>
      </c>
      <c r="S2004">
        <v>8</v>
      </c>
      <c r="T2004">
        <v>2083.31</v>
      </c>
      <c r="U2004">
        <v>46</v>
      </c>
      <c r="V2004">
        <v>0</v>
      </c>
      <c r="W2004">
        <v>814.04</v>
      </c>
      <c r="X2004">
        <v>2672.96</v>
      </c>
      <c r="Y2004" t="s">
        <v>36</v>
      </c>
      <c r="Z2004" s="3">
        <v>1480.44</v>
      </c>
      <c r="AA2004" t="s">
        <v>40</v>
      </c>
      <c r="AB2004" t="s">
        <v>44</v>
      </c>
      <c r="AC2004">
        <v>91.5</v>
      </c>
      <c r="AD2004" t="s">
        <v>34</v>
      </c>
      <c r="AE2004">
        <v>478.78</v>
      </c>
      <c r="AF2004">
        <v>0</v>
      </c>
    </row>
    <row r="2005" spans="3:32" x14ac:dyDescent="0.35">
      <c r="C2005" s="1">
        <v>44666</v>
      </c>
      <c r="D2005" s="2">
        <v>44652</v>
      </c>
      <c r="E2005">
        <v>1322</v>
      </c>
      <c r="F2005" s="3">
        <v>4729.29</v>
      </c>
      <c r="G2005" s="3">
        <v>1401.51</v>
      </c>
      <c r="H2005" s="3">
        <v>3327.78</v>
      </c>
      <c r="I2005" s="3">
        <v>0.3</v>
      </c>
      <c r="J2005">
        <v>0.33</v>
      </c>
      <c r="K2005">
        <v>2655.49</v>
      </c>
      <c r="L2005" t="s">
        <v>35</v>
      </c>
      <c r="M2005">
        <v>636</v>
      </c>
      <c r="N2005">
        <v>0.38</v>
      </c>
      <c r="O2005" s="3">
        <v>115.85</v>
      </c>
      <c r="P2005" s="3">
        <v>0.02</v>
      </c>
      <c r="Q2005" s="3">
        <v>665.94</v>
      </c>
      <c r="R2005" s="3">
        <v>0.14000000000000001</v>
      </c>
      <c r="S2005">
        <v>8</v>
      </c>
      <c r="T2005">
        <v>996.27</v>
      </c>
      <c r="U2005">
        <v>76</v>
      </c>
      <c r="V2005">
        <v>0</v>
      </c>
      <c r="W2005">
        <v>286.52</v>
      </c>
      <c r="X2005">
        <v>2161.9299999999998</v>
      </c>
      <c r="Y2005" t="s">
        <v>36</v>
      </c>
      <c r="Z2005" s="3">
        <v>570.29999999999995</v>
      </c>
      <c r="AA2005" t="s">
        <v>32</v>
      </c>
      <c r="AB2005" t="s">
        <v>33</v>
      </c>
      <c r="AC2005">
        <v>45.2</v>
      </c>
      <c r="AD2005" t="s">
        <v>38</v>
      </c>
      <c r="AE2005">
        <v>3327.78</v>
      </c>
      <c r="AF2005">
        <v>1</v>
      </c>
    </row>
    <row r="2006" spans="3:32" x14ac:dyDescent="0.35">
      <c r="C2006" s="1">
        <v>44666</v>
      </c>
      <c r="D2006" s="2">
        <v>44652</v>
      </c>
      <c r="E2006">
        <v>1243</v>
      </c>
      <c r="F2006" s="3">
        <v>3093.65</v>
      </c>
      <c r="G2006" s="3">
        <v>2327.9499999999998</v>
      </c>
      <c r="H2006" s="3">
        <v>765.7</v>
      </c>
      <c r="I2006" s="3">
        <v>0.75</v>
      </c>
      <c r="J2006">
        <v>0.05</v>
      </c>
      <c r="K2006">
        <v>2794.67</v>
      </c>
      <c r="L2006" t="s">
        <v>35</v>
      </c>
      <c r="M2006">
        <v>684</v>
      </c>
      <c r="N2006">
        <v>0.47</v>
      </c>
      <c r="O2006" s="3">
        <v>639.45000000000005</v>
      </c>
      <c r="P2006" s="3">
        <v>0.21</v>
      </c>
      <c r="Q2006" s="3">
        <v>760.27</v>
      </c>
      <c r="R2006" s="3">
        <v>0.25</v>
      </c>
      <c r="S2006">
        <v>9</v>
      </c>
      <c r="T2006">
        <v>1773.26</v>
      </c>
      <c r="U2006">
        <v>59</v>
      </c>
      <c r="V2006">
        <v>0</v>
      </c>
      <c r="W2006">
        <v>426.02</v>
      </c>
      <c r="X2006">
        <v>1599.92</v>
      </c>
      <c r="Y2006" t="s">
        <v>31</v>
      </c>
      <c r="Z2006" s="3">
        <v>1750.89</v>
      </c>
      <c r="AA2006" t="s">
        <v>47</v>
      </c>
      <c r="AB2006" t="s">
        <v>44</v>
      </c>
      <c r="AC2006">
        <v>38.5</v>
      </c>
      <c r="AD2006" t="s">
        <v>34</v>
      </c>
      <c r="AE2006">
        <v>765.7</v>
      </c>
      <c r="AF2006">
        <v>0</v>
      </c>
    </row>
    <row r="2007" spans="3:32" x14ac:dyDescent="0.35">
      <c r="C2007" s="1">
        <v>44666</v>
      </c>
      <c r="D2007" s="2">
        <v>44652</v>
      </c>
      <c r="E2007">
        <v>1168</v>
      </c>
      <c r="F2007" s="3">
        <v>4300.2</v>
      </c>
      <c r="G2007" s="3">
        <v>3057.07</v>
      </c>
      <c r="H2007" s="3">
        <v>1243.1300000000001</v>
      </c>
      <c r="I2007" s="3">
        <v>0.71</v>
      </c>
      <c r="J2007">
        <v>0.33</v>
      </c>
      <c r="K2007">
        <v>2273.71</v>
      </c>
      <c r="L2007" t="s">
        <v>39</v>
      </c>
      <c r="M2007">
        <v>664</v>
      </c>
      <c r="N2007">
        <v>0.28999999999999998</v>
      </c>
      <c r="O2007" s="3">
        <v>352.09</v>
      </c>
      <c r="P2007" s="3">
        <v>0.08</v>
      </c>
      <c r="Q2007" s="3">
        <v>233.49</v>
      </c>
      <c r="R2007" s="3">
        <v>0.05</v>
      </c>
      <c r="S2007">
        <v>9</v>
      </c>
      <c r="T2007">
        <v>1411</v>
      </c>
      <c r="U2007">
        <v>70</v>
      </c>
      <c r="V2007">
        <v>0</v>
      </c>
      <c r="W2007">
        <v>626.16</v>
      </c>
      <c r="X2007">
        <v>2154.8000000000002</v>
      </c>
      <c r="Y2007" t="s">
        <v>36</v>
      </c>
      <c r="Z2007" s="3">
        <v>1226.1099999999999</v>
      </c>
      <c r="AA2007" t="s">
        <v>40</v>
      </c>
      <c r="AB2007" t="s">
        <v>33</v>
      </c>
      <c r="AC2007">
        <v>47.2</v>
      </c>
      <c r="AD2007" t="s">
        <v>34</v>
      </c>
      <c r="AE2007">
        <v>1243.1300000000001</v>
      </c>
      <c r="AF2007">
        <v>0</v>
      </c>
    </row>
    <row r="2008" spans="3:32" x14ac:dyDescent="0.35">
      <c r="C2008" s="1">
        <v>44666</v>
      </c>
      <c r="D2008" s="2">
        <v>44652</v>
      </c>
      <c r="E2008">
        <v>1553</v>
      </c>
      <c r="F2008" s="3">
        <v>4143.9799999999996</v>
      </c>
      <c r="G2008" s="3">
        <v>3935.73</v>
      </c>
      <c r="H2008" s="3">
        <v>208.25</v>
      </c>
      <c r="I2008" s="3">
        <v>0.95</v>
      </c>
      <c r="J2008">
        <v>0.37</v>
      </c>
      <c r="K2008">
        <v>2836.54</v>
      </c>
      <c r="L2008" t="s">
        <v>35</v>
      </c>
      <c r="M2008">
        <v>626</v>
      </c>
      <c r="N2008">
        <v>0.13</v>
      </c>
      <c r="O2008" s="3">
        <v>395.4</v>
      </c>
      <c r="P2008" s="3">
        <v>0.1</v>
      </c>
      <c r="Q2008" s="3">
        <v>203.12</v>
      </c>
      <c r="R2008" s="3">
        <v>0.05</v>
      </c>
      <c r="S2008">
        <v>8</v>
      </c>
      <c r="T2008">
        <v>1151.72</v>
      </c>
      <c r="U2008">
        <v>55</v>
      </c>
      <c r="V2008">
        <v>0</v>
      </c>
      <c r="W2008">
        <v>451.75</v>
      </c>
      <c r="X2008">
        <v>2984.14</v>
      </c>
      <c r="Y2008" t="s">
        <v>36</v>
      </c>
      <c r="Z2008" s="3">
        <v>1143.6600000000001</v>
      </c>
      <c r="AA2008" t="s">
        <v>51</v>
      </c>
      <c r="AB2008" t="s">
        <v>33</v>
      </c>
      <c r="AC2008">
        <v>35.5</v>
      </c>
      <c r="AD2008" t="s">
        <v>38</v>
      </c>
      <c r="AE2008">
        <v>208.25</v>
      </c>
      <c r="AF2008">
        <v>0</v>
      </c>
    </row>
    <row r="2009" spans="3:32" x14ac:dyDescent="0.35">
      <c r="C2009" s="1">
        <v>44666</v>
      </c>
      <c r="D2009" s="2">
        <v>44652</v>
      </c>
      <c r="E2009">
        <v>1333</v>
      </c>
      <c r="F2009" s="3">
        <v>3631.22</v>
      </c>
      <c r="G2009" s="3">
        <v>2872.3</v>
      </c>
      <c r="H2009" s="3">
        <v>758.92</v>
      </c>
      <c r="I2009" s="3">
        <v>0.79</v>
      </c>
      <c r="J2009">
        <v>0.2</v>
      </c>
      <c r="K2009">
        <v>2567.06</v>
      </c>
      <c r="L2009" t="s">
        <v>30</v>
      </c>
      <c r="M2009">
        <v>656</v>
      </c>
      <c r="N2009">
        <v>0.28000000000000003</v>
      </c>
      <c r="O2009" s="3">
        <v>613.64</v>
      </c>
      <c r="P2009" s="3">
        <v>0.17</v>
      </c>
      <c r="Q2009" s="3">
        <v>509.5</v>
      </c>
      <c r="R2009" s="3">
        <v>0.14000000000000001</v>
      </c>
      <c r="S2009">
        <v>8</v>
      </c>
      <c r="T2009">
        <v>464.09</v>
      </c>
      <c r="U2009">
        <v>20</v>
      </c>
      <c r="V2009">
        <v>0</v>
      </c>
      <c r="W2009">
        <v>305.72000000000003</v>
      </c>
      <c r="X2009">
        <v>2057.52</v>
      </c>
      <c r="Y2009" t="s">
        <v>36</v>
      </c>
      <c r="Z2009" s="3">
        <v>427.86</v>
      </c>
      <c r="AA2009" t="s">
        <v>32</v>
      </c>
      <c r="AB2009" t="s">
        <v>33</v>
      </c>
      <c r="AC2009">
        <v>81.400000000000006</v>
      </c>
      <c r="AD2009" t="s">
        <v>43</v>
      </c>
      <c r="AE2009">
        <v>758.92</v>
      </c>
      <c r="AF2009">
        <v>0</v>
      </c>
    </row>
    <row r="2010" spans="3:32" x14ac:dyDescent="0.35">
      <c r="C2010" s="1">
        <v>44666</v>
      </c>
      <c r="D2010" s="2">
        <v>44652</v>
      </c>
      <c r="E2010">
        <v>1060</v>
      </c>
      <c r="F2010" s="3">
        <v>5168.96</v>
      </c>
      <c r="G2010" s="3">
        <v>3784.27</v>
      </c>
      <c r="H2010" s="3">
        <v>1384.69</v>
      </c>
      <c r="I2010" s="3">
        <v>0.73</v>
      </c>
      <c r="J2010">
        <v>0.27</v>
      </c>
      <c r="K2010">
        <v>2780.42</v>
      </c>
      <c r="L2010" t="s">
        <v>35</v>
      </c>
      <c r="M2010">
        <v>696</v>
      </c>
      <c r="N2010">
        <v>0.36</v>
      </c>
      <c r="O2010" s="3">
        <v>730.33</v>
      </c>
      <c r="P2010" s="3">
        <v>0.14000000000000001</v>
      </c>
      <c r="Q2010" s="3">
        <v>174.89</v>
      </c>
      <c r="R2010" s="3">
        <v>0.03</v>
      </c>
      <c r="S2010">
        <v>9</v>
      </c>
      <c r="T2010">
        <v>1515.8</v>
      </c>
      <c r="U2010">
        <v>70</v>
      </c>
      <c r="V2010">
        <v>0</v>
      </c>
      <c r="W2010">
        <v>344.39</v>
      </c>
      <c r="X2010">
        <v>1700.91</v>
      </c>
      <c r="Y2010" t="s">
        <v>49</v>
      </c>
      <c r="Z2010" s="3">
        <v>1201.44</v>
      </c>
      <c r="AA2010" t="s">
        <v>37</v>
      </c>
      <c r="AB2010" t="s">
        <v>33</v>
      </c>
      <c r="AC2010">
        <v>85.3</v>
      </c>
      <c r="AD2010" t="s">
        <v>34</v>
      </c>
      <c r="AE2010">
        <v>1384.69</v>
      </c>
      <c r="AF2010">
        <v>0</v>
      </c>
    </row>
    <row r="2011" spans="3:32" x14ac:dyDescent="0.35">
      <c r="C2011" s="1">
        <v>44666</v>
      </c>
      <c r="D2011" s="2">
        <v>44652</v>
      </c>
      <c r="E2011">
        <v>1423</v>
      </c>
      <c r="F2011" s="3">
        <v>1239.94</v>
      </c>
      <c r="G2011" s="3">
        <v>3344.52</v>
      </c>
      <c r="H2011" s="3">
        <v>-2104.58</v>
      </c>
      <c r="I2011" s="3">
        <v>2.7</v>
      </c>
      <c r="J2011">
        <v>0.13</v>
      </c>
      <c r="K2011">
        <v>2962.44</v>
      </c>
      <c r="L2011" t="s">
        <v>35</v>
      </c>
      <c r="M2011">
        <v>744</v>
      </c>
      <c r="N2011">
        <v>0.22</v>
      </c>
      <c r="O2011" s="3">
        <v>355.18</v>
      </c>
      <c r="P2011" s="3">
        <v>0.28999999999999998</v>
      </c>
      <c r="Q2011" s="3">
        <v>0</v>
      </c>
      <c r="R2011" s="3">
        <v>0</v>
      </c>
      <c r="S2011">
        <v>3</v>
      </c>
      <c r="T2011">
        <v>889.15</v>
      </c>
      <c r="U2011">
        <v>29</v>
      </c>
      <c r="V2011">
        <v>0</v>
      </c>
      <c r="W2011">
        <v>661.25</v>
      </c>
      <c r="X2011">
        <v>2322.84</v>
      </c>
      <c r="Y2011" t="s">
        <v>36</v>
      </c>
      <c r="Z2011" s="3">
        <v>1534.8</v>
      </c>
      <c r="AA2011" t="s">
        <v>46</v>
      </c>
      <c r="AB2011" t="s">
        <v>33</v>
      </c>
      <c r="AC2011">
        <v>22</v>
      </c>
      <c r="AD2011" t="s">
        <v>34</v>
      </c>
      <c r="AE2011">
        <v>0</v>
      </c>
      <c r="AF2011">
        <v>0</v>
      </c>
    </row>
    <row r="2012" spans="3:32" x14ac:dyDescent="0.35">
      <c r="C2012" s="1">
        <v>44666</v>
      </c>
      <c r="D2012" s="2">
        <v>44652</v>
      </c>
      <c r="E2012">
        <v>1395</v>
      </c>
      <c r="F2012" s="3">
        <v>2747.93</v>
      </c>
      <c r="G2012" s="3">
        <v>3700.17</v>
      </c>
      <c r="H2012" s="3">
        <v>-952.24</v>
      </c>
      <c r="I2012" s="3">
        <v>1.35</v>
      </c>
      <c r="J2012">
        <v>0.28999999999999998</v>
      </c>
      <c r="K2012">
        <v>2585.77</v>
      </c>
      <c r="L2012" t="s">
        <v>35</v>
      </c>
      <c r="M2012">
        <v>641</v>
      </c>
      <c r="N2012">
        <v>0.54</v>
      </c>
      <c r="O2012" s="3">
        <v>608.09</v>
      </c>
      <c r="P2012" s="3">
        <v>0.22</v>
      </c>
      <c r="Q2012" s="3">
        <v>240.11</v>
      </c>
      <c r="R2012" s="3">
        <v>0.09</v>
      </c>
      <c r="S2012">
        <v>1</v>
      </c>
      <c r="T2012">
        <v>2150.4299999999998</v>
      </c>
      <c r="U2012">
        <v>93</v>
      </c>
      <c r="V2012">
        <v>0</v>
      </c>
      <c r="W2012">
        <v>514.98</v>
      </c>
      <c r="X2012">
        <v>1912.63</v>
      </c>
      <c r="Y2012" t="s">
        <v>36</v>
      </c>
      <c r="Z2012" s="3">
        <v>1021.34</v>
      </c>
      <c r="AA2012" t="s">
        <v>40</v>
      </c>
      <c r="AB2012" t="s">
        <v>33</v>
      </c>
      <c r="AC2012">
        <v>2.1</v>
      </c>
      <c r="AD2012" t="s">
        <v>34</v>
      </c>
      <c r="AE2012">
        <v>0</v>
      </c>
      <c r="AF2012">
        <v>0</v>
      </c>
    </row>
    <row r="2013" spans="3:32" x14ac:dyDescent="0.35">
      <c r="C2013" s="1">
        <v>44666</v>
      </c>
      <c r="D2013" s="2">
        <v>44652</v>
      </c>
      <c r="E2013">
        <v>1899</v>
      </c>
      <c r="F2013" s="3">
        <v>5559.93</v>
      </c>
      <c r="G2013" s="3">
        <v>4185.59</v>
      </c>
      <c r="H2013" s="3">
        <v>1374.34</v>
      </c>
      <c r="I2013" s="3">
        <v>0.75</v>
      </c>
      <c r="J2013">
        <v>0.24</v>
      </c>
      <c r="K2013">
        <v>2952.09</v>
      </c>
      <c r="L2013" t="s">
        <v>35</v>
      </c>
      <c r="M2013">
        <v>644</v>
      </c>
      <c r="N2013">
        <v>0.53</v>
      </c>
      <c r="O2013" s="3">
        <v>564.79</v>
      </c>
      <c r="P2013" s="3">
        <v>0.1</v>
      </c>
      <c r="Q2013" s="3">
        <v>646.16999999999996</v>
      </c>
      <c r="R2013" s="3">
        <v>0.12</v>
      </c>
      <c r="S2013">
        <v>8</v>
      </c>
      <c r="T2013">
        <v>1212.0999999999999</v>
      </c>
      <c r="U2013">
        <v>83</v>
      </c>
      <c r="V2013">
        <v>0</v>
      </c>
      <c r="W2013">
        <v>875.29</v>
      </c>
      <c r="X2013">
        <v>3885.25</v>
      </c>
      <c r="Y2013" t="s">
        <v>36</v>
      </c>
      <c r="Z2013" s="3">
        <v>912.66</v>
      </c>
      <c r="AA2013" t="s">
        <v>41</v>
      </c>
      <c r="AB2013" t="s">
        <v>33</v>
      </c>
      <c r="AC2013">
        <v>89.7</v>
      </c>
      <c r="AD2013" t="s">
        <v>38</v>
      </c>
      <c r="AE2013">
        <v>1374.34</v>
      </c>
      <c r="AF2013">
        <v>0</v>
      </c>
    </row>
    <row r="2014" spans="3:32" x14ac:dyDescent="0.35">
      <c r="C2014" s="1">
        <v>44666</v>
      </c>
      <c r="D2014" s="2">
        <v>44652</v>
      </c>
      <c r="E2014">
        <v>1802</v>
      </c>
      <c r="F2014" s="3">
        <v>3230.35</v>
      </c>
      <c r="G2014" s="3">
        <v>3510.42</v>
      </c>
      <c r="H2014" s="3">
        <v>-280.07</v>
      </c>
      <c r="I2014" s="3">
        <v>1.0900000000000001</v>
      </c>
      <c r="J2014">
        <v>0.39</v>
      </c>
      <c r="K2014">
        <v>2900.92</v>
      </c>
      <c r="L2014" t="s">
        <v>30</v>
      </c>
      <c r="M2014">
        <v>730</v>
      </c>
      <c r="N2014">
        <v>0.23</v>
      </c>
      <c r="O2014" s="3">
        <v>187.8</v>
      </c>
      <c r="P2014" s="3">
        <v>0.06</v>
      </c>
      <c r="Q2014" s="3">
        <v>457.65</v>
      </c>
      <c r="R2014" s="3">
        <v>0.14000000000000001</v>
      </c>
      <c r="S2014">
        <v>3</v>
      </c>
      <c r="T2014">
        <v>1363.95</v>
      </c>
      <c r="U2014">
        <v>99</v>
      </c>
      <c r="V2014">
        <v>0</v>
      </c>
      <c r="W2014">
        <v>619.79999999999995</v>
      </c>
      <c r="X2014">
        <v>3747.03</v>
      </c>
      <c r="Y2014" t="s">
        <v>36</v>
      </c>
      <c r="Z2014" s="3">
        <v>1518.64</v>
      </c>
      <c r="AA2014" t="s">
        <v>32</v>
      </c>
      <c r="AB2014" t="s">
        <v>33</v>
      </c>
      <c r="AC2014">
        <v>0.5</v>
      </c>
      <c r="AD2014" t="s">
        <v>38</v>
      </c>
      <c r="AE2014">
        <v>0</v>
      </c>
      <c r="AF2014">
        <v>0</v>
      </c>
    </row>
    <row r="2015" spans="3:32" x14ac:dyDescent="0.35">
      <c r="C2015" s="1">
        <v>44666</v>
      </c>
      <c r="D2015" s="2">
        <v>44652</v>
      </c>
      <c r="E2015">
        <v>1065</v>
      </c>
      <c r="F2015" s="3">
        <v>4274.63</v>
      </c>
      <c r="G2015" s="3">
        <v>2785.96</v>
      </c>
      <c r="H2015" s="3">
        <v>1488.67</v>
      </c>
      <c r="I2015" s="3">
        <v>0.65</v>
      </c>
      <c r="J2015">
        <v>0.06</v>
      </c>
      <c r="K2015">
        <v>1701.97</v>
      </c>
      <c r="L2015" t="s">
        <v>39</v>
      </c>
      <c r="M2015">
        <v>663</v>
      </c>
      <c r="N2015">
        <v>0.34</v>
      </c>
      <c r="O2015" s="3">
        <v>637.03</v>
      </c>
      <c r="P2015" s="3">
        <v>0.15</v>
      </c>
      <c r="Q2015" s="3">
        <v>591.07000000000005</v>
      </c>
      <c r="R2015" s="3">
        <v>0.14000000000000001</v>
      </c>
      <c r="S2015">
        <v>8</v>
      </c>
      <c r="T2015">
        <v>1628.39</v>
      </c>
      <c r="U2015">
        <v>51</v>
      </c>
      <c r="V2015">
        <v>0</v>
      </c>
      <c r="W2015">
        <v>500.99</v>
      </c>
      <c r="X2015">
        <v>1516.58</v>
      </c>
      <c r="Y2015" t="s">
        <v>36</v>
      </c>
      <c r="Z2015" s="3">
        <v>1208.5</v>
      </c>
      <c r="AA2015" t="s">
        <v>32</v>
      </c>
      <c r="AB2015" t="s">
        <v>33</v>
      </c>
      <c r="AC2015">
        <v>53.1</v>
      </c>
      <c r="AD2015" t="s">
        <v>34</v>
      </c>
      <c r="AE2015">
        <v>1488.67</v>
      </c>
      <c r="AF2015">
        <v>0</v>
      </c>
    </row>
    <row r="2016" spans="3:32" x14ac:dyDescent="0.35">
      <c r="C2016" s="1">
        <v>44666</v>
      </c>
      <c r="D2016" s="2">
        <v>44652</v>
      </c>
      <c r="E2016">
        <v>1790</v>
      </c>
      <c r="F2016" s="3">
        <v>2503.1799999999998</v>
      </c>
      <c r="G2016" s="3">
        <v>3240.64</v>
      </c>
      <c r="H2016" s="3">
        <v>-737.46</v>
      </c>
      <c r="I2016" s="3">
        <v>1.29</v>
      </c>
      <c r="J2016">
        <v>0.33</v>
      </c>
      <c r="K2016">
        <v>2938.38</v>
      </c>
      <c r="L2016" t="s">
        <v>35</v>
      </c>
      <c r="M2016">
        <v>645</v>
      </c>
      <c r="N2016">
        <v>0.52</v>
      </c>
      <c r="O2016" s="3">
        <v>557.29999999999995</v>
      </c>
      <c r="P2016" s="3">
        <v>0.22</v>
      </c>
      <c r="Q2016" s="3">
        <v>349.59</v>
      </c>
      <c r="R2016" s="3">
        <v>0.14000000000000001</v>
      </c>
      <c r="S2016">
        <v>3</v>
      </c>
      <c r="T2016">
        <v>772.95</v>
      </c>
      <c r="U2016">
        <v>23</v>
      </c>
      <c r="V2016">
        <v>0</v>
      </c>
      <c r="W2016">
        <v>531.80999999999995</v>
      </c>
      <c r="X2016">
        <v>1663.52</v>
      </c>
      <c r="Y2016" t="s">
        <v>31</v>
      </c>
      <c r="Z2016" s="3">
        <v>1507.13</v>
      </c>
      <c r="AA2016" t="s">
        <v>45</v>
      </c>
      <c r="AB2016" t="s">
        <v>33</v>
      </c>
      <c r="AC2016">
        <v>35.700000000000003</v>
      </c>
      <c r="AD2016" t="s">
        <v>43</v>
      </c>
      <c r="AE2016">
        <v>0</v>
      </c>
      <c r="AF2016">
        <v>0</v>
      </c>
    </row>
    <row r="2017" spans="3:32" x14ac:dyDescent="0.35">
      <c r="C2017" s="1">
        <v>44666</v>
      </c>
      <c r="D2017" s="2">
        <v>44652</v>
      </c>
      <c r="E2017">
        <v>1671</v>
      </c>
      <c r="F2017" s="3">
        <v>3718.62</v>
      </c>
      <c r="G2017" s="3">
        <v>3287.42</v>
      </c>
      <c r="H2017" s="3">
        <v>431.2</v>
      </c>
      <c r="I2017" s="3">
        <v>0.88</v>
      </c>
      <c r="J2017">
        <v>0.24</v>
      </c>
      <c r="K2017">
        <v>2518.02</v>
      </c>
      <c r="L2017" t="s">
        <v>35</v>
      </c>
      <c r="M2017">
        <v>730</v>
      </c>
      <c r="N2017">
        <v>0.51</v>
      </c>
      <c r="O2017" s="3">
        <v>790.44</v>
      </c>
      <c r="P2017" s="3">
        <v>0.21</v>
      </c>
      <c r="Q2017" s="3">
        <v>626.30999999999995</v>
      </c>
      <c r="R2017" s="3">
        <v>0.17</v>
      </c>
      <c r="S2017">
        <v>5</v>
      </c>
      <c r="T2017">
        <v>365.31</v>
      </c>
      <c r="U2017">
        <v>90</v>
      </c>
      <c r="V2017">
        <v>0</v>
      </c>
      <c r="W2017">
        <v>770.53</v>
      </c>
      <c r="X2017">
        <v>2762.75</v>
      </c>
      <c r="Y2017" t="s">
        <v>36</v>
      </c>
      <c r="Z2017" s="3">
        <v>1533.8</v>
      </c>
      <c r="AA2017" t="s">
        <v>46</v>
      </c>
      <c r="AB2017" t="s">
        <v>33</v>
      </c>
      <c r="AC2017">
        <v>19.899999999999999</v>
      </c>
      <c r="AD2017" t="s">
        <v>38</v>
      </c>
      <c r="AE2017">
        <v>431.2</v>
      </c>
      <c r="AF2017">
        <v>0</v>
      </c>
    </row>
    <row r="2018" spans="3:32" x14ac:dyDescent="0.35">
      <c r="C2018" s="1">
        <v>44666</v>
      </c>
      <c r="D2018" s="2">
        <v>44652</v>
      </c>
      <c r="E2018">
        <v>1190</v>
      </c>
      <c r="F2018" s="3">
        <v>2827.7</v>
      </c>
      <c r="G2018" s="3">
        <v>3448.11</v>
      </c>
      <c r="H2018" s="3">
        <v>-620.41</v>
      </c>
      <c r="I2018" s="3">
        <v>1.22</v>
      </c>
      <c r="J2018">
        <v>0.08</v>
      </c>
      <c r="K2018">
        <v>3213.06</v>
      </c>
      <c r="L2018" t="s">
        <v>35</v>
      </c>
      <c r="M2018">
        <v>713</v>
      </c>
      <c r="N2018">
        <v>0.2</v>
      </c>
      <c r="O2018" s="3">
        <v>1095.26</v>
      </c>
      <c r="P2018" s="3">
        <v>0.39</v>
      </c>
      <c r="Q2018" s="3">
        <v>536.29999999999995</v>
      </c>
      <c r="R2018" s="3">
        <v>0.19</v>
      </c>
      <c r="S2018">
        <v>9</v>
      </c>
      <c r="T2018">
        <v>1142.83</v>
      </c>
      <c r="U2018">
        <v>35</v>
      </c>
      <c r="V2018">
        <v>0</v>
      </c>
      <c r="W2018">
        <v>580.23</v>
      </c>
      <c r="X2018">
        <v>1962.99</v>
      </c>
      <c r="Y2018" t="s">
        <v>49</v>
      </c>
      <c r="Z2018" s="3">
        <v>1227.75</v>
      </c>
      <c r="AA2018" t="s">
        <v>32</v>
      </c>
      <c r="AB2018" t="s">
        <v>42</v>
      </c>
      <c r="AC2018">
        <v>27.7</v>
      </c>
      <c r="AD2018" t="s">
        <v>43</v>
      </c>
      <c r="AE2018">
        <v>0</v>
      </c>
      <c r="AF2018">
        <v>0</v>
      </c>
    </row>
    <row r="2019" spans="3:32" x14ac:dyDescent="0.35">
      <c r="C2019" s="1">
        <v>44666</v>
      </c>
      <c r="D2019" s="2">
        <v>44652</v>
      </c>
      <c r="E2019">
        <v>1296</v>
      </c>
      <c r="F2019" s="3">
        <v>2746.43</v>
      </c>
      <c r="G2019" s="3">
        <v>2782.97</v>
      </c>
      <c r="H2019" s="3">
        <v>-36.54</v>
      </c>
      <c r="I2019" s="3">
        <v>1.01</v>
      </c>
      <c r="J2019">
        <v>0.11</v>
      </c>
      <c r="K2019">
        <v>3347</v>
      </c>
      <c r="L2019" t="s">
        <v>35</v>
      </c>
      <c r="M2019">
        <v>674</v>
      </c>
      <c r="N2019">
        <v>0.24</v>
      </c>
      <c r="O2019" s="3">
        <v>493.07</v>
      </c>
      <c r="P2019" s="3">
        <v>0.18</v>
      </c>
      <c r="Q2019" s="3">
        <v>193.88</v>
      </c>
      <c r="R2019" s="3">
        <v>7.0000000000000007E-2</v>
      </c>
      <c r="S2019">
        <v>1</v>
      </c>
      <c r="T2019">
        <v>861.69</v>
      </c>
      <c r="U2019">
        <v>74</v>
      </c>
      <c r="V2019">
        <v>0</v>
      </c>
      <c r="W2019">
        <v>755.72</v>
      </c>
      <c r="X2019">
        <v>1098.1300000000001</v>
      </c>
      <c r="Y2019" t="s">
        <v>36</v>
      </c>
      <c r="Z2019" s="3">
        <v>465.26</v>
      </c>
      <c r="AA2019" t="s">
        <v>51</v>
      </c>
      <c r="AB2019" t="s">
        <v>33</v>
      </c>
      <c r="AC2019">
        <v>67.7</v>
      </c>
      <c r="AD2019" t="s">
        <v>34</v>
      </c>
      <c r="AE2019">
        <v>0</v>
      </c>
      <c r="AF2019">
        <v>0</v>
      </c>
    </row>
    <row r="2020" spans="3:32" x14ac:dyDescent="0.35">
      <c r="C2020" s="1">
        <v>44666</v>
      </c>
      <c r="D2020" s="2">
        <v>44652</v>
      </c>
      <c r="E2020">
        <v>1571</v>
      </c>
      <c r="F2020" s="3">
        <v>3917.81</v>
      </c>
      <c r="G2020" s="3">
        <v>2376.96</v>
      </c>
      <c r="H2020" s="3">
        <v>1540.85</v>
      </c>
      <c r="I2020" s="3">
        <v>0.61</v>
      </c>
      <c r="J2020">
        <v>0.15</v>
      </c>
      <c r="K2020">
        <v>3277.53</v>
      </c>
      <c r="L2020" t="s">
        <v>39</v>
      </c>
      <c r="M2020">
        <v>766</v>
      </c>
      <c r="N2020">
        <v>0.57999999999999996</v>
      </c>
      <c r="O2020" s="3">
        <v>943.99</v>
      </c>
      <c r="P2020" s="3">
        <v>0.24</v>
      </c>
      <c r="Q2020" s="3">
        <v>357.11</v>
      </c>
      <c r="R2020" s="3">
        <v>0.09</v>
      </c>
      <c r="S2020">
        <v>4</v>
      </c>
      <c r="T2020">
        <v>1101.07</v>
      </c>
      <c r="U2020">
        <v>31</v>
      </c>
      <c r="V2020">
        <v>0</v>
      </c>
      <c r="W2020">
        <v>621.19000000000005</v>
      </c>
      <c r="X2020">
        <v>1951.02</v>
      </c>
      <c r="Y2020" t="s">
        <v>31</v>
      </c>
      <c r="Z2020" s="3">
        <v>435.37</v>
      </c>
      <c r="AA2020" t="s">
        <v>32</v>
      </c>
      <c r="AB2020" t="s">
        <v>33</v>
      </c>
      <c r="AC2020">
        <v>50.7</v>
      </c>
      <c r="AD2020" t="s">
        <v>34</v>
      </c>
      <c r="AE2020">
        <v>1540.85</v>
      </c>
      <c r="AF2020">
        <v>0</v>
      </c>
    </row>
    <row r="2021" spans="3:32" x14ac:dyDescent="0.35">
      <c r="C2021" s="1">
        <v>44666</v>
      </c>
      <c r="D2021" s="2">
        <v>44652</v>
      </c>
      <c r="E2021">
        <v>1328</v>
      </c>
      <c r="F2021" s="3">
        <v>4502.18</v>
      </c>
      <c r="G2021" s="3">
        <v>3928.08</v>
      </c>
      <c r="H2021" s="3">
        <v>574.1</v>
      </c>
      <c r="I2021" s="3">
        <v>0.87</v>
      </c>
      <c r="J2021">
        <v>0.27</v>
      </c>
      <c r="K2021">
        <v>2635.51</v>
      </c>
      <c r="L2021" t="s">
        <v>30</v>
      </c>
      <c r="M2021">
        <v>668</v>
      </c>
      <c r="N2021">
        <v>0.15</v>
      </c>
      <c r="O2021" s="3">
        <v>584.55999999999995</v>
      </c>
      <c r="P2021" s="3">
        <v>0.13</v>
      </c>
      <c r="Q2021" s="3">
        <v>0</v>
      </c>
      <c r="R2021" s="3">
        <v>0</v>
      </c>
      <c r="S2021">
        <v>5</v>
      </c>
      <c r="T2021">
        <v>1021.89</v>
      </c>
      <c r="U2021">
        <v>22</v>
      </c>
      <c r="V2021">
        <v>0</v>
      </c>
      <c r="W2021">
        <v>593.51</v>
      </c>
      <c r="X2021">
        <v>1721.17</v>
      </c>
      <c r="Y2021" t="s">
        <v>36</v>
      </c>
      <c r="Z2021" s="3">
        <v>300</v>
      </c>
      <c r="AA2021" t="s">
        <v>32</v>
      </c>
      <c r="AB2021" t="s">
        <v>44</v>
      </c>
      <c r="AC2021">
        <v>75.5</v>
      </c>
      <c r="AD2021" t="s">
        <v>43</v>
      </c>
      <c r="AE2021">
        <v>574.1</v>
      </c>
      <c r="AF2021">
        <v>0</v>
      </c>
    </row>
    <row r="2022" spans="3:32" x14ac:dyDescent="0.35">
      <c r="C2022" s="1">
        <v>44666</v>
      </c>
      <c r="D2022" s="2">
        <v>44652</v>
      </c>
      <c r="E2022">
        <v>1331</v>
      </c>
      <c r="F2022" s="3">
        <v>4275.82</v>
      </c>
      <c r="G2022" s="3">
        <v>2851.95</v>
      </c>
      <c r="H2022" s="3">
        <v>1423.87</v>
      </c>
      <c r="I2022" s="3">
        <v>0.67</v>
      </c>
      <c r="J2022">
        <v>0.37</v>
      </c>
      <c r="K2022">
        <v>2554.44</v>
      </c>
      <c r="L2022" t="s">
        <v>30</v>
      </c>
      <c r="M2022">
        <v>642</v>
      </c>
      <c r="N2022">
        <v>0.41</v>
      </c>
      <c r="O2022" s="3">
        <v>344.75</v>
      </c>
      <c r="P2022" s="3">
        <v>0.08</v>
      </c>
      <c r="Q2022" s="3">
        <v>196.22</v>
      </c>
      <c r="R2022" s="3">
        <v>0.05</v>
      </c>
      <c r="S2022">
        <v>4</v>
      </c>
      <c r="T2022">
        <v>855.83</v>
      </c>
      <c r="U2022">
        <v>98</v>
      </c>
      <c r="V2022">
        <v>0</v>
      </c>
      <c r="W2022">
        <v>740.56</v>
      </c>
      <c r="X2022">
        <v>2153.0300000000002</v>
      </c>
      <c r="Y2022" t="s">
        <v>31</v>
      </c>
      <c r="Z2022" s="3">
        <v>1511.58</v>
      </c>
      <c r="AA2022" t="s">
        <v>45</v>
      </c>
      <c r="AB2022" t="s">
        <v>42</v>
      </c>
      <c r="AC2022">
        <v>66.2</v>
      </c>
      <c r="AD2022" t="s">
        <v>34</v>
      </c>
      <c r="AE2022">
        <v>1423.87</v>
      </c>
      <c r="AF2022">
        <v>0</v>
      </c>
    </row>
    <row r="2023" spans="3:32" x14ac:dyDescent="0.35">
      <c r="C2023" s="1">
        <v>44666</v>
      </c>
      <c r="D2023" s="2">
        <v>44652</v>
      </c>
      <c r="E2023">
        <v>1725</v>
      </c>
      <c r="F2023" s="3">
        <v>4565.62</v>
      </c>
      <c r="G2023" s="3">
        <v>2796.9</v>
      </c>
      <c r="H2023" s="3">
        <v>1768.72</v>
      </c>
      <c r="I2023" s="3">
        <v>0.61</v>
      </c>
      <c r="J2023">
        <v>0.1</v>
      </c>
      <c r="K2023">
        <v>3129.72</v>
      </c>
      <c r="L2023" t="s">
        <v>35</v>
      </c>
      <c r="M2023">
        <v>715</v>
      </c>
      <c r="N2023">
        <v>0.56000000000000005</v>
      </c>
      <c r="O2023" s="3">
        <v>28.88</v>
      </c>
      <c r="P2023" s="3">
        <v>0.01</v>
      </c>
      <c r="Q2023" s="3">
        <v>241.49</v>
      </c>
      <c r="R2023" s="3">
        <v>0.05</v>
      </c>
      <c r="S2023">
        <v>2</v>
      </c>
      <c r="T2023">
        <v>368.72</v>
      </c>
      <c r="U2023">
        <v>70</v>
      </c>
      <c r="V2023">
        <v>0</v>
      </c>
      <c r="W2023">
        <v>367.23</v>
      </c>
      <c r="X2023">
        <v>2485.1999999999998</v>
      </c>
      <c r="Y2023" t="s">
        <v>31</v>
      </c>
      <c r="Z2023" s="3">
        <v>761.65</v>
      </c>
      <c r="AA2023" t="s">
        <v>32</v>
      </c>
      <c r="AB2023" t="s">
        <v>33</v>
      </c>
      <c r="AC2023">
        <v>59.4</v>
      </c>
      <c r="AD2023" t="s">
        <v>34</v>
      </c>
      <c r="AE2023">
        <v>1768.72</v>
      </c>
      <c r="AF2023">
        <v>0</v>
      </c>
    </row>
    <row r="2024" spans="3:32" x14ac:dyDescent="0.35">
      <c r="C2024" s="1">
        <v>44666</v>
      </c>
      <c r="D2024" s="2">
        <v>44652</v>
      </c>
      <c r="E2024">
        <v>1216</v>
      </c>
      <c r="F2024" s="3">
        <v>3900.27</v>
      </c>
      <c r="G2024" s="3">
        <v>3431.6</v>
      </c>
      <c r="H2024" s="3">
        <v>468.67</v>
      </c>
      <c r="I2024" s="3">
        <v>0.88</v>
      </c>
      <c r="J2024">
        <v>0.18</v>
      </c>
      <c r="K2024">
        <v>3254.08</v>
      </c>
      <c r="L2024" t="s">
        <v>35</v>
      </c>
      <c r="M2024">
        <v>681</v>
      </c>
      <c r="N2024">
        <v>0.39</v>
      </c>
      <c r="O2024" s="3">
        <v>567.27</v>
      </c>
      <c r="P2024" s="3">
        <v>0.15</v>
      </c>
      <c r="Q2024" s="3">
        <v>380.58</v>
      </c>
      <c r="R2024" s="3">
        <v>0.1</v>
      </c>
      <c r="S2024">
        <v>6</v>
      </c>
      <c r="T2024">
        <v>1415.12</v>
      </c>
      <c r="U2024">
        <v>52</v>
      </c>
      <c r="V2024">
        <v>0</v>
      </c>
      <c r="W2024">
        <v>315.18</v>
      </c>
      <c r="X2024">
        <v>3324.25</v>
      </c>
      <c r="Y2024" t="s">
        <v>36</v>
      </c>
      <c r="Z2024" s="3">
        <v>1472.92</v>
      </c>
      <c r="AA2024" t="s">
        <v>47</v>
      </c>
      <c r="AB2024" t="s">
        <v>44</v>
      </c>
      <c r="AC2024">
        <v>80.900000000000006</v>
      </c>
      <c r="AD2024" t="s">
        <v>34</v>
      </c>
      <c r="AE2024">
        <v>468.67</v>
      </c>
      <c r="AF2024">
        <v>0</v>
      </c>
    </row>
    <row r="2025" spans="3:32" x14ac:dyDescent="0.35">
      <c r="C2025" s="1">
        <v>44666</v>
      </c>
      <c r="D2025" s="2">
        <v>44652</v>
      </c>
      <c r="E2025">
        <v>1069</v>
      </c>
      <c r="F2025" s="3">
        <v>3730.53</v>
      </c>
      <c r="G2025" s="3">
        <v>4765.88</v>
      </c>
      <c r="H2025" s="3">
        <v>-1035.3499999999999</v>
      </c>
      <c r="I2025" s="3">
        <v>1.28</v>
      </c>
      <c r="J2025">
        <v>0.14000000000000001</v>
      </c>
      <c r="K2025">
        <v>2893.48</v>
      </c>
      <c r="L2025" t="s">
        <v>35</v>
      </c>
      <c r="M2025">
        <v>663</v>
      </c>
      <c r="N2025">
        <v>0.18</v>
      </c>
      <c r="O2025" s="3">
        <v>717.12</v>
      </c>
      <c r="P2025" s="3">
        <v>0.19</v>
      </c>
      <c r="Q2025" s="3">
        <v>591.04</v>
      </c>
      <c r="R2025" s="3">
        <v>0.16</v>
      </c>
      <c r="S2025">
        <v>9</v>
      </c>
      <c r="T2025">
        <v>661.11</v>
      </c>
      <c r="U2025">
        <v>51</v>
      </c>
      <c r="V2025">
        <v>0</v>
      </c>
      <c r="W2025">
        <v>924.02</v>
      </c>
      <c r="X2025">
        <v>1294.58</v>
      </c>
      <c r="Y2025" t="s">
        <v>49</v>
      </c>
      <c r="Z2025" s="3">
        <v>1830.5</v>
      </c>
      <c r="AA2025" t="s">
        <v>51</v>
      </c>
      <c r="AB2025" t="s">
        <v>42</v>
      </c>
      <c r="AC2025">
        <v>9.5</v>
      </c>
      <c r="AD2025" t="s">
        <v>34</v>
      </c>
      <c r="AE2025">
        <v>0</v>
      </c>
      <c r="AF2025">
        <v>0</v>
      </c>
    </row>
    <row r="2026" spans="3:32" x14ac:dyDescent="0.35">
      <c r="C2026" s="1">
        <v>44666</v>
      </c>
      <c r="D2026" s="2">
        <v>44652</v>
      </c>
      <c r="E2026">
        <v>1426</v>
      </c>
      <c r="F2026" s="3">
        <v>2018.66</v>
      </c>
      <c r="G2026" s="3">
        <v>3057.77</v>
      </c>
      <c r="H2026" s="3">
        <v>-1039.1099999999999</v>
      </c>
      <c r="I2026" s="3">
        <v>1.51</v>
      </c>
      <c r="J2026">
        <v>0.12</v>
      </c>
      <c r="K2026">
        <v>2906.5</v>
      </c>
      <c r="L2026" t="s">
        <v>35</v>
      </c>
      <c r="M2026">
        <v>785</v>
      </c>
      <c r="N2026">
        <v>0.22</v>
      </c>
      <c r="O2026" s="3">
        <v>496.1</v>
      </c>
      <c r="P2026" s="3">
        <v>0.25</v>
      </c>
      <c r="Q2026" s="3">
        <v>466.62</v>
      </c>
      <c r="R2026" s="3">
        <v>0.23</v>
      </c>
      <c r="S2026">
        <v>7</v>
      </c>
      <c r="T2026">
        <v>1093.0899999999999</v>
      </c>
      <c r="U2026">
        <v>60</v>
      </c>
      <c r="V2026">
        <v>0</v>
      </c>
      <c r="W2026">
        <v>536.28</v>
      </c>
      <c r="X2026">
        <v>2902.44</v>
      </c>
      <c r="Y2026" t="s">
        <v>36</v>
      </c>
      <c r="Z2026" s="3">
        <v>1619.35</v>
      </c>
      <c r="AA2026" t="s">
        <v>32</v>
      </c>
      <c r="AB2026" t="s">
        <v>33</v>
      </c>
      <c r="AC2026">
        <v>57.5</v>
      </c>
      <c r="AD2026" t="s">
        <v>43</v>
      </c>
      <c r="AE2026">
        <v>0</v>
      </c>
      <c r="AF2026">
        <v>0</v>
      </c>
    </row>
    <row r="2027" spans="3:32" x14ac:dyDescent="0.35">
      <c r="C2027" s="1">
        <v>44666</v>
      </c>
      <c r="D2027" s="2">
        <v>44652</v>
      </c>
      <c r="E2027">
        <v>1009</v>
      </c>
      <c r="F2027" s="3">
        <v>3590.68</v>
      </c>
      <c r="G2027" s="3">
        <v>2849.22</v>
      </c>
      <c r="H2027" s="3">
        <v>741.46</v>
      </c>
      <c r="I2027" s="3">
        <v>0.79</v>
      </c>
      <c r="J2027">
        <v>0.27</v>
      </c>
      <c r="K2027">
        <v>2152.56</v>
      </c>
      <c r="L2027" t="s">
        <v>35</v>
      </c>
      <c r="M2027">
        <v>749</v>
      </c>
      <c r="N2027">
        <v>0.24</v>
      </c>
      <c r="O2027" s="3">
        <v>608.84</v>
      </c>
      <c r="P2027" s="3">
        <v>0.17</v>
      </c>
      <c r="Q2027" s="3">
        <v>499.89</v>
      </c>
      <c r="R2027" s="3">
        <v>0.14000000000000001</v>
      </c>
      <c r="S2027">
        <v>8</v>
      </c>
      <c r="T2027">
        <v>642.55999999999995</v>
      </c>
      <c r="U2027">
        <v>46</v>
      </c>
      <c r="V2027">
        <v>0</v>
      </c>
      <c r="W2027">
        <v>570.80999999999995</v>
      </c>
      <c r="X2027">
        <v>2325.4899999999998</v>
      </c>
      <c r="Y2027" t="s">
        <v>36</v>
      </c>
      <c r="Z2027" s="3">
        <v>1239.1400000000001</v>
      </c>
      <c r="AA2027" t="s">
        <v>32</v>
      </c>
      <c r="AB2027" t="s">
        <v>33</v>
      </c>
      <c r="AC2027">
        <v>15.4</v>
      </c>
      <c r="AD2027" t="s">
        <v>43</v>
      </c>
      <c r="AE2027">
        <v>741.46</v>
      </c>
      <c r="AF2027">
        <v>0</v>
      </c>
    </row>
    <row r="2028" spans="3:32" x14ac:dyDescent="0.35">
      <c r="C2028" s="1">
        <v>44666</v>
      </c>
      <c r="D2028" s="2">
        <v>44652</v>
      </c>
      <c r="E2028">
        <v>1145</v>
      </c>
      <c r="F2028" s="3">
        <v>5372.78</v>
      </c>
      <c r="G2028" s="3">
        <v>1974.89</v>
      </c>
      <c r="H2028" s="3">
        <v>3397.89</v>
      </c>
      <c r="I2028" s="3">
        <v>0.37</v>
      </c>
      <c r="J2028">
        <v>0.39</v>
      </c>
      <c r="K2028">
        <v>3299.63</v>
      </c>
      <c r="L2028" t="s">
        <v>39</v>
      </c>
      <c r="M2028">
        <v>669</v>
      </c>
      <c r="N2028">
        <v>0.57999999999999996</v>
      </c>
      <c r="O2028" s="3">
        <v>483.65</v>
      </c>
      <c r="P2028" s="3">
        <v>0.09</v>
      </c>
      <c r="Q2028" s="3">
        <v>217.59</v>
      </c>
      <c r="R2028" s="3">
        <v>0.04</v>
      </c>
      <c r="S2028">
        <v>9</v>
      </c>
      <c r="T2028">
        <v>900.37</v>
      </c>
      <c r="U2028">
        <v>67</v>
      </c>
      <c r="V2028">
        <v>0</v>
      </c>
      <c r="W2028">
        <v>717.24</v>
      </c>
      <c r="X2028">
        <v>2496.33</v>
      </c>
      <c r="Y2028" t="s">
        <v>36</v>
      </c>
      <c r="Z2028" s="3">
        <v>1012.47</v>
      </c>
      <c r="AA2028" t="s">
        <v>37</v>
      </c>
      <c r="AB2028" t="s">
        <v>33</v>
      </c>
      <c r="AC2028">
        <v>46.5</v>
      </c>
      <c r="AD2028" t="s">
        <v>38</v>
      </c>
      <c r="AE2028">
        <v>3397.89</v>
      </c>
      <c r="AF2028">
        <v>1</v>
      </c>
    </row>
    <row r="2029" spans="3:32" x14ac:dyDescent="0.35">
      <c r="C2029" s="1">
        <v>44666</v>
      </c>
      <c r="D2029" s="2">
        <v>44652</v>
      </c>
      <c r="E2029">
        <v>1332</v>
      </c>
      <c r="F2029" s="3">
        <v>3077.62</v>
      </c>
      <c r="G2029" s="3">
        <v>2409.3000000000002</v>
      </c>
      <c r="H2029" s="3">
        <v>668.32</v>
      </c>
      <c r="I2029" s="3">
        <v>0.78</v>
      </c>
      <c r="J2029">
        <v>0.1</v>
      </c>
      <c r="K2029">
        <v>2064.75</v>
      </c>
      <c r="L2029" t="s">
        <v>35</v>
      </c>
      <c r="M2029">
        <v>684</v>
      </c>
      <c r="N2029">
        <v>0.32</v>
      </c>
      <c r="O2029" s="3">
        <v>652.87</v>
      </c>
      <c r="P2029" s="3">
        <v>0.21</v>
      </c>
      <c r="Q2029" s="3">
        <v>560.67999999999995</v>
      </c>
      <c r="R2029" s="3">
        <v>0.18</v>
      </c>
      <c r="S2029">
        <v>4</v>
      </c>
      <c r="T2029">
        <v>1376.33</v>
      </c>
      <c r="U2029">
        <v>85</v>
      </c>
      <c r="V2029">
        <v>0</v>
      </c>
      <c r="W2029">
        <v>705.04</v>
      </c>
      <c r="X2029">
        <v>2279.27</v>
      </c>
      <c r="Y2029" t="s">
        <v>31</v>
      </c>
      <c r="Z2029" s="3">
        <v>1261.18</v>
      </c>
      <c r="AA2029" t="s">
        <v>48</v>
      </c>
      <c r="AB2029" t="s">
        <v>42</v>
      </c>
      <c r="AC2029">
        <v>48.6</v>
      </c>
      <c r="AD2029" t="s">
        <v>34</v>
      </c>
      <c r="AE2029">
        <v>668.32</v>
      </c>
      <c r="AF2029">
        <v>0</v>
      </c>
    </row>
    <row r="2030" spans="3:32" x14ac:dyDescent="0.35">
      <c r="C2030" s="1">
        <v>44666</v>
      </c>
      <c r="D2030" s="2">
        <v>44652</v>
      </c>
      <c r="E2030">
        <v>1547</v>
      </c>
      <c r="F2030" s="3">
        <v>3915.09</v>
      </c>
      <c r="G2030" s="3">
        <v>4250.09</v>
      </c>
      <c r="H2030" s="3">
        <v>-335</v>
      </c>
      <c r="I2030" s="3">
        <v>1.0900000000000001</v>
      </c>
      <c r="J2030">
        <v>0.28000000000000003</v>
      </c>
      <c r="K2030">
        <v>2646.59</v>
      </c>
      <c r="L2030" t="s">
        <v>35</v>
      </c>
      <c r="M2030">
        <v>670</v>
      </c>
      <c r="N2030">
        <v>0.17</v>
      </c>
      <c r="O2030" s="3">
        <v>580.52</v>
      </c>
      <c r="P2030" s="3">
        <v>0.15</v>
      </c>
      <c r="Q2030" s="3">
        <v>1263.27</v>
      </c>
      <c r="R2030" s="3">
        <v>0.32</v>
      </c>
      <c r="S2030">
        <v>4</v>
      </c>
      <c r="T2030">
        <v>204.75</v>
      </c>
      <c r="U2030">
        <v>52</v>
      </c>
      <c r="V2030">
        <v>1</v>
      </c>
      <c r="W2030">
        <v>622.53</v>
      </c>
      <c r="X2030">
        <v>3498.82</v>
      </c>
      <c r="Y2030" t="s">
        <v>31</v>
      </c>
      <c r="Z2030" s="3">
        <v>1418.09</v>
      </c>
      <c r="AA2030" t="s">
        <v>37</v>
      </c>
      <c r="AB2030" t="s">
        <v>33</v>
      </c>
      <c r="AC2030">
        <v>37.200000000000003</v>
      </c>
      <c r="AD2030" t="s">
        <v>34</v>
      </c>
      <c r="AE2030">
        <v>0</v>
      </c>
      <c r="AF2030">
        <v>0</v>
      </c>
    </row>
    <row r="2031" spans="3:32" x14ac:dyDescent="0.35">
      <c r="C2031" s="1">
        <v>44666</v>
      </c>
      <c r="D2031" s="2">
        <v>44652</v>
      </c>
      <c r="E2031">
        <v>1486</v>
      </c>
      <c r="F2031" s="3">
        <v>4595.1400000000003</v>
      </c>
      <c r="G2031" s="3">
        <v>1833.89</v>
      </c>
      <c r="H2031" s="3">
        <v>2761.25</v>
      </c>
      <c r="I2031" s="3">
        <v>0.4</v>
      </c>
      <c r="J2031">
        <v>0.08</v>
      </c>
      <c r="K2031">
        <v>2525.23</v>
      </c>
      <c r="L2031" t="s">
        <v>35</v>
      </c>
      <c r="M2031">
        <v>634</v>
      </c>
      <c r="N2031">
        <v>0.38</v>
      </c>
      <c r="O2031" s="3">
        <v>436.57</v>
      </c>
      <c r="P2031" s="3">
        <v>0.1</v>
      </c>
      <c r="Q2031" s="3">
        <v>209.76</v>
      </c>
      <c r="R2031" s="3">
        <v>0.05</v>
      </c>
      <c r="S2031">
        <v>2</v>
      </c>
      <c r="T2031">
        <v>1822.99</v>
      </c>
      <c r="U2031">
        <v>43</v>
      </c>
      <c r="V2031">
        <v>0</v>
      </c>
      <c r="W2031">
        <v>1049.52</v>
      </c>
      <c r="X2031">
        <v>3700.56</v>
      </c>
      <c r="Y2031" t="s">
        <v>36</v>
      </c>
      <c r="Z2031" s="3">
        <v>1568.42</v>
      </c>
      <c r="AA2031" t="s">
        <v>45</v>
      </c>
      <c r="AB2031" t="s">
        <v>33</v>
      </c>
      <c r="AC2031">
        <v>38.799999999999997</v>
      </c>
      <c r="AD2031" t="s">
        <v>38</v>
      </c>
      <c r="AE2031">
        <v>2761.25</v>
      </c>
      <c r="AF2031">
        <v>1</v>
      </c>
    </row>
    <row r="2032" spans="3:32" x14ac:dyDescent="0.35">
      <c r="C2032" s="1">
        <v>44666</v>
      </c>
      <c r="D2032" s="2">
        <v>44652</v>
      </c>
      <c r="E2032">
        <v>1589</v>
      </c>
      <c r="F2032" s="3">
        <v>2503.84</v>
      </c>
      <c r="G2032" s="3">
        <v>3968.01</v>
      </c>
      <c r="H2032" s="3">
        <v>-1464.17</v>
      </c>
      <c r="I2032" s="3">
        <v>1.58</v>
      </c>
      <c r="J2032">
        <v>0.14000000000000001</v>
      </c>
      <c r="K2032">
        <v>2682.67</v>
      </c>
      <c r="L2032" t="s">
        <v>30</v>
      </c>
      <c r="M2032">
        <v>679</v>
      </c>
      <c r="N2032">
        <v>0.35</v>
      </c>
      <c r="O2032" s="3">
        <v>622.72</v>
      </c>
      <c r="P2032" s="3">
        <v>0.25</v>
      </c>
      <c r="Q2032" s="3">
        <v>507.23</v>
      </c>
      <c r="R2032" s="3">
        <v>0.2</v>
      </c>
      <c r="S2032">
        <v>9</v>
      </c>
      <c r="T2032">
        <v>880.14</v>
      </c>
      <c r="U2032">
        <v>55</v>
      </c>
      <c r="V2032">
        <v>0</v>
      </c>
      <c r="W2032">
        <v>645.57000000000005</v>
      </c>
      <c r="X2032">
        <v>2715.61</v>
      </c>
      <c r="Y2032" t="s">
        <v>36</v>
      </c>
      <c r="Z2032" s="3">
        <v>1265.3599999999999</v>
      </c>
      <c r="AA2032" t="s">
        <v>51</v>
      </c>
      <c r="AB2032" t="s">
        <v>33</v>
      </c>
      <c r="AC2032">
        <v>68.7</v>
      </c>
      <c r="AD2032" t="s">
        <v>43</v>
      </c>
      <c r="AE2032">
        <v>0</v>
      </c>
      <c r="AF2032">
        <v>0</v>
      </c>
    </row>
    <row r="2033" spans="3:32" x14ac:dyDescent="0.35">
      <c r="C2033" s="1">
        <v>44666</v>
      </c>
      <c r="D2033" s="2">
        <v>44652</v>
      </c>
      <c r="E2033">
        <v>1271</v>
      </c>
      <c r="F2033" s="3">
        <v>4997.38</v>
      </c>
      <c r="G2033" s="3">
        <v>2319.9699999999998</v>
      </c>
      <c r="H2033" s="3">
        <v>2677.41</v>
      </c>
      <c r="I2033" s="3">
        <v>0.46</v>
      </c>
      <c r="J2033">
        <v>0.18</v>
      </c>
      <c r="K2033">
        <v>2128.5500000000002</v>
      </c>
      <c r="L2033" t="s">
        <v>30</v>
      </c>
      <c r="M2033">
        <v>655</v>
      </c>
      <c r="N2033">
        <v>0.12</v>
      </c>
      <c r="O2033" s="3">
        <v>444.34</v>
      </c>
      <c r="P2033" s="3">
        <v>0.09</v>
      </c>
      <c r="Q2033" s="3">
        <v>118.77</v>
      </c>
      <c r="R2033" s="3">
        <v>0.02</v>
      </c>
      <c r="S2033">
        <v>6</v>
      </c>
      <c r="T2033">
        <v>901.4</v>
      </c>
      <c r="U2033">
        <v>47</v>
      </c>
      <c r="V2033">
        <v>0</v>
      </c>
      <c r="W2033">
        <v>174.98</v>
      </c>
      <c r="X2033">
        <v>2897.18</v>
      </c>
      <c r="Y2033" t="s">
        <v>36</v>
      </c>
      <c r="Z2033" s="3">
        <v>636.95000000000005</v>
      </c>
      <c r="AA2033" t="s">
        <v>48</v>
      </c>
      <c r="AB2033" t="s">
        <v>33</v>
      </c>
      <c r="AC2033">
        <v>44.4</v>
      </c>
      <c r="AD2033" t="s">
        <v>34</v>
      </c>
      <c r="AE2033">
        <v>2677.41</v>
      </c>
      <c r="AF2033">
        <v>1</v>
      </c>
    </row>
    <row r="2034" spans="3:32" x14ac:dyDescent="0.35">
      <c r="C2034" s="1">
        <v>44666</v>
      </c>
      <c r="D2034" s="2">
        <v>44652</v>
      </c>
      <c r="E2034">
        <v>1951</v>
      </c>
      <c r="F2034" s="3">
        <v>4883.1499999999996</v>
      </c>
      <c r="G2034" s="3">
        <v>1964.43</v>
      </c>
      <c r="H2034" s="3">
        <v>2918.72</v>
      </c>
      <c r="I2034" s="3">
        <v>0.4</v>
      </c>
      <c r="J2034">
        <v>0.33</v>
      </c>
      <c r="K2034">
        <v>2724.21</v>
      </c>
      <c r="L2034" t="s">
        <v>35</v>
      </c>
      <c r="M2034">
        <v>674</v>
      </c>
      <c r="N2034">
        <v>0.27</v>
      </c>
      <c r="O2034" s="3">
        <v>298.29000000000002</v>
      </c>
      <c r="P2034" s="3">
        <v>0.06</v>
      </c>
      <c r="Q2034" s="3">
        <v>188.33</v>
      </c>
      <c r="R2034" s="3">
        <v>0.04</v>
      </c>
      <c r="S2034">
        <v>1</v>
      </c>
      <c r="T2034">
        <v>847.63</v>
      </c>
      <c r="U2034">
        <v>51</v>
      </c>
      <c r="V2034">
        <v>0</v>
      </c>
      <c r="W2034">
        <v>358.38</v>
      </c>
      <c r="X2034">
        <v>2353.5500000000002</v>
      </c>
      <c r="Y2034" t="s">
        <v>36</v>
      </c>
      <c r="Z2034" s="3">
        <v>1836.5</v>
      </c>
      <c r="AA2034" t="s">
        <v>47</v>
      </c>
      <c r="AB2034" t="s">
        <v>33</v>
      </c>
      <c r="AC2034">
        <v>41</v>
      </c>
      <c r="AD2034" t="s">
        <v>38</v>
      </c>
      <c r="AE2034">
        <v>2918.72</v>
      </c>
      <c r="AF2034">
        <v>1</v>
      </c>
    </row>
    <row r="2035" spans="3:32" x14ac:dyDescent="0.35">
      <c r="C2035" s="1">
        <v>44666</v>
      </c>
      <c r="D2035" s="2">
        <v>44652</v>
      </c>
      <c r="E2035">
        <v>1902</v>
      </c>
      <c r="F2035" s="3">
        <v>4045.61</v>
      </c>
      <c r="G2035" s="3">
        <v>3043.59</v>
      </c>
      <c r="H2035" s="3">
        <v>1002.02</v>
      </c>
      <c r="I2035" s="3">
        <v>0.75</v>
      </c>
      <c r="J2035">
        <v>0.23</v>
      </c>
      <c r="K2035">
        <v>2666.52</v>
      </c>
      <c r="L2035" t="s">
        <v>35</v>
      </c>
      <c r="M2035">
        <v>677</v>
      </c>
      <c r="N2035">
        <v>0.41</v>
      </c>
      <c r="O2035" s="3">
        <v>528.52</v>
      </c>
      <c r="P2035" s="3">
        <v>0.13</v>
      </c>
      <c r="Q2035" s="3">
        <v>388.06</v>
      </c>
      <c r="R2035" s="3">
        <v>0.1</v>
      </c>
      <c r="S2035">
        <v>5</v>
      </c>
      <c r="T2035">
        <v>391.04</v>
      </c>
      <c r="U2035">
        <v>41</v>
      </c>
      <c r="V2035">
        <v>1</v>
      </c>
      <c r="W2035">
        <v>695.85</v>
      </c>
      <c r="X2035">
        <v>2185.61</v>
      </c>
      <c r="Y2035" t="s">
        <v>36</v>
      </c>
      <c r="Z2035" s="3">
        <v>1660.16</v>
      </c>
      <c r="AA2035" t="s">
        <v>37</v>
      </c>
      <c r="AB2035" t="s">
        <v>33</v>
      </c>
      <c r="AC2035">
        <v>86</v>
      </c>
      <c r="AD2035" t="s">
        <v>34</v>
      </c>
      <c r="AE2035">
        <v>1002.02</v>
      </c>
      <c r="AF2035">
        <v>0</v>
      </c>
    </row>
    <row r="2036" spans="3:32" x14ac:dyDescent="0.35">
      <c r="C2036" s="1">
        <v>44666</v>
      </c>
      <c r="D2036" s="2">
        <v>44652</v>
      </c>
      <c r="E2036">
        <v>1214</v>
      </c>
      <c r="F2036" s="3">
        <v>4547.3100000000004</v>
      </c>
      <c r="G2036" s="3">
        <v>2686.17</v>
      </c>
      <c r="H2036" s="3">
        <v>1861.14</v>
      </c>
      <c r="I2036" s="3">
        <v>0.59</v>
      </c>
      <c r="J2036">
        <v>0.2</v>
      </c>
      <c r="K2036">
        <v>2776.87</v>
      </c>
      <c r="L2036" t="s">
        <v>30</v>
      </c>
      <c r="M2036">
        <v>627</v>
      </c>
      <c r="N2036">
        <v>0.44</v>
      </c>
      <c r="O2036" s="3">
        <v>266.35000000000002</v>
      </c>
      <c r="P2036" s="3">
        <v>0.06</v>
      </c>
      <c r="Q2036" s="3">
        <v>317.64999999999998</v>
      </c>
      <c r="R2036" s="3">
        <v>7.0000000000000007E-2</v>
      </c>
      <c r="S2036">
        <v>5</v>
      </c>
      <c r="T2036">
        <v>1171.58</v>
      </c>
      <c r="U2036">
        <v>37</v>
      </c>
      <c r="V2036">
        <v>0</v>
      </c>
      <c r="W2036">
        <v>323.11</v>
      </c>
      <c r="X2036">
        <v>2267.66</v>
      </c>
      <c r="Y2036" t="s">
        <v>36</v>
      </c>
      <c r="Z2036" s="3">
        <v>1143.93</v>
      </c>
      <c r="AA2036" t="s">
        <v>47</v>
      </c>
      <c r="AB2036" t="s">
        <v>33</v>
      </c>
      <c r="AC2036">
        <v>7.6</v>
      </c>
      <c r="AD2036" t="s">
        <v>34</v>
      </c>
      <c r="AE2036">
        <v>1861.14</v>
      </c>
      <c r="AF2036">
        <v>0</v>
      </c>
    </row>
    <row r="2037" spans="3:32" x14ac:dyDescent="0.35">
      <c r="C2037" s="1">
        <v>44666</v>
      </c>
      <c r="D2037" s="2">
        <v>44652</v>
      </c>
      <c r="E2037">
        <v>1064</v>
      </c>
      <c r="F2037" s="3">
        <v>3680.05</v>
      </c>
      <c r="G2037" s="3">
        <v>4142.07</v>
      </c>
      <c r="H2037" s="3">
        <v>-462.02</v>
      </c>
      <c r="I2037" s="3">
        <v>1.1299999999999999</v>
      </c>
      <c r="J2037">
        <v>0.22</v>
      </c>
      <c r="K2037">
        <v>2513.04</v>
      </c>
      <c r="L2037" t="s">
        <v>39</v>
      </c>
      <c r="M2037">
        <v>718</v>
      </c>
      <c r="N2037">
        <v>0.28000000000000003</v>
      </c>
      <c r="O2037" s="3">
        <v>671.9</v>
      </c>
      <c r="P2037" s="3">
        <v>0.18</v>
      </c>
      <c r="Q2037" s="3">
        <v>536.57000000000005</v>
      </c>
      <c r="R2037" s="3">
        <v>0.15</v>
      </c>
      <c r="S2037">
        <v>8</v>
      </c>
      <c r="T2037">
        <v>1391.83</v>
      </c>
      <c r="U2037">
        <v>61</v>
      </c>
      <c r="V2037">
        <v>0</v>
      </c>
      <c r="W2037">
        <v>552.86</v>
      </c>
      <c r="X2037">
        <v>2082.58</v>
      </c>
      <c r="Y2037" t="s">
        <v>36</v>
      </c>
      <c r="Z2037" s="3">
        <v>832.71</v>
      </c>
      <c r="AA2037" t="s">
        <v>41</v>
      </c>
      <c r="AB2037" t="s">
        <v>42</v>
      </c>
      <c r="AC2037">
        <v>18.2</v>
      </c>
      <c r="AD2037" t="s">
        <v>34</v>
      </c>
      <c r="AE2037">
        <v>0</v>
      </c>
      <c r="AF2037">
        <v>0</v>
      </c>
    </row>
    <row r="2038" spans="3:32" x14ac:dyDescent="0.35">
      <c r="C2038" s="1">
        <v>44666</v>
      </c>
      <c r="D2038" s="2">
        <v>44652</v>
      </c>
      <c r="E2038">
        <v>1833</v>
      </c>
      <c r="F2038" s="3">
        <v>5181.9799999999996</v>
      </c>
      <c r="G2038" s="3">
        <v>2570.98</v>
      </c>
      <c r="H2038" s="3">
        <v>2611</v>
      </c>
      <c r="I2038" s="3">
        <v>0.5</v>
      </c>
      <c r="J2038">
        <v>0.15</v>
      </c>
      <c r="K2038">
        <v>3424.28</v>
      </c>
      <c r="L2038" t="s">
        <v>35</v>
      </c>
      <c r="M2038">
        <v>673</v>
      </c>
      <c r="N2038">
        <v>0.11</v>
      </c>
      <c r="O2038" s="3">
        <v>617.75</v>
      </c>
      <c r="P2038" s="3">
        <v>0.12</v>
      </c>
      <c r="Q2038" s="3">
        <v>328.09</v>
      </c>
      <c r="R2038" s="3">
        <v>0.06</v>
      </c>
      <c r="S2038">
        <v>4</v>
      </c>
      <c r="T2038">
        <v>958.09</v>
      </c>
      <c r="U2038">
        <v>68</v>
      </c>
      <c r="V2038">
        <v>0</v>
      </c>
      <c r="W2038">
        <v>523.82000000000005</v>
      </c>
      <c r="X2038">
        <v>2794.96</v>
      </c>
      <c r="Y2038" t="s">
        <v>36</v>
      </c>
      <c r="Z2038" s="3">
        <v>1239.92</v>
      </c>
      <c r="AA2038" t="s">
        <v>47</v>
      </c>
      <c r="AB2038" t="s">
        <v>33</v>
      </c>
      <c r="AC2038">
        <v>89.7</v>
      </c>
      <c r="AD2038" t="s">
        <v>34</v>
      </c>
      <c r="AE2038">
        <v>2611</v>
      </c>
      <c r="AF2038">
        <v>0</v>
      </c>
    </row>
    <row r="2039" spans="3:32" x14ac:dyDescent="0.35">
      <c r="C2039" s="1">
        <v>44666</v>
      </c>
      <c r="D2039" s="2">
        <v>44652</v>
      </c>
      <c r="E2039">
        <v>1117</v>
      </c>
      <c r="F2039" s="3">
        <v>4464.05</v>
      </c>
      <c r="G2039" s="3">
        <v>2124.06</v>
      </c>
      <c r="H2039" s="3">
        <v>2339.9899999999998</v>
      </c>
      <c r="I2039" s="3">
        <v>0.48</v>
      </c>
      <c r="J2039">
        <v>0.28999999999999998</v>
      </c>
      <c r="K2039">
        <v>2588.56</v>
      </c>
      <c r="L2039" t="s">
        <v>30</v>
      </c>
      <c r="M2039">
        <v>602</v>
      </c>
      <c r="N2039">
        <v>0.6</v>
      </c>
      <c r="O2039" s="3">
        <v>628.37</v>
      </c>
      <c r="P2039" s="3">
        <v>0.14000000000000001</v>
      </c>
      <c r="Q2039" s="3">
        <v>221.61</v>
      </c>
      <c r="R2039" s="3">
        <v>0.05</v>
      </c>
      <c r="S2039">
        <v>5</v>
      </c>
      <c r="T2039">
        <v>187.97</v>
      </c>
      <c r="U2039">
        <v>93</v>
      </c>
      <c r="V2039">
        <v>0</v>
      </c>
      <c r="W2039">
        <v>313.98</v>
      </c>
      <c r="X2039">
        <v>2489.17</v>
      </c>
      <c r="Y2039" t="s">
        <v>36</v>
      </c>
      <c r="Z2039" s="3">
        <v>426.65</v>
      </c>
      <c r="AA2039" t="s">
        <v>48</v>
      </c>
      <c r="AB2039" t="s">
        <v>33</v>
      </c>
      <c r="AC2039">
        <v>40.6</v>
      </c>
      <c r="AD2039" t="s">
        <v>43</v>
      </c>
      <c r="AE2039">
        <v>2339.9899999999998</v>
      </c>
      <c r="AF2039">
        <v>0</v>
      </c>
    </row>
    <row r="2040" spans="3:32" x14ac:dyDescent="0.35">
      <c r="C2040" s="1">
        <v>44666</v>
      </c>
      <c r="D2040" s="2">
        <v>44652</v>
      </c>
      <c r="E2040">
        <v>1977</v>
      </c>
      <c r="F2040" s="3">
        <v>5355.45</v>
      </c>
      <c r="G2040" s="3">
        <v>3311.72</v>
      </c>
      <c r="H2040" s="3">
        <v>2043.73</v>
      </c>
      <c r="I2040" s="3">
        <v>0.62</v>
      </c>
      <c r="J2040">
        <v>0.16</v>
      </c>
      <c r="K2040">
        <v>1852.48</v>
      </c>
      <c r="L2040" t="s">
        <v>35</v>
      </c>
      <c r="M2040">
        <v>673</v>
      </c>
      <c r="N2040">
        <v>0.51</v>
      </c>
      <c r="O2040" s="3">
        <v>551.55999999999995</v>
      </c>
      <c r="P2040" s="3">
        <v>0.1</v>
      </c>
      <c r="Q2040" s="3">
        <v>330.08</v>
      </c>
      <c r="R2040" s="3">
        <v>0.06</v>
      </c>
      <c r="S2040">
        <v>6</v>
      </c>
      <c r="T2040">
        <v>740.2</v>
      </c>
      <c r="U2040">
        <v>87</v>
      </c>
      <c r="V2040">
        <v>0</v>
      </c>
      <c r="W2040">
        <v>262.87</v>
      </c>
      <c r="X2040">
        <v>1913.16</v>
      </c>
      <c r="Y2040" t="s">
        <v>36</v>
      </c>
      <c r="Z2040" s="3">
        <v>1551.97</v>
      </c>
      <c r="AA2040" t="s">
        <v>40</v>
      </c>
      <c r="AB2040" t="s">
        <v>33</v>
      </c>
      <c r="AC2040">
        <v>60.5</v>
      </c>
      <c r="AD2040" t="s">
        <v>34</v>
      </c>
      <c r="AE2040">
        <v>2043.73</v>
      </c>
      <c r="AF2040">
        <v>1</v>
      </c>
    </row>
    <row r="2041" spans="3:32" x14ac:dyDescent="0.35">
      <c r="C2041" s="1">
        <v>44666</v>
      </c>
      <c r="D2041" s="2">
        <v>44652</v>
      </c>
      <c r="E2041">
        <v>1959</v>
      </c>
      <c r="F2041" s="3">
        <v>5249.07</v>
      </c>
      <c r="G2041" s="3">
        <v>3704.76</v>
      </c>
      <c r="H2041" s="3">
        <v>1544.31</v>
      </c>
      <c r="I2041" s="3">
        <v>0.71</v>
      </c>
      <c r="J2041">
        <v>0.22</v>
      </c>
      <c r="K2041">
        <v>2202.8000000000002</v>
      </c>
      <c r="L2041" t="s">
        <v>35</v>
      </c>
      <c r="M2041">
        <v>718</v>
      </c>
      <c r="N2041">
        <v>0.23</v>
      </c>
      <c r="O2041" s="3">
        <v>122.03</v>
      </c>
      <c r="P2041" s="3">
        <v>0.02</v>
      </c>
      <c r="Q2041" s="3">
        <v>260.63</v>
      </c>
      <c r="R2041" s="3">
        <v>0.05</v>
      </c>
      <c r="S2041">
        <v>4</v>
      </c>
      <c r="T2041">
        <v>1304.6099999999999</v>
      </c>
      <c r="U2041">
        <v>68</v>
      </c>
      <c r="V2041">
        <v>0</v>
      </c>
      <c r="W2041">
        <v>515.11</v>
      </c>
      <c r="X2041">
        <v>2478.86</v>
      </c>
      <c r="Y2041" t="s">
        <v>36</v>
      </c>
      <c r="Z2041" s="3">
        <v>727.35</v>
      </c>
      <c r="AA2041" t="s">
        <v>48</v>
      </c>
      <c r="AB2041" t="s">
        <v>42</v>
      </c>
      <c r="AC2041">
        <v>91.7</v>
      </c>
      <c r="AD2041" t="s">
        <v>34</v>
      </c>
      <c r="AE2041">
        <v>1544.31</v>
      </c>
      <c r="AF2041">
        <v>0</v>
      </c>
    </row>
    <row r="2042" spans="3:32" x14ac:dyDescent="0.35">
      <c r="C2042" s="1">
        <v>44666</v>
      </c>
      <c r="D2042" s="2">
        <v>44652</v>
      </c>
      <c r="E2042">
        <v>1926</v>
      </c>
      <c r="F2042" s="3">
        <v>3654.72</v>
      </c>
      <c r="G2042" s="3">
        <v>4292.3500000000004</v>
      </c>
      <c r="H2042" s="3">
        <v>-637.63</v>
      </c>
      <c r="I2042" s="3">
        <v>1.17</v>
      </c>
      <c r="J2042">
        <v>0.19</v>
      </c>
      <c r="K2042">
        <v>3112.6</v>
      </c>
      <c r="L2042" t="s">
        <v>35</v>
      </c>
      <c r="M2042">
        <v>704</v>
      </c>
      <c r="N2042">
        <v>0.22</v>
      </c>
      <c r="O2042" s="3">
        <v>335.96</v>
      </c>
      <c r="P2042" s="3">
        <v>0.09</v>
      </c>
      <c r="Q2042" s="3">
        <v>596.05999999999995</v>
      </c>
      <c r="R2042" s="3">
        <v>0.16</v>
      </c>
      <c r="S2042">
        <v>9</v>
      </c>
      <c r="T2042">
        <v>629.96</v>
      </c>
      <c r="U2042">
        <v>69</v>
      </c>
      <c r="V2042">
        <v>0</v>
      </c>
      <c r="W2042">
        <v>919.34</v>
      </c>
      <c r="X2042">
        <v>1956.68</v>
      </c>
      <c r="Y2042" t="s">
        <v>36</v>
      </c>
      <c r="Z2042" s="3">
        <v>1507.88</v>
      </c>
      <c r="AA2042" t="s">
        <v>51</v>
      </c>
      <c r="AB2042" t="s">
        <v>33</v>
      </c>
      <c r="AC2042">
        <v>98</v>
      </c>
      <c r="AD2042" t="s">
        <v>43</v>
      </c>
      <c r="AE2042">
        <v>0</v>
      </c>
      <c r="AF2042">
        <v>0</v>
      </c>
    </row>
    <row r="2043" spans="3:32" x14ac:dyDescent="0.35">
      <c r="C2043" s="1">
        <v>44666</v>
      </c>
      <c r="D2043" s="2">
        <v>44652</v>
      </c>
      <c r="E2043">
        <v>1394</v>
      </c>
      <c r="F2043" s="3">
        <v>3686.26</v>
      </c>
      <c r="G2043" s="3">
        <v>2667.71</v>
      </c>
      <c r="H2043" s="3">
        <v>1018.55</v>
      </c>
      <c r="I2043" s="3">
        <v>0.72</v>
      </c>
      <c r="J2043">
        <v>0.25</v>
      </c>
      <c r="K2043">
        <v>2523.25</v>
      </c>
      <c r="L2043" t="s">
        <v>39</v>
      </c>
      <c r="M2043">
        <v>744</v>
      </c>
      <c r="N2043">
        <v>0.12</v>
      </c>
      <c r="O2043" s="3">
        <v>813.39</v>
      </c>
      <c r="P2043" s="3">
        <v>0.22</v>
      </c>
      <c r="Q2043" s="3">
        <v>341.52</v>
      </c>
      <c r="R2043" s="3">
        <v>0.09</v>
      </c>
      <c r="S2043">
        <v>1</v>
      </c>
      <c r="T2043">
        <v>1317.39</v>
      </c>
      <c r="U2043">
        <v>62</v>
      </c>
      <c r="V2043">
        <v>0</v>
      </c>
      <c r="W2043">
        <v>114.65</v>
      </c>
      <c r="X2043">
        <v>2570.64</v>
      </c>
      <c r="Y2043" t="s">
        <v>49</v>
      </c>
      <c r="Z2043" s="3">
        <v>1068.07</v>
      </c>
      <c r="AA2043" t="s">
        <v>47</v>
      </c>
      <c r="AB2043" t="s">
        <v>33</v>
      </c>
      <c r="AC2043">
        <v>89.1</v>
      </c>
      <c r="AD2043" t="s">
        <v>34</v>
      </c>
      <c r="AE2043">
        <v>1018.55</v>
      </c>
      <c r="AF2043">
        <v>0</v>
      </c>
    </row>
    <row r="2044" spans="3:32" x14ac:dyDescent="0.35">
      <c r="C2044" s="1">
        <v>44666</v>
      </c>
      <c r="D2044" s="2">
        <v>44652</v>
      </c>
      <c r="E2044">
        <v>1807</v>
      </c>
      <c r="F2044" s="3">
        <v>3857.46</v>
      </c>
      <c r="G2044" s="3">
        <v>2393.0700000000002</v>
      </c>
      <c r="H2044" s="3">
        <v>1464.39</v>
      </c>
      <c r="I2044" s="3">
        <v>0.62</v>
      </c>
      <c r="J2044">
        <v>0.15</v>
      </c>
      <c r="K2044">
        <v>3866.06</v>
      </c>
      <c r="L2044" t="s">
        <v>30</v>
      </c>
      <c r="M2044">
        <v>645</v>
      </c>
      <c r="N2044">
        <v>0.6</v>
      </c>
      <c r="O2044" s="3">
        <v>154.16</v>
      </c>
      <c r="P2044" s="3">
        <v>0.04</v>
      </c>
      <c r="Q2044" s="3">
        <v>528.52</v>
      </c>
      <c r="R2044" s="3">
        <v>0.14000000000000001</v>
      </c>
      <c r="S2044">
        <v>5</v>
      </c>
      <c r="T2044">
        <v>197.4</v>
      </c>
      <c r="U2044">
        <v>21</v>
      </c>
      <c r="V2044">
        <v>0</v>
      </c>
      <c r="W2044">
        <v>354.15</v>
      </c>
      <c r="X2044">
        <v>3080.48</v>
      </c>
      <c r="Y2044" t="s">
        <v>31</v>
      </c>
      <c r="Z2044" s="3">
        <v>1304.8599999999999</v>
      </c>
      <c r="AA2044" t="s">
        <v>51</v>
      </c>
      <c r="AB2044" t="s">
        <v>33</v>
      </c>
      <c r="AC2044">
        <v>46.2</v>
      </c>
      <c r="AD2044" t="s">
        <v>38</v>
      </c>
      <c r="AE2044">
        <v>1464.39</v>
      </c>
      <c r="AF2044">
        <v>0</v>
      </c>
    </row>
    <row r="2045" spans="3:32" x14ac:dyDescent="0.35">
      <c r="C2045" s="1">
        <v>44666</v>
      </c>
      <c r="D2045" s="2">
        <v>44652</v>
      </c>
      <c r="E2045">
        <v>1929</v>
      </c>
      <c r="F2045" s="3">
        <v>2950.32</v>
      </c>
      <c r="G2045" s="3">
        <v>4466.05</v>
      </c>
      <c r="H2045" s="3">
        <v>-1515.73</v>
      </c>
      <c r="I2045" s="3">
        <v>1.51</v>
      </c>
      <c r="J2045">
        <v>0.13</v>
      </c>
      <c r="K2045">
        <v>2430.62</v>
      </c>
      <c r="L2045" t="s">
        <v>35</v>
      </c>
      <c r="M2045">
        <v>650</v>
      </c>
      <c r="N2045">
        <v>0.17</v>
      </c>
      <c r="O2045" s="3">
        <v>276.26</v>
      </c>
      <c r="P2045" s="3">
        <v>0.09</v>
      </c>
      <c r="Q2045" s="3">
        <v>235.36</v>
      </c>
      <c r="R2045" s="3">
        <v>0.08</v>
      </c>
      <c r="S2045">
        <v>9</v>
      </c>
      <c r="T2045">
        <v>1287.4000000000001</v>
      </c>
      <c r="U2045">
        <v>46</v>
      </c>
      <c r="V2045">
        <v>0</v>
      </c>
      <c r="W2045">
        <v>508.28</v>
      </c>
      <c r="X2045">
        <v>3055.92</v>
      </c>
      <c r="Y2045" t="s">
        <v>36</v>
      </c>
      <c r="Z2045" s="3">
        <v>1984.93</v>
      </c>
      <c r="AA2045" t="s">
        <v>40</v>
      </c>
      <c r="AB2045" t="s">
        <v>33</v>
      </c>
      <c r="AC2045">
        <v>1.8</v>
      </c>
      <c r="AD2045" t="s">
        <v>43</v>
      </c>
      <c r="AE2045">
        <v>0</v>
      </c>
      <c r="AF2045">
        <v>0</v>
      </c>
    </row>
    <row r="2046" spans="3:32" x14ac:dyDescent="0.35">
      <c r="C2046" s="1">
        <v>44666</v>
      </c>
      <c r="D2046" s="2">
        <v>44652</v>
      </c>
      <c r="E2046">
        <v>1128</v>
      </c>
      <c r="F2046" s="3">
        <v>4805.37</v>
      </c>
      <c r="G2046" s="3">
        <v>2235.81</v>
      </c>
      <c r="H2046" s="3">
        <v>2569.56</v>
      </c>
      <c r="I2046" s="3">
        <v>0.47</v>
      </c>
      <c r="J2046">
        <v>0.21</v>
      </c>
      <c r="K2046">
        <v>2579.08</v>
      </c>
      <c r="L2046" t="s">
        <v>35</v>
      </c>
      <c r="M2046">
        <v>696</v>
      </c>
      <c r="N2046">
        <v>0.34</v>
      </c>
      <c r="O2046" s="3">
        <v>817.56</v>
      </c>
      <c r="P2046" s="3">
        <v>0.17</v>
      </c>
      <c r="Q2046" s="3">
        <v>592.76</v>
      </c>
      <c r="R2046" s="3">
        <v>0.12</v>
      </c>
      <c r="S2046">
        <v>4</v>
      </c>
      <c r="T2046">
        <v>1086.82</v>
      </c>
      <c r="U2046">
        <v>59</v>
      </c>
      <c r="V2046">
        <v>0</v>
      </c>
      <c r="W2046">
        <v>368.48</v>
      </c>
      <c r="X2046">
        <v>1954.77</v>
      </c>
      <c r="Y2046" t="s">
        <v>31</v>
      </c>
      <c r="Z2046" s="3">
        <v>1202.22</v>
      </c>
      <c r="AA2046" t="s">
        <v>47</v>
      </c>
      <c r="AB2046" t="s">
        <v>33</v>
      </c>
      <c r="AC2046">
        <v>34.700000000000003</v>
      </c>
      <c r="AD2046" t="s">
        <v>43</v>
      </c>
      <c r="AE2046">
        <v>2569.56</v>
      </c>
      <c r="AF2046">
        <v>0</v>
      </c>
    </row>
    <row r="2047" spans="3:32" x14ac:dyDescent="0.35">
      <c r="C2047" s="1">
        <v>44666</v>
      </c>
      <c r="D2047" s="2">
        <v>44652</v>
      </c>
      <c r="E2047">
        <v>1037</v>
      </c>
      <c r="F2047" s="3">
        <v>3663.05</v>
      </c>
      <c r="G2047" s="3">
        <v>3183.98</v>
      </c>
      <c r="H2047" s="3">
        <v>479.07</v>
      </c>
      <c r="I2047" s="3">
        <v>0.87</v>
      </c>
      <c r="J2047">
        <v>0.2</v>
      </c>
      <c r="K2047">
        <v>2415.92</v>
      </c>
      <c r="L2047" t="s">
        <v>35</v>
      </c>
      <c r="M2047">
        <v>667</v>
      </c>
      <c r="N2047">
        <v>0.53</v>
      </c>
      <c r="O2047" s="3">
        <v>749.44</v>
      </c>
      <c r="P2047" s="3">
        <v>0.2</v>
      </c>
      <c r="Q2047" s="3">
        <v>94.87</v>
      </c>
      <c r="R2047" s="3">
        <v>0.03</v>
      </c>
      <c r="S2047">
        <v>7</v>
      </c>
      <c r="T2047">
        <v>1186.3900000000001</v>
      </c>
      <c r="U2047">
        <v>29</v>
      </c>
      <c r="V2047">
        <v>0</v>
      </c>
      <c r="W2047">
        <v>724.99</v>
      </c>
      <c r="X2047">
        <v>2725.55</v>
      </c>
      <c r="Y2047" t="s">
        <v>36</v>
      </c>
      <c r="Z2047" s="3">
        <v>1166.44</v>
      </c>
      <c r="AA2047" t="s">
        <v>32</v>
      </c>
      <c r="AB2047" t="s">
        <v>33</v>
      </c>
      <c r="AC2047">
        <v>24.5</v>
      </c>
      <c r="AD2047" t="s">
        <v>38</v>
      </c>
      <c r="AE2047">
        <v>479.07</v>
      </c>
      <c r="AF2047">
        <v>0</v>
      </c>
    </row>
    <row r="2048" spans="3:32" x14ac:dyDescent="0.35">
      <c r="C2048" s="1">
        <v>44666</v>
      </c>
      <c r="D2048" s="2">
        <v>44652</v>
      </c>
      <c r="E2048">
        <v>1565</v>
      </c>
      <c r="F2048" s="3">
        <v>4879.6099999999997</v>
      </c>
      <c r="G2048" s="3">
        <v>3328.07</v>
      </c>
      <c r="H2048" s="3">
        <v>1551.54</v>
      </c>
      <c r="I2048" s="3">
        <v>0.68</v>
      </c>
      <c r="J2048">
        <v>0.17</v>
      </c>
      <c r="K2048">
        <v>3469.88</v>
      </c>
      <c r="L2048" t="s">
        <v>35</v>
      </c>
      <c r="M2048">
        <v>657</v>
      </c>
      <c r="N2048">
        <v>0.18</v>
      </c>
      <c r="O2048" s="3">
        <v>438.02</v>
      </c>
      <c r="P2048" s="3">
        <v>0.09</v>
      </c>
      <c r="Q2048" s="3">
        <v>269.52</v>
      </c>
      <c r="R2048" s="3">
        <v>0.06</v>
      </c>
      <c r="S2048">
        <v>9</v>
      </c>
      <c r="T2048">
        <v>1667.98</v>
      </c>
      <c r="U2048">
        <v>40</v>
      </c>
      <c r="V2048">
        <v>0</v>
      </c>
      <c r="W2048">
        <v>709.07</v>
      </c>
      <c r="X2048">
        <v>1495.18</v>
      </c>
      <c r="Y2048" t="s">
        <v>31</v>
      </c>
      <c r="Z2048" s="3">
        <v>1075.97</v>
      </c>
      <c r="AA2048" t="s">
        <v>40</v>
      </c>
      <c r="AB2048" t="s">
        <v>33</v>
      </c>
      <c r="AC2048">
        <v>51.3</v>
      </c>
      <c r="AD2048" t="s">
        <v>34</v>
      </c>
      <c r="AE2048">
        <v>1551.54</v>
      </c>
      <c r="AF2048">
        <v>0</v>
      </c>
    </row>
    <row r="2049" spans="3:32" x14ac:dyDescent="0.35">
      <c r="C2049" s="1">
        <v>44666</v>
      </c>
      <c r="D2049" s="2">
        <v>44652</v>
      </c>
      <c r="E2049">
        <v>1636</v>
      </c>
      <c r="F2049" s="3">
        <v>5361.83</v>
      </c>
      <c r="G2049" s="3">
        <v>2557.75</v>
      </c>
      <c r="H2049" s="3">
        <v>2804.08</v>
      </c>
      <c r="I2049" s="3">
        <v>0.48</v>
      </c>
      <c r="J2049">
        <v>0.34</v>
      </c>
      <c r="K2049">
        <v>2857.59</v>
      </c>
      <c r="L2049" t="s">
        <v>30</v>
      </c>
      <c r="M2049">
        <v>677</v>
      </c>
      <c r="N2049">
        <v>0.57999999999999996</v>
      </c>
      <c r="O2049" s="3">
        <v>710.04</v>
      </c>
      <c r="P2049" s="3">
        <v>0.13</v>
      </c>
      <c r="Q2049" s="3">
        <v>629.21</v>
      </c>
      <c r="R2049" s="3">
        <v>0.12</v>
      </c>
      <c r="S2049">
        <v>4</v>
      </c>
      <c r="T2049">
        <v>849.56</v>
      </c>
      <c r="U2049">
        <v>86</v>
      </c>
      <c r="V2049">
        <v>0</v>
      </c>
      <c r="W2049">
        <v>465.22</v>
      </c>
      <c r="X2049">
        <v>1687.28</v>
      </c>
      <c r="Y2049" t="s">
        <v>36</v>
      </c>
      <c r="Z2049" s="3">
        <v>686.33</v>
      </c>
      <c r="AA2049" t="s">
        <v>41</v>
      </c>
      <c r="AB2049" t="s">
        <v>33</v>
      </c>
      <c r="AC2049">
        <v>9.8000000000000007</v>
      </c>
      <c r="AD2049" t="s">
        <v>34</v>
      </c>
      <c r="AE2049">
        <v>2804.08</v>
      </c>
      <c r="AF2049">
        <v>0</v>
      </c>
    </row>
    <row r="2050" spans="3:32" x14ac:dyDescent="0.35">
      <c r="C2050" s="1">
        <v>44666</v>
      </c>
      <c r="D2050" s="2">
        <v>44652</v>
      </c>
      <c r="E2050">
        <v>1475</v>
      </c>
      <c r="F2050" s="3">
        <v>4827.33</v>
      </c>
      <c r="G2050" s="3">
        <v>2973.87</v>
      </c>
      <c r="H2050" s="3">
        <v>1853.46</v>
      </c>
      <c r="I2050" s="3">
        <v>0.62</v>
      </c>
      <c r="J2050">
        <v>0.24</v>
      </c>
      <c r="K2050">
        <v>2766.82</v>
      </c>
      <c r="L2050" t="s">
        <v>30</v>
      </c>
      <c r="M2050">
        <v>705</v>
      </c>
      <c r="N2050">
        <v>0.3</v>
      </c>
      <c r="O2050" s="3">
        <v>474.42</v>
      </c>
      <c r="P2050" s="3">
        <v>0.1</v>
      </c>
      <c r="Q2050" s="3">
        <v>682.25</v>
      </c>
      <c r="R2050" s="3">
        <v>0.14000000000000001</v>
      </c>
      <c r="S2050">
        <v>8</v>
      </c>
      <c r="T2050">
        <v>1443.89</v>
      </c>
      <c r="U2050">
        <v>24</v>
      </c>
      <c r="V2050">
        <v>0</v>
      </c>
      <c r="W2050">
        <v>486.31</v>
      </c>
      <c r="X2050">
        <v>2505.71</v>
      </c>
      <c r="Y2050" t="s">
        <v>36</v>
      </c>
      <c r="Z2050" s="3">
        <v>921.62</v>
      </c>
      <c r="AA2050" t="s">
        <v>51</v>
      </c>
      <c r="AB2050" t="s">
        <v>33</v>
      </c>
      <c r="AC2050">
        <v>76.7</v>
      </c>
      <c r="AD2050" t="s">
        <v>38</v>
      </c>
      <c r="AE2050">
        <v>1853.46</v>
      </c>
      <c r="AF2050">
        <v>0</v>
      </c>
    </row>
    <row r="2051" spans="3:32" x14ac:dyDescent="0.35">
      <c r="C2051" s="1">
        <v>44666</v>
      </c>
      <c r="D2051" s="2">
        <v>44652</v>
      </c>
      <c r="E2051">
        <v>1017</v>
      </c>
      <c r="F2051" s="3">
        <v>4381.37</v>
      </c>
      <c r="G2051" s="3">
        <v>3842.65</v>
      </c>
      <c r="H2051" s="3">
        <v>538.72</v>
      </c>
      <c r="I2051" s="3">
        <v>0.88</v>
      </c>
      <c r="J2051">
        <v>0.08</v>
      </c>
      <c r="K2051">
        <v>2397.67</v>
      </c>
      <c r="L2051" t="s">
        <v>35</v>
      </c>
      <c r="M2051">
        <v>619</v>
      </c>
      <c r="N2051">
        <v>0.59</v>
      </c>
      <c r="O2051" s="3">
        <v>492.76</v>
      </c>
      <c r="P2051" s="3">
        <v>0.11</v>
      </c>
      <c r="Q2051" s="3">
        <v>570.70000000000005</v>
      </c>
      <c r="R2051" s="3">
        <v>0.13</v>
      </c>
      <c r="S2051">
        <v>8</v>
      </c>
      <c r="T2051">
        <v>829.1</v>
      </c>
      <c r="U2051">
        <v>53</v>
      </c>
      <c r="V2051">
        <v>0</v>
      </c>
      <c r="W2051">
        <v>319.05</v>
      </c>
      <c r="X2051">
        <v>1804.62</v>
      </c>
      <c r="Y2051" t="s">
        <v>36</v>
      </c>
      <c r="Z2051" s="3">
        <v>860.31</v>
      </c>
      <c r="AA2051" t="s">
        <v>46</v>
      </c>
      <c r="AB2051" t="s">
        <v>33</v>
      </c>
      <c r="AC2051">
        <v>67.8</v>
      </c>
      <c r="AD2051" t="s">
        <v>43</v>
      </c>
      <c r="AE2051">
        <v>538.72</v>
      </c>
      <c r="AF2051">
        <v>0</v>
      </c>
    </row>
    <row r="2052" spans="3:32" x14ac:dyDescent="0.35">
      <c r="C2052" s="1">
        <v>44696</v>
      </c>
      <c r="D2052" s="2">
        <v>44682</v>
      </c>
      <c r="E2052">
        <v>1529</v>
      </c>
      <c r="F2052" s="3">
        <v>3933.49</v>
      </c>
      <c r="G2052" s="3">
        <v>4154.43</v>
      </c>
      <c r="H2052" s="3">
        <v>-220.94</v>
      </c>
      <c r="I2052" s="3">
        <v>1.06</v>
      </c>
      <c r="J2052">
        <v>0.37</v>
      </c>
      <c r="K2052">
        <v>3058.63</v>
      </c>
      <c r="L2052" t="s">
        <v>35</v>
      </c>
      <c r="M2052">
        <v>635</v>
      </c>
      <c r="N2052">
        <v>0.13</v>
      </c>
      <c r="O2052" s="3">
        <v>880.34</v>
      </c>
      <c r="P2052" s="3">
        <v>0.22</v>
      </c>
      <c r="Q2052" s="3">
        <v>552.72</v>
      </c>
      <c r="R2052" s="3">
        <v>0.14000000000000001</v>
      </c>
      <c r="S2052">
        <v>3</v>
      </c>
      <c r="T2052">
        <v>210.08</v>
      </c>
      <c r="U2052">
        <v>52</v>
      </c>
      <c r="V2052">
        <v>0</v>
      </c>
      <c r="W2052">
        <v>598.5</v>
      </c>
      <c r="X2052">
        <v>3256.12</v>
      </c>
      <c r="Y2052" t="s">
        <v>36</v>
      </c>
      <c r="Z2052" s="3">
        <v>1213.3900000000001</v>
      </c>
      <c r="AA2052" t="s">
        <v>41</v>
      </c>
      <c r="AB2052" t="s">
        <v>44</v>
      </c>
      <c r="AC2052">
        <v>98</v>
      </c>
      <c r="AD2052" t="s">
        <v>34</v>
      </c>
      <c r="AE2052">
        <v>0</v>
      </c>
      <c r="AF2052">
        <v>0</v>
      </c>
    </row>
    <row r="2053" spans="3:32" x14ac:dyDescent="0.35">
      <c r="C2053" s="1">
        <v>44696</v>
      </c>
      <c r="D2053" s="2">
        <v>44682</v>
      </c>
      <c r="E2053">
        <v>1894</v>
      </c>
      <c r="F2053" s="3">
        <v>5299.48</v>
      </c>
      <c r="G2053" s="3">
        <v>2460.7399999999998</v>
      </c>
      <c r="H2053" s="3">
        <v>2838.74</v>
      </c>
      <c r="I2053" s="3">
        <v>0.46</v>
      </c>
      <c r="J2053">
        <v>0.34</v>
      </c>
      <c r="K2053">
        <v>3367.14</v>
      </c>
      <c r="L2053" t="s">
        <v>39</v>
      </c>
      <c r="M2053">
        <v>636</v>
      </c>
      <c r="N2053">
        <v>0.25</v>
      </c>
      <c r="O2053" s="3">
        <v>496.16</v>
      </c>
      <c r="P2053" s="3">
        <v>0.09</v>
      </c>
      <c r="Q2053" s="3">
        <v>264.36</v>
      </c>
      <c r="R2053" s="3">
        <v>0.05</v>
      </c>
      <c r="S2053">
        <v>4</v>
      </c>
      <c r="T2053">
        <v>295.52</v>
      </c>
      <c r="U2053">
        <v>49</v>
      </c>
      <c r="V2053">
        <v>0</v>
      </c>
      <c r="W2053">
        <v>508.35</v>
      </c>
      <c r="X2053">
        <v>2556.54</v>
      </c>
      <c r="Y2053" t="s">
        <v>36</v>
      </c>
      <c r="Z2053" s="3">
        <v>1281.9100000000001</v>
      </c>
      <c r="AA2053" t="s">
        <v>48</v>
      </c>
      <c r="AB2053" t="s">
        <v>42</v>
      </c>
      <c r="AC2053">
        <v>38.1</v>
      </c>
      <c r="AD2053" t="s">
        <v>34</v>
      </c>
      <c r="AE2053">
        <v>2838.74</v>
      </c>
      <c r="AF2053">
        <v>0</v>
      </c>
    </row>
    <row r="2054" spans="3:32" x14ac:dyDescent="0.35">
      <c r="C2054" s="1">
        <v>44696</v>
      </c>
      <c r="D2054" s="2">
        <v>44682</v>
      </c>
      <c r="E2054">
        <v>1733</v>
      </c>
      <c r="F2054" s="3">
        <v>5173.72</v>
      </c>
      <c r="G2054" s="3">
        <v>3570.01</v>
      </c>
      <c r="H2054" s="3">
        <v>1603.71</v>
      </c>
      <c r="I2054" s="3">
        <v>0.69</v>
      </c>
      <c r="J2054">
        <v>0.37</v>
      </c>
      <c r="K2054">
        <v>2631.98</v>
      </c>
      <c r="L2054" t="s">
        <v>35</v>
      </c>
      <c r="M2054">
        <v>650</v>
      </c>
      <c r="N2054">
        <v>0.47</v>
      </c>
      <c r="O2054" s="3">
        <v>695.4</v>
      </c>
      <c r="P2054" s="3">
        <v>0.13</v>
      </c>
      <c r="Q2054" s="3">
        <v>412.01</v>
      </c>
      <c r="R2054" s="3">
        <v>0.08</v>
      </c>
      <c r="S2054">
        <v>5</v>
      </c>
      <c r="T2054">
        <v>817.05</v>
      </c>
      <c r="U2054">
        <v>50</v>
      </c>
      <c r="V2054">
        <v>0</v>
      </c>
      <c r="W2054">
        <v>604.38</v>
      </c>
      <c r="X2054">
        <v>2388.88</v>
      </c>
      <c r="Y2054" t="s">
        <v>36</v>
      </c>
      <c r="Z2054" s="3">
        <v>1071.56</v>
      </c>
      <c r="AA2054" t="s">
        <v>47</v>
      </c>
      <c r="AB2054" t="s">
        <v>33</v>
      </c>
      <c r="AC2054">
        <v>44.7</v>
      </c>
      <c r="AD2054" t="s">
        <v>34</v>
      </c>
      <c r="AE2054">
        <v>1603.71</v>
      </c>
      <c r="AF2054">
        <v>0</v>
      </c>
    </row>
    <row r="2055" spans="3:32" x14ac:dyDescent="0.35">
      <c r="C2055" s="1">
        <v>44696</v>
      </c>
      <c r="D2055" s="2">
        <v>44682</v>
      </c>
      <c r="E2055">
        <v>1863</v>
      </c>
      <c r="F2055" s="3">
        <v>4371.96</v>
      </c>
      <c r="G2055" s="3">
        <v>2455.7199999999998</v>
      </c>
      <c r="H2055" s="3">
        <v>1916.24</v>
      </c>
      <c r="I2055" s="3">
        <v>0.56000000000000005</v>
      </c>
      <c r="J2055">
        <v>0.36</v>
      </c>
      <c r="K2055">
        <v>2535.29</v>
      </c>
      <c r="L2055" t="s">
        <v>35</v>
      </c>
      <c r="M2055">
        <v>760</v>
      </c>
      <c r="N2055">
        <v>0.17</v>
      </c>
      <c r="O2055" s="3">
        <v>346.45</v>
      </c>
      <c r="P2055" s="3">
        <v>0.08</v>
      </c>
      <c r="Q2055" s="3">
        <v>553.16</v>
      </c>
      <c r="R2055" s="3">
        <v>0.13</v>
      </c>
      <c r="S2055">
        <v>5</v>
      </c>
      <c r="T2055">
        <v>1123.53</v>
      </c>
      <c r="U2055">
        <v>59</v>
      </c>
      <c r="V2055">
        <v>0</v>
      </c>
      <c r="W2055">
        <v>391.69</v>
      </c>
      <c r="X2055">
        <v>1875.97</v>
      </c>
      <c r="Y2055" t="s">
        <v>36</v>
      </c>
      <c r="Z2055" s="3">
        <v>958.13</v>
      </c>
      <c r="AA2055" t="s">
        <v>51</v>
      </c>
      <c r="AB2055" t="s">
        <v>42</v>
      </c>
      <c r="AC2055">
        <v>49.2</v>
      </c>
      <c r="AD2055" t="s">
        <v>43</v>
      </c>
      <c r="AE2055">
        <v>1916.24</v>
      </c>
      <c r="AF2055">
        <v>0</v>
      </c>
    </row>
    <row r="2056" spans="3:32" x14ac:dyDescent="0.35">
      <c r="C2056" s="1">
        <v>44696</v>
      </c>
      <c r="D2056" s="2">
        <v>44682</v>
      </c>
      <c r="E2056">
        <v>1050</v>
      </c>
      <c r="F2056" s="3">
        <v>1681</v>
      </c>
      <c r="G2056" s="3">
        <v>3932.68</v>
      </c>
      <c r="H2056" s="3">
        <v>-2251.6799999999998</v>
      </c>
      <c r="I2056" s="3">
        <v>2.34</v>
      </c>
      <c r="J2056">
        <v>0.05</v>
      </c>
      <c r="K2056">
        <v>2806.41</v>
      </c>
      <c r="L2056" t="s">
        <v>35</v>
      </c>
      <c r="M2056">
        <v>674</v>
      </c>
      <c r="N2056">
        <v>0.59</v>
      </c>
      <c r="O2056" s="3">
        <v>952.51</v>
      </c>
      <c r="P2056" s="3">
        <v>0.56999999999999995</v>
      </c>
      <c r="Q2056" s="3">
        <v>290.41000000000003</v>
      </c>
      <c r="R2056" s="3">
        <v>0.17</v>
      </c>
      <c r="S2056">
        <v>6</v>
      </c>
      <c r="T2056">
        <v>1079.44</v>
      </c>
      <c r="U2056">
        <v>73</v>
      </c>
      <c r="V2056">
        <v>0</v>
      </c>
      <c r="W2056">
        <v>517.04</v>
      </c>
      <c r="X2056">
        <v>1246.95</v>
      </c>
      <c r="Y2056" t="s">
        <v>36</v>
      </c>
      <c r="Z2056" s="3">
        <v>1570.24</v>
      </c>
      <c r="AA2056" t="s">
        <v>40</v>
      </c>
      <c r="AB2056" t="s">
        <v>33</v>
      </c>
      <c r="AC2056">
        <v>12.9</v>
      </c>
      <c r="AD2056" t="s">
        <v>34</v>
      </c>
      <c r="AE2056">
        <v>0</v>
      </c>
      <c r="AF2056">
        <v>0</v>
      </c>
    </row>
    <row r="2057" spans="3:32" x14ac:dyDescent="0.35">
      <c r="C2057" s="1">
        <v>44696</v>
      </c>
      <c r="D2057" s="2">
        <v>44682</v>
      </c>
      <c r="E2057">
        <v>1176</v>
      </c>
      <c r="F2057" s="3">
        <v>4366.82</v>
      </c>
      <c r="G2057" s="3">
        <v>1838.24</v>
      </c>
      <c r="H2057" s="3">
        <v>2528.58</v>
      </c>
      <c r="I2057" s="3">
        <v>0.42</v>
      </c>
      <c r="J2057">
        <v>0.2</v>
      </c>
      <c r="K2057">
        <v>3144.45</v>
      </c>
      <c r="L2057" t="s">
        <v>30</v>
      </c>
      <c r="M2057">
        <v>676</v>
      </c>
      <c r="N2057">
        <v>0.59</v>
      </c>
      <c r="O2057" s="3">
        <v>395.75</v>
      </c>
      <c r="P2057" s="3">
        <v>0.09</v>
      </c>
      <c r="Q2057" s="3">
        <v>666.84</v>
      </c>
      <c r="R2057" s="3">
        <v>0.15</v>
      </c>
      <c r="S2057">
        <v>1</v>
      </c>
      <c r="T2057">
        <v>966.18</v>
      </c>
      <c r="U2057">
        <v>28</v>
      </c>
      <c r="V2057">
        <v>0</v>
      </c>
      <c r="W2057">
        <v>281.61</v>
      </c>
      <c r="X2057">
        <v>1740.07</v>
      </c>
      <c r="Y2057" t="s">
        <v>36</v>
      </c>
      <c r="Z2057" s="3">
        <v>1519.98</v>
      </c>
      <c r="AA2057" t="s">
        <v>46</v>
      </c>
      <c r="AB2057" t="s">
        <v>44</v>
      </c>
      <c r="AC2057">
        <v>88.4</v>
      </c>
      <c r="AD2057" t="s">
        <v>38</v>
      </c>
      <c r="AE2057">
        <v>2528.58</v>
      </c>
      <c r="AF2057">
        <v>0</v>
      </c>
    </row>
    <row r="2058" spans="3:32" x14ac:dyDescent="0.35">
      <c r="C2058" s="1">
        <v>44696</v>
      </c>
      <c r="D2058" s="2">
        <v>44682</v>
      </c>
      <c r="E2058">
        <v>1816</v>
      </c>
      <c r="F2058" s="3">
        <v>3996.81</v>
      </c>
      <c r="G2058" s="3">
        <v>2217.87</v>
      </c>
      <c r="H2058" s="3">
        <v>1778.94</v>
      </c>
      <c r="I2058" s="3">
        <v>0.55000000000000004</v>
      </c>
      <c r="J2058">
        <v>0.2</v>
      </c>
      <c r="K2058">
        <v>2595.98</v>
      </c>
      <c r="L2058" t="s">
        <v>30</v>
      </c>
      <c r="M2058">
        <v>644</v>
      </c>
      <c r="N2058">
        <v>0.11</v>
      </c>
      <c r="O2058" s="3">
        <v>404.71</v>
      </c>
      <c r="P2058" s="3">
        <v>0.1</v>
      </c>
      <c r="Q2058" s="3">
        <v>0</v>
      </c>
      <c r="R2058" s="3">
        <v>0</v>
      </c>
      <c r="S2058">
        <v>1</v>
      </c>
      <c r="T2058">
        <v>684.03</v>
      </c>
      <c r="U2058">
        <v>76</v>
      </c>
      <c r="V2058">
        <v>0</v>
      </c>
      <c r="W2058">
        <v>450.36</v>
      </c>
      <c r="X2058">
        <v>2312.5300000000002</v>
      </c>
      <c r="Y2058" t="s">
        <v>36</v>
      </c>
      <c r="Z2058" s="3">
        <v>1066.21</v>
      </c>
      <c r="AA2058" t="s">
        <v>40</v>
      </c>
      <c r="AB2058" t="s">
        <v>42</v>
      </c>
      <c r="AC2058">
        <v>91.1</v>
      </c>
      <c r="AD2058" t="s">
        <v>34</v>
      </c>
      <c r="AE2058">
        <v>1778.94</v>
      </c>
      <c r="AF2058">
        <v>0</v>
      </c>
    </row>
    <row r="2059" spans="3:32" x14ac:dyDescent="0.35">
      <c r="C2059" s="1">
        <v>44696</v>
      </c>
      <c r="D2059" s="2">
        <v>44682</v>
      </c>
      <c r="E2059">
        <v>1399</v>
      </c>
      <c r="F2059" s="3">
        <v>3557.06</v>
      </c>
      <c r="G2059" s="3">
        <v>4233.83</v>
      </c>
      <c r="H2059" s="3">
        <v>-676.77</v>
      </c>
      <c r="I2059" s="3">
        <v>1.19</v>
      </c>
      <c r="J2059">
        <v>0.28000000000000003</v>
      </c>
      <c r="K2059">
        <v>3190.36</v>
      </c>
      <c r="L2059" t="s">
        <v>39</v>
      </c>
      <c r="M2059">
        <v>716</v>
      </c>
      <c r="N2059">
        <v>0.56999999999999995</v>
      </c>
      <c r="O2059" s="3">
        <v>526.35</v>
      </c>
      <c r="P2059" s="3">
        <v>0.15</v>
      </c>
      <c r="Q2059" s="3">
        <v>386.69</v>
      </c>
      <c r="R2059" s="3">
        <v>0.11</v>
      </c>
      <c r="S2059">
        <v>9</v>
      </c>
      <c r="T2059">
        <v>1396.77</v>
      </c>
      <c r="U2059">
        <v>55</v>
      </c>
      <c r="V2059">
        <v>0</v>
      </c>
      <c r="W2059">
        <v>671.6</v>
      </c>
      <c r="X2059">
        <v>3143.11</v>
      </c>
      <c r="Y2059" t="s">
        <v>36</v>
      </c>
      <c r="Z2059" s="3">
        <v>1598.93</v>
      </c>
      <c r="AA2059" t="s">
        <v>46</v>
      </c>
      <c r="AB2059" t="s">
        <v>42</v>
      </c>
      <c r="AC2059">
        <v>66</v>
      </c>
      <c r="AD2059" t="s">
        <v>38</v>
      </c>
      <c r="AE2059">
        <v>0</v>
      </c>
      <c r="AF2059">
        <v>0</v>
      </c>
    </row>
    <row r="2060" spans="3:32" x14ac:dyDescent="0.35">
      <c r="C2060" s="1">
        <v>44696</v>
      </c>
      <c r="D2060" s="2">
        <v>44682</v>
      </c>
      <c r="E2060">
        <v>1345</v>
      </c>
      <c r="F2060" s="3">
        <v>4470.05</v>
      </c>
      <c r="G2060" s="3">
        <v>2118.36</v>
      </c>
      <c r="H2060" s="3">
        <v>2351.69</v>
      </c>
      <c r="I2060" s="3">
        <v>0.47</v>
      </c>
      <c r="J2060">
        <v>0.4</v>
      </c>
      <c r="K2060">
        <v>3281.43</v>
      </c>
      <c r="L2060" t="s">
        <v>30</v>
      </c>
      <c r="M2060">
        <v>701</v>
      </c>
      <c r="N2060">
        <v>0.19</v>
      </c>
      <c r="O2060" s="3">
        <v>438.25</v>
      </c>
      <c r="P2060" s="3">
        <v>0.1</v>
      </c>
      <c r="Q2060" s="3">
        <v>667.81</v>
      </c>
      <c r="R2060" s="3">
        <v>0.15</v>
      </c>
      <c r="S2060">
        <v>7</v>
      </c>
      <c r="T2060">
        <v>1787.5</v>
      </c>
      <c r="U2060">
        <v>73</v>
      </c>
      <c r="V2060">
        <v>0</v>
      </c>
      <c r="W2060">
        <v>477.87</v>
      </c>
      <c r="X2060">
        <v>1808.45</v>
      </c>
      <c r="Y2060" t="s">
        <v>31</v>
      </c>
      <c r="Z2060" s="3">
        <v>867.58</v>
      </c>
      <c r="AA2060" t="s">
        <v>51</v>
      </c>
      <c r="AB2060" t="s">
        <v>42</v>
      </c>
      <c r="AC2060">
        <v>24.6</v>
      </c>
      <c r="AD2060" t="s">
        <v>34</v>
      </c>
      <c r="AE2060">
        <v>2351.69</v>
      </c>
      <c r="AF2060">
        <v>0</v>
      </c>
    </row>
    <row r="2061" spans="3:32" x14ac:dyDescent="0.35">
      <c r="C2061" s="1">
        <v>44696</v>
      </c>
      <c r="D2061" s="2">
        <v>44682</v>
      </c>
      <c r="E2061">
        <v>1123</v>
      </c>
      <c r="F2061" s="3">
        <v>4691.21</v>
      </c>
      <c r="G2061" s="3">
        <v>2855.03</v>
      </c>
      <c r="H2061" s="3">
        <v>1836.18</v>
      </c>
      <c r="I2061" s="3">
        <v>0.61</v>
      </c>
      <c r="J2061">
        <v>0.37</v>
      </c>
      <c r="K2061">
        <v>3099.22</v>
      </c>
      <c r="L2061" t="s">
        <v>35</v>
      </c>
      <c r="M2061">
        <v>718</v>
      </c>
      <c r="N2061">
        <v>0.14000000000000001</v>
      </c>
      <c r="O2061" s="3">
        <v>948.03</v>
      </c>
      <c r="P2061" s="3">
        <v>0.2</v>
      </c>
      <c r="Q2061" s="3">
        <v>392.01</v>
      </c>
      <c r="R2061" s="3">
        <v>0.08</v>
      </c>
      <c r="S2061">
        <v>5</v>
      </c>
      <c r="T2061">
        <v>1984.61</v>
      </c>
      <c r="U2061">
        <v>97</v>
      </c>
      <c r="V2061">
        <v>0</v>
      </c>
      <c r="W2061">
        <v>812.23</v>
      </c>
      <c r="X2061">
        <v>2650.24</v>
      </c>
      <c r="Y2061" t="s">
        <v>36</v>
      </c>
      <c r="Z2061" s="3">
        <v>1334.23</v>
      </c>
      <c r="AA2061" t="s">
        <v>40</v>
      </c>
      <c r="AB2061" t="s">
        <v>33</v>
      </c>
      <c r="AC2061">
        <v>53.6</v>
      </c>
      <c r="AD2061" t="s">
        <v>34</v>
      </c>
      <c r="AE2061">
        <v>1836.18</v>
      </c>
      <c r="AF2061">
        <v>0</v>
      </c>
    </row>
    <row r="2062" spans="3:32" x14ac:dyDescent="0.35">
      <c r="C2062" s="1">
        <v>44696</v>
      </c>
      <c r="D2062" s="2">
        <v>44682</v>
      </c>
      <c r="E2062">
        <v>1849</v>
      </c>
      <c r="F2062" s="3">
        <v>3239.67</v>
      </c>
      <c r="G2062" s="3">
        <v>3570.34</v>
      </c>
      <c r="H2062" s="3">
        <v>-330.67</v>
      </c>
      <c r="I2062" s="3">
        <v>1.1000000000000001</v>
      </c>
      <c r="J2062">
        <v>0.21</v>
      </c>
      <c r="K2062">
        <v>2562.6799999999998</v>
      </c>
      <c r="L2062" t="s">
        <v>30</v>
      </c>
      <c r="M2062">
        <v>645</v>
      </c>
      <c r="N2062">
        <v>0.42</v>
      </c>
      <c r="O2062" s="3">
        <v>255.5</v>
      </c>
      <c r="P2062" s="3">
        <v>0.08</v>
      </c>
      <c r="Q2062" s="3">
        <v>976.25</v>
      </c>
      <c r="R2062" s="3">
        <v>0.3</v>
      </c>
      <c r="S2062">
        <v>4</v>
      </c>
      <c r="T2062">
        <v>594.96</v>
      </c>
      <c r="U2062">
        <v>42</v>
      </c>
      <c r="V2062">
        <v>0</v>
      </c>
      <c r="W2062">
        <v>528.08000000000004</v>
      </c>
      <c r="X2062">
        <v>2350.71</v>
      </c>
      <c r="Y2062" t="s">
        <v>36</v>
      </c>
      <c r="Z2062" s="3">
        <v>1057.01</v>
      </c>
      <c r="AA2062" t="s">
        <v>50</v>
      </c>
      <c r="AB2062" t="s">
        <v>42</v>
      </c>
      <c r="AC2062">
        <v>58.5</v>
      </c>
      <c r="AD2062" t="s">
        <v>43</v>
      </c>
      <c r="AE2062">
        <v>0</v>
      </c>
      <c r="AF2062">
        <v>0</v>
      </c>
    </row>
    <row r="2063" spans="3:32" x14ac:dyDescent="0.35">
      <c r="C2063" s="1">
        <v>44696</v>
      </c>
      <c r="D2063" s="2">
        <v>44682</v>
      </c>
      <c r="E2063">
        <v>1570</v>
      </c>
      <c r="F2063" s="3">
        <v>3394.48</v>
      </c>
      <c r="G2063" s="3">
        <v>2227.33</v>
      </c>
      <c r="H2063" s="3">
        <v>1167.1500000000001</v>
      </c>
      <c r="I2063" s="3">
        <v>0.66</v>
      </c>
      <c r="J2063">
        <v>0.38</v>
      </c>
      <c r="K2063">
        <v>3560.53</v>
      </c>
      <c r="L2063" t="s">
        <v>35</v>
      </c>
      <c r="M2063">
        <v>661</v>
      </c>
      <c r="N2063">
        <v>0.47</v>
      </c>
      <c r="O2063" s="3">
        <v>446.25</v>
      </c>
      <c r="P2063" s="3">
        <v>0.13</v>
      </c>
      <c r="Q2063" s="3">
        <v>196.18</v>
      </c>
      <c r="R2063" s="3">
        <v>0.06</v>
      </c>
      <c r="S2063">
        <v>8</v>
      </c>
      <c r="T2063">
        <v>911.22</v>
      </c>
      <c r="U2063">
        <v>51</v>
      </c>
      <c r="V2063">
        <v>0</v>
      </c>
      <c r="W2063">
        <v>333.02</v>
      </c>
      <c r="X2063">
        <v>2103.58</v>
      </c>
      <c r="Y2063" t="s">
        <v>36</v>
      </c>
      <c r="Z2063" s="3">
        <v>755.62</v>
      </c>
      <c r="AA2063" t="s">
        <v>32</v>
      </c>
      <c r="AB2063" t="s">
        <v>42</v>
      </c>
      <c r="AC2063">
        <v>48.8</v>
      </c>
      <c r="AD2063" t="s">
        <v>38</v>
      </c>
      <c r="AE2063">
        <v>1167.1500000000001</v>
      </c>
      <c r="AF2063">
        <v>0</v>
      </c>
    </row>
    <row r="2064" spans="3:32" x14ac:dyDescent="0.35">
      <c r="C2064" s="1">
        <v>44696</v>
      </c>
      <c r="D2064" s="2">
        <v>44682</v>
      </c>
      <c r="E2064">
        <v>1835</v>
      </c>
      <c r="F2064" s="3">
        <v>2929.09</v>
      </c>
      <c r="G2064" s="3">
        <v>4223.08</v>
      </c>
      <c r="H2064" s="3">
        <v>-1293.99</v>
      </c>
      <c r="I2064" s="3">
        <v>1.44</v>
      </c>
      <c r="J2064">
        <v>0.19</v>
      </c>
      <c r="K2064">
        <v>2222.4499999999998</v>
      </c>
      <c r="L2064" t="s">
        <v>35</v>
      </c>
      <c r="M2064">
        <v>695</v>
      </c>
      <c r="N2064">
        <v>0.56999999999999995</v>
      </c>
      <c r="O2064" s="3">
        <v>408.24</v>
      </c>
      <c r="P2064" s="3">
        <v>0.14000000000000001</v>
      </c>
      <c r="Q2064" s="3">
        <v>478.22</v>
      </c>
      <c r="R2064" s="3">
        <v>0.16</v>
      </c>
      <c r="S2064">
        <v>5</v>
      </c>
      <c r="T2064">
        <v>735.06</v>
      </c>
      <c r="U2064">
        <v>82</v>
      </c>
      <c r="V2064">
        <v>0</v>
      </c>
      <c r="W2064">
        <v>499.56</v>
      </c>
      <c r="X2064">
        <v>1763.02</v>
      </c>
      <c r="Y2064" t="s">
        <v>31</v>
      </c>
      <c r="Z2064" s="3">
        <v>420.21</v>
      </c>
      <c r="AA2064" t="s">
        <v>37</v>
      </c>
      <c r="AB2064" t="s">
        <v>33</v>
      </c>
      <c r="AC2064">
        <v>35.4</v>
      </c>
      <c r="AD2064" t="s">
        <v>34</v>
      </c>
      <c r="AE2064">
        <v>0</v>
      </c>
      <c r="AF2064">
        <v>0</v>
      </c>
    </row>
    <row r="2065" spans="3:32" x14ac:dyDescent="0.35">
      <c r="C2065" s="1">
        <v>44696</v>
      </c>
      <c r="D2065" s="2">
        <v>44682</v>
      </c>
      <c r="E2065">
        <v>1023</v>
      </c>
      <c r="F2065" s="3">
        <v>5338.27</v>
      </c>
      <c r="G2065" s="3">
        <v>3416.73</v>
      </c>
      <c r="H2065" s="3">
        <v>1921.54</v>
      </c>
      <c r="I2065" s="3">
        <v>0.64</v>
      </c>
      <c r="J2065">
        <v>0.09</v>
      </c>
      <c r="K2065">
        <v>2418.2800000000002</v>
      </c>
      <c r="L2065" t="s">
        <v>35</v>
      </c>
      <c r="M2065">
        <v>674</v>
      </c>
      <c r="N2065">
        <v>0.33</v>
      </c>
      <c r="O2065" s="3">
        <v>571.05999999999995</v>
      </c>
      <c r="P2065" s="3">
        <v>0.11</v>
      </c>
      <c r="Q2065" s="3">
        <v>358.08</v>
      </c>
      <c r="R2065" s="3">
        <v>7.0000000000000007E-2</v>
      </c>
      <c r="S2065">
        <v>8</v>
      </c>
      <c r="T2065">
        <v>248.03</v>
      </c>
      <c r="U2065">
        <v>57</v>
      </c>
      <c r="V2065">
        <v>0</v>
      </c>
      <c r="W2065">
        <v>661.57</v>
      </c>
      <c r="X2065">
        <v>2744.28</v>
      </c>
      <c r="Y2065" t="s">
        <v>36</v>
      </c>
      <c r="Z2065" s="3">
        <v>728</v>
      </c>
      <c r="AA2065" t="s">
        <v>40</v>
      </c>
      <c r="AB2065" t="s">
        <v>44</v>
      </c>
      <c r="AC2065">
        <v>3.9</v>
      </c>
      <c r="AD2065" t="s">
        <v>34</v>
      </c>
      <c r="AE2065">
        <v>1921.54</v>
      </c>
      <c r="AF2065">
        <v>0</v>
      </c>
    </row>
    <row r="2066" spans="3:32" x14ac:dyDescent="0.35">
      <c r="C2066" s="1">
        <v>44696</v>
      </c>
      <c r="D2066" s="2">
        <v>44682</v>
      </c>
      <c r="E2066">
        <v>1982</v>
      </c>
      <c r="F2066" s="3">
        <v>4784.25</v>
      </c>
      <c r="G2066" s="3">
        <v>1063.8800000000001</v>
      </c>
      <c r="H2066" s="3">
        <v>3720.37</v>
      </c>
      <c r="I2066" s="3">
        <v>0.22</v>
      </c>
      <c r="J2066">
        <v>0.18</v>
      </c>
      <c r="K2066">
        <v>2964.91</v>
      </c>
      <c r="L2066" t="s">
        <v>35</v>
      </c>
      <c r="M2066">
        <v>684</v>
      </c>
      <c r="N2066">
        <v>0.5</v>
      </c>
      <c r="O2066" s="3">
        <v>222.98</v>
      </c>
      <c r="P2066" s="3">
        <v>0.05</v>
      </c>
      <c r="Q2066" s="3">
        <v>447.57</v>
      </c>
      <c r="R2066" s="3">
        <v>0.09</v>
      </c>
      <c r="S2066">
        <v>8</v>
      </c>
      <c r="T2066">
        <v>1033.6300000000001</v>
      </c>
      <c r="U2066">
        <v>57</v>
      </c>
      <c r="V2066">
        <v>0</v>
      </c>
      <c r="W2066">
        <v>580.47</v>
      </c>
      <c r="X2066">
        <v>2284.0500000000002</v>
      </c>
      <c r="Y2066" t="s">
        <v>31</v>
      </c>
      <c r="Z2066" s="3">
        <v>839.45</v>
      </c>
      <c r="AA2066" t="s">
        <v>41</v>
      </c>
      <c r="AB2066" t="s">
        <v>33</v>
      </c>
      <c r="AC2066">
        <v>3</v>
      </c>
      <c r="AD2066" t="s">
        <v>34</v>
      </c>
      <c r="AE2066">
        <v>3720.37</v>
      </c>
      <c r="AF2066">
        <v>1</v>
      </c>
    </row>
    <row r="2067" spans="3:32" x14ac:dyDescent="0.35">
      <c r="C2067" s="1">
        <v>44696</v>
      </c>
      <c r="D2067" s="2">
        <v>44682</v>
      </c>
      <c r="E2067">
        <v>1349</v>
      </c>
      <c r="F2067" s="3">
        <v>3706.82</v>
      </c>
      <c r="G2067" s="3">
        <v>2593.66</v>
      </c>
      <c r="H2067" s="3">
        <v>1113.1600000000001</v>
      </c>
      <c r="I2067" s="3">
        <v>0.7</v>
      </c>
      <c r="J2067">
        <v>0.09</v>
      </c>
      <c r="K2067">
        <v>2217.73</v>
      </c>
      <c r="L2067" t="s">
        <v>35</v>
      </c>
      <c r="M2067">
        <v>640</v>
      </c>
      <c r="N2067">
        <v>0.28000000000000003</v>
      </c>
      <c r="O2067" s="3">
        <v>95.35</v>
      </c>
      <c r="P2067" s="3">
        <v>0.03</v>
      </c>
      <c r="Q2067" s="3">
        <v>152.18</v>
      </c>
      <c r="R2067" s="3">
        <v>0.04</v>
      </c>
      <c r="S2067">
        <v>8</v>
      </c>
      <c r="T2067">
        <v>916.94</v>
      </c>
      <c r="U2067">
        <v>82</v>
      </c>
      <c r="V2067">
        <v>0</v>
      </c>
      <c r="W2067">
        <v>785.15</v>
      </c>
      <c r="X2067">
        <v>2777.26</v>
      </c>
      <c r="Y2067" t="s">
        <v>36</v>
      </c>
      <c r="Z2067" s="3">
        <v>1023.57</v>
      </c>
      <c r="AA2067" t="s">
        <v>50</v>
      </c>
      <c r="AB2067" t="s">
        <v>44</v>
      </c>
      <c r="AC2067">
        <v>19.600000000000001</v>
      </c>
      <c r="AD2067" t="s">
        <v>34</v>
      </c>
      <c r="AE2067">
        <v>1113.1600000000001</v>
      </c>
      <c r="AF2067">
        <v>0</v>
      </c>
    </row>
    <row r="2068" spans="3:32" x14ac:dyDescent="0.35">
      <c r="C2068" s="1">
        <v>44696</v>
      </c>
      <c r="D2068" s="2">
        <v>44682</v>
      </c>
      <c r="E2068">
        <v>1622</v>
      </c>
      <c r="F2068" s="3">
        <v>5052.0200000000004</v>
      </c>
      <c r="G2068" s="3">
        <v>2074.6999999999998</v>
      </c>
      <c r="H2068" s="3">
        <v>2977.32</v>
      </c>
      <c r="I2068" s="3">
        <v>0.41</v>
      </c>
      <c r="J2068">
        <v>0.25</v>
      </c>
      <c r="K2068">
        <v>3762.22</v>
      </c>
      <c r="L2068" t="s">
        <v>30</v>
      </c>
      <c r="M2068">
        <v>701</v>
      </c>
      <c r="N2068">
        <v>0.54</v>
      </c>
      <c r="O2068" s="3">
        <v>518.4</v>
      </c>
      <c r="P2068" s="3">
        <v>0.1</v>
      </c>
      <c r="Q2068" s="3">
        <v>728.55</v>
      </c>
      <c r="R2068" s="3">
        <v>0.14000000000000001</v>
      </c>
      <c r="S2068">
        <v>9</v>
      </c>
      <c r="T2068">
        <v>1542.49</v>
      </c>
      <c r="U2068">
        <v>89</v>
      </c>
      <c r="V2068">
        <v>0</v>
      </c>
      <c r="W2068">
        <v>223.21</v>
      </c>
      <c r="X2068">
        <v>2629.4</v>
      </c>
      <c r="Y2068" t="s">
        <v>49</v>
      </c>
      <c r="Z2068" s="3">
        <v>1129.1600000000001</v>
      </c>
      <c r="AA2068" t="s">
        <v>41</v>
      </c>
      <c r="AB2068" t="s">
        <v>33</v>
      </c>
      <c r="AC2068">
        <v>86.9</v>
      </c>
      <c r="AD2068" t="s">
        <v>34</v>
      </c>
      <c r="AE2068">
        <v>2977.32</v>
      </c>
      <c r="AF2068">
        <v>0</v>
      </c>
    </row>
    <row r="2069" spans="3:32" x14ac:dyDescent="0.35">
      <c r="C2069" s="1">
        <v>44696</v>
      </c>
      <c r="D2069" s="2">
        <v>44682</v>
      </c>
      <c r="E2069">
        <v>1608</v>
      </c>
      <c r="F2069" s="3">
        <v>3976.21</v>
      </c>
      <c r="G2069" s="3">
        <v>2736.73</v>
      </c>
      <c r="H2069" s="3">
        <v>1239.48</v>
      </c>
      <c r="I2069" s="3">
        <v>0.69</v>
      </c>
      <c r="J2069">
        <v>0.08</v>
      </c>
      <c r="K2069">
        <v>2872.86</v>
      </c>
      <c r="L2069" t="s">
        <v>35</v>
      </c>
      <c r="M2069">
        <v>692</v>
      </c>
      <c r="N2069">
        <v>0.31</v>
      </c>
      <c r="O2069" s="3">
        <v>508.76</v>
      </c>
      <c r="P2069" s="3">
        <v>0.13</v>
      </c>
      <c r="Q2069" s="3">
        <v>793.09</v>
      </c>
      <c r="R2069" s="3">
        <v>0.2</v>
      </c>
      <c r="S2069">
        <v>3</v>
      </c>
      <c r="T2069">
        <v>646.01</v>
      </c>
      <c r="U2069">
        <v>90</v>
      </c>
      <c r="V2069">
        <v>0</v>
      </c>
      <c r="W2069">
        <v>682.41</v>
      </c>
      <c r="X2069">
        <v>2494.5700000000002</v>
      </c>
      <c r="Y2069" t="s">
        <v>31</v>
      </c>
      <c r="Z2069" s="3">
        <v>1374.23</v>
      </c>
      <c r="AA2069" t="s">
        <v>37</v>
      </c>
      <c r="AB2069" t="s">
        <v>33</v>
      </c>
      <c r="AC2069">
        <v>54</v>
      </c>
      <c r="AD2069" t="s">
        <v>38</v>
      </c>
      <c r="AE2069">
        <v>1239.48</v>
      </c>
      <c r="AF2069">
        <v>0</v>
      </c>
    </row>
    <row r="2070" spans="3:32" x14ac:dyDescent="0.35">
      <c r="C2070" s="1">
        <v>44696</v>
      </c>
      <c r="D2070" s="2">
        <v>44682</v>
      </c>
      <c r="E2070">
        <v>1294</v>
      </c>
      <c r="F2070" s="3">
        <v>5141.3100000000004</v>
      </c>
      <c r="G2070" s="3">
        <v>4833.38</v>
      </c>
      <c r="H2070" s="3">
        <v>307.93</v>
      </c>
      <c r="I2070" s="3">
        <v>0.94</v>
      </c>
      <c r="J2070">
        <v>0.1</v>
      </c>
      <c r="K2070">
        <v>3309.57</v>
      </c>
      <c r="L2070" t="s">
        <v>35</v>
      </c>
      <c r="M2070">
        <v>673</v>
      </c>
      <c r="N2070">
        <v>0.3</v>
      </c>
      <c r="O2070" s="3">
        <v>636.96</v>
      </c>
      <c r="P2070" s="3">
        <v>0.12</v>
      </c>
      <c r="Q2070" s="3">
        <v>595.16</v>
      </c>
      <c r="R2070" s="3">
        <v>0.12</v>
      </c>
      <c r="S2070">
        <v>6</v>
      </c>
      <c r="T2070">
        <v>1287.79</v>
      </c>
      <c r="U2070">
        <v>45</v>
      </c>
      <c r="V2070">
        <v>0</v>
      </c>
      <c r="W2070">
        <v>642.25</v>
      </c>
      <c r="X2070">
        <v>1819.11</v>
      </c>
      <c r="Y2070" t="s">
        <v>31</v>
      </c>
      <c r="Z2070" s="3">
        <v>1273.02</v>
      </c>
      <c r="AA2070" t="s">
        <v>46</v>
      </c>
      <c r="AB2070" t="s">
        <v>44</v>
      </c>
      <c r="AC2070">
        <v>18.8</v>
      </c>
      <c r="AD2070" t="s">
        <v>34</v>
      </c>
      <c r="AE2070">
        <v>307.93</v>
      </c>
      <c r="AF2070">
        <v>0</v>
      </c>
    </row>
    <row r="2071" spans="3:32" x14ac:dyDescent="0.35">
      <c r="C2071" s="1">
        <v>44696</v>
      </c>
      <c r="D2071" s="2">
        <v>44682</v>
      </c>
      <c r="E2071">
        <v>1867</v>
      </c>
      <c r="F2071" s="3">
        <v>4023.22</v>
      </c>
      <c r="G2071" s="3">
        <v>2234.86</v>
      </c>
      <c r="H2071" s="3">
        <v>1788.36</v>
      </c>
      <c r="I2071" s="3">
        <v>0.56000000000000005</v>
      </c>
      <c r="J2071">
        <v>0.28000000000000003</v>
      </c>
      <c r="K2071">
        <v>2903.16</v>
      </c>
      <c r="L2071" t="s">
        <v>39</v>
      </c>
      <c r="M2071">
        <v>621</v>
      </c>
      <c r="N2071">
        <v>0.25</v>
      </c>
      <c r="O2071" s="3">
        <v>244.69</v>
      </c>
      <c r="P2071" s="3">
        <v>0.06</v>
      </c>
      <c r="Q2071" s="3">
        <v>348.15</v>
      </c>
      <c r="R2071" s="3">
        <v>0.09</v>
      </c>
      <c r="S2071">
        <v>4</v>
      </c>
      <c r="T2071">
        <v>321.43</v>
      </c>
      <c r="U2071">
        <v>72</v>
      </c>
      <c r="V2071">
        <v>0</v>
      </c>
      <c r="W2071">
        <v>658.4</v>
      </c>
      <c r="X2071">
        <v>1698.66</v>
      </c>
      <c r="Y2071" t="s">
        <v>31</v>
      </c>
      <c r="Z2071" s="3">
        <v>1207.6199999999999</v>
      </c>
      <c r="AA2071" t="s">
        <v>51</v>
      </c>
      <c r="AB2071" t="s">
        <v>42</v>
      </c>
      <c r="AC2071">
        <v>77.900000000000006</v>
      </c>
      <c r="AD2071" t="s">
        <v>38</v>
      </c>
      <c r="AE2071">
        <v>1788.36</v>
      </c>
      <c r="AF2071">
        <v>0</v>
      </c>
    </row>
    <row r="2072" spans="3:32" x14ac:dyDescent="0.35">
      <c r="C2072" s="1">
        <v>44696</v>
      </c>
      <c r="D2072" s="2">
        <v>44682</v>
      </c>
      <c r="E2072">
        <v>1104</v>
      </c>
      <c r="F2072" s="3">
        <v>3733.2</v>
      </c>
      <c r="G2072" s="3">
        <v>2285.7800000000002</v>
      </c>
      <c r="H2072" s="3">
        <v>1447.42</v>
      </c>
      <c r="I2072" s="3">
        <v>0.61</v>
      </c>
      <c r="J2072">
        <v>0.22</v>
      </c>
      <c r="K2072">
        <v>3123.84</v>
      </c>
      <c r="L2072" t="s">
        <v>35</v>
      </c>
      <c r="M2072">
        <v>716</v>
      </c>
      <c r="N2072">
        <v>0.41</v>
      </c>
      <c r="O2072" s="3">
        <v>527.16999999999996</v>
      </c>
      <c r="P2072" s="3">
        <v>0.14000000000000001</v>
      </c>
      <c r="Q2072" s="3">
        <v>403.82</v>
      </c>
      <c r="R2072" s="3">
        <v>0.11</v>
      </c>
      <c r="S2072">
        <v>9</v>
      </c>
      <c r="T2072">
        <v>1122.98</v>
      </c>
      <c r="U2072">
        <v>70</v>
      </c>
      <c r="V2072">
        <v>0</v>
      </c>
      <c r="W2072">
        <v>458.62</v>
      </c>
      <c r="X2072">
        <v>1514.72</v>
      </c>
      <c r="Y2072" t="s">
        <v>31</v>
      </c>
      <c r="Z2072" s="3">
        <v>1853.5</v>
      </c>
      <c r="AA2072" t="s">
        <v>37</v>
      </c>
      <c r="AB2072" t="s">
        <v>33</v>
      </c>
      <c r="AC2072">
        <v>1.2</v>
      </c>
      <c r="AD2072" t="s">
        <v>34</v>
      </c>
      <c r="AE2072">
        <v>1447.42</v>
      </c>
      <c r="AF2072">
        <v>0</v>
      </c>
    </row>
    <row r="2073" spans="3:32" x14ac:dyDescent="0.35">
      <c r="C2073" s="1">
        <v>44696</v>
      </c>
      <c r="D2073" s="2">
        <v>44682</v>
      </c>
      <c r="E2073">
        <v>1341</v>
      </c>
      <c r="F2073" s="3">
        <v>4511.7299999999996</v>
      </c>
      <c r="G2073" s="3">
        <v>2893.87</v>
      </c>
      <c r="H2073" s="3">
        <v>1617.86</v>
      </c>
      <c r="I2073" s="3">
        <v>0.64</v>
      </c>
      <c r="J2073">
        <v>0.28000000000000003</v>
      </c>
      <c r="K2073">
        <v>3201.79</v>
      </c>
      <c r="L2073" t="s">
        <v>35</v>
      </c>
      <c r="M2073">
        <v>700</v>
      </c>
      <c r="N2073">
        <v>0.52</v>
      </c>
      <c r="O2073" s="3">
        <v>556.39</v>
      </c>
      <c r="P2073" s="3">
        <v>0.12</v>
      </c>
      <c r="Q2073" s="3">
        <v>355.26</v>
      </c>
      <c r="R2073" s="3">
        <v>0.08</v>
      </c>
      <c r="S2073">
        <v>7</v>
      </c>
      <c r="T2073">
        <v>1312.61</v>
      </c>
      <c r="U2073">
        <v>38</v>
      </c>
      <c r="V2073">
        <v>1</v>
      </c>
      <c r="W2073">
        <v>735.48</v>
      </c>
      <c r="X2073">
        <v>2715.27</v>
      </c>
      <c r="Y2073" t="s">
        <v>36</v>
      </c>
      <c r="Z2073" s="3">
        <v>645.91</v>
      </c>
      <c r="AA2073" t="s">
        <v>48</v>
      </c>
      <c r="AB2073" t="s">
        <v>33</v>
      </c>
      <c r="AC2073">
        <v>99.1</v>
      </c>
      <c r="AD2073" t="s">
        <v>34</v>
      </c>
      <c r="AE2073">
        <v>1617.86</v>
      </c>
      <c r="AF2073">
        <v>0</v>
      </c>
    </row>
    <row r="2074" spans="3:32" x14ac:dyDescent="0.35">
      <c r="C2074" s="1">
        <v>44696</v>
      </c>
      <c r="D2074" s="2">
        <v>44682</v>
      </c>
      <c r="E2074">
        <v>1737</v>
      </c>
      <c r="F2074" s="3">
        <v>3446.54</v>
      </c>
      <c r="G2074" s="3">
        <v>3169.13</v>
      </c>
      <c r="H2074" s="3">
        <v>277.41000000000003</v>
      </c>
      <c r="I2074" s="3">
        <v>0.92</v>
      </c>
      <c r="J2074">
        <v>0.15</v>
      </c>
      <c r="K2074">
        <v>3896.53</v>
      </c>
      <c r="L2074" t="s">
        <v>39</v>
      </c>
      <c r="M2074">
        <v>674</v>
      </c>
      <c r="N2074">
        <v>0.32</v>
      </c>
      <c r="O2074" s="3">
        <v>297.55</v>
      </c>
      <c r="P2074" s="3">
        <v>0.09</v>
      </c>
      <c r="Q2074" s="3">
        <v>134.61000000000001</v>
      </c>
      <c r="R2074" s="3">
        <v>0.04</v>
      </c>
      <c r="S2074">
        <v>9</v>
      </c>
      <c r="T2074">
        <v>1416.55</v>
      </c>
      <c r="U2074">
        <v>44</v>
      </c>
      <c r="V2074">
        <v>0</v>
      </c>
      <c r="W2074">
        <v>684.33</v>
      </c>
      <c r="X2074">
        <v>1953.95</v>
      </c>
      <c r="Y2074" t="s">
        <v>31</v>
      </c>
      <c r="Z2074" s="3">
        <v>1344.01</v>
      </c>
      <c r="AA2074" t="s">
        <v>48</v>
      </c>
      <c r="AB2074" t="s">
        <v>44</v>
      </c>
      <c r="AC2074">
        <v>48.7</v>
      </c>
      <c r="AD2074" t="s">
        <v>34</v>
      </c>
      <c r="AE2074">
        <v>277.41000000000003</v>
      </c>
      <c r="AF2074">
        <v>0</v>
      </c>
    </row>
    <row r="2075" spans="3:32" x14ac:dyDescent="0.35">
      <c r="C2075" s="1">
        <v>44696</v>
      </c>
      <c r="D2075" s="2">
        <v>44682</v>
      </c>
      <c r="E2075">
        <v>1210</v>
      </c>
      <c r="F2075" s="3">
        <v>4218.71</v>
      </c>
      <c r="G2075" s="3">
        <v>2879.57</v>
      </c>
      <c r="H2075" s="3">
        <v>1339.14</v>
      </c>
      <c r="I2075" s="3">
        <v>0.68</v>
      </c>
      <c r="J2075">
        <v>0.37</v>
      </c>
      <c r="K2075">
        <v>3390.88</v>
      </c>
      <c r="L2075" t="s">
        <v>35</v>
      </c>
      <c r="M2075">
        <v>723</v>
      </c>
      <c r="N2075">
        <v>0.31</v>
      </c>
      <c r="O2075" s="3">
        <v>638.26</v>
      </c>
      <c r="P2075" s="3">
        <v>0.15</v>
      </c>
      <c r="Q2075" s="3">
        <v>519.85</v>
      </c>
      <c r="R2075" s="3">
        <v>0.12</v>
      </c>
      <c r="S2075">
        <v>8</v>
      </c>
      <c r="T2075">
        <v>527.82000000000005</v>
      </c>
      <c r="U2075">
        <v>31</v>
      </c>
      <c r="V2075">
        <v>0</v>
      </c>
      <c r="W2075">
        <v>569.64</v>
      </c>
      <c r="X2075">
        <v>1457.89</v>
      </c>
      <c r="Y2075" t="s">
        <v>36</v>
      </c>
      <c r="Z2075" s="3">
        <v>1144.58</v>
      </c>
      <c r="AA2075" t="s">
        <v>48</v>
      </c>
      <c r="AB2075" t="s">
        <v>44</v>
      </c>
      <c r="AC2075">
        <v>16</v>
      </c>
      <c r="AD2075" t="s">
        <v>34</v>
      </c>
      <c r="AE2075">
        <v>1339.14</v>
      </c>
      <c r="AF2075">
        <v>0</v>
      </c>
    </row>
    <row r="2076" spans="3:32" x14ac:dyDescent="0.35">
      <c r="C2076" s="1">
        <v>44696</v>
      </c>
      <c r="D2076" s="2">
        <v>44682</v>
      </c>
      <c r="E2076">
        <v>1554</v>
      </c>
      <c r="F2076" s="3">
        <v>4775.72</v>
      </c>
      <c r="G2076" s="3">
        <v>2150.9499999999998</v>
      </c>
      <c r="H2076" s="3">
        <v>2624.77</v>
      </c>
      <c r="I2076" s="3">
        <v>0.45</v>
      </c>
      <c r="J2076">
        <v>0.34</v>
      </c>
      <c r="K2076">
        <v>2430.8000000000002</v>
      </c>
      <c r="L2076" t="s">
        <v>35</v>
      </c>
      <c r="M2076">
        <v>640</v>
      </c>
      <c r="N2076">
        <v>0.49</v>
      </c>
      <c r="O2076" s="3">
        <v>485.71</v>
      </c>
      <c r="P2076" s="3">
        <v>0.1</v>
      </c>
      <c r="Q2076" s="3">
        <v>806.94</v>
      </c>
      <c r="R2076" s="3">
        <v>0.17</v>
      </c>
      <c r="S2076">
        <v>2</v>
      </c>
      <c r="T2076">
        <v>887.34</v>
      </c>
      <c r="U2076">
        <v>55</v>
      </c>
      <c r="V2076">
        <v>0</v>
      </c>
      <c r="W2076">
        <v>709.98</v>
      </c>
      <c r="X2076">
        <v>2417.33</v>
      </c>
      <c r="Y2076" t="s">
        <v>36</v>
      </c>
      <c r="Z2076" s="3">
        <v>659.29</v>
      </c>
      <c r="AA2076" t="s">
        <v>41</v>
      </c>
      <c r="AB2076" t="s">
        <v>33</v>
      </c>
      <c r="AC2076">
        <v>83.3</v>
      </c>
      <c r="AD2076" t="s">
        <v>34</v>
      </c>
      <c r="AE2076">
        <v>2624.77</v>
      </c>
      <c r="AF2076">
        <v>1</v>
      </c>
    </row>
    <row r="2077" spans="3:32" x14ac:dyDescent="0.35">
      <c r="C2077" s="1">
        <v>44696</v>
      </c>
      <c r="D2077" s="2">
        <v>44682</v>
      </c>
      <c r="E2077">
        <v>1444</v>
      </c>
      <c r="F2077" s="3">
        <v>4332.24</v>
      </c>
      <c r="G2077" s="3">
        <v>2780.15</v>
      </c>
      <c r="H2077" s="3">
        <v>1552.09</v>
      </c>
      <c r="I2077" s="3">
        <v>0.64</v>
      </c>
      <c r="J2077">
        <v>0.28999999999999998</v>
      </c>
      <c r="K2077">
        <v>2623.59</v>
      </c>
      <c r="L2077" t="s">
        <v>35</v>
      </c>
      <c r="M2077">
        <v>644</v>
      </c>
      <c r="N2077">
        <v>0.46</v>
      </c>
      <c r="O2077" s="3">
        <v>483.52</v>
      </c>
      <c r="P2077" s="3">
        <v>0.11</v>
      </c>
      <c r="Q2077" s="3">
        <v>778.61</v>
      </c>
      <c r="R2077" s="3">
        <v>0.18</v>
      </c>
      <c r="S2077">
        <v>2</v>
      </c>
      <c r="T2077">
        <v>1272.99</v>
      </c>
      <c r="U2077">
        <v>93</v>
      </c>
      <c r="V2077">
        <v>0</v>
      </c>
      <c r="W2077">
        <v>536.34</v>
      </c>
      <c r="X2077">
        <v>2494.98</v>
      </c>
      <c r="Y2077" t="s">
        <v>36</v>
      </c>
      <c r="Z2077" s="3">
        <v>300</v>
      </c>
      <c r="AA2077" t="s">
        <v>46</v>
      </c>
      <c r="AB2077" t="s">
        <v>33</v>
      </c>
      <c r="AC2077">
        <v>64.7</v>
      </c>
      <c r="AD2077" t="s">
        <v>34</v>
      </c>
      <c r="AE2077">
        <v>1552.09</v>
      </c>
      <c r="AF2077">
        <v>0</v>
      </c>
    </row>
    <row r="2078" spans="3:32" x14ac:dyDescent="0.35">
      <c r="C2078" s="1">
        <v>44696</v>
      </c>
      <c r="D2078" s="2">
        <v>44682</v>
      </c>
      <c r="E2078">
        <v>1280</v>
      </c>
      <c r="F2078" s="3">
        <v>3234.55</v>
      </c>
      <c r="G2078" s="3">
        <v>2722.99</v>
      </c>
      <c r="H2078" s="3">
        <v>511.56</v>
      </c>
      <c r="I2078" s="3">
        <v>0.84</v>
      </c>
      <c r="J2078">
        <v>0.13</v>
      </c>
      <c r="K2078">
        <v>2028.71</v>
      </c>
      <c r="L2078" t="s">
        <v>39</v>
      </c>
      <c r="M2078">
        <v>731</v>
      </c>
      <c r="N2078">
        <v>0.17</v>
      </c>
      <c r="O2078" s="3">
        <v>100.99</v>
      </c>
      <c r="P2078" s="3">
        <v>0.03</v>
      </c>
      <c r="Q2078" s="3">
        <v>0</v>
      </c>
      <c r="R2078" s="3">
        <v>0</v>
      </c>
      <c r="S2078">
        <v>5</v>
      </c>
      <c r="T2078">
        <v>519.67999999999995</v>
      </c>
      <c r="U2078">
        <v>80</v>
      </c>
      <c r="V2078">
        <v>0</v>
      </c>
      <c r="W2078">
        <v>371.76</v>
      </c>
      <c r="X2078">
        <v>2873.39</v>
      </c>
      <c r="Y2078" t="s">
        <v>36</v>
      </c>
      <c r="Z2078" s="3">
        <v>1375.56</v>
      </c>
      <c r="AA2078" t="s">
        <v>46</v>
      </c>
      <c r="AB2078" t="s">
        <v>33</v>
      </c>
      <c r="AC2078">
        <v>42.8</v>
      </c>
      <c r="AD2078" t="s">
        <v>34</v>
      </c>
      <c r="AE2078">
        <v>511.56</v>
      </c>
      <c r="AF2078">
        <v>0</v>
      </c>
    </row>
    <row r="2079" spans="3:32" x14ac:dyDescent="0.35">
      <c r="C2079" s="1">
        <v>44696</v>
      </c>
      <c r="D2079" s="2">
        <v>44682</v>
      </c>
      <c r="E2079">
        <v>1412</v>
      </c>
      <c r="F2079" s="3">
        <v>2683.58</v>
      </c>
      <c r="G2079" s="3">
        <v>3380.14</v>
      </c>
      <c r="H2079" s="3">
        <v>-696.56</v>
      </c>
      <c r="I2079" s="3">
        <v>1.26</v>
      </c>
      <c r="J2079">
        <v>0.35</v>
      </c>
      <c r="K2079">
        <v>2636.51</v>
      </c>
      <c r="L2079" t="s">
        <v>30</v>
      </c>
      <c r="M2079">
        <v>622</v>
      </c>
      <c r="N2079">
        <v>0.15</v>
      </c>
      <c r="O2079" s="3">
        <v>548.04</v>
      </c>
      <c r="P2079" s="3">
        <v>0.2</v>
      </c>
      <c r="Q2079" s="3">
        <v>597.98</v>
      </c>
      <c r="R2079" s="3">
        <v>0.22</v>
      </c>
      <c r="S2079">
        <v>4</v>
      </c>
      <c r="T2079">
        <v>676.94</v>
      </c>
      <c r="U2079">
        <v>65</v>
      </c>
      <c r="V2079">
        <v>0</v>
      </c>
      <c r="W2079">
        <v>256.54000000000002</v>
      </c>
      <c r="X2079">
        <v>3254.97</v>
      </c>
      <c r="Y2079" t="s">
        <v>36</v>
      </c>
      <c r="Z2079" s="3">
        <v>300</v>
      </c>
      <c r="AA2079" t="s">
        <v>48</v>
      </c>
      <c r="AB2079" t="s">
        <v>33</v>
      </c>
      <c r="AC2079">
        <v>89.7</v>
      </c>
      <c r="AD2079" t="s">
        <v>43</v>
      </c>
      <c r="AE2079">
        <v>0</v>
      </c>
      <c r="AF2079">
        <v>0</v>
      </c>
    </row>
    <row r="2080" spans="3:32" x14ac:dyDescent="0.35">
      <c r="C2080" s="1">
        <v>44696</v>
      </c>
      <c r="D2080" s="2">
        <v>44682</v>
      </c>
      <c r="E2080">
        <v>1239</v>
      </c>
      <c r="F2080" s="3">
        <v>3866.1</v>
      </c>
      <c r="G2080" s="3">
        <v>1741.07</v>
      </c>
      <c r="H2080" s="3">
        <v>2125.0300000000002</v>
      </c>
      <c r="I2080" s="3">
        <v>0.45</v>
      </c>
      <c r="J2080">
        <v>0.24</v>
      </c>
      <c r="K2080">
        <v>2710.75</v>
      </c>
      <c r="L2080" t="s">
        <v>35</v>
      </c>
      <c r="M2080">
        <v>747</v>
      </c>
      <c r="N2080">
        <v>0.31</v>
      </c>
      <c r="O2080" s="3">
        <v>959.41</v>
      </c>
      <c r="P2080" s="3">
        <v>0.25</v>
      </c>
      <c r="Q2080" s="3">
        <v>257.17</v>
      </c>
      <c r="R2080" s="3">
        <v>7.0000000000000007E-2</v>
      </c>
      <c r="S2080">
        <v>8</v>
      </c>
      <c r="T2080">
        <v>1071.48</v>
      </c>
      <c r="U2080">
        <v>60</v>
      </c>
      <c r="V2080">
        <v>0</v>
      </c>
      <c r="W2080">
        <v>319.87</v>
      </c>
      <c r="X2080">
        <v>1967.62</v>
      </c>
      <c r="Y2080" t="s">
        <v>36</v>
      </c>
      <c r="Z2080" s="3">
        <v>1082.27</v>
      </c>
      <c r="AA2080" t="s">
        <v>51</v>
      </c>
      <c r="AB2080" t="s">
        <v>33</v>
      </c>
      <c r="AC2080">
        <v>7.3</v>
      </c>
      <c r="AD2080" t="s">
        <v>38</v>
      </c>
      <c r="AE2080">
        <v>2125.0300000000002</v>
      </c>
      <c r="AF2080">
        <v>0</v>
      </c>
    </row>
    <row r="2081" spans="3:32" x14ac:dyDescent="0.35">
      <c r="C2081" s="1">
        <v>44696</v>
      </c>
      <c r="D2081" s="2">
        <v>44682</v>
      </c>
      <c r="E2081">
        <v>1194</v>
      </c>
      <c r="F2081" s="3">
        <v>4139.34</v>
      </c>
      <c r="G2081" s="3">
        <v>2785.84</v>
      </c>
      <c r="H2081" s="3">
        <v>1353.5</v>
      </c>
      <c r="I2081" s="3">
        <v>0.67</v>
      </c>
      <c r="J2081">
        <v>7.0000000000000007E-2</v>
      </c>
      <c r="K2081">
        <v>3251.07</v>
      </c>
      <c r="L2081" t="s">
        <v>35</v>
      </c>
      <c r="M2081">
        <v>687</v>
      </c>
      <c r="N2081">
        <v>0.57999999999999996</v>
      </c>
      <c r="O2081" s="3">
        <v>700.75</v>
      </c>
      <c r="P2081" s="3">
        <v>0.17</v>
      </c>
      <c r="Q2081" s="3">
        <v>637.71</v>
      </c>
      <c r="R2081" s="3">
        <v>0.15</v>
      </c>
      <c r="S2081">
        <v>7</v>
      </c>
      <c r="T2081">
        <v>98.69</v>
      </c>
      <c r="U2081">
        <v>67</v>
      </c>
      <c r="V2081">
        <v>0</v>
      </c>
      <c r="W2081">
        <v>212.06</v>
      </c>
      <c r="X2081">
        <v>1940.04</v>
      </c>
      <c r="Y2081" t="s">
        <v>36</v>
      </c>
      <c r="Z2081" s="3">
        <v>1460.32</v>
      </c>
      <c r="AA2081" t="s">
        <v>40</v>
      </c>
      <c r="AB2081" t="s">
        <v>33</v>
      </c>
      <c r="AC2081">
        <v>54.6</v>
      </c>
      <c r="AD2081" t="s">
        <v>43</v>
      </c>
      <c r="AE2081">
        <v>1353.5</v>
      </c>
      <c r="AF2081">
        <v>0</v>
      </c>
    </row>
    <row r="2082" spans="3:32" x14ac:dyDescent="0.35">
      <c r="C2082" s="1">
        <v>44696</v>
      </c>
      <c r="D2082" s="2">
        <v>44682</v>
      </c>
      <c r="E2082">
        <v>1538</v>
      </c>
      <c r="F2082" s="3">
        <v>3535.93</v>
      </c>
      <c r="G2082" s="3">
        <v>3203.36</v>
      </c>
      <c r="H2082" s="3">
        <v>332.57</v>
      </c>
      <c r="I2082" s="3">
        <v>0.91</v>
      </c>
      <c r="J2082">
        <v>0.39</v>
      </c>
      <c r="K2082">
        <v>2349.4699999999998</v>
      </c>
      <c r="L2082" t="s">
        <v>39</v>
      </c>
      <c r="M2082">
        <v>669</v>
      </c>
      <c r="N2082">
        <v>0.43</v>
      </c>
      <c r="O2082" s="3">
        <v>635.04999999999995</v>
      </c>
      <c r="P2082" s="3">
        <v>0.18</v>
      </c>
      <c r="Q2082" s="3">
        <v>458.59</v>
      </c>
      <c r="R2082" s="3">
        <v>0.13</v>
      </c>
      <c r="S2082">
        <v>4</v>
      </c>
      <c r="T2082">
        <v>1861.44</v>
      </c>
      <c r="U2082">
        <v>46</v>
      </c>
      <c r="V2082">
        <v>0</v>
      </c>
      <c r="W2082">
        <v>642.54999999999995</v>
      </c>
      <c r="X2082">
        <v>1956.51</v>
      </c>
      <c r="Y2082" t="s">
        <v>31</v>
      </c>
      <c r="Z2082" s="3">
        <v>1308.04</v>
      </c>
      <c r="AA2082" t="s">
        <v>45</v>
      </c>
      <c r="AB2082" t="s">
        <v>33</v>
      </c>
      <c r="AC2082">
        <v>8.6</v>
      </c>
      <c r="AD2082" t="s">
        <v>34</v>
      </c>
      <c r="AE2082">
        <v>332.57</v>
      </c>
      <c r="AF2082">
        <v>0</v>
      </c>
    </row>
    <row r="2083" spans="3:32" x14ac:dyDescent="0.35">
      <c r="C2083" s="1">
        <v>44696</v>
      </c>
      <c r="D2083" s="2">
        <v>44682</v>
      </c>
      <c r="E2083">
        <v>1413</v>
      </c>
      <c r="F2083" s="3">
        <v>2854.16</v>
      </c>
      <c r="G2083" s="3">
        <v>1645.38</v>
      </c>
      <c r="H2083" s="3">
        <v>1208.78</v>
      </c>
      <c r="I2083" s="3">
        <v>0.57999999999999996</v>
      </c>
      <c r="J2083">
        <v>0.08</v>
      </c>
      <c r="K2083">
        <v>2502.23</v>
      </c>
      <c r="L2083" t="s">
        <v>35</v>
      </c>
      <c r="M2083">
        <v>730</v>
      </c>
      <c r="N2083">
        <v>0.52</v>
      </c>
      <c r="O2083" s="3">
        <v>707.1</v>
      </c>
      <c r="P2083" s="3">
        <v>0.25</v>
      </c>
      <c r="Q2083" s="3">
        <v>262.25</v>
      </c>
      <c r="R2083" s="3">
        <v>0.09</v>
      </c>
      <c r="S2083">
        <v>3</v>
      </c>
      <c r="T2083">
        <v>1589.81</v>
      </c>
      <c r="U2083">
        <v>67</v>
      </c>
      <c r="V2083">
        <v>0</v>
      </c>
      <c r="W2083">
        <v>670.63</v>
      </c>
      <c r="X2083">
        <v>2737.48</v>
      </c>
      <c r="Y2083" t="s">
        <v>36</v>
      </c>
      <c r="Z2083" s="3">
        <v>1346.13</v>
      </c>
      <c r="AA2083" t="s">
        <v>47</v>
      </c>
      <c r="AB2083" t="s">
        <v>44</v>
      </c>
      <c r="AC2083">
        <v>18</v>
      </c>
      <c r="AD2083" t="s">
        <v>43</v>
      </c>
      <c r="AE2083">
        <v>1208.78</v>
      </c>
      <c r="AF2083">
        <v>0</v>
      </c>
    </row>
    <row r="2084" spans="3:32" x14ac:dyDescent="0.35">
      <c r="C2084" s="1">
        <v>44696</v>
      </c>
      <c r="D2084" s="2">
        <v>44682</v>
      </c>
      <c r="E2084">
        <v>1700</v>
      </c>
      <c r="F2084" s="3">
        <v>5125.82</v>
      </c>
      <c r="G2084" s="3">
        <v>4054.06</v>
      </c>
      <c r="H2084" s="3">
        <v>1071.76</v>
      </c>
      <c r="I2084" s="3">
        <v>0.79</v>
      </c>
      <c r="J2084">
        <v>0.32</v>
      </c>
      <c r="K2084">
        <v>3208.68</v>
      </c>
      <c r="L2084" t="s">
        <v>39</v>
      </c>
      <c r="M2084">
        <v>707</v>
      </c>
      <c r="N2084">
        <v>0.37</v>
      </c>
      <c r="O2084" s="3">
        <v>458.39</v>
      </c>
      <c r="P2084" s="3">
        <v>0.09</v>
      </c>
      <c r="Q2084" s="3">
        <v>115.83</v>
      </c>
      <c r="R2084" s="3">
        <v>0.02</v>
      </c>
      <c r="S2084">
        <v>9</v>
      </c>
      <c r="T2084">
        <v>1183.8599999999999</v>
      </c>
      <c r="U2084">
        <v>63</v>
      </c>
      <c r="V2084">
        <v>0</v>
      </c>
      <c r="W2084">
        <v>419.58</v>
      </c>
      <c r="X2084">
        <v>2164.34</v>
      </c>
      <c r="Y2084" t="s">
        <v>36</v>
      </c>
      <c r="Z2084" s="3">
        <v>791.77</v>
      </c>
      <c r="AA2084" t="s">
        <v>40</v>
      </c>
      <c r="AB2084" t="s">
        <v>33</v>
      </c>
      <c r="AC2084">
        <v>74.599999999999994</v>
      </c>
      <c r="AD2084" t="s">
        <v>43</v>
      </c>
      <c r="AE2084">
        <v>1071.76</v>
      </c>
      <c r="AF2084">
        <v>0</v>
      </c>
    </row>
    <row r="2085" spans="3:32" x14ac:dyDescent="0.35">
      <c r="C2085" s="1">
        <v>44696</v>
      </c>
      <c r="D2085" s="2">
        <v>44682</v>
      </c>
      <c r="E2085">
        <v>1197</v>
      </c>
      <c r="F2085" s="3">
        <v>3964.43</v>
      </c>
      <c r="G2085" s="3">
        <v>3081.87</v>
      </c>
      <c r="H2085" s="3">
        <v>882.56</v>
      </c>
      <c r="I2085" s="3">
        <v>0.78</v>
      </c>
      <c r="J2085">
        <v>0.16</v>
      </c>
      <c r="K2085">
        <v>2881.85</v>
      </c>
      <c r="L2085" t="s">
        <v>30</v>
      </c>
      <c r="M2085">
        <v>631</v>
      </c>
      <c r="N2085">
        <v>0.28999999999999998</v>
      </c>
      <c r="O2085" s="3">
        <v>564.16</v>
      </c>
      <c r="P2085" s="3">
        <v>0.14000000000000001</v>
      </c>
      <c r="Q2085" s="3">
        <v>427.28</v>
      </c>
      <c r="R2085" s="3">
        <v>0.11</v>
      </c>
      <c r="S2085">
        <v>7</v>
      </c>
      <c r="T2085">
        <v>1152.02</v>
      </c>
      <c r="U2085">
        <v>32</v>
      </c>
      <c r="V2085">
        <v>0</v>
      </c>
      <c r="W2085">
        <v>177.7</v>
      </c>
      <c r="X2085">
        <v>1702.61</v>
      </c>
      <c r="Y2085" t="s">
        <v>36</v>
      </c>
      <c r="Z2085" s="3">
        <v>1186.26</v>
      </c>
      <c r="AA2085" t="s">
        <v>45</v>
      </c>
      <c r="AB2085" t="s">
        <v>33</v>
      </c>
      <c r="AC2085">
        <v>8.1</v>
      </c>
      <c r="AD2085" t="s">
        <v>34</v>
      </c>
      <c r="AE2085">
        <v>882.56</v>
      </c>
      <c r="AF2085">
        <v>0</v>
      </c>
    </row>
    <row r="2086" spans="3:32" x14ac:dyDescent="0.35">
      <c r="C2086" s="1">
        <v>44696</v>
      </c>
      <c r="D2086" s="2">
        <v>44682</v>
      </c>
      <c r="E2086">
        <v>1424</v>
      </c>
      <c r="F2086" s="3">
        <v>4869.1099999999997</v>
      </c>
      <c r="G2086" s="3">
        <v>2647.38</v>
      </c>
      <c r="H2086" s="3">
        <v>2221.73</v>
      </c>
      <c r="I2086" s="3">
        <v>0.54</v>
      </c>
      <c r="J2086">
        <v>0.36</v>
      </c>
      <c r="K2086">
        <v>3108.02</v>
      </c>
      <c r="L2086" t="s">
        <v>35</v>
      </c>
      <c r="M2086">
        <v>693</v>
      </c>
      <c r="N2086">
        <v>0.3</v>
      </c>
      <c r="O2086" s="3">
        <v>401</v>
      </c>
      <c r="P2086" s="3">
        <v>0.08</v>
      </c>
      <c r="Q2086" s="3">
        <v>386.49</v>
      </c>
      <c r="R2086" s="3">
        <v>0.08</v>
      </c>
      <c r="S2086">
        <v>2</v>
      </c>
      <c r="T2086">
        <v>1602.48</v>
      </c>
      <c r="U2086">
        <v>55</v>
      </c>
      <c r="V2086">
        <v>0</v>
      </c>
      <c r="W2086">
        <v>204.84</v>
      </c>
      <c r="X2086">
        <v>2596.04</v>
      </c>
      <c r="Y2086" t="s">
        <v>36</v>
      </c>
      <c r="Z2086" s="3">
        <v>926.08</v>
      </c>
      <c r="AA2086" t="s">
        <v>32</v>
      </c>
      <c r="AB2086" t="s">
        <v>44</v>
      </c>
      <c r="AC2086">
        <v>31.2</v>
      </c>
      <c r="AD2086" t="s">
        <v>38</v>
      </c>
      <c r="AE2086">
        <v>2221.73</v>
      </c>
      <c r="AF2086">
        <v>0</v>
      </c>
    </row>
    <row r="2087" spans="3:32" x14ac:dyDescent="0.35">
      <c r="C2087" s="1">
        <v>44696</v>
      </c>
      <c r="D2087" s="2">
        <v>44682</v>
      </c>
      <c r="E2087">
        <v>1297</v>
      </c>
      <c r="F2087" s="3">
        <v>4676.76</v>
      </c>
      <c r="G2087" s="3">
        <v>4266.38</v>
      </c>
      <c r="H2087" s="3">
        <v>410.38</v>
      </c>
      <c r="I2087" s="3">
        <v>0.91</v>
      </c>
      <c r="J2087">
        <v>0.38</v>
      </c>
      <c r="K2087">
        <v>3712.77</v>
      </c>
      <c r="L2087" t="s">
        <v>30</v>
      </c>
      <c r="M2087">
        <v>739</v>
      </c>
      <c r="N2087">
        <v>0.23</v>
      </c>
      <c r="O2087" s="3">
        <v>531.08000000000004</v>
      </c>
      <c r="P2087" s="3">
        <v>0.11</v>
      </c>
      <c r="Q2087" s="3">
        <v>747.54</v>
      </c>
      <c r="R2087" s="3">
        <v>0.16</v>
      </c>
      <c r="S2087">
        <v>6</v>
      </c>
      <c r="T2087">
        <v>1610.98</v>
      </c>
      <c r="U2087">
        <v>85</v>
      </c>
      <c r="V2087">
        <v>0</v>
      </c>
      <c r="W2087">
        <v>577.82000000000005</v>
      </c>
      <c r="X2087">
        <v>1499.3</v>
      </c>
      <c r="Y2087" t="s">
        <v>31</v>
      </c>
      <c r="Z2087" s="3">
        <v>1284.21</v>
      </c>
      <c r="AA2087" t="s">
        <v>45</v>
      </c>
      <c r="AB2087" t="s">
        <v>33</v>
      </c>
      <c r="AC2087">
        <v>20.6</v>
      </c>
      <c r="AD2087" t="s">
        <v>34</v>
      </c>
      <c r="AE2087">
        <v>410.38</v>
      </c>
      <c r="AF2087">
        <v>0</v>
      </c>
    </row>
    <row r="2088" spans="3:32" x14ac:dyDescent="0.35">
      <c r="C2088" s="1">
        <v>44696</v>
      </c>
      <c r="D2088" s="2">
        <v>44682</v>
      </c>
      <c r="E2088">
        <v>1718</v>
      </c>
      <c r="F2088" s="3">
        <v>6712.01</v>
      </c>
      <c r="G2088" s="3">
        <v>3051.14</v>
      </c>
      <c r="H2088" s="3">
        <v>3660.87</v>
      </c>
      <c r="I2088" s="3">
        <v>0.45</v>
      </c>
      <c r="J2088">
        <v>0.33</v>
      </c>
      <c r="K2088">
        <v>3049.8</v>
      </c>
      <c r="L2088" t="s">
        <v>30</v>
      </c>
      <c r="M2088">
        <v>738</v>
      </c>
      <c r="N2088">
        <v>0.48</v>
      </c>
      <c r="O2088" s="3">
        <v>663.06</v>
      </c>
      <c r="P2088" s="3">
        <v>0.1</v>
      </c>
      <c r="Q2088" s="3">
        <v>177.35</v>
      </c>
      <c r="R2088" s="3">
        <v>0.03</v>
      </c>
      <c r="S2088">
        <v>3</v>
      </c>
      <c r="T2088">
        <v>478.09</v>
      </c>
      <c r="U2088">
        <v>84</v>
      </c>
      <c r="V2088">
        <v>0</v>
      </c>
      <c r="W2088">
        <v>400.17</v>
      </c>
      <c r="X2088">
        <v>2530.5</v>
      </c>
      <c r="Y2088" t="s">
        <v>36</v>
      </c>
      <c r="Z2088" s="3">
        <v>1607.09</v>
      </c>
      <c r="AA2088" t="s">
        <v>37</v>
      </c>
      <c r="AB2088" t="s">
        <v>42</v>
      </c>
      <c r="AC2088">
        <v>83.2</v>
      </c>
      <c r="AD2088" t="s">
        <v>38</v>
      </c>
      <c r="AE2088">
        <v>3660.87</v>
      </c>
      <c r="AF2088">
        <v>1</v>
      </c>
    </row>
    <row r="2089" spans="3:32" x14ac:dyDescent="0.35">
      <c r="C2089" s="1">
        <v>44696</v>
      </c>
      <c r="D2089" s="2">
        <v>44682</v>
      </c>
      <c r="E2089">
        <v>1502</v>
      </c>
      <c r="F2089" s="3">
        <v>4499.07</v>
      </c>
      <c r="G2089" s="3">
        <v>2834.68</v>
      </c>
      <c r="H2089" s="3">
        <v>1664.39</v>
      </c>
      <c r="I2089" s="3">
        <v>0.63</v>
      </c>
      <c r="J2089">
        <v>7.0000000000000007E-2</v>
      </c>
      <c r="K2089">
        <v>2230.56</v>
      </c>
      <c r="L2089" t="s">
        <v>39</v>
      </c>
      <c r="M2089">
        <v>691</v>
      </c>
      <c r="N2089">
        <v>0.23</v>
      </c>
      <c r="O2089" s="3">
        <v>179.29</v>
      </c>
      <c r="P2089" s="3">
        <v>0.04</v>
      </c>
      <c r="Q2089" s="3">
        <v>188.26</v>
      </c>
      <c r="R2089" s="3">
        <v>0.04</v>
      </c>
      <c r="S2089">
        <v>9</v>
      </c>
      <c r="T2089">
        <v>123.89</v>
      </c>
      <c r="U2089">
        <v>56</v>
      </c>
      <c r="V2089">
        <v>0</v>
      </c>
      <c r="W2089">
        <v>392.34</v>
      </c>
      <c r="X2089">
        <v>2332.14</v>
      </c>
      <c r="Y2089" t="s">
        <v>36</v>
      </c>
      <c r="Z2089" s="3">
        <v>1581.66</v>
      </c>
      <c r="AA2089" t="s">
        <v>50</v>
      </c>
      <c r="AB2089" t="s">
        <v>33</v>
      </c>
      <c r="AC2089">
        <v>22.7</v>
      </c>
      <c r="AD2089" t="s">
        <v>34</v>
      </c>
      <c r="AE2089">
        <v>1664.39</v>
      </c>
      <c r="AF2089">
        <v>0</v>
      </c>
    </row>
    <row r="2090" spans="3:32" x14ac:dyDescent="0.35">
      <c r="C2090" s="1">
        <v>44696</v>
      </c>
      <c r="D2090" s="2">
        <v>44682</v>
      </c>
      <c r="E2090">
        <v>1179</v>
      </c>
      <c r="F2090" s="3">
        <v>3052.14</v>
      </c>
      <c r="G2090" s="3">
        <v>2586.62</v>
      </c>
      <c r="H2090" s="3">
        <v>465.52</v>
      </c>
      <c r="I2090" s="3">
        <v>0.85</v>
      </c>
      <c r="J2090">
        <v>0.2</v>
      </c>
      <c r="K2090">
        <v>2530.3200000000002</v>
      </c>
      <c r="L2090" t="s">
        <v>30</v>
      </c>
      <c r="M2090">
        <v>709</v>
      </c>
      <c r="N2090">
        <v>0.36</v>
      </c>
      <c r="O2090" s="3">
        <v>405.98</v>
      </c>
      <c r="P2090" s="3">
        <v>0.13</v>
      </c>
      <c r="Q2090" s="3">
        <v>85.53</v>
      </c>
      <c r="R2090" s="3">
        <v>0.03</v>
      </c>
      <c r="S2090">
        <v>6</v>
      </c>
      <c r="T2090">
        <v>837.85</v>
      </c>
      <c r="U2090">
        <v>41</v>
      </c>
      <c r="V2090">
        <v>0</v>
      </c>
      <c r="W2090">
        <v>598.99</v>
      </c>
      <c r="X2090">
        <v>2131.42</v>
      </c>
      <c r="Y2090" t="s">
        <v>31</v>
      </c>
      <c r="Z2090" s="3">
        <v>1220.8599999999999</v>
      </c>
      <c r="AA2090" t="s">
        <v>40</v>
      </c>
      <c r="AB2090" t="s">
        <v>33</v>
      </c>
      <c r="AC2090">
        <v>31.9</v>
      </c>
      <c r="AD2090" t="s">
        <v>34</v>
      </c>
      <c r="AE2090">
        <v>465.52</v>
      </c>
      <c r="AF2090">
        <v>0</v>
      </c>
    </row>
    <row r="2091" spans="3:32" x14ac:dyDescent="0.35">
      <c r="C2091" s="1">
        <v>44696</v>
      </c>
      <c r="D2091" s="2">
        <v>44682</v>
      </c>
      <c r="E2091">
        <v>1017</v>
      </c>
      <c r="F2091" s="3">
        <v>2867.05</v>
      </c>
      <c r="G2091" s="3">
        <v>1458.15</v>
      </c>
      <c r="H2091" s="3">
        <v>1408.9</v>
      </c>
      <c r="I2091" s="3">
        <v>0.51</v>
      </c>
      <c r="J2091">
        <v>0.15</v>
      </c>
      <c r="K2091">
        <v>2886.58</v>
      </c>
      <c r="L2091" t="s">
        <v>35</v>
      </c>
      <c r="M2091">
        <v>746</v>
      </c>
      <c r="N2091">
        <v>0.36</v>
      </c>
      <c r="O2091" s="3">
        <v>881.78</v>
      </c>
      <c r="P2091" s="3">
        <v>0.31</v>
      </c>
      <c r="Q2091" s="3">
        <v>249.87</v>
      </c>
      <c r="R2091" s="3">
        <v>0.09</v>
      </c>
      <c r="S2091">
        <v>4</v>
      </c>
      <c r="T2091">
        <v>1684.49</v>
      </c>
      <c r="U2091">
        <v>60</v>
      </c>
      <c r="V2091">
        <v>0</v>
      </c>
      <c r="W2091">
        <v>411.2</v>
      </c>
      <c r="X2091">
        <v>2178.48</v>
      </c>
      <c r="Y2091" t="s">
        <v>49</v>
      </c>
      <c r="Z2091" s="3">
        <v>659.55</v>
      </c>
      <c r="AA2091" t="s">
        <v>45</v>
      </c>
      <c r="AB2091" t="s">
        <v>33</v>
      </c>
      <c r="AC2091">
        <v>27.2</v>
      </c>
      <c r="AD2091" t="s">
        <v>38</v>
      </c>
      <c r="AE2091">
        <v>1408.9</v>
      </c>
      <c r="AF2091">
        <v>0</v>
      </c>
    </row>
    <row r="2092" spans="3:32" x14ac:dyDescent="0.35">
      <c r="C2092" s="1">
        <v>44696</v>
      </c>
      <c r="D2092" s="2">
        <v>44682</v>
      </c>
      <c r="E2092">
        <v>1469</v>
      </c>
      <c r="F2092" s="3">
        <v>2487.34</v>
      </c>
      <c r="G2092" s="3">
        <v>4185.8</v>
      </c>
      <c r="H2092" s="3">
        <v>-1698.46</v>
      </c>
      <c r="I2092" s="3">
        <v>1.68</v>
      </c>
      <c r="J2092">
        <v>0.11</v>
      </c>
      <c r="K2092">
        <v>2764.81</v>
      </c>
      <c r="L2092" t="s">
        <v>39</v>
      </c>
      <c r="M2092">
        <v>720</v>
      </c>
      <c r="N2092">
        <v>0.56000000000000005</v>
      </c>
      <c r="O2092" s="3">
        <v>442.28</v>
      </c>
      <c r="P2092" s="3">
        <v>0.18</v>
      </c>
      <c r="Q2092" s="3">
        <v>476.08</v>
      </c>
      <c r="R2092" s="3">
        <v>0.19</v>
      </c>
      <c r="S2092">
        <v>4</v>
      </c>
      <c r="T2092">
        <v>1130.23</v>
      </c>
      <c r="U2092">
        <v>28</v>
      </c>
      <c r="V2092">
        <v>0</v>
      </c>
      <c r="W2092">
        <v>759.8</v>
      </c>
      <c r="X2092">
        <v>3540.13</v>
      </c>
      <c r="Y2092" t="s">
        <v>36</v>
      </c>
      <c r="Z2092" s="3">
        <v>1568.04</v>
      </c>
      <c r="AA2092" t="s">
        <v>40</v>
      </c>
      <c r="AB2092" t="s">
        <v>33</v>
      </c>
      <c r="AC2092">
        <v>70.400000000000006</v>
      </c>
      <c r="AD2092" t="s">
        <v>43</v>
      </c>
      <c r="AE2092">
        <v>0</v>
      </c>
      <c r="AF2092">
        <v>0</v>
      </c>
    </row>
    <row r="2093" spans="3:32" x14ac:dyDescent="0.35">
      <c r="C2093" s="1">
        <v>44696</v>
      </c>
      <c r="D2093" s="2">
        <v>44682</v>
      </c>
      <c r="E2093">
        <v>1884</v>
      </c>
      <c r="F2093" s="3">
        <v>3467.2</v>
      </c>
      <c r="G2093" s="3">
        <v>3449.19</v>
      </c>
      <c r="H2093" s="3">
        <v>18.010000000000002</v>
      </c>
      <c r="I2093" s="3">
        <v>0.99</v>
      </c>
      <c r="J2093">
        <v>0.26</v>
      </c>
      <c r="K2093">
        <v>2899.26</v>
      </c>
      <c r="L2093" t="s">
        <v>30</v>
      </c>
      <c r="M2093">
        <v>638</v>
      </c>
      <c r="N2093">
        <v>0.22</v>
      </c>
      <c r="O2093" s="3">
        <v>671.16</v>
      </c>
      <c r="P2093" s="3">
        <v>0.19</v>
      </c>
      <c r="Q2093" s="3">
        <v>512.16</v>
      </c>
      <c r="R2093" s="3">
        <v>0.15</v>
      </c>
      <c r="S2093">
        <v>2</v>
      </c>
      <c r="T2093">
        <v>943.31</v>
      </c>
      <c r="U2093">
        <v>69</v>
      </c>
      <c r="V2093">
        <v>0</v>
      </c>
      <c r="W2093">
        <v>532.66999999999996</v>
      </c>
      <c r="X2093">
        <v>1877.8</v>
      </c>
      <c r="Y2093" t="s">
        <v>36</v>
      </c>
      <c r="Z2093" s="3">
        <v>2348.4</v>
      </c>
      <c r="AA2093" t="s">
        <v>45</v>
      </c>
      <c r="AB2093" t="s">
        <v>33</v>
      </c>
      <c r="AC2093">
        <v>42.9</v>
      </c>
      <c r="AD2093" t="s">
        <v>34</v>
      </c>
      <c r="AE2093">
        <v>18.010000000000002</v>
      </c>
      <c r="AF2093">
        <v>0</v>
      </c>
    </row>
    <row r="2094" spans="3:32" x14ac:dyDescent="0.35">
      <c r="C2094" s="1">
        <v>44696</v>
      </c>
      <c r="D2094" s="2">
        <v>44682</v>
      </c>
      <c r="E2094">
        <v>1453</v>
      </c>
      <c r="F2094" s="3">
        <v>3443.27</v>
      </c>
      <c r="G2094" s="3">
        <v>2705.76</v>
      </c>
      <c r="H2094" s="3">
        <v>737.51</v>
      </c>
      <c r="I2094" s="3">
        <v>0.79</v>
      </c>
      <c r="J2094">
        <v>0.19</v>
      </c>
      <c r="K2094">
        <v>3225.82</v>
      </c>
      <c r="L2094" t="s">
        <v>30</v>
      </c>
      <c r="M2094">
        <v>719</v>
      </c>
      <c r="N2094">
        <v>0.32</v>
      </c>
      <c r="O2094" s="3">
        <v>629.74</v>
      </c>
      <c r="P2094" s="3">
        <v>0.18</v>
      </c>
      <c r="Q2094" s="3">
        <v>241.87</v>
      </c>
      <c r="R2094" s="3">
        <v>7.0000000000000007E-2</v>
      </c>
      <c r="S2094">
        <v>9</v>
      </c>
      <c r="T2094">
        <v>688.1</v>
      </c>
      <c r="U2094">
        <v>88</v>
      </c>
      <c r="V2094">
        <v>0</v>
      </c>
      <c r="W2094">
        <v>578.67999999999995</v>
      </c>
      <c r="X2094">
        <v>3056.18</v>
      </c>
      <c r="Y2094" t="s">
        <v>36</v>
      </c>
      <c r="Z2094" s="3">
        <v>1189.81</v>
      </c>
      <c r="AA2094" t="s">
        <v>45</v>
      </c>
      <c r="AB2094" t="s">
        <v>33</v>
      </c>
      <c r="AC2094">
        <v>41.5</v>
      </c>
      <c r="AD2094" t="s">
        <v>34</v>
      </c>
      <c r="AE2094">
        <v>737.51</v>
      </c>
      <c r="AF2094">
        <v>0</v>
      </c>
    </row>
    <row r="2095" spans="3:32" x14ac:dyDescent="0.35">
      <c r="C2095" s="1">
        <v>44696</v>
      </c>
      <c r="D2095" s="2">
        <v>44682</v>
      </c>
      <c r="E2095">
        <v>1755</v>
      </c>
      <c r="F2095" s="3">
        <v>4559.29</v>
      </c>
      <c r="G2095" s="3">
        <v>4482.47</v>
      </c>
      <c r="H2095" s="3">
        <v>76.819999999999993</v>
      </c>
      <c r="I2095" s="3">
        <v>0.98</v>
      </c>
      <c r="J2095">
        <v>0.37</v>
      </c>
      <c r="K2095">
        <v>2271.52</v>
      </c>
      <c r="L2095" t="s">
        <v>30</v>
      </c>
      <c r="M2095">
        <v>638</v>
      </c>
      <c r="N2095">
        <v>0.21</v>
      </c>
      <c r="O2095" s="3">
        <v>522.48</v>
      </c>
      <c r="P2095" s="3">
        <v>0.11</v>
      </c>
      <c r="Q2095" s="3">
        <v>585.75</v>
      </c>
      <c r="R2095" s="3">
        <v>0.13</v>
      </c>
      <c r="S2095">
        <v>8</v>
      </c>
      <c r="T2095">
        <v>712.07</v>
      </c>
      <c r="U2095">
        <v>67</v>
      </c>
      <c r="V2095">
        <v>0</v>
      </c>
      <c r="W2095">
        <v>677.31</v>
      </c>
      <c r="X2095">
        <v>1955</v>
      </c>
      <c r="Y2095" t="s">
        <v>36</v>
      </c>
      <c r="Z2095" s="3">
        <v>1296.8399999999999</v>
      </c>
      <c r="AA2095" t="s">
        <v>48</v>
      </c>
      <c r="AB2095" t="s">
        <v>42</v>
      </c>
      <c r="AC2095">
        <v>74.900000000000006</v>
      </c>
      <c r="AD2095" t="s">
        <v>38</v>
      </c>
      <c r="AE2095">
        <v>76.819999999999993</v>
      </c>
      <c r="AF2095">
        <v>0</v>
      </c>
    </row>
    <row r="2096" spans="3:32" x14ac:dyDescent="0.35">
      <c r="C2096" s="1">
        <v>44696</v>
      </c>
      <c r="D2096" s="2">
        <v>44682</v>
      </c>
      <c r="E2096">
        <v>1946</v>
      </c>
      <c r="F2096" s="3">
        <v>2357.92</v>
      </c>
      <c r="G2096" s="3">
        <v>3605.77</v>
      </c>
      <c r="H2096" s="3">
        <v>-1247.8499999999999</v>
      </c>
      <c r="I2096" s="3">
        <v>1.53</v>
      </c>
      <c r="J2096">
        <v>0.18</v>
      </c>
      <c r="K2096">
        <v>2843.81</v>
      </c>
      <c r="L2096" t="s">
        <v>35</v>
      </c>
      <c r="M2096">
        <v>714</v>
      </c>
      <c r="N2096">
        <v>0.27</v>
      </c>
      <c r="O2096" s="3">
        <v>543.27</v>
      </c>
      <c r="P2096" s="3">
        <v>0.23</v>
      </c>
      <c r="Q2096" s="3">
        <v>222.36</v>
      </c>
      <c r="R2096" s="3">
        <v>0.09</v>
      </c>
      <c r="S2096">
        <v>5</v>
      </c>
      <c r="T2096">
        <v>732.22</v>
      </c>
      <c r="U2096">
        <v>96</v>
      </c>
      <c r="V2096">
        <v>1</v>
      </c>
      <c r="W2096">
        <v>516.19000000000005</v>
      </c>
      <c r="X2096">
        <v>1524.27</v>
      </c>
      <c r="Y2096" t="s">
        <v>36</v>
      </c>
      <c r="Z2096" s="3">
        <v>1554.86</v>
      </c>
      <c r="AA2096" t="s">
        <v>51</v>
      </c>
      <c r="AB2096" t="s">
        <v>44</v>
      </c>
      <c r="AC2096">
        <v>89.2</v>
      </c>
      <c r="AD2096" t="s">
        <v>43</v>
      </c>
      <c r="AE2096">
        <v>0</v>
      </c>
      <c r="AF2096">
        <v>0</v>
      </c>
    </row>
    <row r="2097" spans="3:32" x14ac:dyDescent="0.35">
      <c r="C2097" s="1">
        <v>44696</v>
      </c>
      <c r="D2097" s="2">
        <v>44682</v>
      </c>
      <c r="E2097">
        <v>1773</v>
      </c>
      <c r="F2097" s="3">
        <v>3431.03</v>
      </c>
      <c r="G2097" s="3">
        <v>2674.01</v>
      </c>
      <c r="H2097" s="3">
        <v>757.02</v>
      </c>
      <c r="I2097" s="3">
        <v>0.78</v>
      </c>
      <c r="J2097">
        <v>0.09</v>
      </c>
      <c r="K2097">
        <v>2327.69</v>
      </c>
      <c r="L2097" t="s">
        <v>39</v>
      </c>
      <c r="M2097">
        <v>655</v>
      </c>
      <c r="N2097">
        <v>0.26</v>
      </c>
      <c r="O2097" s="3">
        <v>733.69</v>
      </c>
      <c r="P2097" s="3">
        <v>0.21</v>
      </c>
      <c r="Q2097" s="3">
        <v>125.29</v>
      </c>
      <c r="R2097" s="3">
        <v>0.04</v>
      </c>
      <c r="S2097">
        <v>1</v>
      </c>
      <c r="T2097">
        <v>1546.97</v>
      </c>
      <c r="U2097">
        <v>50</v>
      </c>
      <c r="V2097">
        <v>0</v>
      </c>
      <c r="W2097">
        <v>475.35</v>
      </c>
      <c r="X2097">
        <v>2420.7199999999998</v>
      </c>
      <c r="Y2097" t="s">
        <v>36</v>
      </c>
      <c r="Z2097" s="3">
        <v>1574.76</v>
      </c>
      <c r="AA2097" t="s">
        <v>46</v>
      </c>
      <c r="AB2097" t="s">
        <v>33</v>
      </c>
      <c r="AC2097">
        <v>69.900000000000006</v>
      </c>
      <c r="AD2097" t="s">
        <v>38</v>
      </c>
      <c r="AE2097">
        <v>757.02</v>
      </c>
      <c r="AF2097">
        <v>0</v>
      </c>
    </row>
    <row r="2098" spans="3:32" x14ac:dyDescent="0.35">
      <c r="C2098" s="1">
        <v>44696</v>
      </c>
      <c r="D2098" s="2">
        <v>44682</v>
      </c>
      <c r="E2098">
        <v>1494</v>
      </c>
      <c r="F2098" s="3">
        <v>2506.27</v>
      </c>
      <c r="G2098" s="3">
        <v>2138.17</v>
      </c>
      <c r="H2098" s="3">
        <v>368.1</v>
      </c>
      <c r="I2098" s="3">
        <v>0.85</v>
      </c>
      <c r="J2098">
        <v>0.15</v>
      </c>
      <c r="K2098">
        <v>3988.36</v>
      </c>
      <c r="L2098" t="s">
        <v>35</v>
      </c>
      <c r="M2098">
        <v>700</v>
      </c>
      <c r="N2098">
        <v>0.36</v>
      </c>
      <c r="O2098" s="3">
        <v>803.75</v>
      </c>
      <c r="P2098" s="3">
        <v>0.32</v>
      </c>
      <c r="Q2098" s="3">
        <v>217.53</v>
      </c>
      <c r="R2098" s="3">
        <v>0.09</v>
      </c>
      <c r="S2098">
        <v>2</v>
      </c>
      <c r="T2098">
        <v>1690.67</v>
      </c>
      <c r="U2098">
        <v>77</v>
      </c>
      <c r="V2098">
        <v>0</v>
      </c>
      <c r="W2098">
        <v>928.48</v>
      </c>
      <c r="X2098">
        <v>1711.83</v>
      </c>
      <c r="Y2098" t="s">
        <v>31</v>
      </c>
      <c r="Z2098" s="3">
        <v>843.1</v>
      </c>
      <c r="AA2098" t="s">
        <v>46</v>
      </c>
      <c r="AB2098" t="s">
        <v>44</v>
      </c>
      <c r="AC2098">
        <v>54.6</v>
      </c>
      <c r="AD2098" t="s">
        <v>34</v>
      </c>
      <c r="AE2098">
        <v>368.1</v>
      </c>
      <c r="AF2098">
        <v>0</v>
      </c>
    </row>
    <row r="2099" spans="3:32" x14ac:dyDescent="0.35">
      <c r="C2099" s="1">
        <v>44696</v>
      </c>
      <c r="D2099" s="2">
        <v>44682</v>
      </c>
      <c r="E2099">
        <v>1730</v>
      </c>
      <c r="F2099" s="3">
        <v>3988.94</v>
      </c>
      <c r="G2099" s="3">
        <v>2043.14</v>
      </c>
      <c r="H2099" s="3">
        <v>1945.8</v>
      </c>
      <c r="I2099" s="3">
        <v>0.51</v>
      </c>
      <c r="J2099">
        <v>0.16</v>
      </c>
      <c r="K2099">
        <v>3685.66</v>
      </c>
      <c r="L2099" t="s">
        <v>30</v>
      </c>
      <c r="M2099">
        <v>626</v>
      </c>
      <c r="N2099">
        <v>0.17</v>
      </c>
      <c r="O2099" s="3">
        <v>741.49</v>
      </c>
      <c r="P2099" s="3">
        <v>0.19</v>
      </c>
      <c r="Q2099" s="3">
        <v>495.19</v>
      </c>
      <c r="R2099" s="3">
        <v>0.12</v>
      </c>
      <c r="S2099">
        <v>1</v>
      </c>
      <c r="T2099">
        <v>631.24</v>
      </c>
      <c r="U2099">
        <v>70</v>
      </c>
      <c r="V2099">
        <v>0</v>
      </c>
      <c r="W2099">
        <v>285.31</v>
      </c>
      <c r="X2099">
        <v>2843.3</v>
      </c>
      <c r="Y2099" t="s">
        <v>36</v>
      </c>
      <c r="Z2099" s="3">
        <v>927.81</v>
      </c>
      <c r="AA2099" t="s">
        <v>48</v>
      </c>
      <c r="AB2099" t="s">
        <v>44</v>
      </c>
      <c r="AC2099">
        <v>25.3</v>
      </c>
      <c r="AD2099" t="s">
        <v>34</v>
      </c>
      <c r="AE2099">
        <v>1945.8</v>
      </c>
      <c r="AF2099">
        <v>0</v>
      </c>
    </row>
    <row r="2100" spans="3:32" x14ac:dyDescent="0.35">
      <c r="C2100" s="1">
        <v>44696</v>
      </c>
      <c r="D2100" s="2">
        <v>44682</v>
      </c>
      <c r="E2100">
        <v>1992</v>
      </c>
      <c r="F2100" s="3">
        <v>4478.42</v>
      </c>
      <c r="G2100" s="3">
        <v>3134.06</v>
      </c>
      <c r="H2100" s="3">
        <v>1344.36</v>
      </c>
      <c r="I2100" s="3">
        <v>0.7</v>
      </c>
      <c r="J2100">
        <v>0.08</v>
      </c>
      <c r="K2100">
        <v>3211.82</v>
      </c>
      <c r="L2100" t="s">
        <v>35</v>
      </c>
      <c r="M2100">
        <v>720</v>
      </c>
      <c r="N2100">
        <v>0.43</v>
      </c>
      <c r="O2100" s="3">
        <v>705.09</v>
      </c>
      <c r="P2100" s="3">
        <v>0.16</v>
      </c>
      <c r="Q2100" s="3">
        <v>200.03</v>
      </c>
      <c r="R2100" s="3">
        <v>0.04</v>
      </c>
      <c r="S2100">
        <v>3</v>
      </c>
      <c r="T2100">
        <v>134.96</v>
      </c>
      <c r="U2100">
        <v>45</v>
      </c>
      <c r="V2100">
        <v>0</v>
      </c>
      <c r="W2100">
        <v>768.95</v>
      </c>
      <c r="X2100">
        <v>1399.35</v>
      </c>
      <c r="Y2100" t="s">
        <v>36</v>
      </c>
      <c r="Z2100" s="3">
        <v>1055.83</v>
      </c>
      <c r="AA2100" t="s">
        <v>37</v>
      </c>
      <c r="AB2100" t="s">
        <v>33</v>
      </c>
      <c r="AC2100">
        <v>6.2</v>
      </c>
      <c r="AD2100" t="s">
        <v>34</v>
      </c>
      <c r="AE2100">
        <v>1344.36</v>
      </c>
      <c r="AF2100">
        <v>0</v>
      </c>
    </row>
    <row r="2101" spans="3:32" x14ac:dyDescent="0.35">
      <c r="C2101" s="1">
        <v>44696</v>
      </c>
      <c r="D2101" s="2">
        <v>44682</v>
      </c>
      <c r="E2101">
        <v>1737</v>
      </c>
      <c r="F2101" s="3">
        <v>685.28</v>
      </c>
      <c r="G2101" s="3">
        <v>3747.72</v>
      </c>
      <c r="H2101" s="3">
        <v>-3062.44</v>
      </c>
      <c r="I2101" s="3">
        <v>5.47</v>
      </c>
      <c r="J2101">
        <v>0.39</v>
      </c>
      <c r="K2101">
        <v>1872</v>
      </c>
      <c r="L2101" t="s">
        <v>30</v>
      </c>
      <c r="M2101">
        <v>647</v>
      </c>
      <c r="N2101">
        <v>0.34</v>
      </c>
      <c r="O2101" s="3">
        <v>581.47</v>
      </c>
      <c r="P2101" s="3">
        <v>0.85</v>
      </c>
      <c r="Q2101" s="3">
        <v>603.27</v>
      </c>
      <c r="R2101" s="3">
        <v>0.88</v>
      </c>
      <c r="S2101">
        <v>1</v>
      </c>
      <c r="T2101">
        <v>1113.07</v>
      </c>
      <c r="U2101">
        <v>22</v>
      </c>
      <c r="V2101">
        <v>0</v>
      </c>
      <c r="W2101">
        <v>283.97000000000003</v>
      </c>
      <c r="X2101">
        <v>1198.8900000000001</v>
      </c>
      <c r="Y2101" t="s">
        <v>36</v>
      </c>
      <c r="Z2101" s="3">
        <v>1472.97</v>
      </c>
      <c r="AA2101" t="s">
        <v>46</v>
      </c>
      <c r="AB2101" t="s">
        <v>44</v>
      </c>
      <c r="AC2101">
        <v>97</v>
      </c>
      <c r="AD2101" t="s">
        <v>38</v>
      </c>
      <c r="AE2101">
        <v>0</v>
      </c>
      <c r="AF2101">
        <v>0</v>
      </c>
    </row>
    <row r="2102" spans="3:32" x14ac:dyDescent="0.35">
      <c r="C2102" s="1">
        <v>44726</v>
      </c>
      <c r="D2102" s="2">
        <v>44713</v>
      </c>
      <c r="E2102">
        <v>1737</v>
      </c>
      <c r="F2102" s="3">
        <v>4047.29</v>
      </c>
      <c r="G2102" s="3">
        <v>2359.9699999999998</v>
      </c>
      <c r="H2102" s="3">
        <v>1687.32</v>
      </c>
      <c r="I2102" s="3">
        <v>0.57999999999999996</v>
      </c>
      <c r="J2102">
        <v>7.0000000000000007E-2</v>
      </c>
      <c r="K2102">
        <v>3092.41</v>
      </c>
      <c r="L2102" t="s">
        <v>35</v>
      </c>
      <c r="M2102">
        <v>599</v>
      </c>
      <c r="N2102">
        <v>0.4</v>
      </c>
      <c r="O2102" s="3">
        <v>602.41999999999996</v>
      </c>
      <c r="P2102" s="3">
        <v>0.15</v>
      </c>
      <c r="Q2102" s="3">
        <v>342.41</v>
      </c>
      <c r="R2102" s="3">
        <v>0.08</v>
      </c>
      <c r="S2102">
        <v>3</v>
      </c>
      <c r="T2102">
        <v>857.38</v>
      </c>
      <c r="U2102">
        <v>21</v>
      </c>
      <c r="V2102">
        <v>0</v>
      </c>
      <c r="W2102">
        <v>662.09</v>
      </c>
      <c r="X2102">
        <v>1979.19</v>
      </c>
      <c r="Y2102" t="s">
        <v>36</v>
      </c>
      <c r="Z2102" s="3">
        <v>969.63</v>
      </c>
      <c r="AA2102" t="s">
        <v>50</v>
      </c>
      <c r="AB2102" t="s">
        <v>42</v>
      </c>
      <c r="AC2102">
        <v>77.900000000000006</v>
      </c>
      <c r="AD2102" t="s">
        <v>34</v>
      </c>
      <c r="AE2102">
        <v>1687.32</v>
      </c>
      <c r="AF2102">
        <v>0</v>
      </c>
    </row>
    <row r="2103" spans="3:32" x14ac:dyDescent="0.35">
      <c r="C2103" s="1">
        <v>44726</v>
      </c>
      <c r="D2103" s="2">
        <v>44713</v>
      </c>
      <c r="E2103">
        <v>1446</v>
      </c>
      <c r="F2103" s="3">
        <v>3266.25</v>
      </c>
      <c r="G2103" s="3">
        <v>1380.33</v>
      </c>
      <c r="H2103" s="3">
        <v>1885.92</v>
      </c>
      <c r="I2103" s="3">
        <v>0.42</v>
      </c>
      <c r="J2103">
        <v>0.23</v>
      </c>
      <c r="K2103">
        <v>2511.9899999999998</v>
      </c>
      <c r="L2103" t="s">
        <v>35</v>
      </c>
      <c r="M2103">
        <v>708</v>
      </c>
      <c r="N2103">
        <v>0.19</v>
      </c>
      <c r="O2103" s="3">
        <v>164.61</v>
      </c>
      <c r="P2103" s="3">
        <v>0.05</v>
      </c>
      <c r="Q2103" s="3">
        <v>464.44</v>
      </c>
      <c r="R2103" s="3">
        <v>0.14000000000000001</v>
      </c>
      <c r="S2103">
        <v>7</v>
      </c>
      <c r="T2103">
        <v>1085.0999999999999</v>
      </c>
      <c r="U2103">
        <v>97</v>
      </c>
      <c r="V2103">
        <v>0</v>
      </c>
      <c r="W2103">
        <v>407.98</v>
      </c>
      <c r="X2103">
        <v>2656.32</v>
      </c>
      <c r="Y2103" t="s">
        <v>36</v>
      </c>
      <c r="Z2103" s="3">
        <v>720.27</v>
      </c>
      <c r="AA2103" t="s">
        <v>48</v>
      </c>
      <c r="AB2103" t="s">
        <v>33</v>
      </c>
      <c r="AC2103">
        <v>99.5</v>
      </c>
      <c r="AD2103" t="s">
        <v>38</v>
      </c>
      <c r="AE2103">
        <v>1885.92</v>
      </c>
      <c r="AF2103">
        <v>0</v>
      </c>
    </row>
    <row r="2104" spans="3:32" x14ac:dyDescent="0.35">
      <c r="C2104" s="1">
        <v>44726</v>
      </c>
      <c r="D2104" s="2">
        <v>44713</v>
      </c>
      <c r="E2104">
        <v>1856</v>
      </c>
      <c r="F2104" s="3">
        <v>878.47</v>
      </c>
      <c r="G2104" s="3">
        <v>3711.08</v>
      </c>
      <c r="H2104" s="3">
        <v>-2832.61</v>
      </c>
      <c r="I2104" s="3">
        <v>4.22</v>
      </c>
      <c r="J2104">
        <v>0.12</v>
      </c>
      <c r="K2104">
        <v>2918.12</v>
      </c>
      <c r="L2104" t="s">
        <v>39</v>
      </c>
      <c r="M2104">
        <v>694</v>
      </c>
      <c r="N2104">
        <v>0.28999999999999998</v>
      </c>
      <c r="O2104" s="3">
        <v>766.45</v>
      </c>
      <c r="P2104" s="3">
        <v>0.87</v>
      </c>
      <c r="Q2104" s="3">
        <v>451.01</v>
      </c>
      <c r="R2104" s="3">
        <v>0.51</v>
      </c>
      <c r="S2104">
        <v>4</v>
      </c>
      <c r="T2104">
        <v>1628.87</v>
      </c>
      <c r="U2104">
        <v>25</v>
      </c>
      <c r="V2104">
        <v>0</v>
      </c>
      <c r="W2104">
        <v>585.98</v>
      </c>
      <c r="X2104">
        <v>1678.89</v>
      </c>
      <c r="Y2104" t="s">
        <v>36</v>
      </c>
      <c r="Z2104" s="3">
        <v>1729.85</v>
      </c>
      <c r="AA2104" t="s">
        <v>45</v>
      </c>
      <c r="AB2104" t="s">
        <v>33</v>
      </c>
      <c r="AC2104">
        <v>5.7</v>
      </c>
      <c r="AD2104" t="s">
        <v>34</v>
      </c>
      <c r="AE2104">
        <v>0</v>
      </c>
      <c r="AF2104">
        <v>0</v>
      </c>
    </row>
    <row r="2105" spans="3:32" x14ac:dyDescent="0.35">
      <c r="C2105" s="1">
        <v>44726</v>
      </c>
      <c r="D2105" s="2">
        <v>44713</v>
      </c>
      <c r="E2105">
        <v>1510</v>
      </c>
      <c r="F2105" s="3">
        <v>4552.9799999999996</v>
      </c>
      <c r="G2105" s="3">
        <v>3002.22</v>
      </c>
      <c r="H2105" s="3">
        <v>1550.76</v>
      </c>
      <c r="I2105" s="3">
        <v>0.66</v>
      </c>
      <c r="J2105">
        <v>0.1</v>
      </c>
      <c r="K2105">
        <v>2919.41</v>
      </c>
      <c r="L2105" t="s">
        <v>35</v>
      </c>
      <c r="M2105">
        <v>657</v>
      </c>
      <c r="N2105">
        <v>0.41</v>
      </c>
      <c r="O2105" s="3">
        <v>560.19000000000005</v>
      </c>
      <c r="P2105" s="3">
        <v>0.12</v>
      </c>
      <c r="Q2105" s="3">
        <v>379.79</v>
      </c>
      <c r="R2105" s="3">
        <v>0.08</v>
      </c>
      <c r="S2105">
        <v>2</v>
      </c>
      <c r="T2105">
        <v>427.6</v>
      </c>
      <c r="U2105">
        <v>20</v>
      </c>
      <c r="V2105">
        <v>0</v>
      </c>
      <c r="W2105">
        <v>964.29</v>
      </c>
      <c r="X2105">
        <v>2484.2199999999998</v>
      </c>
      <c r="Y2105" t="s">
        <v>49</v>
      </c>
      <c r="Z2105" s="3">
        <v>1729.39</v>
      </c>
      <c r="AA2105" t="s">
        <v>41</v>
      </c>
      <c r="AB2105" t="s">
        <v>44</v>
      </c>
      <c r="AC2105">
        <v>26.4</v>
      </c>
      <c r="AD2105" t="s">
        <v>38</v>
      </c>
      <c r="AE2105">
        <v>1550.76</v>
      </c>
      <c r="AF2105">
        <v>0</v>
      </c>
    </row>
    <row r="2106" spans="3:32" x14ac:dyDescent="0.35">
      <c r="C2106" s="1">
        <v>44726</v>
      </c>
      <c r="D2106" s="2">
        <v>44713</v>
      </c>
      <c r="E2106">
        <v>1333</v>
      </c>
      <c r="F2106" s="3">
        <v>4274.6099999999997</v>
      </c>
      <c r="G2106" s="3">
        <v>1909.03</v>
      </c>
      <c r="H2106" s="3">
        <v>2365.58</v>
      </c>
      <c r="I2106" s="3">
        <v>0.45</v>
      </c>
      <c r="J2106">
        <v>0.31</v>
      </c>
      <c r="K2106">
        <v>2826.03</v>
      </c>
      <c r="L2106" t="s">
        <v>35</v>
      </c>
      <c r="M2106">
        <v>757</v>
      </c>
      <c r="N2106">
        <v>0.51</v>
      </c>
      <c r="O2106" s="3">
        <v>535.78</v>
      </c>
      <c r="P2106" s="3">
        <v>0.13</v>
      </c>
      <c r="Q2106" s="3">
        <v>545.12</v>
      </c>
      <c r="R2106" s="3">
        <v>0.13</v>
      </c>
      <c r="S2106">
        <v>1</v>
      </c>
      <c r="T2106">
        <v>1198.51</v>
      </c>
      <c r="U2106">
        <v>47</v>
      </c>
      <c r="V2106">
        <v>0</v>
      </c>
      <c r="W2106">
        <v>304.68</v>
      </c>
      <c r="X2106">
        <v>2570.4899999999998</v>
      </c>
      <c r="Y2106" t="s">
        <v>36</v>
      </c>
      <c r="Z2106" s="3">
        <v>1481.57</v>
      </c>
      <c r="AA2106" t="s">
        <v>51</v>
      </c>
      <c r="AB2106" t="s">
        <v>33</v>
      </c>
      <c r="AC2106">
        <v>84.7</v>
      </c>
      <c r="AD2106" t="s">
        <v>43</v>
      </c>
      <c r="AE2106">
        <v>2365.58</v>
      </c>
      <c r="AF2106">
        <v>0</v>
      </c>
    </row>
    <row r="2107" spans="3:32" x14ac:dyDescent="0.35">
      <c r="C2107" s="1">
        <v>44726</v>
      </c>
      <c r="D2107" s="2">
        <v>44713</v>
      </c>
      <c r="E2107">
        <v>1949</v>
      </c>
      <c r="F2107" s="3">
        <v>3735.8</v>
      </c>
      <c r="G2107" s="3">
        <v>3957.68</v>
      </c>
      <c r="H2107" s="3">
        <v>-221.88</v>
      </c>
      <c r="I2107" s="3">
        <v>1.06</v>
      </c>
      <c r="J2107">
        <v>0.32</v>
      </c>
      <c r="K2107">
        <v>3734.75</v>
      </c>
      <c r="L2107" t="s">
        <v>35</v>
      </c>
      <c r="M2107">
        <v>690</v>
      </c>
      <c r="N2107">
        <v>0.28999999999999998</v>
      </c>
      <c r="O2107" s="3">
        <v>539.82000000000005</v>
      </c>
      <c r="P2107" s="3">
        <v>0.14000000000000001</v>
      </c>
      <c r="Q2107" s="3">
        <v>114.74</v>
      </c>
      <c r="R2107" s="3">
        <v>0.03</v>
      </c>
      <c r="S2107">
        <v>5</v>
      </c>
      <c r="T2107">
        <v>1161.18</v>
      </c>
      <c r="U2107">
        <v>61</v>
      </c>
      <c r="V2107">
        <v>0</v>
      </c>
      <c r="W2107">
        <v>157.04</v>
      </c>
      <c r="X2107">
        <v>2274.34</v>
      </c>
      <c r="Y2107" t="s">
        <v>31</v>
      </c>
      <c r="Z2107" s="3">
        <v>1074.6600000000001</v>
      </c>
      <c r="AA2107" t="s">
        <v>50</v>
      </c>
      <c r="AB2107" t="s">
        <v>33</v>
      </c>
      <c r="AC2107">
        <v>69.2</v>
      </c>
      <c r="AD2107" t="s">
        <v>34</v>
      </c>
      <c r="AE2107">
        <v>0</v>
      </c>
      <c r="AF2107">
        <v>0</v>
      </c>
    </row>
    <row r="2108" spans="3:32" x14ac:dyDescent="0.35">
      <c r="C2108" s="1">
        <v>44726</v>
      </c>
      <c r="D2108" s="2">
        <v>44713</v>
      </c>
      <c r="E2108">
        <v>1494</v>
      </c>
      <c r="F2108" s="3">
        <v>3925.45</v>
      </c>
      <c r="G2108" s="3">
        <v>2200.2800000000002</v>
      </c>
      <c r="H2108" s="3">
        <v>1725.17</v>
      </c>
      <c r="I2108" s="3">
        <v>0.56000000000000005</v>
      </c>
      <c r="J2108">
        <v>0.28000000000000003</v>
      </c>
      <c r="K2108">
        <v>3076.24</v>
      </c>
      <c r="L2108" t="s">
        <v>30</v>
      </c>
      <c r="M2108">
        <v>700</v>
      </c>
      <c r="N2108">
        <v>0.28999999999999998</v>
      </c>
      <c r="O2108" s="3">
        <v>411.02</v>
      </c>
      <c r="P2108" s="3">
        <v>0.1</v>
      </c>
      <c r="Q2108" s="3">
        <v>638.75</v>
      </c>
      <c r="R2108" s="3">
        <v>0.16</v>
      </c>
      <c r="S2108">
        <v>2</v>
      </c>
      <c r="T2108">
        <v>700.3</v>
      </c>
      <c r="U2108">
        <v>83</v>
      </c>
      <c r="V2108">
        <v>0</v>
      </c>
      <c r="W2108">
        <v>370.47</v>
      </c>
      <c r="X2108">
        <v>3386.47</v>
      </c>
      <c r="Y2108" t="s">
        <v>36</v>
      </c>
      <c r="Z2108" s="3">
        <v>886.93</v>
      </c>
      <c r="AA2108" t="s">
        <v>50</v>
      </c>
      <c r="AB2108" t="s">
        <v>33</v>
      </c>
      <c r="AC2108">
        <v>63.9</v>
      </c>
      <c r="AD2108" t="s">
        <v>34</v>
      </c>
      <c r="AE2108">
        <v>1725.17</v>
      </c>
      <c r="AF2108">
        <v>0</v>
      </c>
    </row>
    <row r="2109" spans="3:32" x14ac:dyDescent="0.35">
      <c r="C2109" s="1">
        <v>44726</v>
      </c>
      <c r="D2109" s="2">
        <v>44713</v>
      </c>
      <c r="E2109">
        <v>1293</v>
      </c>
      <c r="F2109" s="3">
        <v>5208.51</v>
      </c>
      <c r="G2109" s="3">
        <v>3282.4</v>
      </c>
      <c r="H2109" s="3">
        <v>1926.11</v>
      </c>
      <c r="I2109" s="3">
        <v>0.63</v>
      </c>
      <c r="J2109">
        <v>0.23</v>
      </c>
      <c r="K2109">
        <v>2826.45</v>
      </c>
      <c r="L2109" t="s">
        <v>35</v>
      </c>
      <c r="M2109">
        <v>681</v>
      </c>
      <c r="N2109">
        <v>0.45</v>
      </c>
      <c r="O2109" s="3">
        <v>824.91</v>
      </c>
      <c r="P2109" s="3">
        <v>0.16</v>
      </c>
      <c r="Q2109" s="3">
        <v>389.28</v>
      </c>
      <c r="R2109" s="3">
        <v>7.0000000000000007E-2</v>
      </c>
      <c r="S2109">
        <v>9</v>
      </c>
      <c r="T2109">
        <v>776.38</v>
      </c>
      <c r="U2109">
        <v>23</v>
      </c>
      <c r="V2109">
        <v>0</v>
      </c>
      <c r="W2109">
        <v>553.85</v>
      </c>
      <c r="X2109">
        <v>2743.49</v>
      </c>
      <c r="Y2109" t="s">
        <v>49</v>
      </c>
      <c r="Z2109" s="3">
        <v>1162.3699999999999</v>
      </c>
      <c r="AA2109" t="s">
        <v>46</v>
      </c>
      <c r="AB2109" t="s">
        <v>33</v>
      </c>
      <c r="AC2109">
        <v>15.5</v>
      </c>
      <c r="AD2109" t="s">
        <v>43</v>
      </c>
      <c r="AE2109">
        <v>1926.11</v>
      </c>
      <c r="AF2109">
        <v>0</v>
      </c>
    </row>
    <row r="2110" spans="3:32" x14ac:dyDescent="0.35">
      <c r="C2110" s="1">
        <v>44726</v>
      </c>
      <c r="D2110" s="2">
        <v>44713</v>
      </c>
      <c r="E2110">
        <v>1598</v>
      </c>
      <c r="F2110" s="3">
        <v>4324.87</v>
      </c>
      <c r="G2110" s="3">
        <v>1256.24</v>
      </c>
      <c r="H2110" s="3">
        <v>3068.63</v>
      </c>
      <c r="I2110" s="3">
        <v>0.28999999999999998</v>
      </c>
      <c r="J2110">
        <v>0.31</v>
      </c>
      <c r="K2110">
        <v>2036.12</v>
      </c>
      <c r="L2110" t="s">
        <v>35</v>
      </c>
      <c r="M2110">
        <v>647</v>
      </c>
      <c r="N2110">
        <v>0.56000000000000005</v>
      </c>
      <c r="O2110" s="3">
        <v>706.14</v>
      </c>
      <c r="P2110" s="3">
        <v>0.16</v>
      </c>
      <c r="Q2110" s="3">
        <v>503.79</v>
      </c>
      <c r="R2110" s="3">
        <v>0.12</v>
      </c>
      <c r="S2110">
        <v>7</v>
      </c>
      <c r="T2110">
        <v>311.61</v>
      </c>
      <c r="U2110">
        <v>49</v>
      </c>
      <c r="V2110">
        <v>0</v>
      </c>
      <c r="W2110">
        <v>870.44</v>
      </c>
      <c r="X2110">
        <v>1426.28</v>
      </c>
      <c r="Y2110" t="s">
        <v>36</v>
      </c>
      <c r="Z2110" s="3">
        <v>1494.96</v>
      </c>
      <c r="AA2110" t="s">
        <v>37</v>
      </c>
      <c r="AB2110" t="s">
        <v>33</v>
      </c>
      <c r="AC2110">
        <v>37</v>
      </c>
      <c r="AD2110" t="s">
        <v>38</v>
      </c>
      <c r="AE2110">
        <v>3068.63</v>
      </c>
      <c r="AF2110">
        <v>1</v>
      </c>
    </row>
    <row r="2111" spans="3:32" x14ac:dyDescent="0.35">
      <c r="C2111" s="1">
        <v>44726</v>
      </c>
      <c r="D2111" s="2">
        <v>44713</v>
      </c>
      <c r="E2111">
        <v>1112</v>
      </c>
      <c r="F2111" s="3">
        <v>2724.46</v>
      </c>
      <c r="G2111" s="3">
        <v>2490.4899999999998</v>
      </c>
      <c r="H2111" s="3">
        <v>233.97</v>
      </c>
      <c r="I2111" s="3">
        <v>0.91</v>
      </c>
      <c r="J2111">
        <v>0.16</v>
      </c>
      <c r="K2111">
        <v>2070.64</v>
      </c>
      <c r="L2111" t="s">
        <v>30</v>
      </c>
      <c r="M2111">
        <v>738</v>
      </c>
      <c r="N2111">
        <v>0.54</v>
      </c>
      <c r="O2111" s="3">
        <v>341.72</v>
      </c>
      <c r="P2111" s="3">
        <v>0.13</v>
      </c>
      <c r="Q2111" s="3">
        <v>351.89</v>
      </c>
      <c r="R2111" s="3">
        <v>0.13</v>
      </c>
      <c r="S2111">
        <v>6</v>
      </c>
      <c r="T2111">
        <v>999.29</v>
      </c>
      <c r="U2111">
        <v>80</v>
      </c>
      <c r="V2111">
        <v>0</v>
      </c>
      <c r="W2111">
        <v>380.6</v>
      </c>
      <c r="X2111">
        <v>1000</v>
      </c>
      <c r="Y2111" t="s">
        <v>36</v>
      </c>
      <c r="Z2111" s="3">
        <v>1136.53</v>
      </c>
      <c r="AA2111" t="s">
        <v>45</v>
      </c>
      <c r="AB2111" t="s">
        <v>33</v>
      </c>
      <c r="AC2111">
        <v>20.9</v>
      </c>
      <c r="AD2111" t="s">
        <v>34</v>
      </c>
      <c r="AE2111">
        <v>233.97</v>
      </c>
      <c r="AF2111">
        <v>0</v>
      </c>
    </row>
    <row r="2112" spans="3:32" x14ac:dyDescent="0.35">
      <c r="C2112" s="1">
        <v>44726</v>
      </c>
      <c r="D2112" s="2">
        <v>44713</v>
      </c>
      <c r="E2112">
        <v>1732</v>
      </c>
      <c r="F2112" s="3">
        <v>4154.97</v>
      </c>
      <c r="G2112" s="3">
        <v>1125.06</v>
      </c>
      <c r="H2112" s="3">
        <v>3029.91</v>
      </c>
      <c r="I2112" s="3">
        <v>0.27</v>
      </c>
      <c r="J2112">
        <v>0.34</v>
      </c>
      <c r="K2112">
        <v>2862.08</v>
      </c>
      <c r="L2112" t="s">
        <v>39</v>
      </c>
      <c r="M2112">
        <v>664</v>
      </c>
      <c r="N2112">
        <v>0.56000000000000005</v>
      </c>
      <c r="O2112" s="3">
        <v>394</v>
      </c>
      <c r="P2112" s="3">
        <v>0.09</v>
      </c>
      <c r="Q2112" s="3">
        <v>638.03</v>
      </c>
      <c r="R2112" s="3">
        <v>0.15</v>
      </c>
      <c r="S2112">
        <v>7</v>
      </c>
      <c r="T2112">
        <v>1140.33</v>
      </c>
      <c r="U2112">
        <v>80</v>
      </c>
      <c r="V2112">
        <v>0</v>
      </c>
      <c r="W2112">
        <v>844.41</v>
      </c>
      <c r="X2112">
        <v>3038.61</v>
      </c>
      <c r="Y2112" t="s">
        <v>31</v>
      </c>
      <c r="Z2112" s="3">
        <v>1524.79</v>
      </c>
      <c r="AA2112" t="s">
        <v>51</v>
      </c>
      <c r="AB2112" t="s">
        <v>42</v>
      </c>
      <c r="AC2112">
        <v>79.5</v>
      </c>
      <c r="AD2112" t="s">
        <v>34</v>
      </c>
      <c r="AE2112">
        <v>3029.91</v>
      </c>
      <c r="AF2112">
        <v>1</v>
      </c>
    </row>
    <row r="2113" spans="3:32" x14ac:dyDescent="0.35">
      <c r="C2113" s="1">
        <v>44726</v>
      </c>
      <c r="D2113" s="2">
        <v>44713</v>
      </c>
      <c r="E2113">
        <v>1826</v>
      </c>
      <c r="F2113" s="3">
        <v>2052.6999999999998</v>
      </c>
      <c r="G2113" s="3">
        <v>1888.35</v>
      </c>
      <c r="H2113" s="3">
        <v>164.35</v>
      </c>
      <c r="I2113" s="3">
        <v>0.92</v>
      </c>
      <c r="J2113">
        <v>0.25</v>
      </c>
      <c r="K2113">
        <v>1898.91</v>
      </c>
      <c r="L2113" t="s">
        <v>35</v>
      </c>
      <c r="M2113">
        <v>656</v>
      </c>
      <c r="N2113">
        <v>0.27</v>
      </c>
      <c r="O2113" s="3">
        <v>70.73</v>
      </c>
      <c r="P2113" s="3">
        <v>0.03</v>
      </c>
      <c r="Q2113" s="3">
        <v>770.67</v>
      </c>
      <c r="R2113" s="3">
        <v>0.38</v>
      </c>
      <c r="S2113">
        <v>6</v>
      </c>
      <c r="T2113">
        <v>33.74</v>
      </c>
      <c r="U2113">
        <v>90</v>
      </c>
      <c r="V2113">
        <v>0</v>
      </c>
      <c r="W2113">
        <v>519.04</v>
      </c>
      <c r="X2113">
        <v>1908.68</v>
      </c>
      <c r="Y2113" t="s">
        <v>36</v>
      </c>
      <c r="Z2113" s="3">
        <v>965.66</v>
      </c>
      <c r="AA2113" t="s">
        <v>46</v>
      </c>
      <c r="AB2113" t="s">
        <v>33</v>
      </c>
      <c r="AC2113">
        <v>15.1</v>
      </c>
      <c r="AD2113" t="s">
        <v>43</v>
      </c>
      <c r="AE2113">
        <v>164.35</v>
      </c>
      <c r="AF2113">
        <v>0</v>
      </c>
    </row>
    <row r="2114" spans="3:32" x14ac:dyDescent="0.35">
      <c r="C2114" s="1">
        <v>44726</v>
      </c>
      <c r="D2114" s="2">
        <v>44713</v>
      </c>
      <c r="E2114">
        <v>1616</v>
      </c>
      <c r="F2114" s="3">
        <v>5506.03</v>
      </c>
      <c r="G2114" s="3">
        <v>3462.52</v>
      </c>
      <c r="H2114" s="3">
        <v>2043.51</v>
      </c>
      <c r="I2114" s="3">
        <v>0.63</v>
      </c>
      <c r="J2114">
        <v>0.19</v>
      </c>
      <c r="K2114">
        <v>3493.09</v>
      </c>
      <c r="L2114" t="s">
        <v>35</v>
      </c>
      <c r="M2114">
        <v>628</v>
      </c>
      <c r="N2114">
        <v>0.48</v>
      </c>
      <c r="O2114" s="3">
        <v>467.15</v>
      </c>
      <c r="P2114" s="3">
        <v>0.08</v>
      </c>
      <c r="Q2114" s="3">
        <v>715.88</v>
      </c>
      <c r="R2114" s="3">
        <v>0.13</v>
      </c>
      <c r="S2114">
        <v>1</v>
      </c>
      <c r="T2114">
        <v>624.59</v>
      </c>
      <c r="U2114">
        <v>99</v>
      </c>
      <c r="V2114">
        <v>0</v>
      </c>
      <c r="W2114">
        <v>581.59</v>
      </c>
      <c r="X2114">
        <v>2217.91</v>
      </c>
      <c r="Y2114" t="s">
        <v>36</v>
      </c>
      <c r="Z2114" s="3">
        <v>1586.78</v>
      </c>
      <c r="AA2114" t="s">
        <v>37</v>
      </c>
      <c r="AB2114" t="s">
        <v>44</v>
      </c>
      <c r="AC2114">
        <v>14</v>
      </c>
      <c r="AD2114" t="s">
        <v>34</v>
      </c>
      <c r="AE2114">
        <v>2043.51</v>
      </c>
      <c r="AF2114">
        <v>0</v>
      </c>
    </row>
    <row r="2115" spans="3:32" x14ac:dyDescent="0.35">
      <c r="C2115" s="1">
        <v>44726</v>
      </c>
      <c r="D2115" s="2">
        <v>44713</v>
      </c>
      <c r="E2115">
        <v>1854</v>
      </c>
      <c r="F2115" s="3">
        <v>5505.05</v>
      </c>
      <c r="G2115" s="3">
        <v>1723.48</v>
      </c>
      <c r="H2115" s="3">
        <v>3781.57</v>
      </c>
      <c r="I2115" s="3">
        <v>0.31</v>
      </c>
      <c r="J2115">
        <v>0.32</v>
      </c>
      <c r="K2115">
        <v>2494.64</v>
      </c>
      <c r="L2115" t="s">
        <v>35</v>
      </c>
      <c r="M2115">
        <v>637</v>
      </c>
      <c r="N2115">
        <v>0.43</v>
      </c>
      <c r="O2115" s="3">
        <v>437.3</v>
      </c>
      <c r="P2115" s="3">
        <v>0.08</v>
      </c>
      <c r="Q2115" s="3">
        <v>526.02</v>
      </c>
      <c r="R2115" s="3">
        <v>0.1</v>
      </c>
      <c r="S2115">
        <v>3</v>
      </c>
      <c r="T2115">
        <v>1681.61</v>
      </c>
      <c r="U2115">
        <v>81</v>
      </c>
      <c r="V2115">
        <v>0</v>
      </c>
      <c r="W2115">
        <v>369.58</v>
      </c>
      <c r="X2115">
        <v>1805.87</v>
      </c>
      <c r="Y2115" t="s">
        <v>36</v>
      </c>
      <c r="Z2115" s="3">
        <v>897.77</v>
      </c>
      <c r="AA2115" t="s">
        <v>50</v>
      </c>
      <c r="AB2115" t="s">
        <v>33</v>
      </c>
      <c r="AC2115">
        <v>16.7</v>
      </c>
      <c r="AD2115" t="s">
        <v>43</v>
      </c>
      <c r="AE2115">
        <v>3781.57</v>
      </c>
      <c r="AF2115">
        <v>1</v>
      </c>
    </row>
    <row r="2116" spans="3:32" x14ac:dyDescent="0.35">
      <c r="C2116" s="1">
        <v>44726</v>
      </c>
      <c r="D2116" s="2">
        <v>44713</v>
      </c>
      <c r="E2116">
        <v>1177</v>
      </c>
      <c r="F2116" s="3">
        <v>5721.48</v>
      </c>
      <c r="G2116" s="3">
        <v>3148.92</v>
      </c>
      <c r="H2116" s="3">
        <v>2572.56</v>
      </c>
      <c r="I2116" s="3">
        <v>0.55000000000000004</v>
      </c>
      <c r="J2116">
        <v>0.4</v>
      </c>
      <c r="K2116">
        <v>2747.68</v>
      </c>
      <c r="L2116" t="s">
        <v>39</v>
      </c>
      <c r="M2116">
        <v>732</v>
      </c>
      <c r="N2116">
        <v>0.6</v>
      </c>
      <c r="O2116" s="3">
        <v>906.09</v>
      </c>
      <c r="P2116" s="3">
        <v>0.16</v>
      </c>
      <c r="Q2116" s="3">
        <v>386.99</v>
      </c>
      <c r="R2116" s="3">
        <v>7.0000000000000007E-2</v>
      </c>
      <c r="S2116">
        <v>1</v>
      </c>
      <c r="T2116">
        <v>756.11</v>
      </c>
      <c r="U2116">
        <v>73</v>
      </c>
      <c r="V2116">
        <v>0</v>
      </c>
      <c r="W2116">
        <v>541.63</v>
      </c>
      <c r="X2116">
        <v>1483.51</v>
      </c>
      <c r="Y2116" t="s">
        <v>36</v>
      </c>
      <c r="Z2116" s="3">
        <v>1815.94</v>
      </c>
      <c r="AA2116" t="s">
        <v>45</v>
      </c>
      <c r="AB2116" t="s">
        <v>33</v>
      </c>
      <c r="AC2116">
        <v>46.2</v>
      </c>
      <c r="AD2116" t="s">
        <v>38</v>
      </c>
      <c r="AE2116">
        <v>2572.56</v>
      </c>
      <c r="AF2116">
        <v>0</v>
      </c>
    </row>
    <row r="2117" spans="3:32" x14ac:dyDescent="0.35">
      <c r="C2117" s="1">
        <v>44726</v>
      </c>
      <c r="D2117" s="2">
        <v>44713</v>
      </c>
      <c r="E2117">
        <v>1304</v>
      </c>
      <c r="F2117" s="3">
        <v>3478.13</v>
      </c>
      <c r="G2117" s="3">
        <v>4264.46</v>
      </c>
      <c r="H2117" s="3">
        <v>-786.33</v>
      </c>
      <c r="I2117" s="3">
        <v>1.23</v>
      </c>
      <c r="J2117">
        <v>0.16</v>
      </c>
      <c r="K2117">
        <v>3031.53</v>
      </c>
      <c r="L2117" t="s">
        <v>39</v>
      </c>
      <c r="M2117">
        <v>766</v>
      </c>
      <c r="N2117">
        <v>0.25</v>
      </c>
      <c r="O2117" s="3">
        <v>563.30999999999995</v>
      </c>
      <c r="P2117" s="3">
        <v>0.16</v>
      </c>
      <c r="Q2117" s="3">
        <v>602.55999999999995</v>
      </c>
      <c r="R2117" s="3">
        <v>0.17</v>
      </c>
      <c r="S2117">
        <v>4</v>
      </c>
      <c r="T2117">
        <v>1176.73</v>
      </c>
      <c r="U2117">
        <v>94</v>
      </c>
      <c r="V2117">
        <v>0</v>
      </c>
      <c r="W2117">
        <v>740.75</v>
      </c>
      <c r="X2117">
        <v>2682.39</v>
      </c>
      <c r="Y2117" t="s">
        <v>36</v>
      </c>
      <c r="Z2117" s="3">
        <v>1237.79</v>
      </c>
      <c r="AA2117" t="s">
        <v>48</v>
      </c>
      <c r="AB2117" t="s">
        <v>42</v>
      </c>
      <c r="AC2117">
        <v>72.2</v>
      </c>
      <c r="AD2117" t="s">
        <v>34</v>
      </c>
      <c r="AE2117">
        <v>0</v>
      </c>
      <c r="AF2117">
        <v>0</v>
      </c>
    </row>
    <row r="2118" spans="3:32" x14ac:dyDescent="0.35">
      <c r="C2118" s="1">
        <v>44726</v>
      </c>
      <c r="D2118" s="2">
        <v>44713</v>
      </c>
      <c r="E2118">
        <v>1017</v>
      </c>
      <c r="F2118" s="3">
        <v>3817.1</v>
      </c>
      <c r="G2118" s="3">
        <v>3217.37</v>
      </c>
      <c r="H2118" s="3">
        <v>599.73</v>
      </c>
      <c r="I2118" s="3">
        <v>0.84</v>
      </c>
      <c r="J2118">
        <v>0.06</v>
      </c>
      <c r="K2118">
        <v>2967.27</v>
      </c>
      <c r="L2118" t="s">
        <v>35</v>
      </c>
      <c r="M2118">
        <v>740</v>
      </c>
      <c r="N2118">
        <v>0.17</v>
      </c>
      <c r="O2118" s="3">
        <v>583.62</v>
      </c>
      <c r="P2118" s="3">
        <v>0.15</v>
      </c>
      <c r="Q2118" s="3">
        <v>0</v>
      </c>
      <c r="R2118" s="3">
        <v>0</v>
      </c>
      <c r="S2118">
        <v>1</v>
      </c>
      <c r="T2118">
        <v>1611.07</v>
      </c>
      <c r="U2118">
        <v>84</v>
      </c>
      <c r="V2118">
        <v>0</v>
      </c>
      <c r="W2118">
        <v>710.1</v>
      </c>
      <c r="X2118">
        <v>2033.35</v>
      </c>
      <c r="Y2118" t="s">
        <v>36</v>
      </c>
      <c r="Z2118" s="3">
        <v>1039.58</v>
      </c>
      <c r="AA2118" t="s">
        <v>51</v>
      </c>
      <c r="AB2118" t="s">
        <v>33</v>
      </c>
      <c r="AC2118">
        <v>63.2</v>
      </c>
      <c r="AD2118" t="s">
        <v>38</v>
      </c>
      <c r="AE2118">
        <v>599.73</v>
      </c>
      <c r="AF2118">
        <v>0</v>
      </c>
    </row>
    <row r="2119" spans="3:32" x14ac:dyDescent="0.35">
      <c r="C2119" s="1">
        <v>44726</v>
      </c>
      <c r="D2119" s="2">
        <v>44713</v>
      </c>
      <c r="E2119">
        <v>1690</v>
      </c>
      <c r="F2119" s="3">
        <v>5293.22</v>
      </c>
      <c r="G2119" s="3">
        <v>2753.24</v>
      </c>
      <c r="H2119" s="3">
        <v>2539.98</v>
      </c>
      <c r="I2119" s="3">
        <v>0.52</v>
      </c>
      <c r="J2119">
        <v>0.09</v>
      </c>
      <c r="K2119">
        <v>2937.19</v>
      </c>
      <c r="L2119" t="s">
        <v>35</v>
      </c>
      <c r="M2119">
        <v>847</v>
      </c>
      <c r="N2119">
        <v>0.43</v>
      </c>
      <c r="O2119" s="3">
        <v>496.95</v>
      </c>
      <c r="P2119" s="3">
        <v>0.09</v>
      </c>
      <c r="Q2119" s="3">
        <v>354.66</v>
      </c>
      <c r="R2119" s="3">
        <v>7.0000000000000007E-2</v>
      </c>
      <c r="S2119">
        <v>3</v>
      </c>
      <c r="T2119">
        <v>890.28</v>
      </c>
      <c r="U2119">
        <v>45</v>
      </c>
      <c r="V2119">
        <v>0</v>
      </c>
      <c r="W2119">
        <v>480.16</v>
      </c>
      <c r="X2119">
        <v>1226.44</v>
      </c>
      <c r="Y2119" t="s">
        <v>36</v>
      </c>
      <c r="Z2119" s="3">
        <v>1405.38</v>
      </c>
      <c r="AA2119" t="s">
        <v>45</v>
      </c>
      <c r="AB2119" t="s">
        <v>33</v>
      </c>
      <c r="AC2119">
        <v>30.1</v>
      </c>
      <c r="AD2119" t="s">
        <v>34</v>
      </c>
      <c r="AE2119">
        <v>2539.98</v>
      </c>
      <c r="AF2119">
        <v>0</v>
      </c>
    </row>
    <row r="2120" spans="3:32" x14ac:dyDescent="0.35">
      <c r="C2120" s="1">
        <v>44726</v>
      </c>
      <c r="D2120" s="2">
        <v>44713</v>
      </c>
      <c r="E2120">
        <v>1949</v>
      </c>
      <c r="F2120" s="3">
        <v>3115.15</v>
      </c>
      <c r="G2120" s="3">
        <v>2762.38</v>
      </c>
      <c r="H2120" s="3">
        <v>352.77</v>
      </c>
      <c r="I2120" s="3">
        <v>0.89</v>
      </c>
      <c r="J2120">
        <v>7.0000000000000007E-2</v>
      </c>
      <c r="K2120">
        <v>2361.7800000000002</v>
      </c>
      <c r="L2120" t="s">
        <v>35</v>
      </c>
      <c r="M2120">
        <v>761</v>
      </c>
      <c r="N2120">
        <v>0.3</v>
      </c>
      <c r="O2120" s="3">
        <v>515.48</v>
      </c>
      <c r="P2120" s="3">
        <v>0.17</v>
      </c>
      <c r="Q2120" s="3">
        <v>599.79</v>
      </c>
      <c r="R2120" s="3">
        <v>0.19</v>
      </c>
      <c r="S2120">
        <v>5</v>
      </c>
      <c r="T2120">
        <v>1199.8</v>
      </c>
      <c r="U2120">
        <v>24</v>
      </c>
      <c r="V2120">
        <v>0</v>
      </c>
      <c r="W2120">
        <v>576.91999999999996</v>
      </c>
      <c r="X2120">
        <v>1935.48</v>
      </c>
      <c r="Y2120" t="s">
        <v>36</v>
      </c>
      <c r="Z2120" s="3">
        <v>1595.63</v>
      </c>
      <c r="AA2120" t="s">
        <v>40</v>
      </c>
      <c r="AB2120" t="s">
        <v>33</v>
      </c>
      <c r="AC2120">
        <v>9.8000000000000007</v>
      </c>
      <c r="AD2120" t="s">
        <v>34</v>
      </c>
      <c r="AE2120">
        <v>352.77</v>
      </c>
      <c r="AF2120">
        <v>0</v>
      </c>
    </row>
    <row r="2121" spans="3:32" x14ac:dyDescent="0.35">
      <c r="C2121" s="1">
        <v>44726</v>
      </c>
      <c r="D2121" s="2">
        <v>44713</v>
      </c>
      <c r="E2121">
        <v>1329</v>
      </c>
      <c r="F2121" s="3">
        <v>4218.2700000000004</v>
      </c>
      <c r="G2121" s="3">
        <v>820</v>
      </c>
      <c r="H2121" s="3">
        <v>3398.27</v>
      </c>
      <c r="I2121" s="3">
        <v>0.19</v>
      </c>
      <c r="J2121">
        <v>0.35</v>
      </c>
      <c r="K2121">
        <v>2965.9</v>
      </c>
      <c r="L2121" t="s">
        <v>39</v>
      </c>
      <c r="M2121">
        <v>734</v>
      </c>
      <c r="N2121">
        <v>0.12</v>
      </c>
      <c r="O2121" s="3">
        <v>810.22</v>
      </c>
      <c r="P2121" s="3">
        <v>0.19</v>
      </c>
      <c r="Q2121" s="3">
        <v>494.32</v>
      </c>
      <c r="R2121" s="3">
        <v>0.12</v>
      </c>
      <c r="S2121">
        <v>2</v>
      </c>
      <c r="T2121">
        <v>908.43</v>
      </c>
      <c r="U2121">
        <v>44</v>
      </c>
      <c r="V2121">
        <v>0</v>
      </c>
      <c r="W2121">
        <v>494.03</v>
      </c>
      <c r="X2121">
        <v>2016.34</v>
      </c>
      <c r="Y2121" t="s">
        <v>36</v>
      </c>
      <c r="Z2121" s="3">
        <v>1659.82</v>
      </c>
      <c r="AA2121" t="s">
        <v>50</v>
      </c>
      <c r="AB2121" t="s">
        <v>33</v>
      </c>
      <c r="AC2121">
        <v>53.5</v>
      </c>
      <c r="AD2121" t="s">
        <v>43</v>
      </c>
      <c r="AE2121">
        <v>3398.27</v>
      </c>
      <c r="AF2121">
        <v>1</v>
      </c>
    </row>
    <row r="2122" spans="3:32" x14ac:dyDescent="0.35">
      <c r="C2122" s="1">
        <v>44726</v>
      </c>
      <c r="D2122" s="2">
        <v>44713</v>
      </c>
      <c r="E2122">
        <v>1809</v>
      </c>
      <c r="F2122" s="3">
        <v>5140.8100000000004</v>
      </c>
      <c r="G2122" s="3">
        <v>3352.44</v>
      </c>
      <c r="H2122" s="3">
        <v>1788.37</v>
      </c>
      <c r="I2122" s="3">
        <v>0.65</v>
      </c>
      <c r="J2122">
        <v>0.2</v>
      </c>
      <c r="K2122">
        <v>3127.71</v>
      </c>
      <c r="L2122" t="s">
        <v>35</v>
      </c>
      <c r="M2122">
        <v>763</v>
      </c>
      <c r="N2122">
        <v>0.34</v>
      </c>
      <c r="O2122" s="3">
        <v>259.2</v>
      </c>
      <c r="P2122" s="3">
        <v>0.05</v>
      </c>
      <c r="Q2122" s="3">
        <v>525.39</v>
      </c>
      <c r="R2122" s="3">
        <v>0.1</v>
      </c>
      <c r="S2122">
        <v>8</v>
      </c>
      <c r="T2122">
        <v>1337.85</v>
      </c>
      <c r="U2122">
        <v>69</v>
      </c>
      <c r="V2122">
        <v>0</v>
      </c>
      <c r="W2122">
        <v>650.85</v>
      </c>
      <c r="X2122">
        <v>1966.65</v>
      </c>
      <c r="Y2122" t="s">
        <v>31</v>
      </c>
      <c r="Z2122" s="3">
        <v>1387.71</v>
      </c>
      <c r="AA2122" t="s">
        <v>32</v>
      </c>
      <c r="AB2122" t="s">
        <v>42</v>
      </c>
      <c r="AC2122">
        <v>98.2</v>
      </c>
      <c r="AD2122" t="s">
        <v>34</v>
      </c>
      <c r="AE2122">
        <v>1788.37</v>
      </c>
      <c r="AF2122">
        <v>0</v>
      </c>
    </row>
    <row r="2123" spans="3:32" x14ac:dyDescent="0.35">
      <c r="C2123" s="1">
        <v>44726</v>
      </c>
      <c r="D2123" s="2">
        <v>44713</v>
      </c>
      <c r="E2123">
        <v>1095</v>
      </c>
      <c r="F2123" s="3">
        <v>5455</v>
      </c>
      <c r="G2123" s="3">
        <v>2716.01</v>
      </c>
      <c r="H2123" s="3">
        <v>2738.99</v>
      </c>
      <c r="I2123" s="3">
        <v>0.5</v>
      </c>
      <c r="J2123">
        <v>0.22</v>
      </c>
      <c r="K2123">
        <v>2657.49</v>
      </c>
      <c r="L2123" t="s">
        <v>35</v>
      </c>
      <c r="M2123">
        <v>654</v>
      </c>
      <c r="N2123">
        <v>0.52</v>
      </c>
      <c r="O2123" s="3">
        <v>255.8</v>
      </c>
      <c r="P2123" s="3">
        <v>0.05</v>
      </c>
      <c r="Q2123" s="3">
        <v>531.59</v>
      </c>
      <c r="R2123" s="3">
        <v>0.1</v>
      </c>
      <c r="S2123">
        <v>5</v>
      </c>
      <c r="T2123">
        <v>1166.06</v>
      </c>
      <c r="U2123">
        <v>38</v>
      </c>
      <c r="V2123">
        <v>0</v>
      </c>
      <c r="W2123">
        <v>283.01</v>
      </c>
      <c r="X2123">
        <v>1506.27</v>
      </c>
      <c r="Y2123" t="s">
        <v>36</v>
      </c>
      <c r="Z2123" s="3">
        <v>1460.35</v>
      </c>
      <c r="AA2123" t="s">
        <v>48</v>
      </c>
      <c r="AB2123" t="s">
        <v>33</v>
      </c>
      <c r="AC2123">
        <v>75.3</v>
      </c>
      <c r="AD2123" t="s">
        <v>43</v>
      </c>
      <c r="AE2123">
        <v>2738.99</v>
      </c>
      <c r="AF2123">
        <v>1</v>
      </c>
    </row>
    <row r="2124" spans="3:32" x14ac:dyDescent="0.35">
      <c r="C2124" s="1">
        <v>44726</v>
      </c>
      <c r="D2124" s="2">
        <v>44713</v>
      </c>
      <c r="E2124">
        <v>1023</v>
      </c>
      <c r="F2124" s="3">
        <v>3254.13</v>
      </c>
      <c r="G2124" s="3">
        <v>3468.18</v>
      </c>
      <c r="H2124" s="3">
        <v>-214.05</v>
      </c>
      <c r="I2124" s="3">
        <v>1.07</v>
      </c>
      <c r="J2124">
        <v>0.4</v>
      </c>
      <c r="K2124">
        <v>2855.23</v>
      </c>
      <c r="L2124" t="s">
        <v>35</v>
      </c>
      <c r="M2124">
        <v>637</v>
      </c>
      <c r="N2124">
        <v>0.27</v>
      </c>
      <c r="O2124" s="3">
        <v>698.79</v>
      </c>
      <c r="P2124" s="3">
        <v>0.21</v>
      </c>
      <c r="Q2124" s="3">
        <v>678.73</v>
      </c>
      <c r="R2124" s="3">
        <v>0.21</v>
      </c>
      <c r="S2124">
        <v>8</v>
      </c>
      <c r="T2124">
        <v>1283.1300000000001</v>
      </c>
      <c r="U2124">
        <v>85</v>
      </c>
      <c r="V2124">
        <v>0</v>
      </c>
      <c r="W2124">
        <v>409.35</v>
      </c>
      <c r="X2124">
        <v>2565.6999999999998</v>
      </c>
      <c r="Y2124" t="s">
        <v>31</v>
      </c>
      <c r="Z2124" s="3">
        <v>1167.6099999999999</v>
      </c>
      <c r="AA2124" t="s">
        <v>48</v>
      </c>
      <c r="AB2124" t="s">
        <v>44</v>
      </c>
      <c r="AC2124">
        <v>58.3</v>
      </c>
      <c r="AD2124" t="s">
        <v>43</v>
      </c>
      <c r="AE2124">
        <v>0</v>
      </c>
      <c r="AF2124">
        <v>0</v>
      </c>
    </row>
    <row r="2125" spans="3:32" x14ac:dyDescent="0.35">
      <c r="C2125" s="1">
        <v>44726</v>
      </c>
      <c r="D2125" s="2">
        <v>44713</v>
      </c>
      <c r="E2125">
        <v>1798</v>
      </c>
      <c r="F2125" s="3">
        <v>4577.3500000000004</v>
      </c>
      <c r="G2125" s="3">
        <v>2867.63</v>
      </c>
      <c r="H2125" s="3">
        <v>1709.72</v>
      </c>
      <c r="I2125" s="3">
        <v>0.63</v>
      </c>
      <c r="J2125">
        <v>0.28000000000000003</v>
      </c>
      <c r="K2125">
        <v>2255.23</v>
      </c>
      <c r="L2125" t="s">
        <v>30</v>
      </c>
      <c r="M2125">
        <v>688</v>
      </c>
      <c r="N2125">
        <v>0.46</v>
      </c>
      <c r="O2125" s="3">
        <v>578.83000000000004</v>
      </c>
      <c r="P2125" s="3">
        <v>0.13</v>
      </c>
      <c r="Q2125" s="3">
        <v>545.59</v>
      </c>
      <c r="R2125" s="3">
        <v>0.12</v>
      </c>
      <c r="S2125">
        <v>5</v>
      </c>
      <c r="T2125">
        <v>1602.31</v>
      </c>
      <c r="U2125">
        <v>60</v>
      </c>
      <c r="V2125">
        <v>0</v>
      </c>
      <c r="W2125">
        <v>452.9</v>
      </c>
      <c r="X2125">
        <v>2511.5300000000002</v>
      </c>
      <c r="Y2125" t="s">
        <v>36</v>
      </c>
      <c r="Z2125" s="3">
        <v>1622.48</v>
      </c>
      <c r="AA2125" t="s">
        <v>48</v>
      </c>
      <c r="AB2125" t="s">
        <v>33</v>
      </c>
      <c r="AC2125">
        <v>91.9</v>
      </c>
      <c r="AD2125" t="s">
        <v>34</v>
      </c>
      <c r="AE2125">
        <v>1709.72</v>
      </c>
      <c r="AF2125">
        <v>0</v>
      </c>
    </row>
    <row r="2126" spans="3:32" x14ac:dyDescent="0.35">
      <c r="C2126" s="1">
        <v>44726</v>
      </c>
      <c r="D2126" s="2">
        <v>44713</v>
      </c>
      <c r="E2126">
        <v>1944</v>
      </c>
      <c r="F2126" s="3">
        <v>2356.4899999999998</v>
      </c>
      <c r="G2126" s="3">
        <v>2999.27</v>
      </c>
      <c r="H2126" s="3">
        <v>-642.78</v>
      </c>
      <c r="I2126" s="3">
        <v>1.27</v>
      </c>
      <c r="J2126">
        <v>0.24</v>
      </c>
      <c r="K2126">
        <v>1823.12</v>
      </c>
      <c r="L2126" t="s">
        <v>39</v>
      </c>
      <c r="M2126">
        <v>677</v>
      </c>
      <c r="N2126">
        <v>0.52</v>
      </c>
      <c r="O2126" s="3">
        <v>480.75</v>
      </c>
      <c r="P2126" s="3">
        <v>0.2</v>
      </c>
      <c r="Q2126" s="3">
        <v>564.09</v>
      </c>
      <c r="R2126" s="3">
        <v>0.24</v>
      </c>
      <c r="S2126">
        <v>7</v>
      </c>
      <c r="T2126">
        <v>989.68</v>
      </c>
      <c r="U2126">
        <v>79</v>
      </c>
      <c r="V2126">
        <v>0</v>
      </c>
      <c r="W2126">
        <v>822.23</v>
      </c>
      <c r="X2126">
        <v>2078.36</v>
      </c>
      <c r="Y2126" t="s">
        <v>36</v>
      </c>
      <c r="Z2126" s="3">
        <v>1524.33</v>
      </c>
      <c r="AA2126" t="s">
        <v>46</v>
      </c>
      <c r="AB2126" t="s">
        <v>42</v>
      </c>
      <c r="AC2126">
        <v>39.299999999999997</v>
      </c>
      <c r="AD2126" t="s">
        <v>38</v>
      </c>
      <c r="AE2126">
        <v>0</v>
      </c>
      <c r="AF2126">
        <v>0</v>
      </c>
    </row>
    <row r="2127" spans="3:32" x14ac:dyDescent="0.35">
      <c r="C2127" s="1">
        <v>44726</v>
      </c>
      <c r="D2127" s="2">
        <v>44713</v>
      </c>
      <c r="E2127">
        <v>1383</v>
      </c>
      <c r="F2127" s="3">
        <v>2897.67</v>
      </c>
      <c r="G2127" s="3">
        <v>2491.2199999999998</v>
      </c>
      <c r="H2127" s="3">
        <v>406.45</v>
      </c>
      <c r="I2127" s="3">
        <v>0.86</v>
      </c>
      <c r="J2127">
        <v>0.09</v>
      </c>
      <c r="K2127">
        <v>2609.06</v>
      </c>
      <c r="L2127" t="s">
        <v>39</v>
      </c>
      <c r="M2127">
        <v>613</v>
      </c>
      <c r="N2127">
        <v>0.51</v>
      </c>
      <c r="O2127" s="3">
        <v>642.57000000000005</v>
      </c>
      <c r="P2127" s="3">
        <v>0.22</v>
      </c>
      <c r="Q2127" s="3">
        <v>243.65</v>
      </c>
      <c r="R2127" s="3">
        <v>0.08</v>
      </c>
      <c r="S2127">
        <v>4</v>
      </c>
      <c r="T2127">
        <v>1913.96</v>
      </c>
      <c r="U2127">
        <v>33</v>
      </c>
      <c r="V2127">
        <v>0</v>
      </c>
      <c r="W2127">
        <v>403.51</v>
      </c>
      <c r="X2127">
        <v>1901.48</v>
      </c>
      <c r="Y2127" t="s">
        <v>36</v>
      </c>
      <c r="Z2127" s="3">
        <v>1448.45</v>
      </c>
      <c r="AA2127" t="s">
        <v>48</v>
      </c>
      <c r="AB2127" t="s">
        <v>33</v>
      </c>
      <c r="AC2127">
        <v>39</v>
      </c>
      <c r="AD2127" t="s">
        <v>34</v>
      </c>
      <c r="AE2127">
        <v>406.45</v>
      </c>
      <c r="AF2127">
        <v>0</v>
      </c>
    </row>
    <row r="2128" spans="3:32" x14ac:dyDescent="0.35">
      <c r="C2128" s="1">
        <v>44726</v>
      </c>
      <c r="D2128" s="2">
        <v>44713</v>
      </c>
      <c r="E2128">
        <v>1545</v>
      </c>
      <c r="F2128" s="3">
        <v>5440.42</v>
      </c>
      <c r="G2128" s="3">
        <v>3301.02</v>
      </c>
      <c r="H2128" s="3">
        <v>2139.4</v>
      </c>
      <c r="I2128" s="3">
        <v>0.61</v>
      </c>
      <c r="J2128">
        <v>0.38</v>
      </c>
      <c r="K2128">
        <v>2916.43</v>
      </c>
      <c r="L2128" t="s">
        <v>35</v>
      </c>
      <c r="M2128">
        <v>746</v>
      </c>
      <c r="N2128">
        <v>0.34</v>
      </c>
      <c r="O2128" s="3">
        <v>466.68</v>
      </c>
      <c r="P2128" s="3">
        <v>0.09</v>
      </c>
      <c r="Q2128" s="3">
        <v>292.61</v>
      </c>
      <c r="R2128" s="3">
        <v>0.05</v>
      </c>
      <c r="S2128">
        <v>5</v>
      </c>
      <c r="T2128">
        <v>795.3</v>
      </c>
      <c r="U2128">
        <v>71</v>
      </c>
      <c r="V2128">
        <v>0</v>
      </c>
      <c r="W2128">
        <v>417.48</v>
      </c>
      <c r="X2128">
        <v>3003.69</v>
      </c>
      <c r="Y2128" t="s">
        <v>49</v>
      </c>
      <c r="Z2128" s="3">
        <v>616.1</v>
      </c>
      <c r="AA2128" t="s">
        <v>32</v>
      </c>
      <c r="AB2128" t="s">
        <v>33</v>
      </c>
      <c r="AC2128">
        <v>1.5</v>
      </c>
      <c r="AD2128" t="s">
        <v>38</v>
      </c>
      <c r="AE2128">
        <v>2139.4</v>
      </c>
      <c r="AF2128">
        <v>0</v>
      </c>
    </row>
    <row r="2129" spans="3:32" x14ac:dyDescent="0.35">
      <c r="C2129" s="1">
        <v>44726</v>
      </c>
      <c r="D2129" s="2">
        <v>44713</v>
      </c>
      <c r="E2129">
        <v>1625</v>
      </c>
      <c r="F2129" s="3">
        <v>3719.15</v>
      </c>
      <c r="G2129" s="3">
        <v>2676.47</v>
      </c>
      <c r="H2129" s="3">
        <v>1042.68</v>
      </c>
      <c r="I2129" s="3">
        <v>0.72</v>
      </c>
      <c r="J2129">
        <v>0.34</v>
      </c>
      <c r="K2129">
        <v>2824.62</v>
      </c>
      <c r="L2129" t="s">
        <v>35</v>
      </c>
      <c r="M2129">
        <v>670</v>
      </c>
      <c r="N2129">
        <v>0.36</v>
      </c>
      <c r="O2129" s="3">
        <v>671.42</v>
      </c>
      <c r="P2129" s="3">
        <v>0.18</v>
      </c>
      <c r="Q2129" s="3">
        <v>592.66999999999996</v>
      </c>
      <c r="R2129" s="3">
        <v>0.16</v>
      </c>
      <c r="S2129">
        <v>5</v>
      </c>
      <c r="T2129">
        <v>1306.6600000000001</v>
      </c>
      <c r="U2129">
        <v>21</v>
      </c>
      <c r="V2129">
        <v>0</v>
      </c>
      <c r="W2129">
        <v>531.96</v>
      </c>
      <c r="X2129">
        <v>1079.72</v>
      </c>
      <c r="Y2129" t="s">
        <v>36</v>
      </c>
      <c r="Z2129" s="3">
        <v>1714.84</v>
      </c>
      <c r="AA2129" t="s">
        <v>41</v>
      </c>
      <c r="AB2129" t="s">
        <v>42</v>
      </c>
      <c r="AC2129">
        <v>12.5</v>
      </c>
      <c r="AD2129" t="s">
        <v>34</v>
      </c>
      <c r="AE2129">
        <v>1042.68</v>
      </c>
      <c r="AF2129">
        <v>0</v>
      </c>
    </row>
    <row r="2130" spans="3:32" x14ac:dyDescent="0.35">
      <c r="C2130" s="1">
        <v>44726</v>
      </c>
      <c r="D2130" s="2">
        <v>44713</v>
      </c>
      <c r="E2130">
        <v>1247</v>
      </c>
      <c r="F2130" s="3">
        <v>3898.21</v>
      </c>
      <c r="G2130" s="3">
        <v>2392.11</v>
      </c>
      <c r="H2130" s="3">
        <v>1506.1</v>
      </c>
      <c r="I2130" s="3">
        <v>0.61</v>
      </c>
      <c r="J2130">
        <v>0.14000000000000001</v>
      </c>
      <c r="K2130">
        <v>2767.35</v>
      </c>
      <c r="L2130" t="s">
        <v>35</v>
      </c>
      <c r="M2130">
        <v>744</v>
      </c>
      <c r="N2130">
        <v>0.56999999999999995</v>
      </c>
      <c r="O2130" s="3">
        <v>788.09</v>
      </c>
      <c r="P2130" s="3">
        <v>0.2</v>
      </c>
      <c r="Q2130" s="3">
        <v>274.69</v>
      </c>
      <c r="R2130" s="3">
        <v>7.0000000000000007E-2</v>
      </c>
      <c r="S2130">
        <v>9</v>
      </c>
      <c r="T2130">
        <v>1988.35</v>
      </c>
      <c r="U2130">
        <v>39</v>
      </c>
      <c r="V2130">
        <v>0</v>
      </c>
      <c r="W2130">
        <v>423.46</v>
      </c>
      <c r="X2130">
        <v>2125.0500000000002</v>
      </c>
      <c r="Y2130" t="s">
        <v>31</v>
      </c>
      <c r="Z2130" s="3">
        <v>1161.74</v>
      </c>
      <c r="AA2130" t="s">
        <v>40</v>
      </c>
      <c r="AB2130" t="s">
        <v>33</v>
      </c>
      <c r="AC2130">
        <v>64.3</v>
      </c>
      <c r="AD2130" t="s">
        <v>34</v>
      </c>
      <c r="AE2130">
        <v>1506.1</v>
      </c>
      <c r="AF2130">
        <v>0</v>
      </c>
    </row>
    <row r="2131" spans="3:32" x14ac:dyDescent="0.35">
      <c r="C2131" s="1">
        <v>44726</v>
      </c>
      <c r="D2131" s="2">
        <v>44713</v>
      </c>
      <c r="E2131">
        <v>1227</v>
      </c>
      <c r="F2131" s="3">
        <v>4572.3500000000004</v>
      </c>
      <c r="G2131" s="3">
        <v>2275.15</v>
      </c>
      <c r="H2131" s="3">
        <v>2297.1999999999998</v>
      </c>
      <c r="I2131" s="3">
        <v>0.5</v>
      </c>
      <c r="J2131">
        <v>0.33</v>
      </c>
      <c r="K2131">
        <v>2277.3200000000002</v>
      </c>
      <c r="L2131" t="s">
        <v>35</v>
      </c>
      <c r="M2131">
        <v>730</v>
      </c>
      <c r="N2131">
        <v>0.5</v>
      </c>
      <c r="O2131" s="3">
        <v>555.66999999999996</v>
      </c>
      <c r="P2131" s="3">
        <v>0.12</v>
      </c>
      <c r="Q2131" s="3">
        <v>546.91999999999996</v>
      </c>
      <c r="R2131" s="3">
        <v>0.12</v>
      </c>
      <c r="S2131">
        <v>2</v>
      </c>
      <c r="T2131">
        <v>1677.19</v>
      </c>
      <c r="U2131">
        <v>55</v>
      </c>
      <c r="V2131">
        <v>0</v>
      </c>
      <c r="W2131">
        <v>422.44</v>
      </c>
      <c r="X2131">
        <v>3333.4</v>
      </c>
      <c r="Y2131" t="s">
        <v>36</v>
      </c>
      <c r="Z2131" s="3">
        <v>1227.5999999999999</v>
      </c>
      <c r="AA2131" t="s">
        <v>41</v>
      </c>
      <c r="AB2131" t="s">
        <v>44</v>
      </c>
      <c r="AC2131">
        <v>39.9</v>
      </c>
      <c r="AD2131" t="s">
        <v>38</v>
      </c>
      <c r="AE2131">
        <v>2297.1999999999998</v>
      </c>
      <c r="AF2131">
        <v>1</v>
      </c>
    </row>
    <row r="2132" spans="3:32" x14ac:dyDescent="0.35">
      <c r="C2132" s="1">
        <v>44726</v>
      </c>
      <c r="D2132" s="2">
        <v>44713</v>
      </c>
      <c r="E2132">
        <v>1275</v>
      </c>
      <c r="F2132" s="3">
        <v>3948.8</v>
      </c>
      <c r="G2132" s="3">
        <v>3374.23</v>
      </c>
      <c r="H2132" s="3">
        <v>574.57000000000005</v>
      </c>
      <c r="I2132" s="3">
        <v>0.85</v>
      </c>
      <c r="J2132">
        <v>0.18</v>
      </c>
      <c r="K2132">
        <v>3002.57</v>
      </c>
      <c r="L2132" t="s">
        <v>35</v>
      </c>
      <c r="M2132">
        <v>709</v>
      </c>
      <c r="N2132">
        <v>0.27</v>
      </c>
      <c r="O2132" s="3">
        <v>627.71</v>
      </c>
      <c r="P2132" s="3">
        <v>0.16</v>
      </c>
      <c r="Q2132" s="3">
        <v>196.33</v>
      </c>
      <c r="R2132" s="3">
        <v>0.05</v>
      </c>
      <c r="S2132">
        <v>4</v>
      </c>
      <c r="T2132">
        <v>733.66</v>
      </c>
      <c r="U2132">
        <v>29</v>
      </c>
      <c r="V2132">
        <v>0</v>
      </c>
      <c r="W2132">
        <v>666.32</v>
      </c>
      <c r="X2132">
        <v>1283.49</v>
      </c>
      <c r="Y2132" t="s">
        <v>49</v>
      </c>
      <c r="Z2132" s="3">
        <v>1395.35</v>
      </c>
      <c r="AA2132" t="s">
        <v>41</v>
      </c>
      <c r="AB2132" t="s">
        <v>44</v>
      </c>
      <c r="AC2132">
        <v>21.8</v>
      </c>
      <c r="AD2132" t="s">
        <v>38</v>
      </c>
      <c r="AE2132">
        <v>574.57000000000005</v>
      </c>
      <c r="AF2132">
        <v>0</v>
      </c>
    </row>
    <row r="2133" spans="3:32" x14ac:dyDescent="0.35">
      <c r="C2133" s="1">
        <v>44726</v>
      </c>
      <c r="D2133" s="2">
        <v>44713</v>
      </c>
      <c r="E2133">
        <v>1673</v>
      </c>
      <c r="F2133" s="3">
        <v>3782.21</v>
      </c>
      <c r="G2133" s="3">
        <v>2551.4899999999998</v>
      </c>
      <c r="H2133" s="3">
        <v>1230.72</v>
      </c>
      <c r="I2133" s="3">
        <v>0.67</v>
      </c>
      <c r="J2133">
        <v>0.36</v>
      </c>
      <c r="K2133">
        <v>2287.92</v>
      </c>
      <c r="L2133" t="s">
        <v>35</v>
      </c>
      <c r="M2133">
        <v>750</v>
      </c>
      <c r="N2133">
        <v>0.14000000000000001</v>
      </c>
      <c r="O2133" s="3">
        <v>807.98</v>
      </c>
      <c r="P2133" s="3">
        <v>0.21</v>
      </c>
      <c r="Q2133" s="3">
        <v>250.77</v>
      </c>
      <c r="R2133" s="3">
        <v>7.0000000000000007E-2</v>
      </c>
      <c r="S2133">
        <v>9</v>
      </c>
      <c r="T2133">
        <v>1213.58</v>
      </c>
      <c r="U2133">
        <v>82</v>
      </c>
      <c r="V2133">
        <v>0</v>
      </c>
      <c r="W2133">
        <v>600.04999999999995</v>
      </c>
      <c r="X2133">
        <v>2790.46</v>
      </c>
      <c r="Y2133" t="s">
        <v>36</v>
      </c>
      <c r="Z2133" s="3">
        <v>935.81</v>
      </c>
      <c r="AA2133" t="s">
        <v>48</v>
      </c>
      <c r="AB2133" t="s">
        <v>44</v>
      </c>
      <c r="AC2133">
        <v>61.4</v>
      </c>
      <c r="AD2133" t="s">
        <v>34</v>
      </c>
      <c r="AE2133">
        <v>1230.72</v>
      </c>
      <c r="AF2133">
        <v>0</v>
      </c>
    </row>
    <row r="2134" spans="3:32" x14ac:dyDescent="0.35">
      <c r="C2134" s="1">
        <v>44726</v>
      </c>
      <c r="D2134" s="2">
        <v>44713</v>
      </c>
      <c r="E2134">
        <v>1126</v>
      </c>
      <c r="F2134" s="3">
        <v>5081.45</v>
      </c>
      <c r="G2134" s="3">
        <v>2971.76</v>
      </c>
      <c r="H2134" s="3">
        <v>2109.69</v>
      </c>
      <c r="I2134" s="3">
        <v>0.57999999999999996</v>
      </c>
      <c r="J2134">
        <v>0.31</v>
      </c>
      <c r="K2134">
        <v>2869.91</v>
      </c>
      <c r="L2134" t="s">
        <v>39</v>
      </c>
      <c r="M2134">
        <v>729</v>
      </c>
      <c r="N2134">
        <v>0.34</v>
      </c>
      <c r="O2134" s="3">
        <v>494.49</v>
      </c>
      <c r="P2134" s="3">
        <v>0.1</v>
      </c>
      <c r="Q2134" s="3">
        <v>295.8</v>
      </c>
      <c r="R2134" s="3">
        <v>0.06</v>
      </c>
      <c r="S2134">
        <v>6</v>
      </c>
      <c r="T2134">
        <v>1660.96</v>
      </c>
      <c r="U2134">
        <v>99</v>
      </c>
      <c r="V2134">
        <v>0</v>
      </c>
      <c r="W2134">
        <v>428.96</v>
      </c>
      <c r="X2134">
        <v>1843.75</v>
      </c>
      <c r="Y2134" t="s">
        <v>31</v>
      </c>
      <c r="Z2134" s="3">
        <v>1526.15</v>
      </c>
      <c r="AA2134" t="s">
        <v>46</v>
      </c>
      <c r="AB2134" t="s">
        <v>33</v>
      </c>
      <c r="AC2134">
        <v>1.9</v>
      </c>
      <c r="AD2134" t="s">
        <v>34</v>
      </c>
      <c r="AE2134">
        <v>2109.69</v>
      </c>
      <c r="AF2134">
        <v>0</v>
      </c>
    </row>
    <row r="2135" spans="3:32" x14ac:dyDescent="0.35">
      <c r="C2135" s="1">
        <v>44726</v>
      </c>
      <c r="D2135" s="2">
        <v>44713</v>
      </c>
      <c r="E2135">
        <v>1659</v>
      </c>
      <c r="F2135" s="3">
        <v>5408.16</v>
      </c>
      <c r="G2135" s="3">
        <v>3639.44</v>
      </c>
      <c r="H2135" s="3">
        <v>1768.72</v>
      </c>
      <c r="I2135" s="3">
        <v>0.67</v>
      </c>
      <c r="J2135">
        <v>0.32</v>
      </c>
      <c r="K2135">
        <v>2893.05</v>
      </c>
      <c r="L2135" t="s">
        <v>35</v>
      </c>
      <c r="M2135">
        <v>621</v>
      </c>
      <c r="N2135">
        <v>0.51</v>
      </c>
      <c r="O2135" s="3">
        <v>527.64</v>
      </c>
      <c r="P2135" s="3">
        <v>0.1</v>
      </c>
      <c r="Q2135" s="3">
        <v>337.35</v>
      </c>
      <c r="R2135" s="3">
        <v>0.06</v>
      </c>
      <c r="S2135">
        <v>2</v>
      </c>
      <c r="T2135">
        <v>1117.8</v>
      </c>
      <c r="U2135">
        <v>76</v>
      </c>
      <c r="V2135">
        <v>0</v>
      </c>
      <c r="W2135">
        <v>444.05</v>
      </c>
      <c r="X2135">
        <v>1292.95</v>
      </c>
      <c r="Y2135" t="s">
        <v>36</v>
      </c>
      <c r="Z2135" s="3">
        <v>1819.46</v>
      </c>
      <c r="AA2135" t="s">
        <v>46</v>
      </c>
      <c r="AB2135" t="s">
        <v>33</v>
      </c>
      <c r="AC2135">
        <v>87.1</v>
      </c>
      <c r="AD2135" t="s">
        <v>43</v>
      </c>
      <c r="AE2135">
        <v>1768.72</v>
      </c>
      <c r="AF2135">
        <v>0</v>
      </c>
    </row>
    <row r="2136" spans="3:32" x14ac:dyDescent="0.35">
      <c r="C2136" s="1">
        <v>44726</v>
      </c>
      <c r="D2136" s="2">
        <v>44713</v>
      </c>
      <c r="E2136">
        <v>1706</v>
      </c>
      <c r="F2136" s="3">
        <v>3299.52</v>
      </c>
      <c r="G2136" s="3">
        <v>2882.71</v>
      </c>
      <c r="H2136" s="3">
        <v>416.81</v>
      </c>
      <c r="I2136" s="3">
        <v>0.87</v>
      </c>
      <c r="J2136">
        <v>0.08</v>
      </c>
      <c r="K2136">
        <v>4087.78</v>
      </c>
      <c r="L2136" t="s">
        <v>39</v>
      </c>
      <c r="M2136">
        <v>664</v>
      </c>
      <c r="N2136">
        <v>0.56000000000000005</v>
      </c>
      <c r="O2136" s="3">
        <v>904.95</v>
      </c>
      <c r="P2136" s="3">
        <v>0.27</v>
      </c>
      <c r="Q2136" s="3">
        <v>561.30999999999995</v>
      </c>
      <c r="R2136" s="3">
        <v>0.17</v>
      </c>
      <c r="S2136">
        <v>6</v>
      </c>
      <c r="T2136">
        <v>1015.65</v>
      </c>
      <c r="U2136">
        <v>32</v>
      </c>
      <c r="V2136">
        <v>0</v>
      </c>
      <c r="W2136">
        <v>535.33000000000004</v>
      </c>
      <c r="X2136">
        <v>2975.76</v>
      </c>
      <c r="Y2136" t="s">
        <v>36</v>
      </c>
      <c r="Z2136" s="3">
        <v>992.51</v>
      </c>
      <c r="AA2136" t="s">
        <v>48</v>
      </c>
      <c r="AB2136" t="s">
        <v>42</v>
      </c>
      <c r="AC2136">
        <v>67.099999999999994</v>
      </c>
      <c r="AD2136" t="s">
        <v>38</v>
      </c>
      <c r="AE2136">
        <v>416.81</v>
      </c>
      <c r="AF2136">
        <v>0</v>
      </c>
    </row>
    <row r="2137" spans="3:32" x14ac:dyDescent="0.35">
      <c r="C2137" s="1">
        <v>44726</v>
      </c>
      <c r="D2137" s="2">
        <v>44713</v>
      </c>
      <c r="E2137">
        <v>1938</v>
      </c>
      <c r="F2137" s="3">
        <v>4482.67</v>
      </c>
      <c r="G2137" s="3">
        <v>1895.59</v>
      </c>
      <c r="H2137" s="3">
        <v>2587.08</v>
      </c>
      <c r="I2137" s="3">
        <v>0.42</v>
      </c>
      <c r="J2137">
        <v>0.32</v>
      </c>
      <c r="K2137">
        <v>1964.54</v>
      </c>
      <c r="L2137" t="s">
        <v>35</v>
      </c>
      <c r="M2137">
        <v>615</v>
      </c>
      <c r="N2137">
        <v>0.59</v>
      </c>
      <c r="O2137" s="3">
        <v>208.76</v>
      </c>
      <c r="P2137" s="3">
        <v>0.05</v>
      </c>
      <c r="Q2137" s="3">
        <v>490.81</v>
      </c>
      <c r="R2137" s="3">
        <v>0.11</v>
      </c>
      <c r="S2137">
        <v>9</v>
      </c>
      <c r="T2137">
        <v>1252.3</v>
      </c>
      <c r="U2137">
        <v>81</v>
      </c>
      <c r="V2137">
        <v>0</v>
      </c>
      <c r="W2137">
        <v>514.88</v>
      </c>
      <c r="X2137">
        <v>1870.53</v>
      </c>
      <c r="Y2137" t="s">
        <v>31</v>
      </c>
      <c r="Z2137" s="3">
        <v>1238.6099999999999</v>
      </c>
      <c r="AA2137" t="s">
        <v>46</v>
      </c>
      <c r="AB2137" t="s">
        <v>42</v>
      </c>
      <c r="AC2137">
        <v>8</v>
      </c>
      <c r="AD2137" t="s">
        <v>34</v>
      </c>
      <c r="AE2137">
        <v>2587.08</v>
      </c>
      <c r="AF2137">
        <v>1</v>
      </c>
    </row>
    <row r="2138" spans="3:32" x14ac:dyDescent="0.35">
      <c r="C2138" s="1">
        <v>44726</v>
      </c>
      <c r="D2138" s="2">
        <v>44713</v>
      </c>
      <c r="E2138">
        <v>1784</v>
      </c>
      <c r="F2138" s="3">
        <v>2743.5</v>
      </c>
      <c r="G2138" s="3">
        <v>3528.19</v>
      </c>
      <c r="H2138" s="3">
        <v>-784.69</v>
      </c>
      <c r="I2138" s="3">
        <v>1.29</v>
      </c>
      <c r="J2138">
        <v>0.38</v>
      </c>
      <c r="K2138">
        <v>3256.78</v>
      </c>
      <c r="L2138" t="s">
        <v>39</v>
      </c>
      <c r="M2138">
        <v>718</v>
      </c>
      <c r="N2138">
        <v>0.24</v>
      </c>
      <c r="O2138" s="3">
        <v>815.83</v>
      </c>
      <c r="P2138" s="3">
        <v>0.3</v>
      </c>
      <c r="Q2138" s="3">
        <v>383.06</v>
      </c>
      <c r="R2138" s="3">
        <v>0.14000000000000001</v>
      </c>
      <c r="S2138">
        <v>4</v>
      </c>
      <c r="T2138">
        <v>1081.6099999999999</v>
      </c>
      <c r="U2138">
        <v>70</v>
      </c>
      <c r="V2138">
        <v>0</v>
      </c>
      <c r="W2138">
        <v>312.33</v>
      </c>
      <c r="X2138">
        <v>1722.86</v>
      </c>
      <c r="Y2138" t="s">
        <v>49</v>
      </c>
      <c r="Z2138" s="3">
        <v>1018.42</v>
      </c>
      <c r="AA2138" t="s">
        <v>45</v>
      </c>
      <c r="AB2138" t="s">
        <v>33</v>
      </c>
      <c r="AC2138">
        <v>5.8</v>
      </c>
      <c r="AD2138" t="s">
        <v>34</v>
      </c>
      <c r="AE2138">
        <v>0</v>
      </c>
      <c r="AF2138">
        <v>0</v>
      </c>
    </row>
    <row r="2139" spans="3:32" x14ac:dyDescent="0.35">
      <c r="C2139" s="1">
        <v>44726</v>
      </c>
      <c r="D2139" s="2">
        <v>44713</v>
      </c>
      <c r="E2139">
        <v>1251</v>
      </c>
      <c r="F2139" s="3">
        <v>4082.03</v>
      </c>
      <c r="G2139" s="3">
        <v>2842.12</v>
      </c>
      <c r="H2139" s="3">
        <v>1239.9100000000001</v>
      </c>
      <c r="I2139" s="3">
        <v>0.7</v>
      </c>
      <c r="J2139">
        <v>0.36</v>
      </c>
      <c r="K2139">
        <v>2462.4699999999998</v>
      </c>
      <c r="L2139" t="s">
        <v>35</v>
      </c>
      <c r="M2139">
        <v>665</v>
      </c>
      <c r="N2139">
        <v>0.42</v>
      </c>
      <c r="O2139" s="3">
        <v>458.68</v>
      </c>
      <c r="P2139" s="3">
        <v>0.11</v>
      </c>
      <c r="Q2139" s="3">
        <v>0</v>
      </c>
      <c r="R2139" s="3">
        <v>0</v>
      </c>
      <c r="S2139">
        <v>5</v>
      </c>
      <c r="T2139">
        <v>1273.22</v>
      </c>
      <c r="U2139">
        <v>41</v>
      </c>
      <c r="V2139">
        <v>0</v>
      </c>
      <c r="W2139">
        <v>508.05</v>
      </c>
      <c r="X2139">
        <v>1432.87</v>
      </c>
      <c r="Y2139" t="s">
        <v>36</v>
      </c>
      <c r="Z2139" s="3">
        <v>1135.22</v>
      </c>
      <c r="AA2139" t="s">
        <v>51</v>
      </c>
      <c r="AB2139" t="s">
        <v>44</v>
      </c>
      <c r="AC2139">
        <v>95.8</v>
      </c>
      <c r="AD2139" t="s">
        <v>34</v>
      </c>
      <c r="AE2139">
        <v>1239.9100000000001</v>
      </c>
      <c r="AF2139">
        <v>0</v>
      </c>
    </row>
    <row r="2140" spans="3:32" x14ac:dyDescent="0.35">
      <c r="C2140" s="1">
        <v>44726</v>
      </c>
      <c r="D2140" s="2">
        <v>44713</v>
      </c>
      <c r="E2140">
        <v>1019</v>
      </c>
      <c r="F2140" s="3">
        <v>4741.53</v>
      </c>
      <c r="G2140" s="3">
        <v>1856.36</v>
      </c>
      <c r="H2140" s="3">
        <v>2885.17</v>
      </c>
      <c r="I2140" s="3">
        <v>0.39</v>
      </c>
      <c r="J2140">
        <v>0.2</v>
      </c>
      <c r="K2140">
        <v>3381.87</v>
      </c>
      <c r="L2140" t="s">
        <v>39</v>
      </c>
      <c r="M2140">
        <v>702</v>
      </c>
      <c r="N2140">
        <v>0.4</v>
      </c>
      <c r="O2140" s="3">
        <v>329.26</v>
      </c>
      <c r="P2140" s="3">
        <v>7.0000000000000007E-2</v>
      </c>
      <c r="Q2140" s="3">
        <v>593.16</v>
      </c>
      <c r="R2140" s="3">
        <v>0.13</v>
      </c>
      <c r="S2140">
        <v>1</v>
      </c>
      <c r="T2140">
        <v>839.81</v>
      </c>
      <c r="U2140">
        <v>81</v>
      </c>
      <c r="V2140">
        <v>0</v>
      </c>
      <c r="W2140">
        <v>472.39</v>
      </c>
      <c r="X2140">
        <v>1894.11</v>
      </c>
      <c r="Y2140" t="s">
        <v>36</v>
      </c>
      <c r="Z2140" s="3">
        <v>733.9</v>
      </c>
      <c r="AA2140" t="s">
        <v>32</v>
      </c>
      <c r="AB2140" t="s">
        <v>44</v>
      </c>
      <c r="AC2140">
        <v>53</v>
      </c>
      <c r="AD2140" t="s">
        <v>34</v>
      </c>
      <c r="AE2140">
        <v>2885.17</v>
      </c>
      <c r="AF2140">
        <v>0</v>
      </c>
    </row>
    <row r="2141" spans="3:32" x14ac:dyDescent="0.35">
      <c r="C2141" s="1">
        <v>44726</v>
      </c>
      <c r="D2141" s="2">
        <v>44713</v>
      </c>
      <c r="E2141">
        <v>1089</v>
      </c>
      <c r="F2141" s="3">
        <v>3070.6</v>
      </c>
      <c r="G2141" s="3">
        <v>1927.12</v>
      </c>
      <c r="H2141" s="3">
        <v>1143.48</v>
      </c>
      <c r="I2141" s="3">
        <v>0.63</v>
      </c>
      <c r="J2141">
        <v>0.34</v>
      </c>
      <c r="K2141">
        <v>2938.17</v>
      </c>
      <c r="L2141" t="s">
        <v>35</v>
      </c>
      <c r="M2141">
        <v>713</v>
      </c>
      <c r="N2141">
        <v>0.38</v>
      </c>
      <c r="O2141" s="3">
        <v>734.5</v>
      </c>
      <c r="P2141" s="3">
        <v>0.24</v>
      </c>
      <c r="Q2141" s="3">
        <v>0</v>
      </c>
      <c r="R2141" s="3">
        <v>0</v>
      </c>
      <c r="S2141">
        <v>4</v>
      </c>
      <c r="T2141">
        <v>1193.8</v>
      </c>
      <c r="U2141">
        <v>55</v>
      </c>
      <c r="V2141">
        <v>0</v>
      </c>
      <c r="W2141">
        <v>675.76</v>
      </c>
      <c r="X2141">
        <v>1645.61</v>
      </c>
      <c r="Y2141" t="s">
        <v>36</v>
      </c>
      <c r="Z2141" s="3">
        <v>1399.4</v>
      </c>
      <c r="AA2141" t="s">
        <v>45</v>
      </c>
      <c r="AB2141" t="s">
        <v>42</v>
      </c>
      <c r="AC2141">
        <v>42.4</v>
      </c>
      <c r="AD2141" t="s">
        <v>43</v>
      </c>
      <c r="AE2141">
        <v>1143.48</v>
      </c>
      <c r="AF2141">
        <v>0</v>
      </c>
    </row>
    <row r="2142" spans="3:32" x14ac:dyDescent="0.35">
      <c r="C2142" s="1">
        <v>44726</v>
      </c>
      <c r="D2142" s="2">
        <v>44713</v>
      </c>
      <c r="E2142">
        <v>1484</v>
      </c>
      <c r="F2142" s="3">
        <v>3969.53</v>
      </c>
      <c r="G2142" s="3">
        <v>4137.8599999999997</v>
      </c>
      <c r="H2142" s="3">
        <v>-168.33</v>
      </c>
      <c r="I2142" s="3">
        <v>1.04</v>
      </c>
      <c r="J2142">
        <v>0.2</v>
      </c>
      <c r="K2142">
        <v>2581.5500000000002</v>
      </c>
      <c r="L2142" t="s">
        <v>39</v>
      </c>
      <c r="M2142">
        <v>637</v>
      </c>
      <c r="N2142">
        <v>0.52</v>
      </c>
      <c r="O2142" s="3">
        <v>421.39</v>
      </c>
      <c r="P2142" s="3">
        <v>0.11</v>
      </c>
      <c r="Q2142" s="3">
        <v>729.71</v>
      </c>
      <c r="R2142" s="3">
        <v>0.18</v>
      </c>
      <c r="S2142">
        <v>7</v>
      </c>
      <c r="T2142">
        <v>979.68</v>
      </c>
      <c r="U2142">
        <v>85</v>
      </c>
      <c r="V2142">
        <v>0</v>
      </c>
      <c r="W2142">
        <v>618.80999999999995</v>
      </c>
      <c r="X2142">
        <v>3444.24</v>
      </c>
      <c r="Y2142" t="s">
        <v>36</v>
      </c>
      <c r="Z2142" s="3">
        <v>1333.51</v>
      </c>
      <c r="AA2142" t="s">
        <v>40</v>
      </c>
      <c r="AB2142" t="s">
        <v>33</v>
      </c>
      <c r="AC2142">
        <v>48.2</v>
      </c>
      <c r="AD2142" t="s">
        <v>43</v>
      </c>
      <c r="AE2142">
        <v>0</v>
      </c>
      <c r="AF2142">
        <v>0</v>
      </c>
    </row>
    <row r="2143" spans="3:32" x14ac:dyDescent="0.35">
      <c r="C2143" s="1">
        <v>44726</v>
      </c>
      <c r="D2143" s="2">
        <v>44713</v>
      </c>
      <c r="E2143">
        <v>1685</v>
      </c>
      <c r="F2143" s="3">
        <v>3782.02</v>
      </c>
      <c r="G2143" s="3">
        <v>3344.12</v>
      </c>
      <c r="H2143" s="3">
        <v>437.9</v>
      </c>
      <c r="I2143" s="3">
        <v>0.88</v>
      </c>
      <c r="J2143">
        <v>0.15</v>
      </c>
      <c r="K2143">
        <v>2385.5500000000002</v>
      </c>
      <c r="L2143" t="s">
        <v>35</v>
      </c>
      <c r="M2143">
        <v>594</v>
      </c>
      <c r="N2143">
        <v>0.5</v>
      </c>
      <c r="O2143" s="3">
        <v>218.3</v>
      </c>
      <c r="P2143" s="3">
        <v>0.06</v>
      </c>
      <c r="Q2143" s="3">
        <v>135.52000000000001</v>
      </c>
      <c r="R2143" s="3">
        <v>0.04</v>
      </c>
      <c r="S2143">
        <v>7</v>
      </c>
      <c r="T2143">
        <v>210.88</v>
      </c>
      <c r="U2143">
        <v>29</v>
      </c>
      <c r="V2143">
        <v>0</v>
      </c>
      <c r="W2143">
        <v>546.66999999999996</v>
      </c>
      <c r="X2143">
        <v>2079.81</v>
      </c>
      <c r="Y2143" t="s">
        <v>36</v>
      </c>
      <c r="Z2143" s="3">
        <v>724.76</v>
      </c>
      <c r="AA2143" t="s">
        <v>50</v>
      </c>
      <c r="AB2143" t="s">
        <v>44</v>
      </c>
      <c r="AC2143">
        <v>88.8</v>
      </c>
      <c r="AD2143" t="s">
        <v>34</v>
      </c>
      <c r="AE2143">
        <v>437.9</v>
      </c>
      <c r="AF2143">
        <v>0</v>
      </c>
    </row>
    <row r="2144" spans="3:32" x14ac:dyDescent="0.35">
      <c r="C2144" s="1">
        <v>44726</v>
      </c>
      <c r="D2144" s="2">
        <v>44713</v>
      </c>
      <c r="E2144">
        <v>1303</v>
      </c>
      <c r="F2144" s="3">
        <v>3434.44</v>
      </c>
      <c r="G2144" s="3">
        <v>2700.14</v>
      </c>
      <c r="H2144" s="3">
        <v>734.3</v>
      </c>
      <c r="I2144" s="3">
        <v>0.79</v>
      </c>
      <c r="J2144">
        <v>0.16</v>
      </c>
      <c r="K2144">
        <v>3125.6</v>
      </c>
      <c r="L2144" t="s">
        <v>35</v>
      </c>
      <c r="M2144">
        <v>706</v>
      </c>
      <c r="N2144">
        <v>0.23</v>
      </c>
      <c r="O2144" s="3">
        <v>584.24</v>
      </c>
      <c r="P2144" s="3">
        <v>0.17</v>
      </c>
      <c r="Q2144" s="3">
        <v>130.47999999999999</v>
      </c>
      <c r="R2144" s="3">
        <v>0.04</v>
      </c>
      <c r="S2144">
        <v>9</v>
      </c>
      <c r="T2144">
        <v>430.07</v>
      </c>
      <c r="U2144">
        <v>98</v>
      </c>
      <c r="V2144">
        <v>0</v>
      </c>
      <c r="W2144">
        <v>277.06</v>
      </c>
      <c r="X2144">
        <v>1804.5</v>
      </c>
      <c r="Y2144" t="s">
        <v>36</v>
      </c>
      <c r="Z2144" s="3">
        <v>300</v>
      </c>
      <c r="AA2144" t="s">
        <v>45</v>
      </c>
      <c r="AB2144" t="s">
        <v>33</v>
      </c>
      <c r="AC2144">
        <v>90</v>
      </c>
      <c r="AD2144" t="s">
        <v>43</v>
      </c>
      <c r="AE2144">
        <v>734.3</v>
      </c>
      <c r="AF2144">
        <v>0</v>
      </c>
    </row>
    <row r="2145" spans="3:32" x14ac:dyDescent="0.35">
      <c r="C2145" s="1">
        <v>44726</v>
      </c>
      <c r="D2145" s="2">
        <v>44713</v>
      </c>
      <c r="E2145">
        <v>1180</v>
      </c>
      <c r="F2145" s="3">
        <v>3659.5</v>
      </c>
      <c r="G2145" s="3">
        <v>3344.1</v>
      </c>
      <c r="H2145" s="3">
        <v>315.39999999999998</v>
      </c>
      <c r="I2145" s="3">
        <v>0.91</v>
      </c>
      <c r="J2145">
        <v>0.06</v>
      </c>
      <c r="K2145">
        <v>3616.31</v>
      </c>
      <c r="L2145" t="s">
        <v>39</v>
      </c>
      <c r="M2145">
        <v>673</v>
      </c>
      <c r="N2145">
        <v>0.51</v>
      </c>
      <c r="O2145" s="3">
        <v>200.84</v>
      </c>
      <c r="P2145" s="3">
        <v>0.05</v>
      </c>
      <c r="Q2145" s="3">
        <v>494.03</v>
      </c>
      <c r="R2145" s="3">
        <v>0.13</v>
      </c>
      <c r="S2145">
        <v>7</v>
      </c>
      <c r="T2145">
        <v>1742.31</v>
      </c>
      <c r="U2145">
        <v>87</v>
      </c>
      <c r="V2145">
        <v>0</v>
      </c>
      <c r="W2145">
        <v>541.14</v>
      </c>
      <c r="X2145">
        <v>1660.11</v>
      </c>
      <c r="Y2145" t="s">
        <v>36</v>
      </c>
      <c r="Z2145" s="3">
        <v>1052.77</v>
      </c>
      <c r="AA2145" t="s">
        <v>32</v>
      </c>
      <c r="AB2145" t="s">
        <v>33</v>
      </c>
      <c r="AC2145">
        <v>70.8</v>
      </c>
      <c r="AD2145" t="s">
        <v>34</v>
      </c>
      <c r="AE2145">
        <v>315.39999999999998</v>
      </c>
      <c r="AF2145">
        <v>0</v>
      </c>
    </row>
    <row r="2146" spans="3:32" x14ac:dyDescent="0.35">
      <c r="C2146" s="1">
        <v>44726</v>
      </c>
      <c r="D2146" s="2">
        <v>44713</v>
      </c>
      <c r="E2146">
        <v>1855</v>
      </c>
      <c r="F2146" s="3">
        <v>4655.62</v>
      </c>
      <c r="G2146" s="3">
        <v>3910.49</v>
      </c>
      <c r="H2146" s="3">
        <v>745.13</v>
      </c>
      <c r="I2146" s="3">
        <v>0.84</v>
      </c>
      <c r="J2146">
        <v>0.08</v>
      </c>
      <c r="K2146">
        <v>2272.65</v>
      </c>
      <c r="L2146" t="s">
        <v>35</v>
      </c>
      <c r="M2146">
        <v>706</v>
      </c>
      <c r="N2146">
        <v>0.56000000000000005</v>
      </c>
      <c r="O2146" s="3">
        <v>659.7</v>
      </c>
      <c r="P2146" s="3">
        <v>0.14000000000000001</v>
      </c>
      <c r="Q2146" s="3">
        <v>282.68</v>
      </c>
      <c r="R2146" s="3">
        <v>0.06</v>
      </c>
      <c r="S2146">
        <v>8</v>
      </c>
      <c r="T2146">
        <v>2071.4899999999998</v>
      </c>
      <c r="U2146">
        <v>34</v>
      </c>
      <c r="V2146">
        <v>0</v>
      </c>
      <c r="W2146">
        <v>519.47</v>
      </c>
      <c r="X2146">
        <v>2762.89</v>
      </c>
      <c r="Y2146" t="s">
        <v>31</v>
      </c>
      <c r="Z2146" s="3">
        <v>1683.77</v>
      </c>
      <c r="AA2146" t="s">
        <v>41</v>
      </c>
      <c r="AB2146" t="s">
        <v>33</v>
      </c>
      <c r="AC2146">
        <v>18.7</v>
      </c>
      <c r="AD2146" t="s">
        <v>34</v>
      </c>
      <c r="AE2146">
        <v>745.13</v>
      </c>
      <c r="AF2146">
        <v>0</v>
      </c>
    </row>
    <row r="2147" spans="3:32" x14ac:dyDescent="0.35">
      <c r="C2147" s="1">
        <v>44726</v>
      </c>
      <c r="D2147" s="2">
        <v>44713</v>
      </c>
      <c r="E2147">
        <v>1359</v>
      </c>
      <c r="F2147" s="3">
        <v>4564.72</v>
      </c>
      <c r="G2147" s="3">
        <v>3822.91</v>
      </c>
      <c r="H2147" s="3">
        <v>741.81</v>
      </c>
      <c r="I2147" s="3">
        <v>0.84</v>
      </c>
      <c r="J2147">
        <v>0.13</v>
      </c>
      <c r="K2147">
        <v>2096.04</v>
      </c>
      <c r="L2147" t="s">
        <v>30</v>
      </c>
      <c r="M2147">
        <v>771</v>
      </c>
      <c r="N2147">
        <v>0.26</v>
      </c>
      <c r="O2147" s="3">
        <v>307.19</v>
      </c>
      <c r="P2147" s="3">
        <v>7.0000000000000007E-2</v>
      </c>
      <c r="Q2147" s="3">
        <v>440.57</v>
      </c>
      <c r="R2147" s="3">
        <v>0.1</v>
      </c>
      <c r="S2147">
        <v>6</v>
      </c>
      <c r="T2147">
        <v>878.29</v>
      </c>
      <c r="U2147">
        <v>86</v>
      </c>
      <c r="V2147">
        <v>0</v>
      </c>
      <c r="W2147">
        <v>475.14</v>
      </c>
      <c r="X2147">
        <v>2673.79</v>
      </c>
      <c r="Y2147" t="s">
        <v>36</v>
      </c>
      <c r="Z2147" s="3">
        <v>2331.12</v>
      </c>
      <c r="AA2147" t="s">
        <v>45</v>
      </c>
      <c r="AB2147" t="s">
        <v>44</v>
      </c>
      <c r="AC2147">
        <v>92.9</v>
      </c>
      <c r="AD2147" t="s">
        <v>34</v>
      </c>
      <c r="AE2147">
        <v>741.81</v>
      </c>
      <c r="AF2147">
        <v>0</v>
      </c>
    </row>
    <row r="2148" spans="3:32" x14ac:dyDescent="0.35">
      <c r="C2148" s="1">
        <v>44726</v>
      </c>
      <c r="D2148" s="2">
        <v>44713</v>
      </c>
      <c r="E2148">
        <v>1589</v>
      </c>
      <c r="F2148" s="3">
        <v>2791.96</v>
      </c>
      <c r="G2148" s="3">
        <v>3511.49</v>
      </c>
      <c r="H2148" s="3">
        <v>-719.53</v>
      </c>
      <c r="I2148" s="3">
        <v>1.26</v>
      </c>
      <c r="J2148">
        <v>0.05</v>
      </c>
      <c r="K2148">
        <v>3029.16</v>
      </c>
      <c r="L2148" t="s">
        <v>30</v>
      </c>
      <c r="M2148">
        <v>661</v>
      </c>
      <c r="N2148">
        <v>0.15</v>
      </c>
      <c r="O2148" s="3">
        <v>177.3</v>
      </c>
      <c r="P2148" s="3">
        <v>0.06</v>
      </c>
      <c r="Q2148" s="3">
        <v>50.42</v>
      </c>
      <c r="R2148" s="3">
        <v>0.02</v>
      </c>
      <c r="S2148">
        <v>1</v>
      </c>
      <c r="T2148">
        <v>499.52</v>
      </c>
      <c r="U2148">
        <v>59</v>
      </c>
      <c r="V2148">
        <v>0</v>
      </c>
      <c r="W2148">
        <v>578.30999999999995</v>
      </c>
      <c r="X2148">
        <v>1469.67</v>
      </c>
      <c r="Y2148" t="s">
        <v>36</v>
      </c>
      <c r="Z2148" s="3">
        <v>1022.63</v>
      </c>
      <c r="AA2148" t="s">
        <v>46</v>
      </c>
      <c r="AB2148" t="s">
        <v>42</v>
      </c>
      <c r="AC2148">
        <v>82.3</v>
      </c>
      <c r="AD2148" t="s">
        <v>34</v>
      </c>
      <c r="AE2148">
        <v>0</v>
      </c>
      <c r="AF2148">
        <v>0</v>
      </c>
    </row>
    <row r="2149" spans="3:32" x14ac:dyDescent="0.35">
      <c r="C2149" s="1">
        <v>44726</v>
      </c>
      <c r="D2149" s="2">
        <v>44713</v>
      </c>
      <c r="E2149">
        <v>1813</v>
      </c>
      <c r="F2149" s="3">
        <v>3149.46</v>
      </c>
      <c r="G2149" s="3">
        <v>3665.56</v>
      </c>
      <c r="H2149" s="3">
        <v>-516.1</v>
      </c>
      <c r="I2149" s="3">
        <v>1.1599999999999999</v>
      </c>
      <c r="J2149">
        <v>0.18</v>
      </c>
      <c r="K2149">
        <v>3175.2</v>
      </c>
      <c r="L2149" t="s">
        <v>35</v>
      </c>
      <c r="M2149">
        <v>708</v>
      </c>
      <c r="N2149">
        <v>0.55000000000000004</v>
      </c>
      <c r="O2149" s="3">
        <v>356.67</v>
      </c>
      <c r="P2149" s="3">
        <v>0.11</v>
      </c>
      <c r="Q2149" s="3">
        <v>718.61</v>
      </c>
      <c r="R2149" s="3">
        <v>0.23</v>
      </c>
      <c r="S2149">
        <v>2</v>
      </c>
      <c r="T2149">
        <v>1600.42</v>
      </c>
      <c r="U2149">
        <v>99</v>
      </c>
      <c r="V2149">
        <v>0</v>
      </c>
      <c r="W2149">
        <v>614.59</v>
      </c>
      <c r="X2149">
        <v>1943</v>
      </c>
      <c r="Y2149" t="s">
        <v>49</v>
      </c>
      <c r="Z2149" s="3">
        <v>1642.13</v>
      </c>
      <c r="AA2149" t="s">
        <v>48</v>
      </c>
      <c r="AB2149" t="s">
        <v>33</v>
      </c>
      <c r="AC2149">
        <v>66.5</v>
      </c>
      <c r="AD2149" t="s">
        <v>34</v>
      </c>
      <c r="AE2149">
        <v>0</v>
      </c>
      <c r="AF2149">
        <v>0</v>
      </c>
    </row>
    <row r="2150" spans="3:32" x14ac:dyDescent="0.35">
      <c r="C2150" s="1">
        <v>44726</v>
      </c>
      <c r="D2150" s="2">
        <v>44713</v>
      </c>
      <c r="E2150">
        <v>1980</v>
      </c>
      <c r="F2150" s="3">
        <v>2832.07</v>
      </c>
      <c r="G2150" s="3">
        <v>1557.11</v>
      </c>
      <c r="H2150" s="3">
        <v>1274.96</v>
      </c>
      <c r="I2150" s="3">
        <v>0.55000000000000004</v>
      </c>
      <c r="J2150">
        <v>0.19</v>
      </c>
      <c r="K2150">
        <v>1714.11</v>
      </c>
      <c r="L2150" t="s">
        <v>30</v>
      </c>
      <c r="M2150">
        <v>647</v>
      </c>
      <c r="N2150">
        <v>0.49</v>
      </c>
      <c r="O2150" s="3">
        <v>395.16</v>
      </c>
      <c r="P2150" s="3">
        <v>0.14000000000000001</v>
      </c>
      <c r="Q2150" s="3">
        <v>553.13</v>
      </c>
      <c r="R2150" s="3">
        <v>0.2</v>
      </c>
      <c r="S2150">
        <v>8</v>
      </c>
      <c r="T2150">
        <v>935.26</v>
      </c>
      <c r="U2150">
        <v>30</v>
      </c>
      <c r="V2150">
        <v>0</v>
      </c>
      <c r="W2150">
        <v>385.27</v>
      </c>
      <c r="X2150">
        <v>3419.11</v>
      </c>
      <c r="Y2150" t="s">
        <v>36</v>
      </c>
      <c r="Z2150" s="3">
        <v>916.87</v>
      </c>
      <c r="AA2150" t="s">
        <v>46</v>
      </c>
      <c r="AB2150" t="s">
        <v>33</v>
      </c>
      <c r="AC2150">
        <v>55.1</v>
      </c>
      <c r="AD2150" t="s">
        <v>34</v>
      </c>
      <c r="AE2150">
        <v>1274.96</v>
      </c>
      <c r="AF2150">
        <v>0</v>
      </c>
    </row>
    <row r="2151" spans="3:32" x14ac:dyDescent="0.35">
      <c r="C2151" s="1">
        <v>44726</v>
      </c>
      <c r="D2151" s="2">
        <v>44713</v>
      </c>
      <c r="E2151">
        <v>1422</v>
      </c>
      <c r="F2151" s="3">
        <v>3784.62</v>
      </c>
      <c r="G2151" s="3">
        <v>2236.96</v>
      </c>
      <c r="H2151" s="3">
        <v>1547.66</v>
      </c>
      <c r="I2151" s="3">
        <v>0.59</v>
      </c>
      <c r="J2151">
        <v>0.31</v>
      </c>
      <c r="K2151">
        <v>2850.61</v>
      </c>
      <c r="L2151" t="s">
        <v>30</v>
      </c>
      <c r="M2151">
        <v>762</v>
      </c>
      <c r="N2151">
        <v>0.33</v>
      </c>
      <c r="O2151" s="3">
        <v>768.76</v>
      </c>
      <c r="P2151" s="3">
        <v>0.2</v>
      </c>
      <c r="Q2151" s="3">
        <v>291.93</v>
      </c>
      <c r="R2151" s="3">
        <v>0.08</v>
      </c>
      <c r="S2151">
        <v>8</v>
      </c>
      <c r="T2151">
        <v>1328.51</v>
      </c>
      <c r="U2151">
        <v>25</v>
      </c>
      <c r="V2151">
        <v>0</v>
      </c>
      <c r="W2151">
        <v>721.39</v>
      </c>
      <c r="X2151">
        <v>2739.56</v>
      </c>
      <c r="Y2151" t="s">
        <v>31</v>
      </c>
      <c r="Z2151" s="3">
        <v>782.44</v>
      </c>
      <c r="AA2151" t="s">
        <v>45</v>
      </c>
      <c r="AB2151" t="s">
        <v>44</v>
      </c>
      <c r="AC2151">
        <v>88.3</v>
      </c>
      <c r="AD2151" t="s">
        <v>34</v>
      </c>
      <c r="AE2151">
        <v>1547.66</v>
      </c>
      <c r="AF2151">
        <v>0</v>
      </c>
    </row>
    <row r="2152" spans="3:32" x14ac:dyDescent="0.35">
      <c r="C2152" s="1">
        <v>44756</v>
      </c>
      <c r="D2152" s="2">
        <v>44743</v>
      </c>
      <c r="E2152">
        <v>1205</v>
      </c>
      <c r="F2152" s="3">
        <v>4076.19</v>
      </c>
      <c r="G2152" s="3">
        <v>3117.55</v>
      </c>
      <c r="H2152" s="3">
        <v>958.64</v>
      </c>
      <c r="I2152" s="3">
        <v>0.76</v>
      </c>
      <c r="J2152">
        <v>0.32</v>
      </c>
      <c r="K2152">
        <v>2422.02</v>
      </c>
      <c r="L2152" t="s">
        <v>35</v>
      </c>
      <c r="M2152">
        <v>728</v>
      </c>
      <c r="N2152">
        <v>0.59</v>
      </c>
      <c r="O2152" s="3">
        <v>358.86</v>
      </c>
      <c r="P2152" s="3">
        <v>0.09</v>
      </c>
      <c r="Q2152" s="3">
        <v>160.08000000000001</v>
      </c>
      <c r="R2152" s="3">
        <v>0.04</v>
      </c>
      <c r="S2152">
        <v>5</v>
      </c>
      <c r="T2152">
        <v>471.82</v>
      </c>
      <c r="U2152">
        <v>70</v>
      </c>
      <c r="V2152">
        <v>0</v>
      </c>
      <c r="W2152">
        <v>482.28</v>
      </c>
      <c r="X2152">
        <v>2970.22</v>
      </c>
      <c r="Y2152" t="s">
        <v>36</v>
      </c>
      <c r="Z2152" s="3">
        <v>519.16999999999996</v>
      </c>
      <c r="AA2152" t="s">
        <v>46</v>
      </c>
      <c r="AB2152" t="s">
        <v>44</v>
      </c>
      <c r="AC2152">
        <v>4.2</v>
      </c>
      <c r="AD2152" t="s">
        <v>38</v>
      </c>
      <c r="AE2152">
        <v>958.64</v>
      </c>
      <c r="AF2152">
        <v>0</v>
      </c>
    </row>
    <row r="2153" spans="3:32" x14ac:dyDescent="0.35">
      <c r="C2153" s="1">
        <v>44756</v>
      </c>
      <c r="D2153" s="2">
        <v>44743</v>
      </c>
      <c r="E2153">
        <v>1827</v>
      </c>
      <c r="F2153" s="3">
        <v>3805.09</v>
      </c>
      <c r="G2153" s="3">
        <v>2046.66</v>
      </c>
      <c r="H2153" s="3">
        <v>1758.43</v>
      </c>
      <c r="I2153" s="3">
        <v>0.54</v>
      </c>
      <c r="J2153">
        <v>0.38</v>
      </c>
      <c r="K2153">
        <v>2905.7</v>
      </c>
      <c r="L2153" t="s">
        <v>35</v>
      </c>
      <c r="M2153">
        <v>741</v>
      </c>
      <c r="N2153">
        <v>0.27</v>
      </c>
      <c r="O2153" s="3">
        <v>232.36</v>
      </c>
      <c r="P2153" s="3">
        <v>0.06</v>
      </c>
      <c r="Q2153" s="3">
        <v>306.77</v>
      </c>
      <c r="R2153" s="3">
        <v>0.08</v>
      </c>
      <c r="S2153">
        <v>8</v>
      </c>
      <c r="T2153">
        <v>980.8</v>
      </c>
      <c r="U2153">
        <v>75</v>
      </c>
      <c r="V2153">
        <v>0</v>
      </c>
      <c r="W2153">
        <v>505.06</v>
      </c>
      <c r="X2153">
        <v>2657.53</v>
      </c>
      <c r="Y2153" t="s">
        <v>36</v>
      </c>
      <c r="Z2153" s="3">
        <v>818.8</v>
      </c>
      <c r="AA2153" t="s">
        <v>51</v>
      </c>
      <c r="AB2153" t="s">
        <v>33</v>
      </c>
      <c r="AC2153">
        <v>76.2</v>
      </c>
      <c r="AD2153" t="s">
        <v>34</v>
      </c>
      <c r="AE2153">
        <v>1758.43</v>
      </c>
      <c r="AF2153">
        <v>0</v>
      </c>
    </row>
    <row r="2154" spans="3:32" x14ac:dyDescent="0.35">
      <c r="C2154" s="1">
        <v>44756</v>
      </c>
      <c r="D2154" s="2">
        <v>44743</v>
      </c>
      <c r="E2154">
        <v>1317</v>
      </c>
      <c r="F2154" s="3">
        <v>5784.09</v>
      </c>
      <c r="G2154" s="3">
        <v>3430.15</v>
      </c>
      <c r="H2154" s="3">
        <v>2353.94</v>
      </c>
      <c r="I2154" s="3">
        <v>0.59</v>
      </c>
      <c r="J2154">
        <v>0.17</v>
      </c>
      <c r="K2154">
        <v>3111.91</v>
      </c>
      <c r="L2154" t="s">
        <v>35</v>
      </c>
      <c r="M2154">
        <v>721</v>
      </c>
      <c r="N2154">
        <v>0.39</v>
      </c>
      <c r="O2154" s="3">
        <v>708.76</v>
      </c>
      <c r="P2154" s="3">
        <v>0.12</v>
      </c>
      <c r="Q2154" s="3">
        <v>773.55</v>
      </c>
      <c r="R2154" s="3">
        <v>0.13</v>
      </c>
      <c r="S2154">
        <v>1</v>
      </c>
      <c r="T2154">
        <v>1764.62</v>
      </c>
      <c r="U2154">
        <v>74</v>
      </c>
      <c r="V2154">
        <v>0</v>
      </c>
      <c r="W2154">
        <v>609.4</v>
      </c>
      <c r="X2154">
        <v>2013.63</v>
      </c>
      <c r="Y2154" t="s">
        <v>36</v>
      </c>
      <c r="Z2154" s="3">
        <v>1291.04</v>
      </c>
      <c r="AA2154" t="s">
        <v>47</v>
      </c>
      <c r="AB2154" t="s">
        <v>42</v>
      </c>
      <c r="AC2154">
        <v>78.2</v>
      </c>
      <c r="AD2154" t="s">
        <v>34</v>
      </c>
      <c r="AE2154">
        <v>2353.94</v>
      </c>
      <c r="AF2154">
        <v>0</v>
      </c>
    </row>
    <row r="2155" spans="3:32" x14ac:dyDescent="0.35">
      <c r="C2155" s="1">
        <v>44756</v>
      </c>
      <c r="D2155" s="2">
        <v>44743</v>
      </c>
      <c r="E2155">
        <v>1199</v>
      </c>
      <c r="F2155" s="3">
        <v>4745.46</v>
      </c>
      <c r="G2155" s="3">
        <v>2585.6999999999998</v>
      </c>
      <c r="H2155" s="3">
        <v>2159.7600000000002</v>
      </c>
      <c r="I2155" s="3">
        <v>0.54</v>
      </c>
      <c r="J2155">
        <v>0.2</v>
      </c>
      <c r="K2155">
        <v>2623.14</v>
      </c>
      <c r="L2155" t="s">
        <v>39</v>
      </c>
      <c r="M2155">
        <v>682</v>
      </c>
      <c r="N2155">
        <v>0.42</v>
      </c>
      <c r="O2155" s="3">
        <v>654.38</v>
      </c>
      <c r="P2155" s="3">
        <v>0.14000000000000001</v>
      </c>
      <c r="Q2155" s="3">
        <v>863.13</v>
      </c>
      <c r="R2155" s="3">
        <v>0.18</v>
      </c>
      <c r="S2155">
        <v>3</v>
      </c>
      <c r="T2155">
        <v>296.47000000000003</v>
      </c>
      <c r="U2155">
        <v>76</v>
      </c>
      <c r="V2155">
        <v>0</v>
      </c>
      <c r="W2155">
        <v>152.44999999999999</v>
      </c>
      <c r="X2155">
        <v>1263.81</v>
      </c>
      <c r="Y2155" t="s">
        <v>36</v>
      </c>
      <c r="Z2155" s="3">
        <v>1237.81</v>
      </c>
      <c r="AA2155" t="s">
        <v>40</v>
      </c>
      <c r="AB2155" t="s">
        <v>33</v>
      </c>
      <c r="AC2155">
        <v>37.4</v>
      </c>
      <c r="AD2155" t="s">
        <v>43</v>
      </c>
      <c r="AE2155">
        <v>2159.7600000000002</v>
      </c>
      <c r="AF2155">
        <v>0</v>
      </c>
    </row>
    <row r="2156" spans="3:32" x14ac:dyDescent="0.35">
      <c r="C2156" s="1">
        <v>44756</v>
      </c>
      <c r="D2156" s="2">
        <v>44743</v>
      </c>
      <c r="E2156">
        <v>1122</v>
      </c>
      <c r="F2156" s="3">
        <v>3443.99</v>
      </c>
      <c r="G2156" s="3">
        <v>1600.36</v>
      </c>
      <c r="H2156" s="3">
        <v>1843.63</v>
      </c>
      <c r="I2156" s="3">
        <v>0.46</v>
      </c>
      <c r="J2156">
        <v>0.17</v>
      </c>
      <c r="K2156">
        <v>2361.89</v>
      </c>
      <c r="L2156" t="s">
        <v>39</v>
      </c>
      <c r="M2156">
        <v>704</v>
      </c>
      <c r="N2156">
        <v>0.54</v>
      </c>
      <c r="O2156" s="3">
        <v>694.32</v>
      </c>
      <c r="P2156" s="3">
        <v>0.2</v>
      </c>
      <c r="Q2156" s="3">
        <v>544.91999999999996</v>
      </c>
      <c r="R2156" s="3">
        <v>0.16</v>
      </c>
      <c r="S2156">
        <v>2</v>
      </c>
      <c r="T2156">
        <v>1039.25</v>
      </c>
      <c r="U2156">
        <v>33</v>
      </c>
      <c r="V2156">
        <v>0</v>
      </c>
      <c r="W2156">
        <v>205.16</v>
      </c>
      <c r="X2156">
        <v>2248.27</v>
      </c>
      <c r="Y2156" t="s">
        <v>36</v>
      </c>
      <c r="Z2156" s="3">
        <v>786.4</v>
      </c>
      <c r="AA2156" t="s">
        <v>51</v>
      </c>
      <c r="AB2156" t="s">
        <v>44</v>
      </c>
      <c r="AC2156">
        <v>14.2</v>
      </c>
      <c r="AD2156" t="s">
        <v>34</v>
      </c>
      <c r="AE2156">
        <v>1843.63</v>
      </c>
      <c r="AF2156">
        <v>0</v>
      </c>
    </row>
    <row r="2157" spans="3:32" x14ac:dyDescent="0.35">
      <c r="C2157" s="1">
        <v>44756</v>
      </c>
      <c r="D2157" s="2">
        <v>44743</v>
      </c>
      <c r="E2157">
        <v>1171</v>
      </c>
      <c r="F2157" s="3">
        <v>3072.24</v>
      </c>
      <c r="G2157" s="3">
        <v>3338.23</v>
      </c>
      <c r="H2157" s="3">
        <v>-265.99</v>
      </c>
      <c r="I2157" s="3">
        <v>1.0900000000000001</v>
      </c>
      <c r="J2157">
        <v>0.36</v>
      </c>
      <c r="K2157">
        <v>2300.1</v>
      </c>
      <c r="L2157" t="s">
        <v>35</v>
      </c>
      <c r="M2157">
        <v>640</v>
      </c>
      <c r="N2157">
        <v>0.31</v>
      </c>
      <c r="O2157" s="3">
        <v>330.12</v>
      </c>
      <c r="P2157" s="3">
        <v>0.11</v>
      </c>
      <c r="Q2157" s="3">
        <v>499.46</v>
      </c>
      <c r="R2157" s="3">
        <v>0.16</v>
      </c>
      <c r="S2157">
        <v>2</v>
      </c>
      <c r="T2157">
        <v>1015.73</v>
      </c>
      <c r="U2157">
        <v>93</v>
      </c>
      <c r="V2157">
        <v>0</v>
      </c>
      <c r="W2157">
        <v>624.75</v>
      </c>
      <c r="X2157">
        <v>2535.46</v>
      </c>
      <c r="Y2157" t="s">
        <v>36</v>
      </c>
      <c r="Z2157" s="3">
        <v>884.05</v>
      </c>
      <c r="AA2157" t="s">
        <v>32</v>
      </c>
      <c r="AB2157" t="s">
        <v>33</v>
      </c>
      <c r="AC2157">
        <v>49.2</v>
      </c>
      <c r="AD2157" t="s">
        <v>34</v>
      </c>
      <c r="AE2157">
        <v>0</v>
      </c>
      <c r="AF2157">
        <v>0</v>
      </c>
    </row>
    <row r="2158" spans="3:32" x14ac:dyDescent="0.35">
      <c r="C2158" s="1">
        <v>44756</v>
      </c>
      <c r="D2158" s="2">
        <v>44743</v>
      </c>
      <c r="E2158">
        <v>1980</v>
      </c>
      <c r="F2158" s="3">
        <v>2415.69</v>
      </c>
      <c r="G2158" s="3">
        <v>3040.38</v>
      </c>
      <c r="H2158" s="3">
        <v>-624.69000000000005</v>
      </c>
      <c r="I2158" s="3">
        <v>1.26</v>
      </c>
      <c r="J2158">
        <v>0.31</v>
      </c>
      <c r="K2158">
        <v>2877.84</v>
      </c>
      <c r="L2158" t="s">
        <v>30</v>
      </c>
      <c r="M2158">
        <v>738</v>
      </c>
      <c r="N2158">
        <v>0.12</v>
      </c>
      <c r="O2158" s="3">
        <v>425.88</v>
      </c>
      <c r="P2158" s="3">
        <v>0.18</v>
      </c>
      <c r="Q2158" s="3">
        <v>454.91</v>
      </c>
      <c r="R2158" s="3">
        <v>0.19</v>
      </c>
      <c r="S2158">
        <v>2</v>
      </c>
      <c r="T2158">
        <v>345.8</v>
      </c>
      <c r="U2158">
        <v>71</v>
      </c>
      <c r="V2158">
        <v>0</v>
      </c>
      <c r="W2158">
        <v>562.29999999999995</v>
      </c>
      <c r="X2158">
        <v>1710.66</v>
      </c>
      <c r="Y2158" t="s">
        <v>36</v>
      </c>
      <c r="Z2158" s="3">
        <v>1355.4</v>
      </c>
      <c r="AA2158" t="s">
        <v>51</v>
      </c>
      <c r="AB2158" t="s">
        <v>33</v>
      </c>
      <c r="AC2158">
        <v>78.400000000000006</v>
      </c>
      <c r="AD2158" t="s">
        <v>38</v>
      </c>
      <c r="AE2158">
        <v>0</v>
      </c>
      <c r="AF2158">
        <v>0</v>
      </c>
    </row>
    <row r="2159" spans="3:32" x14ac:dyDescent="0.35">
      <c r="C2159" s="1">
        <v>44756</v>
      </c>
      <c r="D2159" s="2">
        <v>44743</v>
      </c>
      <c r="E2159">
        <v>1175</v>
      </c>
      <c r="F2159" s="3">
        <v>2562.91</v>
      </c>
      <c r="G2159" s="3">
        <v>3346.14</v>
      </c>
      <c r="H2159" s="3">
        <v>-783.23</v>
      </c>
      <c r="I2159" s="3">
        <v>1.31</v>
      </c>
      <c r="J2159">
        <v>0.17</v>
      </c>
      <c r="K2159">
        <v>2508.6999999999998</v>
      </c>
      <c r="L2159" t="s">
        <v>35</v>
      </c>
      <c r="M2159">
        <v>718</v>
      </c>
      <c r="N2159">
        <v>0.34</v>
      </c>
      <c r="O2159" s="3">
        <v>604.48</v>
      </c>
      <c r="P2159" s="3">
        <v>0.24</v>
      </c>
      <c r="Q2159" s="3">
        <v>101.87</v>
      </c>
      <c r="R2159" s="3">
        <v>0.04</v>
      </c>
      <c r="S2159">
        <v>1</v>
      </c>
      <c r="T2159">
        <v>876.18</v>
      </c>
      <c r="U2159">
        <v>67</v>
      </c>
      <c r="V2159">
        <v>0</v>
      </c>
      <c r="W2159">
        <v>213.1</v>
      </c>
      <c r="X2159">
        <v>2898.74</v>
      </c>
      <c r="Y2159" t="s">
        <v>36</v>
      </c>
      <c r="Z2159" s="3">
        <v>1311.67</v>
      </c>
      <c r="AA2159" t="s">
        <v>51</v>
      </c>
      <c r="AB2159" t="s">
        <v>33</v>
      </c>
      <c r="AC2159">
        <v>12.5</v>
      </c>
      <c r="AD2159" t="s">
        <v>34</v>
      </c>
      <c r="AE2159">
        <v>0</v>
      </c>
      <c r="AF2159">
        <v>0</v>
      </c>
    </row>
    <row r="2160" spans="3:32" x14ac:dyDescent="0.35">
      <c r="C2160" s="1">
        <v>44756</v>
      </c>
      <c r="D2160" s="2">
        <v>44743</v>
      </c>
      <c r="E2160">
        <v>1374</v>
      </c>
      <c r="F2160" s="3">
        <v>5713.69</v>
      </c>
      <c r="G2160" s="3">
        <v>2053.9</v>
      </c>
      <c r="H2160" s="3">
        <v>3659.79</v>
      </c>
      <c r="I2160" s="3">
        <v>0.36</v>
      </c>
      <c r="J2160">
        <v>0.18</v>
      </c>
      <c r="K2160">
        <v>3266.72</v>
      </c>
      <c r="L2160" t="s">
        <v>35</v>
      </c>
      <c r="M2160">
        <v>669</v>
      </c>
      <c r="N2160">
        <v>0.32</v>
      </c>
      <c r="O2160" s="3">
        <v>582.42999999999995</v>
      </c>
      <c r="P2160" s="3">
        <v>0.1</v>
      </c>
      <c r="Q2160" s="3">
        <v>294.45999999999998</v>
      </c>
      <c r="R2160" s="3">
        <v>0.05</v>
      </c>
      <c r="S2160">
        <v>9</v>
      </c>
      <c r="T2160">
        <v>0</v>
      </c>
      <c r="U2160">
        <v>63</v>
      </c>
      <c r="V2160">
        <v>0</v>
      </c>
      <c r="W2160">
        <v>667.07</v>
      </c>
      <c r="X2160">
        <v>1674.28</v>
      </c>
      <c r="Y2160" t="s">
        <v>31</v>
      </c>
      <c r="Z2160" s="3">
        <v>1193.1199999999999</v>
      </c>
      <c r="AA2160" t="s">
        <v>41</v>
      </c>
      <c r="AB2160" t="s">
        <v>42</v>
      </c>
      <c r="AC2160">
        <v>99.3</v>
      </c>
      <c r="AD2160" t="s">
        <v>34</v>
      </c>
      <c r="AE2160">
        <v>3659.79</v>
      </c>
      <c r="AF2160">
        <v>1</v>
      </c>
    </row>
    <row r="2161" spans="3:32" x14ac:dyDescent="0.35">
      <c r="C2161" s="1">
        <v>44756</v>
      </c>
      <c r="D2161" s="2">
        <v>44743</v>
      </c>
      <c r="E2161">
        <v>1023</v>
      </c>
      <c r="F2161" s="3">
        <v>3247.65</v>
      </c>
      <c r="G2161" s="3">
        <v>3321.05</v>
      </c>
      <c r="H2161" s="3">
        <v>-73.400000000000006</v>
      </c>
      <c r="I2161" s="3">
        <v>1.02</v>
      </c>
      <c r="J2161">
        <v>0.28000000000000003</v>
      </c>
      <c r="K2161">
        <v>2939.23</v>
      </c>
      <c r="L2161" t="s">
        <v>35</v>
      </c>
      <c r="M2161">
        <v>765</v>
      </c>
      <c r="N2161">
        <v>0.18</v>
      </c>
      <c r="O2161" s="3">
        <v>167.87</v>
      </c>
      <c r="P2161" s="3">
        <v>0.05</v>
      </c>
      <c r="Q2161" s="3">
        <v>321.76</v>
      </c>
      <c r="R2161" s="3">
        <v>0.1</v>
      </c>
      <c r="S2161">
        <v>3</v>
      </c>
      <c r="T2161">
        <v>921.71</v>
      </c>
      <c r="U2161">
        <v>44</v>
      </c>
      <c r="V2161">
        <v>1</v>
      </c>
      <c r="W2161">
        <v>101.02</v>
      </c>
      <c r="X2161">
        <v>2546.98</v>
      </c>
      <c r="Y2161" t="s">
        <v>36</v>
      </c>
      <c r="Z2161" s="3">
        <v>1698.37</v>
      </c>
      <c r="AA2161" t="s">
        <v>50</v>
      </c>
      <c r="AB2161" t="s">
        <v>33</v>
      </c>
      <c r="AC2161">
        <v>7.8</v>
      </c>
      <c r="AD2161" t="s">
        <v>34</v>
      </c>
      <c r="AE2161">
        <v>0</v>
      </c>
      <c r="AF2161">
        <v>0</v>
      </c>
    </row>
    <row r="2162" spans="3:32" x14ac:dyDescent="0.35">
      <c r="C2162" s="1">
        <v>44756</v>
      </c>
      <c r="D2162" s="2">
        <v>44743</v>
      </c>
      <c r="E2162">
        <v>1787</v>
      </c>
      <c r="F2162" s="3">
        <v>3757.38</v>
      </c>
      <c r="G2162" s="3">
        <v>2898.81</v>
      </c>
      <c r="H2162" s="3">
        <v>858.57</v>
      </c>
      <c r="I2162" s="3">
        <v>0.77</v>
      </c>
      <c r="J2162">
        <v>0.09</v>
      </c>
      <c r="K2162">
        <v>2216.65</v>
      </c>
      <c r="L2162" t="s">
        <v>35</v>
      </c>
      <c r="M2162">
        <v>701</v>
      </c>
      <c r="N2162">
        <v>0.15</v>
      </c>
      <c r="O2162" s="3">
        <v>383.93</v>
      </c>
      <c r="P2162" s="3">
        <v>0.1</v>
      </c>
      <c r="Q2162" s="3">
        <v>666.64</v>
      </c>
      <c r="R2162" s="3">
        <v>0.18</v>
      </c>
      <c r="S2162">
        <v>4</v>
      </c>
      <c r="T2162">
        <v>1024.3800000000001</v>
      </c>
      <c r="U2162">
        <v>38</v>
      </c>
      <c r="V2162">
        <v>0</v>
      </c>
      <c r="W2162">
        <v>767.68</v>
      </c>
      <c r="X2162">
        <v>1860.65</v>
      </c>
      <c r="Y2162" t="s">
        <v>31</v>
      </c>
      <c r="Z2162" s="3">
        <v>1057.3699999999999</v>
      </c>
      <c r="AA2162" t="s">
        <v>37</v>
      </c>
      <c r="AB2162" t="s">
        <v>42</v>
      </c>
      <c r="AC2162">
        <v>69.400000000000006</v>
      </c>
      <c r="AD2162" t="s">
        <v>34</v>
      </c>
      <c r="AE2162">
        <v>858.57</v>
      </c>
      <c r="AF2162">
        <v>0</v>
      </c>
    </row>
    <row r="2163" spans="3:32" x14ac:dyDescent="0.35">
      <c r="C2163" s="1">
        <v>44756</v>
      </c>
      <c r="D2163" s="2">
        <v>44743</v>
      </c>
      <c r="E2163">
        <v>1484</v>
      </c>
      <c r="F2163" s="3">
        <v>3812.68</v>
      </c>
      <c r="G2163" s="3">
        <v>2777.01</v>
      </c>
      <c r="H2163" s="3">
        <v>1035.67</v>
      </c>
      <c r="I2163" s="3">
        <v>0.73</v>
      </c>
      <c r="J2163">
        <v>0.37</v>
      </c>
      <c r="K2163">
        <v>1808.35</v>
      </c>
      <c r="L2163" t="s">
        <v>35</v>
      </c>
      <c r="M2163">
        <v>708</v>
      </c>
      <c r="N2163">
        <v>0.25</v>
      </c>
      <c r="O2163" s="3">
        <v>419.17</v>
      </c>
      <c r="P2163" s="3">
        <v>0.11</v>
      </c>
      <c r="Q2163" s="3">
        <v>531.29</v>
      </c>
      <c r="R2163" s="3">
        <v>0.14000000000000001</v>
      </c>
      <c r="S2163">
        <v>1</v>
      </c>
      <c r="T2163">
        <v>984.48</v>
      </c>
      <c r="U2163">
        <v>33</v>
      </c>
      <c r="V2163">
        <v>0</v>
      </c>
      <c r="W2163">
        <v>711.01</v>
      </c>
      <c r="X2163">
        <v>2347.3200000000002</v>
      </c>
      <c r="Y2163" t="s">
        <v>49</v>
      </c>
      <c r="Z2163" s="3">
        <v>1152.6500000000001</v>
      </c>
      <c r="AA2163" t="s">
        <v>48</v>
      </c>
      <c r="AB2163" t="s">
        <v>42</v>
      </c>
      <c r="AC2163">
        <v>23.7</v>
      </c>
      <c r="AD2163" t="s">
        <v>43</v>
      </c>
      <c r="AE2163">
        <v>1035.67</v>
      </c>
      <c r="AF2163">
        <v>0</v>
      </c>
    </row>
    <row r="2164" spans="3:32" x14ac:dyDescent="0.35">
      <c r="C2164" s="1">
        <v>44756</v>
      </c>
      <c r="D2164" s="2">
        <v>44743</v>
      </c>
      <c r="E2164">
        <v>1594</v>
      </c>
      <c r="F2164" s="3">
        <v>3039.13</v>
      </c>
      <c r="G2164" s="3">
        <v>3242.61</v>
      </c>
      <c r="H2164" s="3">
        <v>-203.48</v>
      </c>
      <c r="I2164" s="3">
        <v>1.07</v>
      </c>
      <c r="J2164">
        <v>0.14000000000000001</v>
      </c>
      <c r="K2164">
        <v>2722.67</v>
      </c>
      <c r="L2164" t="s">
        <v>35</v>
      </c>
      <c r="M2164">
        <v>694</v>
      </c>
      <c r="N2164">
        <v>0.38</v>
      </c>
      <c r="O2164" s="3">
        <v>684.11</v>
      </c>
      <c r="P2164" s="3">
        <v>0.23</v>
      </c>
      <c r="Q2164" s="3">
        <v>469.24</v>
      </c>
      <c r="R2164" s="3">
        <v>0.15</v>
      </c>
      <c r="S2164">
        <v>6</v>
      </c>
      <c r="T2164">
        <v>1124.47</v>
      </c>
      <c r="U2164">
        <v>20</v>
      </c>
      <c r="V2164">
        <v>0</v>
      </c>
      <c r="W2164">
        <v>978.5</v>
      </c>
      <c r="X2164">
        <v>1148.4100000000001</v>
      </c>
      <c r="Y2164" t="s">
        <v>36</v>
      </c>
      <c r="Z2164" s="3">
        <v>1801.38</v>
      </c>
      <c r="AA2164" t="s">
        <v>48</v>
      </c>
      <c r="AB2164" t="s">
        <v>33</v>
      </c>
      <c r="AC2164">
        <v>61</v>
      </c>
      <c r="AD2164" t="s">
        <v>34</v>
      </c>
      <c r="AE2164">
        <v>0</v>
      </c>
      <c r="AF2164">
        <v>0</v>
      </c>
    </row>
    <row r="2165" spans="3:32" x14ac:dyDescent="0.35">
      <c r="C2165" s="1">
        <v>44756</v>
      </c>
      <c r="D2165" s="2">
        <v>44743</v>
      </c>
      <c r="E2165">
        <v>1827</v>
      </c>
      <c r="F2165" s="3">
        <v>4090.24</v>
      </c>
      <c r="G2165" s="3">
        <v>3799.29</v>
      </c>
      <c r="H2165" s="3">
        <v>290.95</v>
      </c>
      <c r="I2165" s="3">
        <v>0.93</v>
      </c>
      <c r="J2165">
        <v>0.32</v>
      </c>
      <c r="K2165">
        <v>2928.88</v>
      </c>
      <c r="L2165" t="s">
        <v>35</v>
      </c>
      <c r="M2165">
        <v>768</v>
      </c>
      <c r="N2165">
        <v>0.2</v>
      </c>
      <c r="O2165" s="3">
        <v>474.35</v>
      </c>
      <c r="P2165" s="3">
        <v>0.12</v>
      </c>
      <c r="Q2165" s="3">
        <v>65.92</v>
      </c>
      <c r="R2165" s="3">
        <v>0.02</v>
      </c>
      <c r="S2165">
        <v>4</v>
      </c>
      <c r="T2165">
        <v>1684.55</v>
      </c>
      <c r="U2165">
        <v>94</v>
      </c>
      <c r="V2165">
        <v>0</v>
      </c>
      <c r="W2165">
        <v>403.24</v>
      </c>
      <c r="X2165">
        <v>1292.68</v>
      </c>
      <c r="Y2165" t="s">
        <v>31</v>
      </c>
      <c r="Z2165" s="3">
        <v>1324.53</v>
      </c>
      <c r="AA2165" t="s">
        <v>47</v>
      </c>
      <c r="AB2165" t="s">
        <v>33</v>
      </c>
      <c r="AC2165">
        <v>97.4</v>
      </c>
      <c r="AD2165" t="s">
        <v>34</v>
      </c>
      <c r="AE2165">
        <v>290.95</v>
      </c>
      <c r="AF2165">
        <v>0</v>
      </c>
    </row>
    <row r="2166" spans="3:32" x14ac:dyDescent="0.35">
      <c r="C2166" s="1">
        <v>44756</v>
      </c>
      <c r="D2166" s="2">
        <v>44743</v>
      </c>
      <c r="E2166">
        <v>1379</v>
      </c>
      <c r="F2166" s="3">
        <v>5641.88</v>
      </c>
      <c r="G2166" s="3">
        <v>2571.85</v>
      </c>
      <c r="H2166" s="3">
        <v>3070.03</v>
      </c>
      <c r="I2166" s="3">
        <v>0.46</v>
      </c>
      <c r="J2166">
        <v>0.28000000000000003</v>
      </c>
      <c r="K2166">
        <v>2926.18</v>
      </c>
      <c r="L2166" t="s">
        <v>30</v>
      </c>
      <c r="M2166">
        <v>765</v>
      </c>
      <c r="N2166">
        <v>0.25</v>
      </c>
      <c r="O2166" s="3">
        <v>748.64</v>
      </c>
      <c r="P2166" s="3">
        <v>0.13</v>
      </c>
      <c r="Q2166" s="3">
        <v>0</v>
      </c>
      <c r="R2166" s="3">
        <v>0</v>
      </c>
      <c r="S2166">
        <v>7</v>
      </c>
      <c r="T2166">
        <v>2020.27</v>
      </c>
      <c r="U2166">
        <v>90</v>
      </c>
      <c r="V2166">
        <v>0</v>
      </c>
      <c r="W2166">
        <v>333.13</v>
      </c>
      <c r="X2166">
        <v>2304.5</v>
      </c>
      <c r="Y2166" t="s">
        <v>36</v>
      </c>
      <c r="Z2166" s="3">
        <v>1199.28</v>
      </c>
      <c r="AA2166" t="s">
        <v>46</v>
      </c>
      <c r="AB2166" t="s">
        <v>33</v>
      </c>
      <c r="AC2166">
        <v>76.099999999999994</v>
      </c>
      <c r="AD2166" t="s">
        <v>34</v>
      </c>
      <c r="AE2166">
        <v>3070.03</v>
      </c>
      <c r="AF2166">
        <v>1</v>
      </c>
    </row>
    <row r="2167" spans="3:32" x14ac:dyDescent="0.35">
      <c r="C2167" s="1">
        <v>44756</v>
      </c>
      <c r="D2167" s="2">
        <v>44743</v>
      </c>
      <c r="E2167">
        <v>1934</v>
      </c>
      <c r="F2167" s="3">
        <v>2812.22</v>
      </c>
      <c r="G2167" s="3">
        <v>2208.34</v>
      </c>
      <c r="H2167" s="3">
        <v>603.88</v>
      </c>
      <c r="I2167" s="3">
        <v>0.79</v>
      </c>
      <c r="J2167">
        <v>0.32</v>
      </c>
      <c r="K2167">
        <v>3365.43</v>
      </c>
      <c r="L2167" t="s">
        <v>35</v>
      </c>
      <c r="M2167">
        <v>716</v>
      </c>
      <c r="N2167">
        <v>0.14000000000000001</v>
      </c>
      <c r="O2167" s="3">
        <v>393.46</v>
      </c>
      <c r="P2167" s="3">
        <v>0.14000000000000001</v>
      </c>
      <c r="Q2167" s="3">
        <v>384.95</v>
      </c>
      <c r="R2167" s="3">
        <v>0.14000000000000001</v>
      </c>
      <c r="S2167">
        <v>9</v>
      </c>
      <c r="T2167">
        <v>624.13</v>
      </c>
      <c r="U2167">
        <v>26</v>
      </c>
      <c r="V2167">
        <v>0</v>
      </c>
      <c r="W2167">
        <v>644.62</v>
      </c>
      <c r="X2167">
        <v>1834.42</v>
      </c>
      <c r="Y2167" t="s">
        <v>36</v>
      </c>
      <c r="Z2167" s="3">
        <v>1534.98</v>
      </c>
      <c r="AA2167" t="s">
        <v>48</v>
      </c>
      <c r="AB2167" t="s">
        <v>33</v>
      </c>
      <c r="AC2167">
        <v>14.3</v>
      </c>
      <c r="AD2167" t="s">
        <v>43</v>
      </c>
      <c r="AE2167">
        <v>603.88</v>
      </c>
      <c r="AF2167">
        <v>0</v>
      </c>
    </row>
    <row r="2168" spans="3:32" x14ac:dyDescent="0.35">
      <c r="C2168" s="1">
        <v>44756</v>
      </c>
      <c r="D2168" s="2">
        <v>44743</v>
      </c>
      <c r="E2168">
        <v>1550</v>
      </c>
      <c r="F2168" s="3">
        <v>3275.11</v>
      </c>
      <c r="G2168" s="3">
        <v>3754.08</v>
      </c>
      <c r="H2168" s="3">
        <v>-478.97</v>
      </c>
      <c r="I2168" s="3">
        <v>1.1499999999999999</v>
      </c>
      <c r="J2168">
        <v>0.38</v>
      </c>
      <c r="K2168">
        <v>1802.11</v>
      </c>
      <c r="L2168" t="s">
        <v>39</v>
      </c>
      <c r="M2168">
        <v>711</v>
      </c>
      <c r="N2168">
        <v>0.41</v>
      </c>
      <c r="O2168" s="3">
        <v>393.83</v>
      </c>
      <c r="P2168" s="3">
        <v>0.12</v>
      </c>
      <c r="Q2168" s="3">
        <v>233.59</v>
      </c>
      <c r="R2168" s="3">
        <v>7.0000000000000007E-2</v>
      </c>
      <c r="S2168">
        <v>8</v>
      </c>
      <c r="T2168">
        <v>804.64</v>
      </c>
      <c r="U2168">
        <v>59</v>
      </c>
      <c r="V2168">
        <v>0</v>
      </c>
      <c r="W2168">
        <v>474.3</v>
      </c>
      <c r="X2168">
        <v>1856.35</v>
      </c>
      <c r="Y2168" t="s">
        <v>31</v>
      </c>
      <c r="Z2168" s="3">
        <v>1065.33</v>
      </c>
      <c r="AA2168" t="s">
        <v>32</v>
      </c>
      <c r="AB2168" t="s">
        <v>44</v>
      </c>
      <c r="AC2168">
        <v>59.8</v>
      </c>
      <c r="AD2168" t="s">
        <v>34</v>
      </c>
      <c r="AE2168">
        <v>0</v>
      </c>
      <c r="AF2168">
        <v>0</v>
      </c>
    </row>
    <row r="2169" spans="3:32" x14ac:dyDescent="0.35">
      <c r="C2169" s="1">
        <v>44756</v>
      </c>
      <c r="D2169" s="2">
        <v>44743</v>
      </c>
      <c r="E2169">
        <v>1046</v>
      </c>
      <c r="F2169" s="3">
        <v>4848.26</v>
      </c>
      <c r="G2169" s="3">
        <v>3714.85</v>
      </c>
      <c r="H2169" s="3">
        <v>1133.4100000000001</v>
      </c>
      <c r="I2169" s="3">
        <v>0.77</v>
      </c>
      <c r="J2169">
        <v>0.19</v>
      </c>
      <c r="K2169">
        <v>2898.64</v>
      </c>
      <c r="L2169" t="s">
        <v>39</v>
      </c>
      <c r="M2169">
        <v>777</v>
      </c>
      <c r="N2169">
        <v>0.57999999999999996</v>
      </c>
      <c r="O2169" s="3">
        <v>607.89</v>
      </c>
      <c r="P2169" s="3">
        <v>0.13</v>
      </c>
      <c r="Q2169" s="3">
        <v>368.71</v>
      </c>
      <c r="R2169" s="3">
        <v>0.08</v>
      </c>
      <c r="S2169">
        <v>5</v>
      </c>
      <c r="T2169">
        <v>64.08</v>
      </c>
      <c r="U2169">
        <v>46</v>
      </c>
      <c r="V2169">
        <v>0</v>
      </c>
      <c r="W2169">
        <v>400.05</v>
      </c>
      <c r="X2169">
        <v>2770.88</v>
      </c>
      <c r="Y2169" t="s">
        <v>36</v>
      </c>
      <c r="Z2169" s="3">
        <v>1308.1600000000001</v>
      </c>
      <c r="AA2169" t="s">
        <v>41</v>
      </c>
      <c r="AB2169" t="s">
        <v>33</v>
      </c>
      <c r="AC2169">
        <v>1.6</v>
      </c>
      <c r="AD2169" t="s">
        <v>43</v>
      </c>
      <c r="AE2169">
        <v>1133.4100000000001</v>
      </c>
      <c r="AF2169">
        <v>0</v>
      </c>
    </row>
    <row r="2170" spans="3:32" x14ac:dyDescent="0.35">
      <c r="C2170" s="1">
        <v>44756</v>
      </c>
      <c r="D2170" s="2">
        <v>44743</v>
      </c>
      <c r="E2170">
        <v>1779</v>
      </c>
      <c r="F2170" s="3">
        <v>4666.8900000000003</v>
      </c>
      <c r="G2170" s="3">
        <v>1994.19</v>
      </c>
      <c r="H2170" s="3">
        <v>2672.7</v>
      </c>
      <c r="I2170" s="3">
        <v>0.43</v>
      </c>
      <c r="J2170">
        <v>0.31</v>
      </c>
      <c r="K2170">
        <v>3632.74</v>
      </c>
      <c r="L2170" t="s">
        <v>30</v>
      </c>
      <c r="M2170">
        <v>567</v>
      </c>
      <c r="N2170">
        <v>0.59</v>
      </c>
      <c r="O2170" s="3">
        <v>491.25</v>
      </c>
      <c r="P2170" s="3">
        <v>0.11</v>
      </c>
      <c r="Q2170" s="3">
        <v>86.43</v>
      </c>
      <c r="R2170" s="3">
        <v>0.02</v>
      </c>
      <c r="S2170">
        <v>7</v>
      </c>
      <c r="T2170">
        <v>709.47</v>
      </c>
      <c r="U2170">
        <v>40</v>
      </c>
      <c r="V2170">
        <v>0</v>
      </c>
      <c r="W2170">
        <v>588.72</v>
      </c>
      <c r="X2170">
        <v>2368.7600000000002</v>
      </c>
      <c r="Y2170" t="s">
        <v>31</v>
      </c>
      <c r="Z2170" s="3">
        <v>801.39</v>
      </c>
      <c r="AA2170" t="s">
        <v>46</v>
      </c>
      <c r="AB2170" t="s">
        <v>33</v>
      </c>
      <c r="AC2170">
        <v>81.5</v>
      </c>
      <c r="AD2170" t="s">
        <v>34</v>
      </c>
      <c r="AE2170">
        <v>2672.7</v>
      </c>
      <c r="AF2170">
        <v>0</v>
      </c>
    </row>
    <row r="2171" spans="3:32" x14ac:dyDescent="0.35">
      <c r="C2171" s="1">
        <v>44756</v>
      </c>
      <c r="D2171" s="2">
        <v>44743</v>
      </c>
      <c r="E2171">
        <v>1268</v>
      </c>
      <c r="F2171" s="3">
        <v>3935.86</v>
      </c>
      <c r="G2171" s="3">
        <v>2877.91</v>
      </c>
      <c r="H2171" s="3">
        <v>1057.95</v>
      </c>
      <c r="I2171" s="3">
        <v>0.73</v>
      </c>
      <c r="J2171">
        <v>0.27</v>
      </c>
      <c r="K2171">
        <v>3840.85</v>
      </c>
      <c r="L2171" t="s">
        <v>35</v>
      </c>
      <c r="M2171">
        <v>666</v>
      </c>
      <c r="N2171">
        <v>0.47</v>
      </c>
      <c r="O2171" s="3">
        <v>579.74</v>
      </c>
      <c r="P2171" s="3">
        <v>0.15</v>
      </c>
      <c r="Q2171" s="3">
        <v>362.51</v>
      </c>
      <c r="R2171" s="3">
        <v>0.09</v>
      </c>
      <c r="S2171">
        <v>8</v>
      </c>
      <c r="T2171">
        <v>1250.72</v>
      </c>
      <c r="U2171">
        <v>48</v>
      </c>
      <c r="V2171">
        <v>1</v>
      </c>
      <c r="W2171">
        <v>601.12</v>
      </c>
      <c r="X2171">
        <v>2460.2800000000002</v>
      </c>
      <c r="Y2171" t="s">
        <v>36</v>
      </c>
      <c r="Z2171" s="3">
        <v>1387.53</v>
      </c>
      <c r="AA2171" t="s">
        <v>50</v>
      </c>
      <c r="AB2171" t="s">
        <v>44</v>
      </c>
      <c r="AC2171">
        <v>25.1</v>
      </c>
      <c r="AD2171" t="s">
        <v>38</v>
      </c>
      <c r="AE2171">
        <v>1057.95</v>
      </c>
      <c r="AF2171">
        <v>0</v>
      </c>
    </row>
    <row r="2172" spans="3:32" x14ac:dyDescent="0.35">
      <c r="C2172" s="1">
        <v>44756</v>
      </c>
      <c r="D2172" s="2">
        <v>44743</v>
      </c>
      <c r="E2172">
        <v>1421</v>
      </c>
      <c r="F2172" s="3">
        <v>4445.3</v>
      </c>
      <c r="G2172" s="3">
        <v>3861.94</v>
      </c>
      <c r="H2172" s="3">
        <v>583.36</v>
      </c>
      <c r="I2172" s="3">
        <v>0.87</v>
      </c>
      <c r="J2172">
        <v>0.36</v>
      </c>
      <c r="K2172">
        <v>3003.68</v>
      </c>
      <c r="L2172" t="s">
        <v>39</v>
      </c>
      <c r="M2172">
        <v>710</v>
      </c>
      <c r="N2172">
        <v>0.22</v>
      </c>
      <c r="O2172" s="3">
        <v>284.58999999999997</v>
      </c>
      <c r="P2172" s="3">
        <v>0.06</v>
      </c>
      <c r="Q2172" s="3">
        <v>127.49</v>
      </c>
      <c r="R2172" s="3">
        <v>0.03</v>
      </c>
      <c r="S2172">
        <v>9</v>
      </c>
      <c r="T2172">
        <v>1038.4100000000001</v>
      </c>
      <c r="U2172">
        <v>86</v>
      </c>
      <c r="V2172">
        <v>0</v>
      </c>
      <c r="W2172">
        <v>883.33</v>
      </c>
      <c r="X2172">
        <v>2525.25</v>
      </c>
      <c r="Y2172" t="s">
        <v>31</v>
      </c>
      <c r="Z2172" s="3">
        <v>1507.02</v>
      </c>
      <c r="AA2172" t="s">
        <v>45</v>
      </c>
      <c r="AB2172" t="s">
        <v>42</v>
      </c>
      <c r="AC2172">
        <v>53.4</v>
      </c>
      <c r="AD2172" t="s">
        <v>34</v>
      </c>
      <c r="AE2172">
        <v>583.36</v>
      </c>
      <c r="AF2172">
        <v>0</v>
      </c>
    </row>
    <row r="2173" spans="3:32" x14ac:dyDescent="0.35">
      <c r="C2173" s="1">
        <v>44756</v>
      </c>
      <c r="D2173" s="2">
        <v>44743</v>
      </c>
      <c r="E2173">
        <v>1124</v>
      </c>
      <c r="F2173" s="3">
        <v>3846.7</v>
      </c>
      <c r="G2173" s="3">
        <v>3412.7</v>
      </c>
      <c r="H2173" s="3">
        <v>434</v>
      </c>
      <c r="I2173" s="3">
        <v>0.89</v>
      </c>
      <c r="J2173">
        <v>0.39</v>
      </c>
      <c r="K2173">
        <v>3527.49</v>
      </c>
      <c r="L2173" t="s">
        <v>35</v>
      </c>
      <c r="M2173">
        <v>578</v>
      </c>
      <c r="N2173">
        <v>0.2</v>
      </c>
      <c r="O2173" s="3">
        <v>671.13</v>
      </c>
      <c r="P2173" s="3">
        <v>0.17</v>
      </c>
      <c r="Q2173" s="3">
        <v>0</v>
      </c>
      <c r="R2173" s="3">
        <v>0</v>
      </c>
      <c r="S2173">
        <v>1</v>
      </c>
      <c r="T2173">
        <v>1064.46</v>
      </c>
      <c r="U2173">
        <v>66</v>
      </c>
      <c r="V2173">
        <v>0</v>
      </c>
      <c r="W2173">
        <v>479.72</v>
      </c>
      <c r="X2173">
        <v>2924.72</v>
      </c>
      <c r="Y2173" t="s">
        <v>49</v>
      </c>
      <c r="Z2173" s="3">
        <v>818.4</v>
      </c>
      <c r="AA2173" t="s">
        <v>48</v>
      </c>
      <c r="AB2173" t="s">
        <v>33</v>
      </c>
      <c r="AC2173">
        <v>93.3</v>
      </c>
      <c r="AD2173" t="s">
        <v>34</v>
      </c>
      <c r="AE2173">
        <v>434</v>
      </c>
      <c r="AF2173">
        <v>0</v>
      </c>
    </row>
    <row r="2174" spans="3:32" x14ac:dyDescent="0.35">
      <c r="C2174" s="1">
        <v>44756</v>
      </c>
      <c r="D2174" s="2">
        <v>44743</v>
      </c>
      <c r="E2174">
        <v>1382</v>
      </c>
      <c r="F2174" s="3">
        <v>2970.13</v>
      </c>
      <c r="G2174" s="3">
        <v>3628.07</v>
      </c>
      <c r="H2174" s="3">
        <v>-657.94</v>
      </c>
      <c r="I2174" s="3">
        <v>1.22</v>
      </c>
      <c r="J2174">
        <v>0.2</v>
      </c>
      <c r="K2174">
        <v>2087.04</v>
      </c>
      <c r="L2174" t="s">
        <v>39</v>
      </c>
      <c r="M2174">
        <v>699</v>
      </c>
      <c r="N2174">
        <v>0.28000000000000003</v>
      </c>
      <c r="O2174" s="3">
        <v>283</v>
      </c>
      <c r="P2174" s="3">
        <v>0.1</v>
      </c>
      <c r="Q2174" s="3">
        <v>379.94</v>
      </c>
      <c r="R2174" s="3">
        <v>0.13</v>
      </c>
      <c r="S2174">
        <v>7</v>
      </c>
      <c r="T2174">
        <v>1115.6500000000001</v>
      </c>
      <c r="U2174">
        <v>41</v>
      </c>
      <c r="V2174">
        <v>0</v>
      </c>
      <c r="W2174">
        <v>591.44000000000005</v>
      </c>
      <c r="X2174">
        <v>2393.5500000000002</v>
      </c>
      <c r="Y2174" t="s">
        <v>31</v>
      </c>
      <c r="Z2174" s="3">
        <v>1376.23</v>
      </c>
      <c r="AA2174" t="s">
        <v>37</v>
      </c>
      <c r="AB2174" t="s">
        <v>33</v>
      </c>
      <c r="AC2174">
        <v>51.3</v>
      </c>
      <c r="AD2174" t="s">
        <v>43</v>
      </c>
      <c r="AE2174">
        <v>0</v>
      </c>
      <c r="AF2174">
        <v>0</v>
      </c>
    </row>
    <row r="2175" spans="3:32" x14ac:dyDescent="0.35">
      <c r="C2175" s="1">
        <v>44756</v>
      </c>
      <c r="D2175" s="2">
        <v>44743</v>
      </c>
      <c r="E2175">
        <v>1977</v>
      </c>
      <c r="F2175" s="3">
        <v>5422.04</v>
      </c>
      <c r="G2175" s="3">
        <v>2759.95</v>
      </c>
      <c r="H2175" s="3">
        <v>2662.09</v>
      </c>
      <c r="I2175" s="3">
        <v>0.51</v>
      </c>
      <c r="J2175">
        <v>0.24</v>
      </c>
      <c r="K2175">
        <v>2357.81</v>
      </c>
      <c r="L2175" t="s">
        <v>30</v>
      </c>
      <c r="M2175">
        <v>742</v>
      </c>
      <c r="N2175">
        <v>0.5</v>
      </c>
      <c r="O2175" s="3">
        <v>537.29</v>
      </c>
      <c r="P2175" s="3">
        <v>0.1</v>
      </c>
      <c r="Q2175" s="3">
        <v>428.83</v>
      </c>
      <c r="R2175" s="3">
        <v>0.08</v>
      </c>
      <c r="S2175">
        <v>3</v>
      </c>
      <c r="T2175">
        <v>992.05</v>
      </c>
      <c r="U2175">
        <v>24</v>
      </c>
      <c r="V2175">
        <v>0</v>
      </c>
      <c r="W2175">
        <v>388.92</v>
      </c>
      <c r="X2175">
        <v>2284.7199999999998</v>
      </c>
      <c r="Y2175" t="s">
        <v>49</v>
      </c>
      <c r="Z2175" s="3">
        <v>1285.1500000000001</v>
      </c>
      <c r="AA2175" t="s">
        <v>51</v>
      </c>
      <c r="AB2175" t="s">
        <v>44</v>
      </c>
      <c r="AC2175">
        <v>43.4</v>
      </c>
      <c r="AD2175" t="s">
        <v>43</v>
      </c>
      <c r="AE2175">
        <v>2662.09</v>
      </c>
      <c r="AF2175">
        <v>1</v>
      </c>
    </row>
    <row r="2176" spans="3:32" x14ac:dyDescent="0.35">
      <c r="C2176" s="1">
        <v>44756</v>
      </c>
      <c r="D2176" s="2">
        <v>44743</v>
      </c>
      <c r="E2176">
        <v>1284</v>
      </c>
      <c r="F2176" s="3">
        <v>2833.68</v>
      </c>
      <c r="G2176" s="3">
        <v>3269.74</v>
      </c>
      <c r="H2176" s="3">
        <v>-436.06</v>
      </c>
      <c r="I2176" s="3">
        <v>1.1499999999999999</v>
      </c>
      <c r="J2176">
        <v>0.06</v>
      </c>
      <c r="K2176">
        <v>2883.34</v>
      </c>
      <c r="L2176" t="s">
        <v>30</v>
      </c>
      <c r="M2176">
        <v>648</v>
      </c>
      <c r="N2176">
        <v>0.43</v>
      </c>
      <c r="O2176" s="3">
        <v>573.89</v>
      </c>
      <c r="P2176" s="3">
        <v>0.2</v>
      </c>
      <c r="Q2176" s="3">
        <v>201.44</v>
      </c>
      <c r="R2176" s="3">
        <v>7.0000000000000007E-2</v>
      </c>
      <c r="S2176">
        <v>7</v>
      </c>
      <c r="T2176">
        <v>1529.41</v>
      </c>
      <c r="U2176">
        <v>22</v>
      </c>
      <c r="V2176">
        <v>0</v>
      </c>
      <c r="W2176">
        <v>488.99</v>
      </c>
      <c r="X2176">
        <v>2912.98</v>
      </c>
      <c r="Y2176" t="s">
        <v>49</v>
      </c>
      <c r="Z2176" s="3">
        <v>1512.29</v>
      </c>
      <c r="AA2176" t="s">
        <v>32</v>
      </c>
      <c r="AB2176" t="s">
        <v>44</v>
      </c>
      <c r="AC2176">
        <v>56.8</v>
      </c>
      <c r="AD2176" t="s">
        <v>43</v>
      </c>
      <c r="AE2176">
        <v>0</v>
      </c>
      <c r="AF2176">
        <v>0</v>
      </c>
    </row>
    <row r="2177" spans="3:32" x14ac:dyDescent="0.35">
      <c r="C2177" s="1">
        <v>44756</v>
      </c>
      <c r="D2177" s="2">
        <v>44743</v>
      </c>
      <c r="E2177">
        <v>1103</v>
      </c>
      <c r="F2177" s="3">
        <v>3335.38</v>
      </c>
      <c r="G2177" s="3">
        <v>2443.64</v>
      </c>
      <c r="H2177" s="3">
        <v>891.74</v>
      </c>
      <c r="I2177" s="3">
        <v>0.73</v>
      </c>
      <c r="J2177">
        <v>0.32</v>
      </c>
      <c r="K2177">
        <v>3538.52</v>
      </c>
      <c r="L2177" t="s">
        <v>30</v>
      </c>
      <c r="M2177">
        <v>744</v>
      </c>
      <c r="N2177">
        <v>0.27</v>
      </c>
      <c r="O2177" s="3">
        <v>538.72</v>
      </c>
      <c r="P2177" s="3">
        <v>0.16</v>
      </c>
      <c r="Q2177" s="3">
        <v>663.61</v>
      </c>
      <c r="R2177" s="3">
        <v>0.2</v>
      </c>
      <c r="S2177">
        <v>2</v>
      </c>
      <c r="T2177">
        <v>772.17</v>
      </c>
      <c r="U2177">
        <v>75</v>
      </c>
      <c r="V2177">
        <v>0</v>
      </c>
      <c r="W2177">
        <v>440.12</v>
      </c>
      <c r="X2177">
        <v>1681.17</v>
      </c>
      <c r="Y2177" t="s">
        <v>36</v>
      </c>
      <c r="Z2177" s="3">
        <v>1621.11</v>
      </c>
      <c r="AA2177" t="s">
        <v>40</v>
      </c>
      <c r="AB2177" t="s">
        <v>44</v>
      </c>
      <c r="AC2177">
        <v>83.7</v>
      </c>
      <c r="AD2177" t="s">
        <v>43</v>
      </c>
      <c r="AE2177">
        <v>891.74</v>
      </c>
      <c r="AF2177">
        <v>0</v>
      </c>
    </row>
    <row r="2178" spans="3:32" x14ac:dyDescent="0.35">
      <c r="C2178" s="1">
        <v>44756</v>
      </c>
      <c r="D2178" s="2">
        <v>44743</v>
      </c>
      <c r="E2178">
        <v>1809</v>
      </c>
      <c r="F2178" s="3">
        <v>4484.71</v>
      </c>
      <c r="G2178" s="3">
        <v>3651.18</v>
      </c>
      <c r="H2178" s="3">
        <v>833.53</v>
      </c>
      <c r="I2178" s="3">
        <v>0.81</v>
      </c>
      <c r="J2178">
        <v>0.1</v>
      </c>
      <c r="K2178">
        <v>2963.63</v>
      </c>
      <c r="L2178" t="s">
        <v>39</v>
      </c>
      <c r="M2178">
        <v>713</v>
      </c>
      <c r="N2178">
        <v>0.15</v>
      </c>
      <c r="O2178" s="3">
        <v>229.95</v>
      </c>
      <c r="P2178" s="3">
        <v>0.05</v>
      </c>
      <c r="Q2178" s="3">
        <v>152.82</v>
      </c>
      <c r="R2178" s="3">
        <v>0.03</v>
      </c>
      <c r="S2178">
        <v>3</v>
      </c>
      <c r="T2178">
        <v>1571.91</v>
      </c>
      <c r="U2178">
        <v>61</v>
      </c>
      <c r="V2178">
        <v>0</v>
      </c>
      <c r="W2178">
        <v>752.06</v>
      </c>
      <c r="X2178">
        <v>2318.77</v>
      </c>
      <c r="Y2178" t="s">
        <v>49</v>
      </c>
      <c r="Z2178" s="3">
        <v>945.4</v>
      </c>
      <c r="AA2178" t="s">
        <v>40</v>
      </c>
      <c r="AB2178" t="s">
        <v>33</v>
      </c>
      <c r="AC2178">
        <v>94.3</v>
      </c>
      <c r="AD2178" t="s">
        <v>34</v>
      </c>
      <c r="AE2178">
        <v>833.53</v>
      </c>
      <c r="AF2178">
        <v>0</v>
      </c>
    </row>
    <row r="2179" spans="3:32" x14ac:dyDescent="0.35">
      <c r="C2179" s="1">
        <v>44756</v>
      </c>
      <c r="D2179" s="2">
        <v>44743</v>
      </c>
      <c r="E2179">
        <v>1035</v>
      </c>
      <c r="F2179" s="3">
        <v>3362.89</v>
      </c>
      <c r="G2179" s="3">
        <v>3047.81</v>
      </c>
      <c r="H2179" s="3">
        <v>315.08</v>
      </c>
      <c r="I2179" s="3">
        <v>0.91</v>
      </c>
      <c r="J2179">
        <v>0.35</v>
      </c>
      <c r="K2179">
        <v>2841.72</v>
      </c>
      <c r="L2179" t="s">
        <v>30</v>
      </c>
      <c r="M2179">
        <v>686</v>
      </c>
      <c r="N2179">
        <v>0.52</v>
      </c>
      <c r="O2179" s="3">
        <v>510.8</v>
      </c>
      <c r="P2179" s="3">
        <v>0.15</v>
      </c>
      <c r="Q2179" s="3">
        <v>523.82000000000005</v>
      </c>
      <c r="R2179" s="3">
        <v>0.16</v>
      </c>
      <c r="S2179">
        <v>6</v>
      </c>
      <c r="T2179">
        <v>424.17</v>
      </c>
      <c r="U2179">
        <v>72</v>
      </c>
      <c r="V2179">
        <v>0</v>
      </c>
      <c r="W2179">
        <v>332.89</v>
      </c>
      <c r="X2179">
        <v>3136.8</v>
      </c>
      <c r="Y2179" t="s">
        <v>36</v>
      </c>
      <c r="Z2179" s="3">
        <v>1143.05</v>
      </c>
      <c r="AA2179" t="s">
        <v>41</v>
      </c>
      <c r="AB2179" t="s">
        <v>33</v>
      </c>
      <c r="AC2179">
        <v>16.2</v>
      </c>
      <c r="AD2179" t="s">
        <v>34</v>
      </c>
      <c r="AE2179">
        <v>315.08</v>
      </c>
      <c r="AF2179">
        <v>0</v>
      </c>
    </row>
    <row r="2180" spans="3:32" x14ac:dyDescent="0.35">
      <c r="C2180" s="1">
        <v>44756</v>
      </c>
      <c r="D2180" s="2">
        <v>44743</v>
      </c>
      <c r="E2180">
        <v>1140</v>
      </c>
      <c r="F2180" s="3">
        <v>2307.3200000000002</v>
      </c>
      <c r="G2180" s="3">
        <v>3430.4</v>
      </c>
      <c r="H2180" s="3">
        <v>-1123.08</v>
      </c>
      <c r="I2180" s="3">
        <v>1.49</v>
      </c>
      <c r="J2180">
        <v>0.39</v>
      </c>
      <c r="K2180">
        <v>2694.47</v>
      </c>
      <c r="L2180" t="s">
        <v>35</v>
      </c>
      <c r="M2180">
        <v>660</v>
      </c>
      <c r="N2180">
        <v>0.39</v>
      </c>
      <c r="O2180" s="3">
        <v>169.25</v>
      </c>
      <c r="P2180" s="3">
        <v>7.0000000000000007E-2</v>
      </c>
      <c r="Q2180" s="3">
        <v>376.81</v>
      </c>
      <c r="R2180" s="3">
        <v>0.16</v>
      </c>
      <c r="S2180">
        <v>8</v>
      </c>
      <c r="T2180">
        <v>52.14</v>
      </c>
      <c r="U2180">
        <v>24</v>
      </c>
      <c r="V2180">
        <v>0</v>
      </c>
      <c r="W2180">
        <v>468.83</v>
      </c>
      <c r="X2180">
        <v>1967.33</v>
      </c>
      <c r="Y2180" t="s">
        <v>36</v>
      </c>
      <c r="Z2180" s="3">
        <v>1999.95</v>
      </c>
      <c r="AA2180" t="s">
        <v>40</v>
      </c>
      <c r="AB2180" t="s">
        <v>33</v>
      </c>
      <c r="AC2180">
        <v>46.6</v>
      </c>
      <c r="AD2180" t="s">
        <v>34</v>
      </c>
      <c r="AE2180">
        <v>0</v>
      </c>
      <c r="AF2180">
        <v>0</v>
      </c>
    </row>
    <row r="2181" spans="3:32" x14ac:dyDescent="0.35">
      <c r="C2181" s="1">
        <v>44756</v>
      </c>
      <c r="D2181" s="2">
        <v>44743</v>
      </c>
      <c r="E2181">
        <v>1514</v>
      </c>
      <c r="F2181" s="3">
        <v>5238.6000000000004</v>
      </c>
      <c r="G2181" s="3">
        <v>3181.18</v>
      </c>
      <c r="H2181" s="3">
        <v>2057.42</v>
      </c>
      <c r="I2181" s="3">
        <v>0.61</v>
      </c>
      <c r="J2181">
        <v>0.19</v>
      </c>
      <c r="K2181">
        <v>2859.72</v>
      </c>
      <c r="L2181" t="s">
        <v>35</v>
      </c>
      <c r="M2181">
        <v>714</v>
      </c>
      <c r="N2181">
        <v>0.53</v>
      </c>
      <c r="O2181" s="3">
        <v>210.34</v>
      </c>
      <c r="P2181" s="3">
        <v>0.04</v>
      </c>
      <c r="Q2181" s="3">
        <v>232.09</v>
      </c>
      <c r="R2181" s="3">
        <v>0.04</v>
      </c>
      <c r="S2181">
        <v>6</v>
      </c>
      <c r="T2181">
        <v>653.61</v>
      </c>
      <c r="U2181">
        <v>91</v>
      </c>
      <c r="V2181">
        <v>0</v>
      </c>
      <c r="W2181">
        <v>360.5</v>
      </c>
      <c r="X2181">
        <v>2024.95</v>
      </c>
      <c r="Y2181" t="s">
        <v>36</v>
      </c>
      <c r="Z2181" s="3">
        <v>1343.61</v>
      </c>
      <c r="AA2181" t="s">
        <v>46</v>
      </c>
      <c r="AB2181" t="s">
        <v>33</v>
      </c>
      <c r="AC2181">
        <v>62.5</v>
      </c>
      <c r="AD2181" t="s">
        <v>34</v>
      </c>
      <c r="AE2181">
        <v>2057.42</v>
      </c>
      <c r="AF2181">
        <v>0</v>
      </c>
    </row>
    <row r="2182" spans="3:32" x14ac:dyDescent="0.35">
      <c r="C2182" s="1">
        <v>44756</v>
      </c>
      <c r="D2182" s="2">
        <v>44743</v>
      </c>
      <c r="E2182">
        <v>1938</v>
      </c>
      <c r="F2182" s="3">
        <v>3410.99</v>
      </c>
      <c r="G2182" s="3">
        <v>1755.22</v>
      </c>
      <c r="H2182" s="3">
        <v>1655.77</v>
      </c>
      <c r="I2182" s="3">
        <v>0.51</v>
      </c>
      <c r="J2182">
        <v>0.13</v>
      </c>
      <c r="K2182">
        <v>3381.34</v>
      </c>
      <c r="L2182" t="s">
        <v>39</v>
      </c>
      <c r="M2182">
        <v>780</v>
      </c>
      <c r="N2182">
        <v>0.1</v>
      </c>
      <c r="O2182" s="3">
        <v>211.96</v>
      </c>
      <c r="P2182" s="3">
        <v>0.06</v>
      </c>
      <c r="Q2182" s="3">
        <v>495.09</v>
      </c>
      <c r="R2182" s="3">
        <v>0.15</v>
      </c>
      <c r="S2182">
        <v>3</v>
      </c>
      <c r="T2182">
        <v>621.89</v>
      </c>
      <c r="U2182">
        <v>37</v>
      </c>
      <c r="V2182">
        <v>0</v>
      </c>
      <c r="W2182">
        <v>613.14</v>
      </c>
      <c r="X2182">
        <v>1206.58</v>
      </c>
      <c r="Y2182" t="s">
        <v>36</v>
      </c>
      <c r="Z2182" s="3">
        <v>1221.58</v>
      </c>
      <c r="AA2182" t="s">
        <v>40</v>
      </c>
      <c r="AB2182" t="s">
        <v>44</v>
      </c>
      <c r="AC2182">
        <v>62.8</v>
      </c>
      <c r="AD2182" t="s">
        <v>34</v>
      </c>
      <c r="AE2182">
        <v>1655.77</v>
      </c>
      <c r="AF2182">
        <v>0</v>
      </c>
    </row>
    <row r="2183" spans="3:32" x14ac:dyDescent="0.35">
      <c r="C2183" s="1">
        <v>44756</v>
      </c>
      <c r="D2183" s="2">
        <v>44743</v>
      </c>
      <c r="E2183">
        <v>1730</v>
      </c>
      <c r="F2183" s="3">
        <v>3818.92</v>
      </c>
      <c r="G2183" s="3">
        <v>3635.17</v>
      </c>
      <c r="H2183" s="3">
        <v>183.75</v>
      </c>
      <c r="I2183" s="3">
        <v>0.95</v>
      </c>
      <c r="J2183">
        <v>0.26</v>
      </c>
      <c r="K2183">
        <v>3330.9</v>
      </c>
      <c r="L2183" t="s">
        <v>35</v>
      </c>
      <c r="M2183">
        <v>726</v>
      </c>
      <c r="N2183">
        <v>0.49</v>
      </c>
      <c r="O2183" s="3">
        <v>640.65</v>
      </c>
      <c r="P2183" s="3">
        <v>0.17</v>
      </c>
      <c r="Q2183" s="3">
        <v>381.22</v>
      </c>
      <c r="R2183" s="3">
        <v>0.1</v>
      </c>
      <c r="S2183">
        <v>5</v>
      </c>
      <c r="T2183">
        <v>1958.3</v>
      </c>
      <c r="U2183">
        <v>55</v>
      </c>
      <c r="V2183">
        <v>0</v>
      </c>
      <c r="W2183">
        <v>619.17999999999995</v>
      </c>
      <c r="X2183">
        <v>3534.5</v>
      </c>
      <c r="Y2183" t="s">
        <v>36</v>
      </c>
      <c r="Z2183" s="3">
        <v>1542.16</v>
      </c>
      <c r="AA2183" t="s">
        <v>51</v>
      </c>
      <c r="AB2183" t="s">
        <v>42</v>
      </c>
      <c r="AC2183">
        <v>85.3</v>
      </c>
      <c r="AD2183" t="s">
        <v>38</v>
      </c>
      <c r="AE2183">
        <v>183.75</v>
      </c>
      <c r="AF2183">
        <v>0</v>
      </c>
    </row>
    <row r="2184" spans="3:32" x14ac:dyDescent="0.35">
      <c r="C2184" s="1">
        <v>44756</v>
      </c>
      <c r="D2184" s="2">
        <v>44743</v>
      </c>
      <c r="E2184">
        <v>1557</v>
      </c>
      <c r="F2184" s="3">
        <v>2919.48</v>
      </c>
      <c r="G2184" s="3">
        <v>2922.42</v>
      </c>
      <c r="H2184" s="3">
        <v>-2.94</v>
      </c>
      <c r="I2184" s="3">
        <v>1</v>
      </c>
      <c r="J2184">
        <v>0.1</v>
      </c>
      <c r="K2184">
        <v>3109.74</v>
      </c>
      <c r="L2184" t="s">
        <v>35</v>
      </c>
      <c r="M2184">
        <v>657</v>
      </c>
      <c r="N2184">
        <v>0.13</v>
      </c>
      <c r="O2184" s="3">
        <v>556.99</v>
      </c>
      <c r="P2184" s="3">
        <v>0.19</v>
      </c>
      <c r="Q2184" s="3">
        <v>72.58</v>
      </c>
      <c r="R2184" s="3">
        <v>0.02</v>
      </c>
      <c r="S2184">
        <v>2</v>
      </c>
      <c r="T2184">
        <v>838.24</v>
      </c>
      <c r="U2184">
        <v>84</v>
      </c>
      <c r="V2184">
        <v>0</v>
      </c>
      <c r="W2184">
        <v>277.95999999999998</v>
      </c>
      <c r="X2184">
        <v>3019.35</v>
      </c>
      <c r="Y2184" t="s">
        <v>36</v>
      </c>
      <c r="Z2184" s="3">
        <v>994.71</v>
      </c>
      <c r="AA2184" t="s">
        <v>48</v>
      </c>
      <c r="AB2184" t="s">
        <v>33</v>
      </c>
      <c r="AC2184">
        <v>31.3</v>
      </c>
      <c r="AD2184" t="s">
        <v>43</v>
      </c>
      <c r="AE2184">
        <v>0</v>
      </c>
      <c r="AF2184">
        <v>0</v>
      </c>
    </row>
    <row r="2185" spans="3:32" x14ac:dyDescent="0.35">
      <c r="C2185" s="1">
        <v>44756</v>
      </c>
      <c r="D2185" s="2">
        <v>44743</v>
      </c>
      <c r="E2185">
        <v>1279</v>
      </c>
      <c r="F2185" s="3">
        <v>4214.7299999999996</v>
      </c>
      <c r="G2185" s="3">
        <v>2630.2</v>
      </c>
      <c r="H2185" s="3">
        <v>1584.53</v>
      </c>
      <c r="I2185" s="3">
        <v>0.62</v>
      </c>
      <c r="J2185">
        <v>0.35</v>
      </c>
      <c r="K2185">
        <v>3148.72</v>
      </c>
      <c r="L2185" t="s">
        <v>35</v>
      </c>
      <c r="M2185">
        <v>736</v>
      </c>
      <c r="N2185">
        <v>0.32</v>
      </c>
      <c r="O2185" s="3">
        <v>289.08999999999997</v>
      </c>
      <c r="P2185" s="3">
        <v>7.0000000000000007E-2</v>
      </c>
      <c r="Q2185" s="3">
        <v>257.43</v>
      </c>
      <c r="R2185" s="3">
        <v>0.06</v>
      </c>
      <c r="S2185">
        <v>8</v>
      </c>
      <c r="T2185">
        <v>782.28</v>
      </c>
      <c r="U2185">
        <v>37</v>
      </c>
      <c r="V2185">
        <v>0</v>
      </c>
      <c r="W2185">
        <v>728.23</v>
      </c>
      <c r="X2185">
        <v>2262.2800000000002</v>
      </c>
      <c r="Y2185" t="s">
        <v>36</v>
      </c>
      <c r="Z2185" s="3">
        <v>1473.49</v>
      </c>
      <c r="AA2185" t="s">
        <v>47</v>
      </c>
      <c r="AB2185" t="s">
        <v>33</v>
      </c>
      <c r="AC2185">
        <v>26.2</v>
      </c>
      <c r="AD2185" t="s">
        <v>43</v>
      </c>
      <c r="AE2185">
        <v>1584.53</v>
      </c>
      <c r="AF2185">
        <v>0</v>
      </c>
    </row>
    <row r="2186" spans="3:32" x14ac:dyDescent="0.35">
      <c r="C2186" s="1">
        <v>44756</v>
      </c>
      <c r="D2186" s="2">
        <v>44743</v>
      </c>
      <c r="E2186">
        <v>1770</v>
      </c>
      <c r="F2186" s="3">
        <v>4031.76</v>
      </c>
      <c r="G2186" s="3">
        <v>2825.62</v>
      </c>
      <c r="H2186" s="3">
        <v>1206.1400000000001</v>
      </c>
      <c r="I2186" s="3">
        <v>0.7</v>
      </c>
      <c r="J2186">
        <v>0.1</v>
      </c>
      <c r="K2186">
        <v>3122.18</v>
      </c>
      <c r="L2186" t="s">
        <v>35</v>
      </c>
      <c r="M2186">
        <v>690</v>
      </c>
      <c r="N2186">
        <v>0.14000000000000001</v>
      </c>
      <c r="O2186" s="3">
        <v>555.72</v>
      </c>
      <c r="P2186" s="3">
        <v>0.14000000000000001</v>
      </c>
      <c r="Q2186" s="3">
        <v>690.22</v>
      </c>
      <c r="R2186" s="3">
        <v>0.17</v>
      </c>
      <c r="S2186">
        <v>9</v>
      </c>
      <c r="T2186">
        <v>453.8</v>
      </c>
      <c r="U2186">
        <v>45</v>
      </c>
      <c r="V2186">
        <v>0</v>
      </c>
      <c r="W2186">
        <v>432.86</v>
      </c>
      <c r="X2186">
        <v>2346.52</v>
      </c>
      <c r="Y2186" t="s">
        <v>36</v>
      </c>
      <c r="Z2186" s="3">
        <v>1112.6199999999999</v>
      </c>
      <c r="AA2186" t="s">
        <v>51</v>
      </c>
      <c r="AB2186" t="s">
        <v>42</v>
      </c>
      <c r="AC2186">
        <v>46.7</v>
      </c>
      <c r="AD2186" t="s">
        <v>34</v>
      </c>
      <c r="AE2186">
        <v>1206.1400000000001</v>
      </c>
      <c r="AF2186">
        <v>0</v>
      </c>
    </row>
    <row r="2187" spans="3:32" x14ac:dyDescent="0.35">
      <c r="C2187" s="1">
        <v>44756</v>
      </c>
      <c r="D2187" s="2">
        <v>44743</v>
      </c>
      <c r="E2187">
        <v>1173</v>
      </c>
      <c r="F2187" s="3">
        <v>3508.02</v>
      </c>
      <c r="G2187" s="3">
        <v>3608.42</v>
      </c>
      <c r="H2187" s="3">
        <v>-100.4</v>
      </c>
      <c r="I2187" s="3">
        <v>1.03</v>
      </c>
      <c r="J2187">
        <v>0.24</v>
      </c>
      <c r="K2187">
        <v>2936.41</v>
      </c>
      <c r="L2187" t="s">
        <v>35</v>
      </c>
      <c r="M2187">
        <v>687</v>
      </c>
      <c r="N2187">
        <v>0.18</v>
      </c>
      <c r="O2187" s="3">
        <v>237.86</v>
      </c>
      <c r="P2187" s="3">
        <v>7.0000000000000007E-2</v>
      </c>
      <c r="Q2187" s="3">
        <v>265.16000000000003</v>
      </c>
      <c r="R2187" s="3">
        <v>0.08</v>
      </c>
      <c r="S2187">
        <v>5</v>
      </c>
      <c r="T2187">
        <v>206.29</v>
      </c>
      <c r="U2187">
        <v>32</v>
      </c>
      <c r="V2187">
        <v>0</v>
      </c>
      <c r="W2187">
        <v>502.46</v>
      </c>
      <c r="X2187">
        <v>3094.33</v>
      </c>
      <c r="Y2187" t="s">
        <v>36</v>
      </c>
      <c r="Z2187" s="3">
        <v>1143.7</v>
      </c>
      <c r="AA2187" t="s">
        <v>45</v>
      </c>
      <c r="AB2187" t="s">
        <v>33</v>
      </c>
      <c r="AC2187">
        <v>77.7</v>
      </c>
      <c r="AD2187" t="s">
        <v>38</v>
      </c>
      <c r="AE2187">
        <v>0</v>
      </c>
      <c r="AF2187">
        <v>0</v>
      </c>
    </row>
    <row r="2188" spans="3:32" x14ac:dyDescent="0.35">
      <c r="C2188" s="1">
        <v>44756</v>
      </c>
      <c r="D2188" s="2">
        <v>44743</v>
      </c>
      <c r="E2188">
        <v>1764</v>
      </c>
      <c r="F2188" s="3">
        <v>4796.91</v>
      </c>
      <c r="G2188" s="3">
        <v>2050.75</v>
      </c>
      <c r="H2188" s="3">
        <v>2746.16</v>
      </c>
      <c r="I2188" s="3">
        <v>0.43</v>
      </c>
      <c r="J2188">
        <v>0.17</v>
      </c>
      <c r="K2188">
        <v>2328.15</v>
      </c>
      <c r="L2188" t="s">
        <v>39</v>
      </c>
      <c r="M2188">
        <v>674</v>
      </c>
      <c r="N2188">
        <v>0.45</v>
      </c>
      <c r="O2188" s="3">
        <v>399.45</v>
      </c>
      <c r="P2188" s="3">
        <v>0.08</v>
      </c>
      <c r="Q2188" s="3">
        <v>538.89</v>
      </c>
      <c r="R2188" s="3">
        <v>0.11</v>
      </c>
      <c r="S2188">
        <v>2</v>
      </c>
      <c r="T2188">
        <v>610.58000000000004</v>
      </c>
      <c r="U2188">
        <v>36</v>
      </c>
      <c r="V2188">
        <v>0</v>
      </c>
      <c r="W2188">
        <v>627.72</v>
      </c>
      <c r="X2188">
        <v>2213.04</v>
      </c>
      <c r="Y2188" t="s">
        <v>36</v>
      </c>
      <c r="Z2188" s="3">
        <v>1986.16</v>
      </c>
      <c r="AA2188" t="s">
        <v>41</v>
      </c>
      <c r="AB2188" t="s">
        <v>33</v>
      </c>
      <c r="AC2188">
        <v>58.1</v>
      </c>
      <c r="AD2188" t="s">
        <v>43</v>
      </c>
      <c r="AE2188">
        <v>2746.16</v>
      </c>
      <c r="AF2188">
        <v>1</v>
      </c>
    </row>
    <row r="2189" spans="3:32" x14ac:dyDescent="0.35">
      <c r="C2189" s="1">
        <v>44756</v>
      </c>
      <c r="D2189" s="2">
        <v>44743</v>
      </c>
      <c r="E2189">
        <v>1975</v>
      </c>
      <c r="F2189" s="3">
        <v>3506.1</v>
      </c>
      <c r="G2189" s="3">
        <v>1785.56</v>
      </c>
      <c r="H2189" s="3">
        <v>1720.54</v>
      </c>
      <c r="I2189" s="3">
        <v>0.51</v>
      </c>
      <c r="J2189">
        <v>0.31</v>
      </c>
      <c r="K2189">
        <v>3100.33</v>
      </c>
      <c r="L2189" t="s">
        <v>30</v>
      </c>
      <c r="M2189">
        <v>643</v>
      </c>
      <c r="N2189">
        <v>0.34</v>
      </c>
      <c r="O2189" s="3">
        <v>481</v>
      </c>
      <c r="P2189" s="3">
        <v>0.14000000000000001</v>
      </c>
      <c r="Q2189" s="3">
        <v>292.54000000000002</v>
      </c>
      <c r="R2189" s="3">
        <v>0.08</v>
      </c>
      <c r="S2189">
        <v>8</v>
      </c>
      <c r="T2189">
        <v>1186.76</v>
      </c>
      <c r="U2189">
        <v>28</v>
      </c>
      <c r="V2189">
        <v>0</v>
      </c>
      <c r="W2189">
        <v>876.53</v>
      </c>
      <c r="X2189">
        <v>3021.2</v>
      </c>
      <c r="Y2189" t="s">
        <v>36</v>
      </c>
      <c r="Z2189" s="3">
        <v>1451.27</v>
      </c>
      <c r="AA2189" t="s">
        <v>40</v>
      </c>
      <c r="AB2189" t="s">
        <v>33</v>
      </c>
      <c r="AC2189">
        <v>73.5</v>
      </c>
      <c r="AD2189" t="s">
        <v>34</v>
      </c>
      <c r="AE2189">
        <v>1720.54</v>
      </c>
      <c r="AF2189">
        <v>0</v>
      </c>
    </row>
    <row r="2190" spans="3:32" x14ac:dyDescent="0.35">
      <c r="C2190" s="1">
        <v>44756</v>
      </c>
      <c r="D2190" s="2">
        <v>44743</v>
      </c>
      <c r="E2190">
        <v>1202</v>
      </c>
      <c r="F2190" s="3">
        <v>5149.0600000000004</v>
      </c>
      <c r="G2190" s="3">
        <v>2468.15</v>
      </c>
      <c r="H2190" s="3">
        <v>2680.91</v>
      </c>
      <c r="I2190" s="3">
        <v>0.48</v>
      </c>
      <c r="J2190">
        <v>0.28999999999999998</v>
      </c>
      <c r="K2190">
        <v>3702.48</v>
      </c>
      <c r="L2190" t="s">
        <v>35</v>
      </c>
      <c r="M2190">
        <v>642</v>
      </c>
      <c r="N2190">
        <v>0.22</v>
      </c>
      <c r="O2190" s="3">
        <v>194.01</v>
      </c>
      <c r="P2190" s="3">
        <v>0.04</v>
      </c>
      <c r="Q2190" s="3">
        <v>572.51</v>
      </c>
      <c r="R2190" s="3">
        <v>0.11</v>
      </c>
      <c r="S2190">
        <v>3</v>
      </c>
      <c r="T2190">
        <v>1474.59</v>
      </c>
      <c r="U2190">
        <v>66</v>
      </c>
      <c r="V2190">
        <v>0</v>
      </c>
      <c r="W2190">
        <v>599.05999999999995</v>
      </c>
      <c r="X2190">
        <v>2590.4699999999998</v>
      </c>
      <c r="Y2190" t="s">
        <v>49</v>
      </c>
      <c r="Z2190" s="3">
        <v>770.55</v>
      </c>
      <c r="AA2190" t="s">
        <v>51</v>
      </c>
      <c r="AB2190" t="s">
        <v>42</v>
      </c>
      <c r="AC2190">
        <v>62.8</v>
      </c>
      <c r="AD2190" t="s">
        <v>43</v>
      </c>
      <c r="AE2190">
        <v>2680.91</v>
      </c>
      <c r="AF2190">
        <v>0</v>
      </c>
    </row>
    <row r="2191" spans="3:32" x14ac:dyDescent="0.35">
      <c r="C2191" s="1">
        <v>44756</v>
      </c>
      <c r="D2191" s="2">
        <v>44743</v>
      </c>
      <c r="E2191">
        <v>1566</v>
      </c>
      <c r="F2191" s="3">
        <v>3684.26</v>
      </c>
      <c r="G2191" s="3">
        <v>4741.72</v>
      </c>
      <c r="H2191" s="3">
        <v>-1057.46</v>
      </c>
      <c r="I2191" s="3">
        <v>1.29</v>
      </c>
      <c r="J2191">
        <v>0.2</v>
      </c>
      <c r="K2191">
        <v>1949.74</v>
      </c>
      <c r="L2191" t="s">
        <v>35</v>
      </c>
      <c r="M2191">
        <v>673</v>
      </c>
      <c r="N2191">
        <v>0.3</v>
      </c>
      <c r="O2191" s="3">
        <v>146.32</v>
      </c>
      <c r="P2191" s="3">
        <v>0.04</v>
      </c>
      <c r="Q2191" s="3">
        <v>94.38</v>
      </c>
      <c r="R2191" s="3">
        <v>0.03</v>
      </c>
      <c r="S2191">
        <v>9</v>
      </c>
      <c r="T2191">
        <v>843.4</v>
      </c>
      <c r="U2191">
        <v>60</v>
      </c>
      <c r="V2191">
        <v>0</v>
      </c>
      <c r="W2191">
        <v>498.44</v>
      </c>
      <c r="X2191">
        <v>2632.08</v>
      </c>
      <c r="Y2191" t="s">
        <v>36</v>
      </c>
      <c r="Z2191" s="3">
        <v>933.22</v>
      </c>
      <c r="AA2191" t="s">
        <v>32</v>
      </c>
      <c r="AB2191" t="s">
        <v>33</v>
      </c>
      <c r="AC2191">
        <v>56.5</v>
      </c>
      <c r="AD2191" t="s">
        <v>34</v>
      </c>
      <c r="AE2191">
        <v>0</v>
      </c>
      <c r="AF2191">
        <v>0</v>
      </c>
    </row>
    <row r="2192" spans="3:32" x14ac:dyDescent="0.35">
      <c r="C2192" s="1">
        <v>44756</v>
      </c>
      <c r="D2192" s="2">
        <v>44743</v>
      </c>
      <c r="E2192">
        <v>1088</v>
      </c>
      <c r="F2192" s="3">
        <v>5067.08</v>
      </c>
      <c r="G2192" s="3">
        <v>3680.16</v>
      </c>
      <c r="H2192" s="3">
        <v>1386.92</v>
      </c>
      <c r="I2192" s="3">
        <v>0.73</v>
      </c>
      <c r="J2192">
        <v>0.09</v>
      </c>
      <c r="K2192">
        <v>2633.27</v>
      </c>
      <c r="L2192" t="s">
        <v>39</v>
      </c>
      <c r="M2192">
        <v>737</v>
      </c>
      <c r="N2192">
        <v>0.51</v>
      </c>
      <c r="O2192" s="3">
        <v>450.41</v>
      </c>
      <c r="P2192" s="3">
        <v>0.09</v>
      </c>
      <c r="Q2192" s="3">
        <v>165.89</v>
      </c>
      <c r="R2192" s="3">
        <v>0.03</v>
      </c>
      <c r="S2192">
        <v>2</v>
      </c>
      <c r="T2192">
        <v>389.59</v>
      </c>
      <c r="U2192">
        <v>83</v>
      </c>
      <c r="V2192">
        <v>0</v>
      </c>
      <c r="W2192">
        <v>451.16</v>
      </c>
      <c r="X2192">
        <v>2501.6</v>
      </c>
      <c r="Y2192" t="s">
        <v>36</v>
      </c>
      <c r="Z2192" s="3">
        <v>808.6</v>
      </c>
      <c r="AA2192" t="s">
        <v>45</v>
      </c>
      <c r="AB2192" t="s">
        <v>33</v>
      </c>
      <c r="AC2192">
        <v>4.0999999999999996</v>
      </c>
      <c r="AD2192" t="s">
        <v>43</v>
      </c>
      <c r="AE2192">
        <v>1386.92</v>
      </c>
      <c r="AF2192">
        <v>0</v>
      </c>
    </row>
    <row r="2193" spans="3:32" x14ac:dyDescent="0.35">
      <c r="C2193" s="1">
        <v>44756</v>
      </c>
      <c r="D2193" s="2">
        <v>44743</v>
      </c>
      <c r="E2193">
        <v>1427</v>
      </c>
      <c r="F2193" s="3">
        <v>3410.52</v>
      </c>
      <c r="G2193" s="3">
        <v>2290.39</v>
      </c>
      <c r="H2193" s="3">
        <v>1120.1300000000001</v>
      </c>
      <c r="I2193" s="3">
        <v>0.67</v>
      </c>
      <c r="J2193">
        <v>0.09</v>
      </c>
      <c r="K2193">
        <v>2518.6</v>
      </c>
      <c r="L2193" t="s">
        <v>39</v>
      </c>
      <c r="M2193">
        <v>753</v>
      </c>
      <c r="N2193">
        <v>0.52</v>
      </c>
      <c r="O2193" s="3">
        <v>730.3</v>
      </c>
      <c r="P2193" s="3">
        <v>0.21</v>
      </c>
      <c r="Q2193" s="3">
        <v>591.32000000000005</v>
      </c>
      <c r="R2193" s="3">
        <v>0.17</v>
      </c>
      <c r="S2193">
        <v>8</v>
      </c>
      <c r="T2193">
        <v>621.05999999999995</v>
      </c>
      <c r="U2193">
        <v>53</v>
      </c>
      <c r="V2193">
        <v>0</v>
      </c>
      <c r="W2193">
        <v>548.66999999999996</v>
      </c>
      <c r="X2193">
        <v>1116.46</v>
      </c>
      <c r="Y2193" t="s">
        <v>36</v>
      </c>
      <c r="Z2193" s="3">
        <v>944.59</v>
      </c>
      <c r="AA2193" t="s">
        <v>41</v>
      </c>
      <c r="AB2193" t="s">
        <v>33</v>
      </c>
      <c r="AC2193">
        <v>80.900000000000006</v>
      </c>
      <c r="AD2193" t="s">
        <v>43</v>
      </c>
      <c r="AE2193">
        <v>1120.1300000000001</v>
      </c>
      <c r="AF2193">
        <v>0</v>
      </c>
    </row>
    <row r="2194" spans="3:32" x14ac:dyDescent="0.35">
      <c r="C2194" s="1">
        <v>44756</v>
      </c>
      <c r="D2194" s="2">
        <v>44743</v>
      </c>
      <c r="E2194">
        <v>1177</v>
      </c>
      <c r="F2194" s="3">
        <v>4176.62</v>
      </c>
      <c r="G2194" s="3">
        <v>3215.97</v>
      </c>
      <c r="H2194" s="3">
        <v>960.65</v>
      </c>
      <c r="I2194" s="3">
        <v>0.77</v>
      </c>
      <c r="J2194">
        <v>0.21</v>
      </c>
      <c r="K2194">
        <v>2350.36</v>
      </c>
      <c r="L2194" t="s">
        <v>30</v>
      </c>
      <c r="M2194">
        <v>792</v>
      </c>
      <c r="N2194">
        <v>0.56000000000000005</v>
      </c>
      <c r="O2194" s="3">
        <v>473.08</v>
      </c>
      <c r="P2194" s="3">
        <v>0.11</v>
      </c>
      <c r="Q2194" s="3">
        <v>0</v>
      </c>
      <c r="R2194" s="3">
        <v>0</v>
      </c>
      <c r="S2194">
        <v>9</v>
      </c>
      <c r="T2194">
        <v>1132.6300000000001</v>
      </c>
      <c r="U2194">
        <v>29</v>
      </c>
      <c r="V2194">
        <v>1</v>
      </c>
      <c r="W2194">
        <v>412.53</v>
      </c>
      <c r="X2194">
        <v>2369.3000000000002</v>
      </c>
      <c r="Y2194" t="s">
        <v>36</v>
      </c>
      <c r="Z2194" s="3">
        <v>1213.03</v>
      </c>
      <c r="AA2194" t="s">
        <v>45</v>
      </c>
      <c r="AB2194" t="s">
        <v>33</v>
      </c>
      <c r="AC2194">
        <v>98.1</v>
      </c>
      <c r="AD2194" t="s">
        <v>38</v>
      </c>
      <c r="AE2194">
        <v>960.65</v>
      </c>
      <c r="AF2194">
        <v>0</v>
      </c>
    </row>
    <row r="2195" spans="3:32" x14ac:dyDescent="0.35">
      <c r="C2195" s="1">
        <v>44756</v>
      </c>
      <c r="D2195" s="2">
        <v>44743</v>
      </c>
      <c r="E2195">
        <v>1325</v>
      </c>
      <c r="F2195" s="3">
        <v>5191.6400000000003</v>
      </c>
      <c r="G2195" s="3">
        <v>3392.09</v>
      </c>
      <c r="H2195" s="3">
        <v>1799.55</v>
      </c>
      <c r="I2195" s="3">
        <v>0.65</v>
      </c>
      <c r="J2195">
        <v>0.37</v>
      </c>
      <c r="K2195">
        <v>3237.67</v>
      </c>
      <c r="L2195" t="s">
        <v>35</v>
      </c>
      <c r="M2195">
        <v>661</v>
      </c>
      <c r="N2195">
        <v>0.22</v>
      </c>
      <c r="O2195" s="3">
        <v>600.41999999999996</v>
      </c>
      <c r="P2195" s="3">
        <v>0.12</v>
      </c>
      <c r="Q2195" s="3">
        <v>0</v>
      </c>
      <c r="R2195" s="3">
        <v>0</v>
      </c>
      <c r="S2195">
        <v>6</v>
      </c>
      <c r="T2195">
        <v>1124.8399999999999</v>
      </c>
      <c r="U2195">
        <v>36</v>
      </c>
      <c r="V2195">
        <v>0</v>
      </c>
      <c r="W2195">
        <v>470.56</v>
      </c>
      <c r="X2195">
        <v>2666.06</v>
      </c>
      <c r="Y2195" t="s">
        <v>36</v>
      </c>
      <c r="Z2195" s="3">
        <v>764.61</v>
      </c>
      <c r="AA2195" t="s">
        <v>46</v>
      </c>
      <c r="AB2195" t="s">
        <v>42</v>
      </c>
      <c r="AC2195">
        <v>25.9</v>
      </c>
      <c r="AD2195" t="s">
        <v>38</v>
      </c>
      <c r="AE2195">
        <v>1799.55</v>
      </c>
      <c r="AF2195">
        <v>0</v>
      </c>
    </row>
    <row r="2196" spans="3:32" x14ac:dyDescent="0.35">
      <c r="C2196" s="1">
        <v>44756</v>
      </c>
      <c r="D2196" s="2">
        <v>44743</v>
      </c>
      <c r="E2196">
        <v>1498</v>
      </c>
      <c r="F2196" s="3">
        <v>4990.51</v>
      </c>
      <c r="G2196" s="3">
        <v>1485.77</v>
      </c>
      <c r="H2196" s="3">
        <v>3504.74</v>
      </c>
      <c r="I2196" s="3">
        <v>0.3</v>
      </c>
      <c r="J2196">
        <v>0.22</v>
      </c>
      <c r="K2196">
        <v>2862.51</v>
      </c>
      <c r="L2196" t="s">
        <v>35</v>
      </c>
      <c r="M2196">
        <v>746</v>
      </c>
      <c r="N2196">
        <v>0.44</v>
      </c>
      <c r="O2196" s="3">
        <v>721.56</v>
      </c>
      <c r="P2196" s="3">
        <v>0.14000000000000001</v>
      </c>
      <c r="Q2196" s="3">
        <v>370.61</v>
      </c>
      <c r="R2196" s="3">
        <v>7.0000000000000007E-2</v>
      </c>
      <c r="S2196">
        <v>6</v>
      </c>
      <c r="T2196">
        <v>1200.48</v>
      </c>
      <c r="U2196">
        <v>51</v>
      </c>
      <c r="V2196">
        <v>0</v>
      </c>
      <c r="W2196">
        <v>461.23</v>
      </c>
      <c r="X2196">
        <v>2265.71</v>
      </c>
      <c r="Y2196" t="s">
        <v>31</v>
      </c>
      <c r="Z2196" s="3">
        <v>1121.1400000000001</v>
      </c>
      <c r="AA2196" t="s">
        <v>48</v>
      </c>
      <c r="AB2196" t="s">
        <v>33</v>
      </c>
      <c r="AC2196">
        <v>9.9</v>
      </c>
      <c r="AD2196" t="s">
        <v>43</v>
      </c>
      <c r="AE2196">
        <v>3504.74</v>
      </c>
      <c r="AF2196">
        <v>1</v>
      </c>
    </row>
    <row r="2197" spans="3:32" x14ac:dyDescent="0.35">
      <c r="C2197" s="1">
        <v>44756</v>
      </c>
      <c r="D2197" s="2">
        <v>44743</v>
      </c>
      <c r="E2197">
        <v>1703</v>
      </c>
      <c r="F2197" s="3">
        <v>4530.16</v>
      </c>
      <c r="G2197" s="3">
        <v>2588.87</v>
      </c>
      <c r="H2197" s="3">
        <v>1941.29</v>
      </c>
      <c r="I2197" s="3">
        <v>0.56999999999999995</v>
      </c>
      <c r="J2197">
        <v>0.08</v>
      </c>
      <c r="K2197">
        <v>3093.13</v>
      </c>
      <c r="L2197" t="s">
        <v>35</v>
      </c>
      <c r="M2197">
        <v>758</v>
      </c>
      <c r="N2197">
        <v>0.38</v>
      </c>
      <c r="O2197" s="3">
        <v>799.1</v>
      </c>
      <c r="P2197" s="3">
        <v>0.18</v>
      </c>
      <c r="Q2197" s="3">
        <v>570.77</v>
      </c>
      <c r="R2197" s="3">
        <v>0.13</v>
      </c>
      <c r="S2197">
        <v>3</v>
      </c>
      <c r="T2197">
        <v>1041.48</v>
      </c>
      <c r="U2197">
        <v>70</v>
      </c>
      <c r="V2197">
        <v>0</v>
      </c>
      <c r="W2197">
        <v>772.5</v>
      </c>
      <c r="X2197">
        <v>1455.77</v>
      </c>
      <c r="Y2197" t="s">
        <v>31</v>
      </c>
      <c r="Z2197" s="3">
        <v>1026.23</v>
      </c>
      <c r="AA2197" t="s">
        <v>45</v>
      </c>
      <c r="AB2197" t="s">
        <v>42</v>
      </c>
      <c r="AC2197">
        <v>50.2</v>
      </c>
      <c r="AD2197" t="s">
        <v>34</v>
      </c>
      <c r="AE2197">
        <v>1941.29</v>
      </c>
      <c r="AF2197">
        <v>0</v>
      </c>
    </row>
    <row r="2198" spans="3:32" x14ac:dyDescent="0.35">
      <c r="C2198" s="1">
        <v>44756</v>
      </c>
      <c r="D2198" s="2">
        <v>44743</v>
      </c>
      <c r="E2198">
        <v>1678</v>
      </c>
      <c r="F2198" s="3">
        <v>2367.41</v>
      </c>
      <c r="G2198" s="3">
        <v>2366.94</v>
      </c>
      <c r="H2198" s="3">
        <v>0.47</v>
      </c>
      <c r="I2198" s="3">
        <v>1</v>
      </c>
      <c r="J2198">
        <v>0.27</v>
      </c>
      <c r="K2198">
        <v>2532.2800000000002</v>
      </c>
      <c r="L2198" t="s">
        <v>35</v>
      </c>
      <c r="M2198">
        <v>668</v>
      </c>
      <c r="N2198">
        <v>0.22</v>
      </c>
      <c r="O2198" s="3">
        <v>669.72</v>
      </c>
      <c r="P2198" s="3">
        <v>0.28000000000000003</v>
      </c>
      <c r="Q2198" s="3">
        <v>485.37</v>
      </c>
      <c r="R2198" s="3">
        <v>0.21</v>
      </c>
      <c r="S2198">
        <v>7</v>
      </c>
      <c r="T2198">
        <v>196.47</v>
      </c>
      <c r="U2198">
        <v>55</v>
      </c>
      <c r="V2198">
        <v>1</v>
      </c>
      <c r="W2198">
        <v>412.89</v>
      </c>
      <c r="X2198">
        <v>1121.21</v>
      </c>
      <c r="Y2198" t="s">
        <v>36</v>
      </c>
      <c r="Z2198" s="3">
        <v>1331.47</v>
      </c>
      <c r="AA2198" t="s">
        <v>47</v>
      </c>
      <c r="AB2198" t="s">
        <v>33</v>
      </c>
      <c r="AC2198">
        <v>80.099999999999994</v>
      </c>
      <c r="AD2198" t="s">
        <v>34</v>
      </c>
      <c r="AE2198">
        <v>0.47</v>
      </c>
      <c r="AF2198">
        <v>0</v>
      </c>
    </row>
    <row r="2199" spans="3:32" x14ac:dyDescent="0.35">
      <c r="C2199" s="1">
        <v>44756</v>
      </c>
      <c r="D2199" s="2">
        <v>44743</v>
      </c>
      <c r="E2199">
        <v>1704</v>
      </c>
      <c r="F2199" s="3">
        <v>3737.92</v>
      </c>
      <c r="G2199" s="3">
        <v>2977.82</v>
      </c>
      <c r="H2199" s="3">
        <v>760.1</v>
      </c>
      <c r="I2199" s="3">
        <v>0.8</v>
      </c>
      <c r="J2199">
        <v>0.33</v>
      </c>
      <c r="K2199">
        <v>4194.51</v>
      </c>
      <c r="L2199" t="s">
        <v>39</v>
      </c>
      <c r="M2199">
        <v>773</v>
      </c>
      <c r="N2199">
        <v>0.57999999999999996</v>
      </c>
      <c r="O2199" s="3">
        <v>300.87</v>
      </c>
      <c r="P2199" s="3">
        <v>0.08</v>
      </c>
      <c r="Q2199" s="3">
        <v>0</v>
      </c>
      <c r="R2199" s="3">
        <v>0</v>
      </c>
      <c r="S2199">
        <v>3</v>
      </c>
      <c r="T2199">
        <v>653.66999999999996</v>
      </c>
      <c r="U2199">
        <v>63</v>
      </c>
      <c r="V2199">
        <v>0</v>
      </c>
      <c r="W2199">
        <v>635.26</v>
      </c>
      <c r="X2199">
        <v>2365.06</v>
      </c>
      <c r="Y2199" t="s">
        <v>36</v>
      </c>
      <c r="Z2199" s="3">
        <v>1040.5899999999999</v>
      </c>
      <c r="AA2199" t="s">
        <v>46</v>
      </c>
      <c r="AB2199" t="s">
        <v>42</v>
      </c>
      <c r="AC2199">
        <v>38.799999999999997</v>
      </c>
      <c r="AD2199" t="s">
        <v>34</v>
      </c>
      <c r="AE2199">
        <v>760.1</v>
      </c>
      <c r="AF2199">
        <v>0</v>
      </c>
    </row>
    <row r="2200" spans="3:32" x14ac:dyDescent="0.35">
      <c r="C2200" s="1">
        <v>44756</v>
      </c>
      <c r="D2200" s="2">
        <v>44743</v>
      </c>
      <c r="E2200">
        <v>1565</v>
      </c>
      <c r="F2200" s="3">
        <v>4891.76</v>
      </c>
      <c r="G2200" s="3">
        <v>3210.39</v>
      </c>
      <c r="H2200" s="3">
        <v>1681.37</v>
      </c>
      <c r="I2200" s="3">
        <v>0.66</v>
      </c>
      <c r="J2200">
        <v>0.28000000000000003</v>
      </c>
      <c r="K2200">
        <v>1825.61</v>
      </c>
      <c r="L2200" t="s">
        <v>39</v>
      </c>
      <c r="M2200">
        <v>643</v>
      </c>
      <c r="N2200">
        <v>0.17</v>
      </c>
      <c r="O2200" s="3">
        <v>608.48</v>
      </c>
      <c r="P2200" s="3">
        <v>0.12</v>
      </c>
      <c r="Q2200" s="3">
        <v>0</v>
      </c>
      <c r="R2200" s="3">
        <v>0</v>
      </c>
      <c r="S2200">
        <v>8</v>
      </c>
      <c r="T2200">
        <v>1564.69</v>
      </c>
      <c r="U2200">
        <v>99</v>
      </c>
      <c r="V2200">
        <v>0</v>
      </c>
      <c r="W2200">
        <v>355.87</v>
      </c>
      <c r="X2200">
        <v>2069.3200000000002</v>
      </c>
      <c r="Y2200" t="s">
        <v>36</v>
      </c>
      <c r="Z2200" s="3">
        <v>1728.01</v>
      </c>
      <c r="AA2200" t="s">
        <v>32</v>
      </c>
      <c r="AB2200" t="s">
        <v>33</v>
      </c>
      <c r="AC2200">
        <v>33.700000000000003</v>
      </c>
      <c r="AD2200" t="s">
        <v>34</v>
      </c>
      <c r="AE2200">
        <v>1681.37</v>
      </c>
      <c r="AF2200">
        <v>0</v>
      </c>
    </row>
    <row r="2201" spans="3:32" x14ac:dyDescent="0.35">
      <c r="C2201" s="1">
        <v>44756</v>
      </c>
      <c r="D2201" s="2">
        <v>44743</v>
      </c>
      <c r="E2201">
        <v>1047</v>
      </c>
      <c r="F2201" s="3">
        <v>3530.64</v>
      </c>
      <c r="G2201" s="3">
        <v>2391.7800000000002</v>
      </c>
      <c r="H2201" s="3">
        <v>1138.8599999999999</v>
      </c>
      <c r="I2201" s="3">
        <v>0.68</v>
      </c>
      <c r="J2201">
        <v>0.39</v>
      </c>
      <c r="K2201">
        <v>3044.65</v>
      </c>
      <c r="L2201" t="s">
        <v>39</v>
      </c>
      <c r="M2201">
        <v>706</v>
      </c>
      <c r="N2201">
        <v>0.17</v>
      </c>
      <c r="O2201" s="3">
        <v>278.87</v>
      </c>
      <c r="P2201" s="3">
        <v>0.08</v>
      </c>
      <c r="Q2201" s="3">
        <v>154.1</v>
      </c>
      <c r="R2201" s="3">
        <v>0.04</v>
      </c>
      <c r="S2201">
        <v>8</v>
      </c>
      <c r="T2201">
        <v>1476.66</v>
      </c>
      <c r="U2201">
        <v>30</v>
      </c>
      <c r="V2201">
        <v>0</v>
      </c>
      <c r="W2201">
        <v>557.45000000000005</v>
      </c>
      <c r="X2201">
        <v>1014.29</v>
      </c>
      <c r="Y2201" t="s">
        <v>36</v>
      </c>
      <c r="Z2201" s="3">
        <v>803.78</v>
      </c>
      <c r="AA2201" t="s">
        <v>51</v>
      </c>
      <c r="AB2201" t="s">
        <v>33</v>
      </c>
      <c r="AC2201">
        <v>10.8</v>
      </c>
      <c r="AD2201" t="s">
        <v>43</v>
      </c>
      <c r="AE2201">
        <v>1138.8599999999999</v>
      </c>
      <c r="AF2201">
        <v>0</v>
      </c>
    </row>
    <row r="2202" spans="3:32" x14ac:dyDescent="0.35">
      <c r="C2202" s="1">
        <v>44786</v>
      </c>
      <c r="D2202" s="2">
        <v>44774</v>
      </c>
      <c r="E2202">
        <v>1756</v>
      </c>
      <c r="F2202" s="3">
        <v>4155.26</v>
      </c>
      <c r="G2202" s="3">
        <v>3157.23</v>
      </c>
      <c r="H2202" s="3">
        <v>998.03</v>
      </c>
      <c r="I2202" s="3">
        <v>0.76</v>
      </c>
      <c r="J2202">
        <v>0.17</v>
      </c>
      <c r="K2202">
        <v>2270.44</v>
      </c>
      <c r="L2202" t="s">
        <v>35</v>
      </c>
      <c r="M2202">
        <v>720</v>
      </c>
      <c r="N2202">
        <v>0.27</v>
      </c>
      <c r="O2202" s="3">
        <v>743.05</v>
      </c>
      <c r="P2202" s="3">
        <v>0.18</v>
      </c>
      <c r="Q2202" s="3">
        <v>245.03</v>
      </c>
      <c r="R2202" s="3">
        <v>0.06</v>
      </c>
      <c r="S2202">
        <v>2</v>
      </c>
      <c r="T2202">
        <v>1347.98</v>
      </c>
      <c r="U2202">
        <v>27</v>
      </c>
      <c r="V2202">
        <v>0</v>
      </c>
      <c r="W2202">
        <v>697.79</v>
      </c>
      <c r="X2202">
        <v>2778.93</v>
      </c>
      <c r="Y2202" t="s">
        <v>36</v>
      </c>
      <c r="Z2202" s="3">
        <v>1396.85</v>
      </c>
      <c r="AA2202" t="s">
        <v>37</v>
      </c>
      <c r="AB2202" t="s">
        <v>33</v>
      </c>
      <c r="AC2202">
        <v>11.9</v>
      </c>
      <c r="AD2202" t="s">
        <v>34</v>
      </c>
      <c r="AE2202">
        <v>998.03</v>
      </c>
      <c r="AF2202">
        <v>0</v>
      </c>
    </row>
    <row r="2203" spans="3:32" x14ac:dyDescent="0.35">
      <c r="C2203" s="1">
        <v>44786</v>
      </c>
      <c r="D2203" s="2">
        <v>44774</v>
      </c>
      <c r="E2203">
        <v>1063</v>
      </c>
      <c r="F2203" s="3">
        <v>4695.21</v>
      </c>
      <c r="G2203" s="3">
        <v>4526.43</v>
      </c>
      <c r="H2203" s="3">
        <v>168.78</v>
      </c>
      <c r="I2203" s="3">
        <v>0.96</v>
      </c>
      <c r="J2203">
        <v>0.2</v>
      </c>
      <c r="K2203">
        <v>2232.9299999999998</v>
      </c>
      <c r="L2203" t="s">
        <v>35</v>
      </c>
      <c r="M2203">
        <v>746</v>
      </c>
      <c r="N2203">
        <v>0.52</v>
      </c>
      <c r="O2203" s="3">
        <v>149.62</v>
      </c>
      <c r="P2203" s="3">
        <v>0.03</v>
      </c>
      <c r="Q2203" s="3">
        <v>1114.32</v>
      </c>
      <c r="R2203" s="3">
        <v>0.24</v>
      </c>
      <c r="S2203">
        <v>1</v>
      </c>
      <c r="T2203">
        <v>1174.05</v>
      </c>
      <c r="U2203">
        <v>86</v>
      </c>
      <c r="V2203">
        <v>0</v>
      </c>
      <c r="W2203">
        <v>721.25</v>
      </c>
      <c r="X2203">
        <v>1585.08</v>
      </c>
      <c r="Y2203" t="s">
        <v>36</v>
      </c>
      <c r="Z2203" s="3">
        <v>1277.5899999999999</v>
      </c>
      <c r="AA2203" t="s">
        <v>32</v>
      </c>
      <c r="AB2203" t="s">
        <v>33</v>
      </c>
      <c r="AC2203">
        <v>4.4000000000000004</v>
      </c>
      <c r="AD2203" t="s">
        <v>43</v>
      </c>
      <c r="AE2203">
        <v>168.78</v>
      </c>
      <c r="AF2203">
        <v>0</v>
      </c>
    </row>
    <row r="2204" spans="3:32" x14ac:dyDescent="0.35">
      <c r="C2204" s="1">
        <v>44786</v>
      </c>
      <c r="D2204" s="2">
        <v>44774</v>
      </c>
      <c r="E2204">
        <v>1491</v>
      </c>
      <c r="F2204" s="3">
        <v>3598.39</v>
      </c>
      <c r="G2204" s="3">
        <v>3003.42</v>
      </c>
      <c r="H2204" s="3">
        <v>594.97</v>
      </c>
      <c r="I2204" s="3">
        <v>0.83</v>
      </c>
      <c r="J2204">
        <v>0.14000000000000001</v>
      </c>
      <c r="K2204">
        <v>2793.03</v>
      </c>
      <c r="L2204" t="s">
        <v>35</v>
      </c>
      <c r="M2204">
        <v>652</v>
      </c>
      <c r="N2204">
        <v>0.5</v>
      </c>
      <c r="O2204" s="3">
        <v>594.12</v>
      </c>
      <c r="P2204" s="3">
        <v>0.17</v>
      </c>
      <c r="Q2204" s="3">
        <v>602.97</v>
      </c>
      <c r="R2204" s="3">
        <v>0.17</v>
      </c>
      <c r="S2204">
        <v>3</v>
      </c>
      <c r="T2204">
        <v>920.91</v>
      </c>
      <c r="U2204">
        <v>44</v>
      </c>
      <c r="V2204">
        <v>0</v>
      </c>
      <c r="W2204">
        <v>397.14</v>
      </c>
      <c r="X2204">
        <v>1625.5</v>
      </c>
      <c r="Y2204" t="s">
        <v>49</v>
      </c>
      <c r="Z2204" s="3">
        <v>1770.26</v>
      </c>
      <c r="AA2204" t="s">
        <v>40</v>
      </c>
      <c r="AB2204" t="s">
        <v>33</v>
      </c>
      <c r="AC2204">
        <v>50.4</v>
      </c>
      <c r="AD2204" t="s">
        <v>34</v>
      </c>
      <c r="AE2204">
        <v>594.97</v>
      </c>
      <c r="AF2204">
        <v>0</v>
      </c>
    </row>
    <row r="2205" spans="3:32" x14ac:dyDescent="0.35">
      <c r="C2205" s="1">
        <v>44786</v>
      </c>
      <c r="D2205" s="2">
        <v>44774</v>
      </c>
      <c r="E2205">
        <v>1260</v>
      </c>
      <c r="F2205" s="3">
        <v>4820.37</v>
      </c>
      <c r="G2205" s="3">
        <v>2712.34</v>
      </c>
      <c r="H2205" s="3">
        <v>2108.0300000000002</v>
      </c>
      <c r="I2205" s="3">
        <v>0.56000000000000005</v>
      </c>
      <c r="J2205">
        <v>7.0000000000000007E-2</v>
      </c>
      <c r="K2205">
        <v>2917.38</v>
      </c>
      <c r="L2205" t="s">
        <v>35</v>
      </c>
      <c r="M2205">
        <v>724</v>
      </c>
      <c r="N2205">
        <v>0.48</v>
      </c>
      <c r="O2205" s="3">
        <v>340.47</v>
      </c>
      <c r="P2205" s="3">
        <v>7.0000000000000007E-2</v>
      </c>
      <c r="Q2205" s="3">
        <v>221.39</v>
      </c>
      <c r="R2205" s="3">
        <v>0.05</v>
      </c>
      <c r="S2205">
        <v>8</v>
      </c>
      <c r="T2205">
        <v>1462.83</v>
      </c>
      <c r="U2205">
        <v>67</v>
      </c>
      <c r="V2205">
        <v>0</v>
      </c>
      <c r="W2205">
        <v>211.92</v>
      </c>
      <c r="X2205">
        <v>1714.96</v>
      </c>
      <c r="Y2205" t="s">
        <v>36</v>
      </c>
      <c r="Z2205" s="3">
        <v>1695.02</v>
      </c>
      <c r="AA2205" t="s">
        <v>40</v>
      </c>
      <c r="AB2205" t="s">
        <v>44</v>
      </c>
      <c r="AC2205">
        <v>77.2</v>
      </c>
      <c r="AD2205" t="s">
        <v>34</v>
      </c>
      <c r="AE2205">
        <v>2108.0300000000002</v>
      </c>
      <c r="AF2205">
        <v>0</v>
      </c>
    </row>
    <row r="2206" spans="3:32" x14ac:dyDescent="0.35">
      <c r="C2206" s="1">
        <v>44786</v>
      </c>
      <c r="D2206" s="2">
        <v>44774</v>
      </c>
      <c r="E2206">
        <v>1223</v>
      </c>
      <c r="F2206" s="3">
        <v>2990.7</v>
      </c>
      <c r="G2206" s="3">
        <v>1765.16</v>
      </c>
      <c r="H2206" s="3">
        <v>1225.54</v>
      </c>
      <c r="I2206" s="3">
        <v>0.59</v>
      </c>
      <c r="J2206">
        <v>0.19</v>
      </c>
      <c r="K2206">
        <v>2513.36</v>
      </c>
      <c r="L2206" t="s">
        <v>30</v>
      </c>
      <c r="M2206">
        <v>651</v>
      </c>
      <c r="N2206">
        <v>0.22</v>
      </c>
      <c r="O2206" s="3">
        <v>617.52</v>
      </c>
      <c r="P2206" s="3">
        <v>0.21</v>
      </c>
      <c r="Q2206" s="3">
        <v>816.62</v>
      </c>
      <c r="R2206" s="3">
        <v>0.27</v>
      </c>
      <c r="S2206">
        <v>3</v>
      </c>
      <c r="T2206">
        <v>1103.98</v>
      </c>
      <c r="U2206">
        <v>93</v>
      </c>
      <c r="V2206">
        <v>0</v>
      </c>
      <c r="W2206">
        <v>673.85</v>
      </c>
      <c r="X2206">
        <v>1965.37</v>
      </c>
      <c r="Y2206" t="s">
        <v>49</v>
      </c>
      <c r="Z2206" s="3">
        <v>420.06</v>
      </c>
      <c r="AA2206" t="s">
        <v>41</v>
      </c>
      <c r="AB2206" t="s">
        <v>44</v>
      </c>
      <c r="AC2206">
        <v>24</v>
      </c>
      <c r="AD2206" t="s">
        <v>43</v>
      </c>
      <c r="AE2206">
        <v>1225.54</v>
      </c>
      <c r="AF2206">
        <v>0</v>
      </c>
    </row>
    <row r="2207" spans="3:32" x14ac:dyDescent="0.35">
      <c r="C2207" s="1">
        <v>44786</v>
      </c>
      <c r="D2207" s="2">
        <v>44774</v>
      </c>
      <c r="E2207">
        <v>1714</v>
      </c>
      <c r="F2207" s="3">
        <v>3742.93</v>
      </c>
      <c r="G2207" s="3">
        <v>2513.37</v>
      </c>
      <c r="H2207" s="3">
        <v>1229.56</v>
      </c>
      <c r="I2207" s="3">
        <v>0.67</v>
      </c>
      <c r="J2207">
        <v>0.26</v>
      </c>
      <c r="K2207">
        <v>3179.15</v>
      </c>
      <c r="L2207" t="s">
        <v>30</v>
      </c>
      <c r="M2207">
        <v>643</v>
      </c>
      <c r="N2207">
        <v>0.52</v>
      </c>
      <c r="O2207" s="3">
        <v>318.37</v>
      </c>
      <c r="P2207" s="3">
        <v>0.09</v>
      </c>
      <c r="Q2207" s="3">
        <v>38.54</v>
      </c>
      <c r="R2207" s="3">
        <v>0.01</v>
      </c>
      <c r="S2207">
        <v>5</v>
      </c>
      <c r="T2207">
        <v>1347.49</v>
      </c>
      <c r="U2207">
        <v>70</v>
      </c>
      <c r="V2207">
        <v>1</v>
      </c>
      <c r="W2207">
        <v>893.09</v>
      </c>
      <c r="X2207">
        <v>1517.47</v>
      </c>
      <c r="Y2207" t="s">
        <v>31</v>
      </c>
      <c r="Z2207" s="3">
        <v>761.16</v>
      </c>
      <c r="AA2207" t="s">
        <v>51</v>
      </c>
      <c r="AB2207" t="s">
        <v>33</v>
      </c>
      <c r="AC2207">
        <v>84.8</v>
      </c>
      <c r="AD2207" t="s">
        <v>34</v>
      </c>
      <c r="AE2207">
        <v>1229.56</v>
      </c>
      <c r="AF2207">
        <v>0</v>
      </c>
    </row>
    <row r="2208" spans="3:32" x14ac:dyDescent="0.35">
      <c r="C2208" s="1">
        <v>44786</v>
      </c>
      <c r="D2208" s="2">
        <v>44774</v>
      </c>
      <c r="E2208">
        <v>1812</v>
      </c>
      <c r="F2208" s="3">
        <v>4345.8599999999997</v>
      </c>
      <c r="G2208" s="3">
        <v>4226.75</v>
      </c>
      <c r="H2208" s="3">
        <v>119.11</v>
      </c>
      <c r="I2208" s="3">
        <v>0.97</v>
      </c>
      <c r="J2208">
        <v>0.37</v>
      </c>
      <c r="K2208">
        <v>2943.24</v>
      </c>
      <c r="L2208" t="s">
        <v>39</v>
      </c>
      <c r="M2208">
        <v>666</v>
      </c>
      <c r="N2208">
        <v>0.45</v>
      </c>
      <c r="O2208" s="3">
        <v>648.88</v>
      </c>
      <c r="P2208" s="3">
        <v>0.15</v>
      </c>
      <c r="Q2208" s="3">
        <v>822.4</v>
      </c>
      <c r="R2208" s="3">
        <v>0.19</v>
      </c>
      <c r="S2208">
        <v>3</v>
      </c>
      <c r="T2208">
        <v>628.29999999999995</v>
      </c>
      <c r="U2208">
        <v>90</v>
      </c>
      <c r="V2208">
        <v>0</v>
      </c>
      <c r="W2208">
        <v>438.31</v>
      </c>
      <c r="X2208">
        <v>1893.08</v>
      </c>
      <c r="Y2208" t="s">
        <v>31</v>
      </c>
      <c r="Z2208" s="3">
        <v>657.1</v>
      </c>
      <c r="AA2208" t="s">
        <v>48</v>
      </c>
      <c r="AB2208" t="s">
        <v>33</v>
      </c>
      <c r="AC2208">
        <v>44.6</v>
      </c>
      <c r="AD2208" t="s">
        <v>34</v>
      </c>
      <c r="AE2208">
        <v>119.11</v>
      </c>
      <c r="AF2208">
        <v>0</v>
      </c>
    </row>
    <row r="2209" spans="3:32" x14ac:dyDescent="0.35">
      <c r="C2209" s="1">
        <v>44786</v>
      </c>
      <c r="D2209" s="2">
        <v>44774</v>
      </c>
      <c r="E2209">
        <v>1520</v>
      </c>
      <c r="F2209" s="3">
        <v>3658.63</v>
      </c>
      <c r="G2209" s="3">
        <v>2078.66</v>
      </c>
      <c r="H2209" s="3">
        <v>1579.97</v>
      </c>
      <c r="I2209" s="3">
        <v>0.56999999999999995</v>
      </c>
      <c r="J2209">
        <v>0.24</v>
      </c>
      <c r="K2209">
        <v>2830.27</v>
      </c>
      <c r="L2209" t="s">
        <v>35</v>
      </c>
      <c r="M2209">
        <v>756</v>
      </c>
      <c r="N2209">
        <v>0.46</v>
      </c>
      <c r="O2209" s="3">
        <v>295.20999999999998</v>
      </c>
      <c r="P2209" s="3">
        <v>0.08</v>
      </c>
      <c r="Q2209" s="3">
        <v>296.35000000000002</v>
      </c>
      <c r="R2209" s="3">
        <v>0.08</v>
      </c>
      <c r="S2209">
        <v>8</v>
      </c>
      <c r="T2209">
        <v>1023.08</v>
      </c>
      <c r="U2209">
        <v>84</v>
      </c>
      <c r="V2209">
        <v>0</v>
      </c>
      <c r="W2209">
        <v>637.29999999999995</v>
      </c>
      <c r="X2209">
        <v>2973.46</v>
      </c>
      <c r="Y2209" t="s">
        <v>49</v>
      </c>
      <c r="Z2209" s="3">
        <v>1312.88</v>
      </c>
      <c r="AA2209" t="s">
        <v>46</v>
      </c>
      <c r="AB2209" t="s">
        <v>42</v>
      </c>
      <c r="AC2209">
        <v>48.3</v>
      </c>
      <c r="AD2209" t="s">
        <v>34</v>
      </c>
      <c r="AE2209">
        <v>1579.97</v>
      </c>
      <c r="AF2209">
        <v>0</v>
      </c>
    </row>
    <row r="2210" spans="3:32" x14ac:dyDescent="0.35">
      <c r="C2210" s="1">
        <v>44786</v>
      </c>
      <c r="D2210" s="2">
        <v>44774</v>
      </c>
      <c r="E2210">
        <v>1910</v>
      </c>
      <c r="F2210" s="3">
        <v>3271.42</v>
      </c>
      <c r="G2210" s="3">
        <v>2694.31</v>
      </c>
      <c r="H2210" s="3">
        <v>577.11</v>
      </c>
      <c r="I2210" s="3">
        <v>0.82</v>
      </c>
      <c r="J2210">
        <v>0.3</v>
      </c>
      <c r="K2210">
        <v>2077.23</v>
      </c>
      <c r="L2210" t="s">
        <v>35</v>
      </c>
      <c r="M2210">
        <v>687</v>
      </c>
      <c r="N2210">
        <v>0.42</v>
      </c>
      <c r="O2210" s="3">
        <v>388.6</v>
      </c>
      <c r="P2210" s="3">
        <v>0.12</v>
      </c>
      <c r="Q2210" s="3">
        <v>612.66999999999996</v>
      </c>
      <c r="R2210" s="3">
        <v>0.19</v>
      </c>
      <c r="S2210">
        <v>2</v>
      </c>
      <c r="T2210">
        <v>1594.2</v>
      </c>
      <c r="U2210">
        <v>61</v>
      </c>
      <c r="V2210">
        <v>0</v>
      </c>
      <c r="W2210">
        <v>448.33</v>
      </c>
      <c r="X2210">
        <v>1374.72</v>
      </c>
      <c r="Y2210" t="s">
        <v>36</v>
      </c>
      <c r="Z2210" s="3">
        <v>1060.46</v>
      </c>
      <c r="AA2210" t="s">
        <v>50</v>
      </c>
      <c r="AB2210" t="s">
        <v>33</v>
      </c>
      <c r="AC2210">
        <v>2.9</v>
      </c>
      <c r="AD2210" t="s">
        <v>34</v>
      </c>
      <c r="AE2210">
        <v>577.11</v>
      </c>
      <c r="AF2210">
        <v>0</v>
      </c>
    </row>
    <row r="2211" spans="3:32" x14ac:dyDescent="0.35">
      <c r="C2211" s="1">
        <v>44786</v>
      </c>
      <c r="D2211" s="2">
        <v>44774</v>
      </c>
      <c r="E2211">
        <v>1572</v>
      </c>
      <c r="F2211" s="3">
        <v>3501.27</v>
      </c>
      <c r="G2211" s="3">
        <v>4486.83</v>
      </c>
      <c r="H2211" s="3">
        <v>-985.56</v>
      </c>
      <c r="I2211" s="3">
        <v>1.28</v>
      </c>
      <c r="J2211">
        <v>0.1</v>
      </c>
      <c r="K2211">
        <v>2648.14</v>
      </c>
      <c r="L2211" t="s">
        <v>39</v>
      </c>
      <c r="M2211">
        <v>711</v>
      </c>
      <c r="N2211">
        <v>0.5</v>
      </c>
      <c r="O2211" s="3">
        <v>71.92</v>
      </c>
      <c r="P2211" s="3">
        <v>0.02</v>
      </c>
      <c r="Q2211" s="3">
        <v>293.7</v>
      </c>
      <c r="R2211" s="3">
        <v>0.08</v>
      </c>
      <c r="S2211">
        <v>7</v>
      </c>
      <c r="T2211">
        <v>1870.16</v>
      </c>
      <c r="U2211">
        <v>92</v>
      </c>
      <c r="V2211">
        <v>0</v>
      </c>
      <c r="W2211">
        <v>496.29</v>
      </c>
      <c r="X2211">
        <v>3215.26</v>
      </c>
      <c r="Y2211" t="s">
        <v>36</v>
      </c>
      <c r="Z2211" s="3">
        <v>1676.58</v>
      </c>
      <c r="AA2211" t="s">
        <v>41</v>
      </c>
      <c r="AB2211" t="s">
        <v>33</v>
      </c>
      <c r="AC2211">
        <v>83.9</v>
      </c>
      <c r="AD2211" t="s">
        <v>34</v>
      </c>
      <c r="AE2211">
        <v>0</v>
      </c>
      <c r="AF2211">
        <v>0</v>
      </c>
    </row>
    <row r="2212" spans="3:32" x14ac:dyDescent="0.35">
      <c r="C2212" s="1">
        <v>44786</v>
      </c>
      <c r="D2212" s="2">
        <v>44774</v>
      </c>
      <c r="E2212">
        <v>1803</v>
      </c>
      <c r="F2212" s="3">
        <v>5842.25</v>
      </c>
      <c r="G2212" s="3">
        <v>2002.82</v>
      </c>
      <c r="H2212" s="3">
        <v>3839.43</v>
      </c>
      <c r="I2212" s="3">
        <v>0.34</v>
      </c>
      <c r="J2212">
        <v>0.08</v>
      </c>
      <c r="K2212">
        <v>2721.32</v>
      </c>
      <c r="L2212" t="s">
        <v>30</v>
      </c>
      <c r="M2212">
        <v>709</v>
      </c>
      <c r="N2212">
        <v>0.56999999999999995</v>
      </c>
      <c r="O2212" s="3">
        <v>341.44</v>
      </c>
      <c r="P2212" s="3">
        <v>0.06</v>
      </c>
      <c r="Q2212" s="3">
        <v>0</v>
      </c>
      <c r="R2212" s="3">
        <v>0</v>
      </c>
      <c r="S2212">
        <v>7</v>
      </c>
      <c r="T2212">
        <v>1072.42</v>
      </c>
      <c r="U2212">
        <v>55</v>
      </c>
      <c r="V2212">
        <v>0</v>
      </c>
      <c r="W2212">
        <v>363.81</v>
      </c>
      <c r="X2212">
        <v>1348.8</v>
      </c>
      <c r="Y2212" t="s">
        <v>36</v>
      </c>
      <c r="Z2212" s="3">
        <v>403.94</v>
      </c>
      <c r="AA2212" t="s">
        <v>50</v>
      </c>
      <c r="AB2212" t="s">
        <v>42</v>
      </c>
      <c r="AC2212">
        <v>70.2</v>
      </c>
      <c r="AD2212" t="s">
        <v>43</v>
      </c>
      <c r="AE2212">
        <v>3839.43</v>
      </c>
      <c r="AF2212">
        <v>1</v>
      </c>
    </row>
    <row r="2213" spans="3:32" x14ac:dyDescent="0.35">
      <c r="C2213" s="1">
        <v>44786</v>
      </c>
      <c r="D2213" s="2">
        <v>44774</v>
      </c>
      <c r="E2213">
        <v>1154</v>
      </c>
      <c r="F2213" s="3">
        <v>2949.03</v>
      </c>
      <c r="G2213" s="3">
        <v>2416.23</v>
      </c>
      <c r="H2213" s="3">
        <v>532.79999999999995</v>
      </c>
      <c r="I2213" s="3">
        <v>0.82</v>
      </c>
      <c r="J2213">
        <v>0.17</v>
      </c>
      <c r="K2213">
        <v>1932.28</v>
      </c>
      <c r="L2213" t="s">
        <v>35</v>
      </c>
      <c r="M2213">
        <v>664</v>
      </c>
      <c r="N2213">
        <v>0.46</v>
      </c>
      <c r="O2213" s="3">
        <v>656.97</v>
      </c>
      <c r="P2213" s="3">
        <v>0.22</v>
      </c>
      <c r="Q2213" s="3">
        <v>351.19</v>
      </c>
      <c r="R2213" s="3">
        <v>0.12</v>
      </c>
      <c r="S2213">
        <v>8</v>
      </c>
      <c r="T2213">
        <v>1023.27</v>
      </c>
      <c r="U2213">
        <v>49</v>
      </c>
      <c r="V2213">
        <v>0</v>
      </c>
      <c r="W2213">
        <v>628.23</v>
      </c>
      <c r="X2213">
        <v>2801.16</v>
      </c>
      <c r="Y2213" t="s">
        <v>36</v>
      </c>
      <c r="Z2213" s="3">
        <v>1641.57</v>
      </c>
      <c r="AA2213" t="s">
        <v>48</v>
      </c>
      <c r="AB2213" t="s">
        <v>44</v>
      </c>
      <c r="AC2213">
        <v>70.599999999999994</v>
      </c>
      <c r="AD2213" t="s">
        <v>43</v>
      </c>
      <c r="AE2213">
        <v>532.79999999999995</v>
      </c>
      <c r="AF2213">
        <v>0</v>
      </c>
    </row>
    <row r="2214" spans="3:32" x14ac:dyDescent="0.35">
      <c r="C2214" s="1">
        <v>44786</v>
      </c>
      <c r="D2214" s="2">
        <v>44774</v>
      </c>
      <c r="E2214">
        <v>1812</v>
      </c>
      <c r="F2214" s="3">
        <v>4447.1899999999996</v>
      </c>
      <c r="G2214" s="3">
        <v>3332.54</v>
      </c>
      <c r="H2214" s="3">
        <v>1114.6500000000001</v>
      </c>
      <c r="I2214" s="3">
        <v>0.75</v>
      </c>
      <c r="J2214">
        <v>0.27</v>
      </c>
      <c r="K2214">
        <v>3204.24</v>
      </c>
      <c r="L2214" t="s">
        <v>30</v>
      </c>
      <c r="M2214">
        <v>700</v>
      </c>
      <c r="N2214">
        <v>0.56000000000000005</v>
      </c>
      <c r="O2214" s="3">
        <v>454.22</v>
      </c>
      <c r="P2214" s="3">
        <v>0.1</v>
      </c>
      <c r="Q2214" s="3">
        <v>114.05</v>
      </c>
      <c r="R2214" s="3">
        <v>0.03</v>
      </c>
      <c r="S2214">
        <v>1</v>
      </c>
      <c r="T2214">
        <v>479.52</v>
      </c>
      <c r="U2214">
        <v>79</v>
      </c>
      <c r="V2214">
        <v>0</v>
      </c>
      <c r="W2214">
        <v>444.38</v>
      </c>
      <c r="X2214">
        <v>2825.77</v>
      </c>
      <c r="Y2214" t="s">
        <v>36</v>
      </c>
      <c r="Z2214" s="3">
        <v>834.39</v>
      </c>
      <c r="AA2214" t="s">
        <v>37</v>
      </c>
      <c r="AB2214" t="s">
        <v>44</v>
      </c>
      <c r="AC2214">
        <v>78.7</v>
      </c>
      <c r="AD2214" t="s">
        <v>43</v>
      </c>
      <c r="AE2214">
        <v>1114.6500000000001</v>
      </c>
      <c r="AF2214">
        <v>0</v>
      </c>
    </row>
    <row r="2215" spans="3:32" x14ac:dyDescent="0.35">
      <c r="C2215" s="1">
        <v>44786</v>
      </c>
      <c r="D2215" s="2">
        <v>44774</v>
      </c>
      <c r="E2215">
        <v>1369</v>
      </c>
      <c r="F2215" s="3">
        <v>4148.09</v>
      </c>
      <c r="G2215" s="3">
        <v>3089.74</v>
      </c>
      <c r="H2215" s="3">
        <v>1058.3499999999999</v>
      </c>
      <c r="I2215" s="3">
        <v>0.74</v>
      </c>
      <c r="J2215">
        <v>0.24</v>
      </c>
      <c r="K2215">
        <v>2770.29</v>
      </c>
      <c r="L2215" t="s">
        <v>30</v>
      </c>
      <c r="M2215">
        <v>632</v>
      </c>
      <c r="N2215">
        <v>0.44</v>
      </c>
      <c r="O2215" s="3">
        <v>594.67999999999995</v>
      </c>
      <c r="P2215" s="3">
        <v>0.14000000000000001</v>
      </c>
      <c r="Q2215" s="3">
        <v>589.72</v>
      </c>
      <c r="R2215" s="3">
        <v>0.14000000000000001</v>
      </c>
      <c r="S2215">
        <v>5</v>
      </c>
      <c r="T2215">
        <v>650.97</v>
      </c>
      <c r="U2215">
        <v>91</v>
      </c>
      <c r="V2215">
        <v>0</v>
      </c>
      <c r="W2215">
        <v>240.29</v>
      </c>
      <c r="X2215">
        <v>1659.95</v>
      </c>
      <c r="Y2215" t="s">
        <v>36</v>
      </c>
      <c r="Z2215" s="3">
        <v>1133.75</v>
      </c>
      <c r="AA2215" t="s">
        <v>45</v>
      </c>
      <c r="AB2215" t="s">
        <v>33</v>
      </c>
      <c r="AC2215">
        <v>64.5</v>
      </c>
      <c r="AD2215" t="s">
        <v>34</v>
      </c>
      <c r="AE2215">
        <v>1058.3499999999999</v>
      </c>
      <c r="AF2215">
        <v>0</v>
      </c>
    </row>
    <row r="2216" spans="3:32" x14ac:dyDescent="0.35">
      <c r="C2216" s="1">
        <v>44786</v>
      </c>
      <c r="D2216" s="2">
        <v>44774</v>
      </c>
      <c r="E2216">
        <v>1142</v>
      </c>
      <c r="F2216" s="3">
        <v>4171.99</v>
      </c>
      <c r="G2216" s="3">
        <v>2191.17</v>
      </c>
      <c r="H2216" s="3">
        <v>1980.82</v>
      </c>
      <c r="I2216" s="3">
        <v>0.53</v>
      </c>
      <c r="J2216">
        <v>0.33</v>
      </c>
      <c r="K2216">
        <v>3599.57</v>
      </c>
      <c r="L2216" t="s">
        <v>39</v>
      </c>
      <c r="M2216">
        <v>641</v>
      </c>
      <c r="N2216">
        <v>0.53</v>
      </c>
      <c r="O2216" s="3">
        <v>521.78</v>
      </c>
      <c r="P2216" s="3">
        <v>0.13</v>
      </c>
      <c r="Q2216" s="3">
        <v>476.34</v>
      </c>
      <c r="R2216" s="3">
        <v>0.11</v>
      </c>
      <c r="S2216">
        <v>4</v>
      </c>
      <c r="T2216">
        <v>1454.54</v>
      </c>
      <c r="U2216">
        <v>57</v>
      </c>
      <c r="V2216">
        <v>0</v>
      </c>
      <c r="W2216">
        <v>794.79</v>
      </c>
      <c r="X2216">
        <v>1713.31</v>
      </c>
      <c r="Y2216" t="s">
        <v>49</v>
      </c>
      <c r="Z2216" s="3">
        <v>773.68</v>
      </c>
      <c r="AA2216" t="s">
        <v>47</v>
      </c>
      <c r="AB2216" t="s">
        <v>33</v>
      </c>
      <c r="AC2216">
        <v>36.299999999999997</v>
      </c>
      <c r="AD2216" t="s">
        <v>34</v>
      </c>
      <c r="AE2216">
        <v>1980.82</v>
      </c>
      <c r="AF2216">
        <v>0</v>
      </c>
    </row>
    <row r="2217" spans="3:32" x14ac:dyDescent="0.35">
      <c r="C2217" s="1">
        <v>44786</v>
      </c>
      <c r="D2217" s="2">
        <v>44774</v>
      </c>
      <c r="E2217">
        <v>1447</v>
      </c>
      <c r="F2217" s="3">
        <v>4206.6099999999997</v>
      </c>
      <c r="G2217" s="3">
        <v>4421.55</v>
      </c>
      <c r="H2217" s="3">
        <v>-214.94</v>
      </c>
      <c r="I2217" s="3">
        <v>1.05</v>
      </c>
      <c r="J2217">
        <v>0.09</v>
      </c>
      <c r="K2217">
        <v>2468.9</v>
      </c>
      <c r="L2217" t="s">
        <v>39</v>
      </c>
      <c r="M2217">
        <v>744</v>
      </c>
      <c r="N2217">
        <v>0.56999999999999995</v>
      </c>
      <c r="O2217" s="3">
        <v>459.62</v>
      </c>
      <c r="P2217" s="3">
        <v>0.11</v>
      </c>
      <c r="Q2217" s="3">
        <v>576.26</v>
      </c>
      <c r="R2217" s="3">
        <v>0.14000000000000001</v>
      </c>
      <c r="S2217">
        <v>2</v>
      </c>
      <c r="T2217">
        <v>1074.25</v>
      </c>
      <c r="U2217">
        <v>38</v>
      </c>
      <c r="V2217">
        <v>0</v>
      </c>
      <c r="W2217">
        <v>609.39</v>
      </c>
      <c r="X2217">
        <v>1000</v>
      </c>
      <c r="Y2217" t="s">
        <v>36</v>
      </c>
      <c r="Z2217" s="3">
        <v>865.5</v>
      </c>
      <c r="AA2217" t="s">
        <v>48</v>
      </c>
      <c r="AB2217" t="s">
        <v>44</v>
      </c>
      <c r="AC2217">
        <v>87.8</v>
      </c>
      <c r="AD2217" t="s">
        <v>43</v>
      </c>
      <c r="AE2217">
        <v>0</v>
      </c>
      <c r="AF2217">
        <v>0</v>
      </c>
    </row>
    <row r="2218" spans="3:32" x14ac:dyDescent="0.35">
      <c r="C2218" s="1">
        <v>44786</v>
      </c>
      <c r="D2218" s="2">
        <v>44774</v>
      </c>
      <c r="E2218">
        <v>1581</v>
      </c>
      <c r="F2218" s="3">
        <v>3998.27</v>
      </c>
      <c r="G2218" s="3">
        <v>1418.84</v>
      </c>
      <c r="H2218" s="3">
        <v>2579.4299999999998</v>
      </c>
      <c r="I2218" s="3">
        <v>0.35</v>
      </c>
      <c r="J2218">
        <v>0.19</v>
      </c>
      <c r="K2218">
        <v>2897.41</v>
      </c>
      <c r="L2218" t="s">
        <v>30</v>
      </c>
      <c r="M2218">
        <v>713</v>
      </c>
      <c r="N2218">
        <v>0.56999999999999995</v>
      </c>
      <c r="O2218" s="3">
        <v>665.39</v>
      </c>
      <c r="P2218" s="3">
        <v>0.17</v>
      </c>
      <c r="Q2218" s="3">
        <v>247.12</v>
      </c>
      <c r="R2218" s="3">
        <v>0.06</v>
      </c>
      <c r="S2218">
        <v>1</v>
      </c>
      <c r="T2218">
        <v>581.46</v>
      </c>
      <c r="U2218">
        <v>27</v>
      </c>
      <c r="V2218">
        <v>0</v>
      </c>
      <c r="W2218">
        <v>155.41</v>
      </c>
      <c r="X2218">
        <v>2350.64</v>
      </c>
      <c r="Y2218" t="s">
        <v>49</v>
      </c>
      <c r="Z2218" s="3">
        <v>1158.21</v>
      </c>
      <c r="AA2218" t="s">
        <v>40</v>
      </c>
      <c r="AB2218" t="s">
        <v>42</v>
      </c>
      <c r="AC2218">
        <v>33.4</v>
      </c>
      <c r="AD2218" t="s">
        <v>38</v>
      </c>
      <c r="AE2218">
        <v>2579.4299999999998</v>
      </c>
      <c r="AF2218">
        <v>0</v>
      </c>
    </row>
    <row r="2219" spans="3:32" x14ac:dyDescent="0.35">
      <c r="C2219" s="1">
        <v>44786</v>
      </c>
      <c r="D2219" s="2">
        <v>44774</v>
      </c>
      <c r="E2219">
        <v>1723</v>
      </c>
      <c r="F2219" s="3">
        <v>2878.18</v>
      </c>
      <c r="G2219" s="3">
        <v>3645.56</v>
      </c>
      <c r="H2219" s="3">
        <v>-767.38</v>
      </c>
      <c r="I2219" s="3">
        <v>1.27</v>
      </c>
      <c r="J2219">
        <v>0.37</v>
      </c>
      <c r="K2219">
        <v>1598.06</v>
      </c>
      <c r="L2219" t="s">
        <v>35</v>
      </c>
      <c r="M2219">
        <v>656</v>
      </c>
      <c r="N2219">
        <v>0.23</v>
      </c>
      <c r="O2219" s="3">
        <v>519.37</v>
      </c>
      <c r="P2219" s="3">
        <v>0.18</v>
      </c>
      <c r="Q2219" s="3">
        <v>131.94</v>
      </c>
      <c r="R2219" s="3">
        <v>0.05</v>
      </c>
      <c r="S2219">
        <v>1</v>
      </c>
      <c r="T2219">
        <v>1607.37</v>
      </c>
      <c r="U2219">
        <v>27</v>
      </c>
      <c r="V2219">
        <v>0</v>
      </c>
      <c r="W2219">
        <v>340.74</v>
      </c>
      <c r="X2219">
        <v>1385.69</v>
      </c>
      <c r="Y2219" t="s">
        <v>36</v>
      </c>
      <c r="Z2219" s="3">
        <v>1506.68</v>
      </c>
      <c r="AA2219" t="s">
        <v>45</v>
      </c>
      <c r="AB2219" t="s">
        <v>44</v>
      </c>
      <c r="AC2219">
        <v>31</v>
      </c>
      <c r="AD2219" t="s">
        <v>34</v>
      </c>
      <c r="AE2219">
        <v>0</v>
      </c>
      <c r="AF2219">
        <v>0</v>
      </c>
    </row>
    <row r="2220" spans="3:32" x14ac:dyDescent="0.35">
      <c r="C2220" s="1">
        <v>44786</v>
      </c>
      <c r="D2220" s="2">
        <v>44774</v>
      </c>
      <c r="E2220">
        <v>1192</v>
      </c>
      <c r="F2220" s="3">
        <v>3248.15</v>
      </c>
      <c r="G2220" s="3">
        <v>3728.25</v>
      </c>
      <c r="H2220" s="3">
        <v>-480.1</v>
      </c>
      <c r="I2220" s="3">
        <v>1.1499999999999999</v>
      </c>
      <c r="J2220">
        <v>0.15</v>
      </c>
      <c r="K2220">
        <v>2812.04</v>
      </c>
      <c r="L2220" t="s">
        <v>35</v>
      </c>
      <c r="M2220">
        <v>655</v>
      </c>
      <c r="N2220">
        <v>0.17</v>
      </c>
      <c r="O2220" s="3">
        <v>364.76</v>
      </c>
      <c r="P2220" s="3">
        <v>0.11</v>
      </c>
      <c r="Q2220" s="3">
        <v>386.87</v>
      </c>
      <c r="R2220" s="3">
        <v>0.12</v>
      </c>
      <c r="S2220">
        <v>9</v>
      </c>
      <c r="T2220">
        <v>1414.08</v>
      </c>
      <c r="U2220">
        <v>67</v>
      </c>
      <c r="V2220">
        <v>0</v>
      </c>
      <c r="W2220">
        <v>707.22</v>
      </c>
      <c r="X2220">
        <v>2015.12</v>
      </c>
      <c r="Y2220" t="s">
        <v>36</v>
      </c>
      <c r="Z2220" s="3">
        <v>957.34</v>
      </c>
      <c r="AA2220" t="s">
        <v>32</v>
      </c>
      <c r="AB2220" t="s">
        <v>44</v>
      </c>
      <c r="AC2220">
        <v>57.1</v>
      </c>
      <c r="AD2220" t="s">
        <v>38</v>
      </c>
      <c r="AE2220">
        <v>0</v>
      </c>
      <c r="AF2220">
        <v>0</v>
      </c>
    </row>
    <row r="2221" spans="3:32" x14ac:dyDescent="0.35">
      <c r="C2221" s="1">
        <v>44786</v>
      </c>
      <c r="D2221" s="2">
        <v>44774</v>
      </c>
      <c r="E2221">
        <v>1571</v>
      </c>
      <c r="F2221" s="3">
        <v>3959.13</v>
      </c>
      <c r="G2221" s="3">
        <v>2506.9699999999998</v>
      </c>
      <c r="H2221" s="3">
        <v>1452.16</v>
      </c>
      <c r="I2221" s="3">
        <v>0.63</v>
      </c>
      <c r="J2221">
        <v>0.37</v>
      </c>
      <c r="K2221">
        <v>2989.43</v>
      </c>
      <c r="L2221" t="s">
        <v>39</v>
      </c>
      <c r="M2221">
        <v>626</v>
      </c>
      <c r="N2221">
        <v>0.31</v>
      </c>
      <c r="O2221" s="3">
        <v>704.35</v>
      </c>
      <c r="P2221" s="3">
        <v>0.18</v>
      </c>
      <c r="Q2221" s="3">
        <v>0</v>
      </c>
      <c r="R2221" s="3">
        <v>0</v>
      </c>
      <c r="S2221">
        <v>5</v>
      </c>
      <c r="T2221">
        <v>0</v>
      </c>
      <c r="U2221">
        <v>55</v>
      </c>
      <c r="V2221">
        <v>0</v>
      </c>
      <c r="W2221">
        <v>239.78</v>
      </c>
      <c r="X2221">
        <v>1229.24</v>
      </c>
      <c r="Y2221" t="s">
        <v>36</v>
      </c>
      <c r="Z2221" s="3">
        <v>1314.05</v>
      </c>
      <c r="AA2221" t="s">
        <v>32</v>
      </c>
      <c r="AB2221" t="s">
        <v>44</v>
      </c>
      <c r="AC2221">
        <v>26.6</v>
      </c>
      <c r="AD2221" t="s">
        <v>38</v>
      </c>
      <c r="AE2221">
        <v>1452.16</v>
      </c>
      <c r="AF2221">
        <v>0</v>
      </c>
    </row>
    <row r="2222" spans="3:32" x14ac:dyDescent="0.35">
      <c r="C2222" s="1">
        <v>44786</v>
      </c>
      <c r="D2222" s="2">
        <v>44774</v>
      </c>
      <c r="E2222">
        <v>1731</v>
      </c>
      <c r="F2222" s="3">
        <v>5532.98</v>
      </c>
      <c r="G2222" s="3">
        <v>4479.33</v>
      </c>
      <c r="H2222" s="3">
        <v>1053.6500000000001</v>
      </c>
      <c r="I2222" s="3">
        <v>0.81</v>
      </c>
      <c r="J2222">
        <v>0.06</v>
      </c>
      <c r="K2222">
        <v>3041.13</v>
      </c>
      <c r="L2222" t="s">
        <v>35</v>
      </c>
      <c r="M2222">
        <v>683</v>
      </c>
      <c r="N2222">
        <v>0.56000000000000005</v>
      </c>
      <c r="O2222" s="3">
        <v>645.67999999999995</v>
      </c>
      <c r="P2222" s="3">
        <v>0.12</v>
      </c>
      <c r="Q2222" s="3">
        <v>404.19</v>
      </c>
      <c r="R2222" s="3">
        <v>7.0000000000000007E-2</v>
      </c>
      <c r="S2222">
        <v>2</v>
      </c>
      <c r="T2222">
        <v>1006.9</v>
      </c>
      <c r="U2222">
        <v>98</v>
      </c>
      <c r="V2222">
        <v>0</v>
      </c>
      <c r="W2222">
        <v>144.91999999999999</v>
      </c>
      <c r="X2222">
        <v>2688.19</v>
      </c>
      <c r="Y2222" t="s">
        <v>36</v>
      </c>
      <c r="Z2222" s="3">
        <v>1288.18</v>
      </c>
      <c r="AA2222" t="s">
        <v>46</v>
      </c>
      <c r="AB2222" t="s">
        <v>42</v>
      </c>
      <c r="AC2222">
        <v>7.9</v>
      </c>
      <c r="AD2222" t="s">
        <v>34</v>
      </c>
      <c r="AE2222">
        <v>1053.6500000000001</v>
      </c>
      <c r="AF2222">
        <v>0</v>
      </c>
    </row>
    <row r="2223" spans="3:32" x14ac:dyDescent="0.35">
      <c r="C2223" s="1">
        <v>44786</v>
      </c>
      <c r="D2223" s="2">
        <v>44774</v>
      </c>
      <c r="E2223">
        <v>1679</v>
      </c>
      <c r="F2223" s="3">
        <v>3261.17</v>
      </c>
      <c r="G2223" s="3">
        <v>2863.51</v>
      </c>
      <c r="H2223" s="3">
        <v>397.66</v>
      </c>
      <c r="I2223" s="3">
        <v>0.88</v>
      </c>
      <c r="J2223">
        <v>0.34</v>
      </c>
      <c r="K2223">
        <v>2810.08</v>
      </c>
      <c r="L2223" t="s">
        <v>30</v>
      </c>
      <c r="M2223">
        <v>756</v>
      </c>
      <c r="N2223">
        <v>0.38</v>
      </c>
      <c r="O2223" s="3">
        <v>759.72</v>
      </c>
      <c r="P2223" s="3">
        <v>0.23</v>
      </c>
      <c r="Q2223" s="3">
        <v>524.1</v>
      </c>
      <c r="R2223" s="3">
        <v>0.16</v>
      </c>
      <c r="S2223">
        <v>7</v>
      </c>
      <c r="T2223">
        <v>971.53</v>
      </c>
      <c r="U2223">
        <v>83</v>
      </c>
      <c r="V2223">
        <v>0</v>
      </c>
      <c r="W2223">
        <v>603.22</v>
      </c>
      <c r="X2223">
        <v>3038.57</v>
      </c>
      <c r="Y2223" t="s">
        <v>49</v>
      </c>
      <c r="Z2223" s="3">
        <v>1436.52</v>
      </c>
      <c r="AA2223" t="s">
        <v>46</v>
      </c>
      <c r="AB2223" t="s">
        <v>33</v>
      </c>
      <c r="AC2223">
        <v>61.5</v>
      </c>
      <c r="AD2223" t="s">
        <v>43</v>
      </c>
      <c r="AE2223">
        <v>397.66</v>
      </c>
      <c r="AF2223">
        <v>0</v>
      </c>
    </row>
    <row r="2224" spans="3:32" x14ac:dyDescent="0.35">
      <c r="C2224" s="1">
        <v>44786</v>
      </c>
      <c r="D2224" s="2">
        <v>44774</v>
      </c>
      <c r="E2224">
        <v>1540</v>
      </c>
      <c r="F2224" s="3">
        <v>3646.28</v>
      </c>
      <c r="G2224" s="3">
        <v>2177.5100000000002</v>
      </c>
      <c r="H2224" s="3">
        <v>1468.77</v>
      </c>
      <c r="I2224" s="3">
        <v>0.6</v>
      </c>
      <c r="J2224">
        <v>0.24</v>
      </c>
      <c r="K2224">
        <v>2663.91</v>
      </c>
      <c r="L2224" t="s">
        <v>39</v>
      </c>
      <c r="M2224">
        <v>644</v>
      </c>
      <c r="N2224">
        <v>0.16</v>
      </c>
      <c r="O2224" s="3">
        <v>597.75</v>
      </c>
      <c r="P2224" s="3">
        <v>0.16</v>
      </c>
      <c r="Q2224" s="3">
        <v>350</v>
      </c>
      <c r="R2224" s="3">
        <v>0.1</v>
      </c>
      <c r="S2224">
        <v>6</v>
      </c>
      <c r="T2224">
        <v>406.97</v>
      </c>
      <c r="U2224">
        <v>35</v>
      </c>
      <c r="V2224">
        <v>0</v>
      </c>
      <c r="W2224">
        <v>425.49</v>
      </c>
      <c r="X2224">
        <v>2570.58</v>
      </c>
      <c r="Y2224" t="s">
        <v>31</v>
      </c>
      <c r="Z2224" s="3">
        <v>1565.82</v>
      </c>
      <c r="AA2224" t="s">
        <v>41</v>
      </c>
      <c r="AB2224" t="s">
        <v>42</v>
      </c>
      <c r="AC2224">
        <v>44</v>
      </c>
      <c r="AD2224" t="s">
        <v>43</v>
      </c>
      <c r="AE2224">
        <v>1468.77</v>
      </c>
      <c r="AF2224">
        <v>0</v>
      </c>
    </row>
    <row r="2225" spans="3:32" x14ac:dyDescent="0.35">
      <c r="C2225" s="1">
        <v>44786</v>
      </c>
      <c r="D2225" s="2">
        <v>44774</v>
      </c>
      <c r="E2225">
        <v>1978</v>
      </c>
      <c r="F2225" s="3">
        <v>3415.34</v>
      </c>
      <c r="G2225" s="3">
        <v>3037.18</v>
      </c>
      <c r="H2225" s="3">
        <v>378.16</v>
      </c>
      <c r="I2225" s="3">
        <v>0.89</v>
      </c>
      <c r="J2225">
        <v>0.06</v>
      </c>
      <c r="K2225">
        <v>2433.5300000000002</v>
      </c>
      <c r="L2225" t="s">
        <v>35</v>
      </c>
      <c r="M2225">
        <v>688</v>
      </c>
      <c r="N2225">
        <v>0.59</v>
      </c>
      <c r="O2225" s="3">
        <v>466.93</v>
      </c>
      <c r="P2225" s="3">
        <v>0.14000000000000001</v>
      </c>
      <c r="Q2225" s="3">
        <v>0</v>
      </c>
      <c r="R2225" s="3">
        <v>0</v>
      </c>
      <c r="S2225">
        <v>2</v>
      </c>
      <c r="T2225">
        <v>452.12</v>
      </c>
      <c r="U2225">
        <v>64</v>
      </c>
      <c r="V2225">
        <v>0</v>
      </c>
      <c r="W2225">
        <v>359.4</v>
      </c>
      <c r="X2225">
        <v>2941.18</v>
      </c>
      <c r="Y2225" t="s">
        <v>36</v>
      </c>
      <c r="Z2225" s="3">
        <v>1223.8599999999999</v>
      </c>
      <c r="AA2225" t="s">
        <v>48</v>
      </c>
      <c r="AB2225" t="s">
        <v>44</v>
      </c>
      <c r="AC2225">
        <v>71</v>
      </c>
      <c r="AD2225" t="s">
        <v>38</v>
      </c>
      <c r="AE2225">
        <v>378.16</v>
      </c>
      <c r="AF2225">
        <v>0</v>
      </c>
    </row>
    <row r="2226" spans="3:32" x14ac:dyDescent="0.35">
      <c r="C2226" s="1">
        <v>44786</v>
      </c>
      <c r="D2226" s="2">
        <v>44774</v>
      </c>
      <c r="E2226">
        <v>1350</v>
      </c>
      <c r="F2226" s="3">
        <v>5685.03</v>
      </c>
      <c r="G2226" s="3">
        <v>1805.44</v>
      </c>
      <c r="H2226" s="3">
        <v>3879.59</v>
      </c>
      <c r="I2226" s="3">
        <v>0.32</v>
      </c>
      <c r="J2226">
        <v>0.22</v>
      </c>
      <c r="K2226">
        <v>2889.77</v>
      </c>
      <c r="L2226" t="s">
        <v>35</v>
      </c>
      <c r="M2226">
        <v>772</v>
      </c>
      <c r="N2226">
        <v>0.55000000000000004</v>
      </c>
      <c r="O2226" s="3">
        <v>651.5</v>
      </c>
      <c r="P2226" s="3">
        <v>0.11</v>
      </c>
      <c r="Q2226" s="3">
        <v>377.81</v>
      </c>
      <c r="R2226" s="3">
        <v>7.0000000000000007E-2</v>
      </c>
      <c r="S2226">
        <v>2</v>
      </c>
      <c r="T2226">
        <v>833.04</v>
      </c>
      <c r="U2226">
        <v>54</v>
      </c>
      <c r="V2226">
        <v>0</v>
      </c>
      <c r="W2226">
        <v>787</v>
      </c>
      <c r="X2226">
        <v>2444.94</v>
      </c>
      <c r="Y2226" t="s">
        <v>36</v>
      </c>
      <c r="Z2226" s="3">
        <v>1637.76</v>
      </c>
      <c r="AA2226" t="s">
        <v>50</v>
      </c>
      <c r="AB2226" t="s">
        <v>33</v>
      </c>
      <c r="AC2226">
        <v>44.9</v>
      </c>
      <c r="AD2226" t="s">
        <v>34</v>
      </c>
      <c r="AE2226">
        <v>3879.59</v>
      </c>
      <c r="AF2226">
        <v>1</v>
      </c>
    </row>
    <row r="2227" spans="3:32" x14ac:dyDescent="0.35">
      <c r="C2227" s="1">
        <v>44786</v>
      </c>
      <c r="D2227" s="2">
        <v>44774</v>
      </c>
      <c r="E2227">
        <v>1202</v>
      </c>
      <c r="F2227" s="3">
        <v>3294.03</v>
      </c>
      <c r="G2227" s="3">
        <v>3372.6</v>
      </c>
      <c r="H2227" s="3">
        <v>-78.569999999999993</v>
      </c>
      <c r="I2227" s="3">
        <v>1.02</v>
      </c>
      <c r="J2227">
        <v>0.27</v>
      </c>
      <c r="K2227">
        <v>2572.96</v>
      </c>
      <c r="L2227" t="s">
        <v>35</v>
      </c>
      <c r="M2227">
        <v>634</v>
      </c>
      <c r="N2227">
        <v>0.13</v>
      </c>
      <c r="O2227" s="3">
        <v>122.44</v>
      </c>
      <c r="P2227" s="3">
        <v>0.04</v>
      </c>
      <c r="Q2227" s="3">
        <v>340.74</v>
      </c>
      <c r="R2227" s="3">
        <v>0.1</v>
      </c>
      <c r="S2227">
        <v>5</v>
      </c>
      <c r="T2227">
        <v>1391.67</v>
      </c>
      <c r="U2227">
        <v>50</v>
      </c>
      <c r="V2227">
        <v>0</v>
      </c>
      <c r="W2227">
        <v>424.34</v>
      </c>
      <c r="X2227">
        <v>2605.7199999999998</v>
      </c>
      <c r="Y2227" t="s">
        <v>36</v>
      </c>
      <c r="Z2227" s="3">
        <v>1346.28</v>
      </c>
      <c r="AA2227" t="s">
        <v>47</v>
      </c>
      <c r="AB2227" t="s">
        <v>42</v>
      </c>
      <c r="AC2227">
        <v>1.6</v>
      </c>
      <c r="AD2227" t="s">
        <v>38</v>
      </c>
      <c r="AE2227">
        <v>0</v>
      </c>
      <c r="AF2227">
        <v>0</v>
      </c>
    </row>
    <row r="2228" spans="3:32" x14ac:dyDescent="0.35">
      <c r="C2228" s="1">
        <v>44786</v>
      </c>
      <c r="D2228" s="2">
        <v>44774</v>
      </c>
      <c r="E2228">
        <v>1312</v>
      </c>
      <c r="F2228" s="3">
        <v>3362.56</v>
      </c>
      <c r="G2228" s="3">
        <v>3815.77</v>
      </c>
      <c r="H2228" s="3">
        <v>-453.21</v>
      </c>
      <c r="I2228" s="3">
        <v>1.1299999999999999</v>
      </c>
      <c r="J2228">
        <v>0.24</v>
      </c>
      <c r="K2228">
        <v>1918.74</v>
      </c>
      <c r="L2228" t="s">
        <v>35</v>
      </c>
      <c r="M2228">
        <v>738</v>
      </c>
      <c r="N2228">
        <v>0.34</v>
      </c>
      <c r="O2228" s="3">
        <v>138.93</v>
      </c>
      <c r="P2228" s="3">
        <v>0.04</v>
      </c>
      <c r="Q2228" s="3">
        <v>81.05</v>
      </c>
      <c r="R2228" s="3">
        <v>0.02</v>
      </c>
      <c r="S2228">
        <v>8</v>
      </c>
      <c r="T2228">
        <v>621.04</v>
      </c>
      <c r="U2228">
        <v>64</v>
      </c>
      <c r="V2228">
        <v>0</v>
      </c>
      <c r="W2228">
        <v>487.1</v>
      </c>
      <c r="X2228">
        <v>2588.2800000000002</v>
      </c>
      <c r="Y2228" t="s">
        <v>49</v>
      </c>
      <c r="Z2228" s="3">
        <v>1126.21</v>
      </c>
      <c r="AA2228" t="s">
        <v>45</v>
      </c>
      <c r="AB2228" t="s">
        <v>44</v>
      </c>
      <c r="AC2228">
        <v>21.1</v>
      </c>
      <c r="AD2228" t="s">
        <v>43</v>
      </c>
      <c r="AE2228">
        <v>0</v>
      </c>
      <c r="AF2228">
        <v>0</v>
      </c>
    </row>
    <row r="2229" spans="3:32" x14ac:dyDescent="0.35">
      <c r="C2229" s="1">
        <v>44786</v>
      </c>
      <c r="D2229" s="2">
        <v>44774</v>
      </c>
      <c r="E2229">
        <v>1653</v>
      </c>
      <c r="F2229" s="3">
        <v>3722.49</v>
      </c>
      <c r="G2229" s="3">
        <v>2286.35</v>
      </c>
      <c r="H2229" s="3">
        <v>1436.14</v>
      </c>
      <c r="I2229" s="3">
        <v>0.61</v>
      </c>
      <c r="J2229">
        <v>0.28000000000000003</v>
      </c>
      <c r="K2229">
        <v>2814.53</v>
      </c>
      <c r="L2229" t="s">
        <v>35</v>
      </c>
      <c r="M2229">
        <v>662</v>
      </c>
      <c r="N2229">
        <v>0.27</v>
      </c>
      <c r="O2229" s="3">
        <v>452.87</v>
      </c>
      <c r="P2229" s="3">
        <v>0.12</v>
      </c>
      <c r="Q2229" s="3">
        <v>110.15</v>
      </c>
      <c r="R2229" s="3">
        <v>0.03</v>
      </c>
      <c r="S2229">
        <v>7</v>
      </c>
      <c r="T2229">
        <v>1156.5</v>
      </c>
      <c r="U2229">
        <v>31</v>
      </c>
      <c r="V2229">
        <v>0</v>
      </c>
      <c r="W2229">
        <v>423.23</v>
      </c>
      <c r="X2229">
        <v>2648.21</v>
      </c>
      <c r="Y2229" t="s">
        <v>36</v>
      </c>
      <c r="Z2229" s="3">
        <v>750.69</v>
      </c>
      <c r="AA2229" t="s">
        <v>40</v>
      </c>
      <c r="AB2229" t="s">
        <v>33</v>
      </c>
      <c r="AC2229">
        <v>34.6</v>
      </c>
      <c r="AD2229" t="s">
        <v>34</v>
      </c>
      <c r="AE2229">
        <v>1436.14</v>
      </c>
      <c r="AF2229">
        <v>0</v>
      </c>
    </row>
    <row r="2230" spans="3:32" x14ac:dyDescent="0.35">
      <c r="C2230" s="1">
        <v>44786</v>
      </c>
      <c r="D2230" s="2">
        <v>44774</v>
      </c>
      <c r="E2230">
        <v>1976</v>
      </c>
      <c r="F2230" s="3">
        <v>3740.2</v>
      </c>
      <c r="G2230" s="3">
        <v>3819.23</v>
      </c>
      <c r="H2230" s="3">
        <v>-79.03</v>
      </c>
      <c r="I2230" s="3">
        <v>1.02</v>
      </c>
      <c r="J2230">
        <v>0.19</v>
      </c>
      <c r="K2230">
        <v>2758.61</v>
      </c>
      <c r="L2230" t="s">
        <v>35</v>
      </c>
      <c r="M2230">
        <v>708</v>
      </c>
      <c r="N2230">
        <v>0.55000000000000004</v>
      </c>
      <c r="O2230" s="3">
        <v>236.61</v>
      </c>
      <c r="P2230" s="3">
        <v>0.06</v>
      </c>
      <c r="Q2230" s="3">
        <v>193.93</v>
      </c>
      <c r="R2230" s="3">
        <v>0.05</v>
      </c>
      <c r="S2230">
        <v>4</v>
      </c>
      <c r="T2230">
        <v>99.32</v>
      </c>
      <c r="U2230">
        <v>99</v>
      </c>
      <c r="V2230">
        <v>0</v>
      </c>
      <c r="W2230">
        <v>540.78</v>
      </c>
      <c r="X2230">
        <v>2196.7199999999998</v>
      </c>
      <c r="Y2230" t="s">
        <v>36</v>
      </c>
      <c r="Z2230" s="3">
        <v>1521.5</v>
      </c>
      <c r="AA2230" t="s">
        <v>40</v>
      </c>
      <c r="AB2230" t="s">
        <v>33</v>
      </c>
      <c r="AC2230">
        <v>96.8</v>
      </c>
      <c r="AD2230" t="s">
        <v>34</v>
      </c>
      <c r="AE2230">
        <v>0</v>
      </c>
      <c r="AF2230">
        <v>0</v>
      </c>
    </row>
    <row r="2231" spans="3:32" x14ac:dyDescent="0.35">
      <c r="C2231" s="1">
        <v>44786</v>
      </c>
      <c r="D2231" s="2">
        <v>44774</v>
      </c>
      <c r="E2231">
        <v>1751</v>
      </c>
      <c r="F2231" s="3">
        <v>3818.35</v>
      </c>
      <c r="G2231" s="3">
        <v>2061.48</v>
      </c>
      <c r="H2231" s="3">
        <v>1756.87</v>
      </c>
      <c r="I2231" s="3">
        <v>0.54</v>
      </c>
      <c r="J2231">
        <v>0.19</v>
      </c>
      <c r="K2231">
        <v>3270.15</v>
      </c>
      <c r="L2231" t="s">
        <v>39</v>
      </c>
      <c r="M2231">
        <v>741</v>
      </c>
      <c r="N2231">
        <v>0.22</v>
      </c>
      <c r="O2231" s="3">
        <v>606.91999999999996</v>
      </c>
      <c r="P2231" s="3">
        <v>0.16</v>
      </c>
      <c r="Q2231" s="3">
        <v>426.53</v>
      </c>
      <c r="R2231" s="3">
        <v>0.11</v>
      </c>
      <c r="S2231">
        <v>8</v>
      </c>
      <c r="T2231">
        <v>1018.47</v>
      </c>
      <c r="U2231">
        <v>60</v>
      </c>
      <c r="V2231">
        <v>0</v>
      </c>
      <c r="W2231">
        <v>802.26</v>
      </c>
      <c r="X2231">
        <v>2039.84</v>
      </c>
      <c r="Y2231" t="s">
        <v>36</v>
      </c>
      <c r="Z2231" s="3">
        <v>1649.89</v>
      </c>
      <c r="AA2231" t="s">
        <v>46</v>
      </c>
      <c r="AB2231" t="s">
        <v>42</v>
      </c>
      <c r="AC2231">
        <v>68.599999999999994</v>
      </c>
      <c r="AD2231" t="s">
        <v>43</v>
      </c>
      <c r="AE2231">
        <v>1756.87</v>
      </c>
      <c r="AF2231">
        <v>0</v>
      </c>
    </row>
    <row r="2232" spans="3:32" x14ac:dyDescent="0.35">
      <c r="C2232" s="1">
        <v>44786</v>
      </c>
      <c r="D2232" s="2">
        <v>44774</v>
      </c>
      <c r="E2232">
        <v>1832</v>
      </c>
      <c r="F2232" s="3">
        <v>4483.12</v>
      </c>
      <c r="G2232" s="3">
        <v>4319.03</v>
      </c>
      <c r="H2232" s="3">
        <v>164.09</v>
      </c>
      <c r="I2232" s="3">
        <v>0.96</v>
      </c>
      <c r="J2232">
        <v>0.13</v>
      </c>
      <c r="K2232">
        <v>2457.66</v>
      </c>
      <c r="L2232" t="s">
        <v>35</v>
      </c>
      <c r="M2232">
        <v>715</v>
      </c>
      <c r="N2232">
        <v>0.13</v>
      </c>
      <c r="O2232" s="3">
        <v>449.08</v>
      </c>
      <c r="P2232" s="3">
        <v>0.1</v>
      </c>
      <c r="Q2232" s="3">
        <v>429.64</v>
      </c>
      <c r="R2232" s="3">
        <v>0.1</v>
      </c>
      <c r="S2232">
        <v>6</v>
      </c>
      <c r="T2232">
        <v>951.52</v>
      </c>
      <c r="U2232">
        <v>84</v>
      </c>
      <c r="V2232">
        <v>0</v>
      </c>
      <c r="W2232">
        <v>853.55</v>
      </c>
      <c r="X2232">
        <v>2198.8000000000002</v>
      </c>
      <c r="Y2232" t="s">
        <v>36</v>
      </c>
      <c r="Z2232" s="3">
        <v>1366.47</v>
      </c>
      <c r="AA2232" t="s">
        <v>45</v>
      </c>
      <c r="AB2232" t="s">
        <v>33</v>
      </c>
      <c r="AC2232">
        <v>60.4</v>
      </c>
      <c r="AD2232" t="s">
        <v>34</v>
      </c>
      <c r="AE2232">
        <v>164.09</v>
      </c>
      <c r="AF2232">
        <v>0</v>
      </c>
    </row>
    <row r="2233" spans="3:32" x14ac:dyDescent="0.35">
      <c r="C2233" s="1">
        <v>44786</v>
      </c>
      <c r="D2233" s="2">
        <v>44774</v>
      </c>
      <c r="E2233">
        <v>1293</v>
      </c>
      <c r="F2233" s="3">
        <v>2700.91</v>
      </c>
      <c r="G2233" s="3">
        <v>4011.93</v>
      </c>
      <c r="H2233" s="3">
        <v>-1311.02</v>
      </c>
      <c r="I2233" s="3">
        <v>1.49</v>
      </c>
      <c r="J2233">
        <v>0.13</v>
      </c>
      <c r="K2233">
        <v>2679.08</v>
      </c>
      <c r="L2233" t="s">
        <v>39</v>
      </c>
      <c r="M2233">
        <v>683</v>
      </c>
      <c r="N2233">
        <v>0.52</v>
      </c>
      <c r="O2233" s="3">
        <v>668.94</v>
      </c>
      <c r="P2233" s="3">
        <v>0.25</v>
      </c>
      <c r="Q2233" s="3">
        <v>537.73</v>
      </c>
      <c r="R2233" s="3">
        <v>0.2</v>
      </c>
      <c r="S2233">
        <v>1</v>
      </c>
      <c r="T2233">
        <v>1114.8399999999999</v>
      </c>
      <c r="U2233">
        <v>72</v>
      </c>
      <c r="V2233">
        <v>0</v>
      </c>
      <c r="W2233">
        <v>483.02</v>
      </c>
      <c r="X2233">
        <v>2990.74</v>
      </c>
      <c r="Y2233" t="s">
        <v>36</v>
      </c>
      <c r="Z2233" s="3">
        <v>1219.0899999999999</v>
      </c>
      <c r="AA2233" t="s">
        <v>48</v>
      </c>
      <c r="AB2233" t="s">
        <v>33</v>
      </c>
      <c r="AC2233">
        <v>39.4</v>
      </c>
      <c r="AD2233" t="s">
        <v>43</v>
      </c>
      <c r="AE2233">
        <v>0</v>
      </c>
      <c r="AF2233">
        <v>0</v>
      </c>
    </row>
    <row r="2234" spans="3:32" x14ac:dyDescent="0.35">
      <c r="C2234" s="1">
        <v>44786</v>
      </c>
      <c r="D2234" s="2">
        <v>44774</v>
      </c>
      <c r="E2234">
        <v>1666</v>
      </c>
      <c r="F2234" s="3">
        <v>6090.97</v>
      </c>
      <c r="G2234" s="3">
        <v>3400.06</v>
      </c>
      <c r="H2234" s="3">
        <v>2690.91</v>
      </c>
      <c r="I2234" s="3">
        <v>0.56000000000000005</v>
      </c>
      <c r="J2234">
        <v>0.13</v>
      </c>
      <c r="K2234">
        <v>2199.4499999999998</v>
      </c>
      <c r="L2234" t="s">
        <v>35</v>
      </c>
      <c r="M2234">
        <v>627</v>
      </c>
      <c r="N2234">
        <v>0.44</v>
      </c>
      <c r="O2234" s="3">
        <v>522.38</v>
      </c>
      <c r="P2234" s="3">
        <v>0.09</v>
      </c>
      <c r="Q2234" s="3">
        <v>629.30999999999995</v>
      </c>
      <c r="R2234" s="3">
        <v>0.1</v>
      </c>
      <c r="S2234">
        <v>6</v>
      </c>
      <c r="T2234">
        <v>810</v>
      </c>
      <c r="U2234">
        <v>41</v>
      </c>
      <c r="V2234">
        <v>0</v>
      </c>
      <c r="W2234">
        <v>388.33</v>
      </c>
      <c r="X2234">
        <v>1626.65</v>
      </c>
      <c r="Y2234" t="s">
        <v>31</v>
      </c>
      <c r="Z2234" s="3">
        <v>844.15</v>
      </c>
      <c r="AA2234" t="s">
        <v>41</v>
      </c>
      <c r="AB2234" t="s">
        <v>44</v>
      </c>
      <c r="AC2234">
        <v>92.1</v>
      </c>
      <c r="AD2234" t="s">
        <v>34</v>
      </c>
      <c r="AE2234">
        <v>2690.91</v>
      </c>
      <c r="AF2234">
        <v>1</v>
      </c>
    </row>
    <row r="2235" spans="3:32" x14ac:dyDescent="0.35">
      <c r="C2235" s="1">
        <v>44786</v>
      </c>
      <c r="D2235" s="2">
        <v>44774</v>
      </c>
      <c r="E2235">
        <v>1969</v>
      </c>
      <c r="F2235" s="3">
        <v>2854.76</v>
      </c>
      <c r="G2235" s="3">
        <v>3294.04</v>
      </c>
      <c r="H2235" s="3">
        <v>-439.28</v>
      </c>
      <c r="I2235" s="3">
        <v>1.1499999999999999</v>
      </c>
      <c r="J2235">
        <v>0.31</v>
      </c>
      <c r="K2235">
        <v>3307.17</v>
      </c>
      <c r="L2235" t="s">
        <v>30</v>
      </c>
      <c r="M2235">
        <v>796</v>
      </c>
      <c r="N2235">
        <v>0.51</v>
      </c>
      <c r="O2235" s="3">
        <v>143.91999999999999</v>
      </c>
      <c r="P2235" s="3">
        <v>0.05</v>
      </c>
      <c r="Q2235" s="3">
        <v>173.38</v>
      </c>
      <c r="R2235" s="3">
        <v>0.06</v>
      </c>
      <c r="S2235">
        <v>5</v>
      </c>
      <c r="T2235">
        <v>0</v>
      </c>
      <c r="U2235">
        <v>52</v>
      </c>
      <c r="V2235">
        <v>1</v>
      </c>
      <c r="W2235">
        <v>768.8</v>
      </c>
      <c r="X2235">
        <v>2605.5700000000002</v>
      </c>
      <c r="Y2235" t="s">
        <v>31</v>
      </c>
      <c r="Z2235" s="3">
        <v>1936.37</v>
      </c>
      <c r="AA2235" t="s">
        <v>46</v>
      </c>
      <c r="AB2235" t="s">
        <v>33</v>
      </c>
      <c r="AC2235">
        <v>50</v>
      </c>
      <c r="AD2235" t="s">
        <v>34</v>
      </c>
      <c r="AE2235">
        <v>0</v>
      </c>
      <c r="AF2235">
        <v>0</v>
      </c>
    </row>
    <row r="2236" spans="3:32" x14ac:dyDescent="0.35">
      <c r="C2236" s="1">
        <v>44786</v>
      </c>
      <c r="D2236" s="2">
        <v>44774</v>
      </c>
      <c r="E2236">
        <v>1222</v>
      </c>
      <c r="F2236" s="3">
        <v>2298.5300000000002</v>
      </c>
      <c r="G2236" s="3">
        <v>2825.75</v>
      </c>
      <c r="H2236" s="3">
        <v>-527.22</v>
      </c>
      <c r="I2236" s="3">
        <v>1.23</v>
      </c>
      <c r="J2236">
        <v>0.25</v>
      </c>
      <c r="K2236">
        <v>2289.9899999999998</v>
      </c>
      <c r="L2236" t="s">
        <v>39</v>
      </c>
      <c r="M2236">
        <v>702</v>
      </c>
      <c r="N2236">
        <v>0.1</v>
      </c>
      <c r="O2236" s="3">
        <v>702.36</v>
      </c>
      <c r="P2236" s="3">
        <v>0.31</v>
      </c>
      <c r="Q2236" s="3">
        <v>186.38</v>
      </c>
      <c r="R2236" s="3">
        <v>0.08</v>
      </c>
      <c r="S2236">
        <v>3</v>
      </c>
      <c r="T2236">
        <v>994.07</v>
      </c>
      <c r="U2236">
        <v>52</v>
      </c>
      <c r="V2236">
        <v>0</v>
      </c>
      <c r="W2236">
        <v>383.82</v>
      </c>
      <c r="X2236">
        <v>2342.4899999999998</v>
      </c>
      <c r="Y2236" t="s">
        <v>36</v>
      </c>
      <c r="Z2236" s="3">
        <v>1354.94</v>
      </c>
      <c r="AA2236" t="s">
        <v>46</v>
      </c>
      <c r="AB2236" t="s">
        <v>33</v>
      </c>
      <c r="AC2236">
        <v>44.1</v>
      </c>
      <c r="AD2236" t="s">
        <v>43</v>
      </c>
      <c r="AE2236">
        <v>0</v>
      </c>
      <c r="AF2236">
        <v>0</v>
      </c>
    </row>
    <row r="2237" spans="3:32" x14ac:dyDescent="0.35">
      <c r="C2237" s="1">
        <v>44786</v>
      </c>
      <c r="D2237" s="2">
        <v>44774</v>
      </c>
      <c r="E2237">
        <v>1703</v>
      </c>
      <c r="F2237" s="3">
        <v>3705.5</v>
      </c>
      <c r="G2237" s="3">
        <v>2522.48</v>
      </c>
      <c r="H2237" s="3">
        <v>1183.02</v>
      </c>
      <c r="I2237" s="3">
        <v>0.68</v>
      </c>
      <c r="J2237">
        <v>0.16</v>
      </c>
      <c r="K2237">
        <v>2522.69</v>
      </c>
      <c r="L2237" t="s">
        <v>35</v>
      </c>
      <c r="M2237">
        <v>696</v>
      </c>
      <c r="N2237">
        <v>0.3</v>
      </c>
      <c r="O2237" s="3">
        <v>52.17</v>
      </c>
      <c r="P2237" s="3">
        <v>0.01</v>
      </c>
      <c r="Q2237" s="3">
        <v>906.99</v>
      </c>
      <c r="R2237" s="3">
        <v>0.24</v>
      </c>
      <c r="S2237">
        <v>4</v>
      </c>
      <c r="T2237">
        <v>166.82</v>
      </c>
      <c r="U2237">
        <v>91</v>
      </c>
      <c r="V2237">
        <v>0</v>
      </c>
      <c r="W2237">
        <v>458.16</v>
      </c>
      <c r="X2237">
        <v>1923.77</v>
      </c>
      <c r="Y2237" t="s">
        <v>36</v>
      </c>
      <c r="Z2237" s="3">
        <v>1372.15</v>
      </c>
      <c r="AA2237" t="s">
        <v>41</v>
      </c>
      <c r="AB2237" t="s">
        <v>33</v>
      </c>
      <c r="AC2237">
        <v>35.700000000000003</v>
      </c>
      <c r="AD2237" t="s">
        <v>38</v>
      </c>
      <c r="AE2237">
        <v>1183.02</v>
      </c>
      <c r="AF2237">
        <v>0</v>
      </c>
    </row>
    <row r="2238" spans="3:32" x14ac:dyDescent="0.35">
      <c r="C2238" s="1">
        <v>44786</v>
      </c>
      <c r="D2238" s="2">
        <v>44774</v>
      </c>
      <c r="E2238">
        <v>1479</v>
      </c>
      <c r="F2238" s="3">
        <v>4268.5200000000004</v>
      </c>
      <c r="G2238" s="3">
        <v>1838.84</v>
      </c>
      <c r="H2238" s="3">
        <v>2429.6799999999998</v>
      </c>
      <c r="I2238" s="3">
        <v>0.43</v>
      </c>
      <c r="J2238">
        <v>0.31</v>
      </c>
      <c r="K2238">
        <v>3406.41</v>
      </c>
      <c r="L2238" t="s">
        <v>35</v>
      </c>
      <c r="M2238">
        <v>580</v>
      </c>
      <c r="N2238">
        <v>0.46</v>
      </c>
      <c r="O2238" s="3">
        <v>248.24</v>
      </c>
      <c r="P2238" s="3">
        <v>0.06</v>
      </c>
      <c r="Q2238" s="3">
        <v>357.15</v>
      </c>
      <c r="R2238" s="3">
        <v>0.08</v>
      </c>
      <c r="S2238">
        <v>4</v>
      </c>
      <c r="T2238">
        <v>910.69</v>
      </c>
      <c r="U2238">
        <v>63</v>
      </c>
      <c r="V2238">
        <v>0</v>
      </c>
      <c r="W2238">
        <v>422.13</v>
      </c>
      <c r="X2238">
        <v>1928.92</v>
      </c>
      <c r="Y2238" t="s">
        <v>36</v>
      </c>
      <c r="Z2238" s="3">
        <v>1229.73</v>
      </c>
      <c r="AA2238" t="s">
        <v>41</v>
      </c>
      <c r="AB2238" t="s">
        <v>33</v>
      </c>
      <c r="AC2238">
        <v>0.7</v>
      </c>
      <c r="AD2238" t="s">
        <v>38</v>
      </c>
      <c r="AE2238">
        <v>2429.6799999999998</v>
      </c>
      <c r="AF2238">
        <v>0</v>
      </c>
    </row>
    <row r="2239" spans="3:32" x14ac:dyDescent="0.35">
      <c r="C2239" s="1">
        <v>44786</v>
      </c>
      <c r="D2239" s="2">
        <v>44774</v>
      </c>
      <c r="E2239">
        <v>1602</v>
      </c>
      <c r="F2239" s="3">
        <v>5791.8</v>
      </c>
      <c r="G2239" s="3">
        <v>2095.54</v>
      </c>
      <c r="H2239" s="3">
        <v>3696.26</v>
      </c>
      <c r="I2239" s="3">
        <v>0.36</v>
      </c>
      <c r="J2239">
        <v>0.1</v>
      </c>
      <c r="K2239">
        <v>2531.15</v>
      </c>
      <c r="L2239" t="s">
        <v>30</v>
      </c>
      <c r="M2239">
        <v>634</v>
      </c>
      <c r="N2239">
        <v>0.53</v>
      </c>
      <c r="O2239" s="3">
        <v>578.9</v>
      </c>
      <c r="P2239" s="3">
        <v>0.1</v>
      </c>
      <c r="Q2239" s="3">
        <v>400.11</v>
      </c>
      <c r="R2239" s="3">
        <v>7.0000000000000007E-2</v>
      </c>
      <c r="S2239">
        <v>2</v>
      </c>
      <c r="T2239">
        <v>1295.6199999999999</v>
      </c>
      <c r="U2239">
        <v>46</v>
      </c>
      <c r="V2239">
        <v>0</v>
      </c>
      <c r="W2239">
        <v>500.96</v>
      </c>
      <c r="X2239">
        <v>1446.29</v>
      </c>
      <c r="Y2239" t="s">
        <v>36</v>
      </c>
      <c r="Z2239" s="3">
        <v>1471.42</v>
      </c>
      <c r="AA2239" t="s">
        <v>37</v>
      </c>
      <c r="AB2239" t="s">
        <v>42</v>
      </c>
      <c r="AC2239">
        <v>0.1</v>
      </c>
      <c r="AD2239" t="s">
        <v>34</v>
      </c>
      <c r="AE2239">
        <v>3696.26</v>
      </c>
      <c r="AF2239">
        <v>1</v>
      </c>
    </row>
    <row r="2240" spans="3:32" x14ac:dyDescent="0.35">
      <c r="C2240" s="1">
        <v>44786</v>
      </c>
      <c r="D2240" s="2">
        <v>44774</v>
      </c>
      <c r="E2240">
        <v>1474</v>
      </c>
      <c r="F2240" s="3">
        <v>4056.19</v>
      </c>
      <c r="G2240" s="3">
        <v>3141.52</v>
      </c>
      <c r="H2240" s="3">
        <v>914.67</v>
      </c>
      <c r="I2240" s="3">
        <v>0.77</v>
      </c>
      <c r="J2240">
        <v>0.35</v>
      </c>
      <c r="K2240">
        <v>2682.86</v>
      </c>
      <c r="L2240" t="s">
        <v>35</v>
      </c>
      <c r="M2240">
        <v>711</v>
      </c>
      <c r="N2240">
        <v>0.34</v>
      </c>
      <c r="O2240" s="3">
        <v>492.86</v>
      </c>
      <c r="P2240" s="3">
        <v>0.12</v>
      </c>
      <c r="Q2240" s="3">
        <v>463.65</v>
      </c>
      <c r="R2240" s="3">
        <v>0.11</v>
      </c>
      <c r="S2240">
        <v>4</v>
      </c>
      <c r="T2240">
        <v>1560.78</v>
      </c>
      <c r="U2240">
        <v>28</v>
      </c>
      <c r="V2240">
        <v>0</v>
      </c>
      <c r="W2240">
        <v>645.66</v>
      </c>
      <c r="X2240">
        <v>2701.24</v>
      </c>
      <c r="Y2240" t="s">
        <v>31</v>
      </c>
      <c r="Z2240" s="3">
        <v>1033.96</v>
      </c>
      <c r="AA2240" t="s">
        <v>48</v>
      </c>
      <c r="AB2240" t="s">
        <v>33</v>
      </c>
      <c r="AC2240">
        <v>36.9</v>
      </c>
      <c r="AD2240" t="s">
        <v>34</v>
      </c>
      <c r="AE2240">
        <v>914.67</v>
      </c>
      <c r="AF2240">
        <v>0</v>
      </c>
    </row>
    <row r="2241" spans="3:32" x14ac:dyDescent="0.35">
      <c r="C2241" s="1">
        <v>44786</v>
      </c>
      <c r="D2241" s="2">
        <v>44774</v>
      </c>
      <c r="E2241">
        <v>1655</v>
      </c>
      <c r="F2241" s="3">
        <v>4411.6899999999996</v>
      </c>
      <c r="G2241" s="3">
        <v>2921.08</v>
      </c>
      <c r="H2241" s="3">
        <v>1490.61</v>
      </c>
      <c r="I2241" s="3">
        <v>0.66</v>
      </c>
      <c r="J2241">
        <v>0.39</v>
      </c>
      <c r="K2241">
        <v>2702.22</v>
      </c>
      <c r="L2241" t="s">
        <v>30</v>
      </c>
      <c r="M2241">
        <v>629</v>
      </c>
      <c r="N2241">
        <v>0.42</v>
      </c>
      <c r="O2241" s="3">
        <v>800.1</v>
      </c>
      <c r="P2241" s="3">
        <v>0.18</v>
      </c>
      <c r="Q2241" s="3">
        <v>391.09</v>
      </c>
      <c r="R2241" s="3">
        <v>0.09</v>
      </c>
      <c r="S2241">
        <v>3</v>
      </c>
      <c r="T2241">
        <v>1538.68</v>
      </c>
      <c r="U2241">
        <v>24</v>
      </c>
      <c r="V2241">
        <v>0</v>
      </c>
      <c r="W2241">
        <v>346.55</v>
      </c>
      <c r="X2241">
        <v>2361.7600000000002</v>
      </c>
      <c r="Y2241" t="s">
        <v>36</v>
      </c>
      <c r="Z2241" s="3">
        <v>1306.6300000000001</v>
      </c>
      <c r="AA2241" t="s">
        <v>48</v>
      </c>
      <c r="AB2241" t="s">
        <v>33</v>
      </c>
      <c r="AC2241">
        <v>98.9</v>
      </c>
      <c r="AD2241" t="s">
        <v>38</v>
      </c>
      <c r="AE2241">
        <v>1490.61</v>
      </c>
      <c r="AF2241">
        <v>0</v>
      </c>
    </row>
    <row r="2242" spans="3:32" x14ac:dyDescent="0.35">
      <c r="C2242" s="1">
        <v>44786</v>
      </c>
      <c r="D2242" s="2">
        <v>44774</v>
      </c>
      <c r="E2242">
        <v>1279</v>
      </c>
      <c r="F2242" s="3">
        <v>4398.3900000000003</v>
      </c>
      <c r="G2242" s="3">
        <v>2229.6</v>
      </c>
      <c r="H2242" s="3">
        <v>2168.79</v>
      </c>
      <c r="I2242" s="3">
        <v>0.51</v>
      </c>
      <c r="J2242">
        <v>0.32</v>
      </c>
      <c r="K2242">
        <v>2899.53</v>
      </c>
      <c r="L2242" t="s">
        <v>35</v>
      </c>
      <c r="M2242">
        <v>727</v>
      </c>
      <c r="N2242">
        <v>0.25</v>
      </c>
      <c r="O2242" s="3">
        <v>334.13</v>
      </c>
      <c r="P2242" s="3">
        <v>0.08</v>
      </c>
      <c r="Q2242" s="3">
        <v>464.69</v>
      </c>
      <c r="R2242" s="3">
        <v>0.11</v>
      </c>
      <c r="S2242">
        <v>5</v>
      </c>
      <c r="T2242">
        <v>1389.12</v>
      </c>
      <c r="U2242">
        <v>82</v>
      </c>
      <c r="V2242">
        <v>0</v>
      </c>
      <c r="W2242">
        <v>459.42</v>
      </c>
      <c r="X2242">
        <v>1350.72</v>
      </c>
      <c r="Y2242" t="s">
        <v>36</v>
      </c>
      <c r="Z2242" s="3">
        <v>1154.53</v>
      </c>
      <c r="AA2242" t="s">
        <v>50</v>
      </c>
      <c r="AB2242" t="s">
        <v>33</v>
      </c>
      <c r="AC2242">
        <v>49.5</v>
      </c>
      <c r="AD2242" t="s">
        <v>43</v>
      </c>
      <c r="AE2242">
        <v>2168.79</v>
      </c>
      <c r="AF2242">
        <v>0</v>
      </c>
    </row>
    <row r="2243" spans="3:32" x14ac:dyDescent="0.35">
      <c r="C2243" s="1">
        <v>44786</v>
      </c>
      <c r="D2243" s="2">
        <v>44774</v>
      </c>
      <c r="E2243">
        <v>1949</v>
      </c>
      <c r="F2243" s="3">
        <v>3414.17</v>
      </c>
      <c r="G2243" s="3">
        <v>2806.78</v>
      </c>
      <c r="H2243" s="3">
        <v>607.39</v>
      </c>
      <c r="I2243" s="3">
        <v>0.82</v>
      </c>
      <c r="J2243">
        <v>0.28999999999999998</v>
      </c>
      <c r="K2243">
        <v>1734.43</v>
      </c>
      <c r="L2243" t="s">
        <v>30</v>
      </c>
      <c r="M2243">
        <v>749</v>
      </c>
      <c r="N2243">
        <v>0.53</v>
      </c>
      <c r="O2243" s="3">
        <v>917.82</v>
      </c>
      <c r="P2243" s="3">
        <v>0.27</v>
      </c>
      <c r="Q2243" s="3">
        <v>438.75</v>
      </c>
      <c r="R2243" s="3">
        <v>0.13</v>
      </c>
      <c r="S2243">
        <v>5</v>
      </c>
      <c r="T2243">
        <v>1061.82</v>
      </c>
      <c r="U2243">
        <v>69</v>
      </c>
      <c r="V2243">
        <v>0</v>
      </c>
      <c r="W2243">
        <v>153.80000000000001</v>
      </c>
      <c r="X2243">
        <v>2223.35</v>
      </c>
      <c r="Y2243" t="s">
        <v>36</v>
      </c>
      <c r="Z2243" s="3">
        <v>1484.99</v>
      </c>
      <c r="AA2243" t="s">
        <v>41</v>
      </c>
      <c r="AB2243" t="s">
        <v>33</v>
      </c>
      <c r="AC2243">
        <v>74.099999999999994</v>
      </c>
      <c r="AD2243" t="s">
        <v>34</v>
      </c>
      <c r="AE2243">
        <v>607.39</v>
      </c>
      <c r="AF2243">
        <v>0</v>
      </c>
    </row>
    <row r="2244" spans="3:32" x14ac:dyDescent="0.35">
      <c r="C2244" s="1">
        <v>44786</v>
      </c>
      <c r="D2244" s="2">
        <v>44774</v>
      </c>
      <c r="E2244">
        <v>1560</v>
      </c>
      <c r="F2244" s="3">
        <v>4082.93</v>
      </c>
      <c r="G2244" s="3">
        <v>3438.61</v>
      </c>
      <c r="H2244" s="3">
        <v>644.32000000000005</v>
      </c>
      <c r="I2244" s="3">
        <v>0.84</v>
      </c>
      <c r="J2244">
        <v>0.16</v>
      </c>
      <c r="K2244">
        <v>2727.08</v>
      </c>
      <c r="L2244" t="s">
        <v>30</v>
      </c>
      <c r="M2244">
        <v>676</v>
      </c>
      <c r="N2244">
        <v>0.54</v>
      </c>
      <c r="O2244" s="3">
        <v>620.24</v>
      </c>
      <c r="P2244" s="3">
        <v>0.15</v>
      </c>
      <c r="Q2244" s="3">
        <v>687.19</v>
      </c>
      <c r="R2244" s="3">
        <v>0.17</v>
      </c>
      <c r="S2244">
        <v>8</v>
      </c>
      <c r="T2244">
        <v>1156.5999999999999</v>
      </c>
      <c r="U2244">
        <v>49</v>
      </c>
      <c r="V2244">
        <v>0</v>
      </c>
      <c r="W2244">
        <v>415.21</v>
      </c>
      <c r="X2244">
        <v>2571.39</v>
      </c>
      <c r="Y2244" t="s">
        <v>36</v>
      </c>
      <c r="Z2244" s="3">
        <v>1240.75</v>
      </c>
      <c r="AA2244" t="s">
        <v>41</v>
      </c>
      <c r="AB2244" t="s">
        <v>33</v>
      </c>
      <c r="AC2244">
        <v>88.6</v>
      </c>
      <c r="AD2244" t="s">
        <v>38</v>
      </c>
      <c r="AE2244">
        <v>644.32000000000005</v>
      </c>
      <c r="AF2244">
        <v>0</v>
      </c>
    </row>
    <row r="2245" spans="3:32" x14ac:dyDescent="0.35">
      <c r="C2245" s="1">
        <v>44786</v>
      </c>
      <c r="D2245" s="2">
        <v>44774</v>
      </c>
      <c r="E2245">
        <v>1615</v>
      </c>
      <c r="F2245" s="3">
        <v>4252.3900000000003</v>
      </c>
      <c r="G2245" s="3">
        <v>4533.3900000000003</v>
      </c>
      <c r="H2245" s="3">
        <v>-281</v>
      </c>
      <c r="I2245" s="3">
        <v>1.07</v>
      </c>
      <c r="J2245">
        <v>0.05</v>
      </c>
      <c r="K2245">
        <v>2815.98</v>
      </c>
      <c r="L2245" t="s">
        <v>35</v>
      </c>
      <c r="M2245">
        <v>632</v>
      </c>
      <c r="N2245">
        <v>0.28999999999999998</v>
      </c>
      <c r="O2245" s="3">
        <v>499.31</v>
      </c>
      <c r="P2245" s="3">
        <v>0.12</v>
      </c>
      <c r="Q2245" s="3">
        <v>423.77</v>
      </c>
      <c r="R2245" s="3">
        <v>0.1</v>
      </c>
      <c r="S2245">
        <v>7</v>
      </c>
      <c r="T2245">
        <v>986.2</v>
      </c>
      <c r="U2245">
        <v>41</v>
      </c>
      <c r="V2245">
        <v>1</v>
      </c>
      <c r="W2245">
        <v>217.59</v>
      </c>
      <c r="X2245">
        <v>2445.7600000000002</v>
      </c>
      <c r="Y2245" t="s">
        <v>36</v>
      </c>
      <c r="Z2245" s="3">
        <v>903.47</v>
      </c>
      <c r="AA2245" t="s">
        <v>32</v>
      </c>
      <c r="AB2245" t="s">
        <v>33</v>
      </c>
      <c r="AC2245">
        <v>32.700000000000003</v>
      </c>
      <c r="AD2245" t="s">
        <v>43</v>
      </c>
      <c r="AE2245">
        <v>0</v>
      </c>
      <c r="AF2245">
        <v>0</v>
      </c>
    </row>
    <row r="2246" spans="3:32" x14ac:dyDescent="0.35">
      <c r="C2246" s="1">
        <v>44786</v>
      </c>
      <c r="D2246" s="2">
        <v>44774</v>
      </c>
      <c r="E2246">
        <v>1927</v>
      </c>
      <c r="F2246" s="3">
        <v>6737.39</v>
      </c>
      <c r="G2246" s="3">
        <v>2520.88</v>
      </c>
      <c r="H2246" s="3">
        <v>4216.51</v>
      </c>
      <c r="I2246" s="3">
        <v>0.37</v>
      </c>
      <c r="J2246">
        <v>0.33</v>
      </c>
      <c r="K2246">
        <v>2706.73</v>
      </c>
      <c r="L2246" t="s">
        <v>30</v>
      </c>
      <c r="M2246">
        <v>633</v>
      </c>
      <c r="N2246">
        <v>0.2</v>
      </c>
      <c r="O2246" s="3">
        <v>997.38</v>
      </c>
      <c r="P2246" s="3">
        <v>0.15</v>
      </c>
      <c r="Q2246" s="3">
        <v>362.73</v>
      </c>
      <c r="R2246" s="3">
        <v>0.05</v>
      </c>
      <c r="S2246">
        <v>3</v>
      </c>
      <c r="T2246">
        <v>966.75</v>
      </c>
      <c r="U2246">
        <v>42</v>
      </c>
      <c r="V2246">
        <v>0</v>
      </c>
      <c r="W2246">
        <v>529.83000000000004</v>
      </c>
      <c r="X2246">
        <v>1313.8</v>
      </c>
      <c r="Y2246" t="s">
        <v>49</v>
      </c>
      <c r="Z2246" s="3">
        <v>814.94</v>
      </c>
      <c r="AA2246" t="s">
        <v>51</v>
      </c>
      <c r="AB2246" t="s">
        <v>44</v>
      </c>
      <c r="AC2246">
        <v>76.8</v>
      </c>
      <c r="AD2246" t="s">
        <v>38</v>
      </c>
      <c r="AE2246">
        <v>4216.51</v>
      </c>
      <c r="AF2246">
        <v>1</v>
      </c>
    </row>
    <row r="2247" spans="3:32" x14ac:dyDescent="0.35">
      <c r="C2247" s="1">
        <v>44786</v>
      </c>
      <c r="D2247" s="2">
        <v>44774</v>
      </c>
      <c r="E2247">
        <v>1514</v>
      </c>
      <c r="F2247" s="3">
        <v>3337.61</v>
      </c>
      <c r="G2247" s="3">
        <v>3491.33</v>
      </c>
      <c r="H2247" s="3">
        <v>-153.72</v>
      </c>
      <c r="I2247" s="3">
        <v>1.05</v>
      </c>
      <c r="J2247">
        <v>0.27</v>
      </c>
      <c r="K2247">
        <v>2247.4699999999998</v>
      </c>
      <c r="L2247" t="s">
        <v>35</v>
      </c>
      <c r="M2247">
        <v>590</v>
      </c>
      <c r="N2247">
        <v>0.4</v>
      </c>
      <c r="O2247" s="3">
        <v>542.22</v>
      </c>
      <c r="P2247" s="3">
        <v>0.16</v>
      </c>
      <c r="Q2247" s="3">
        <v>288.37</v>
      </c>
      <c r="R2247" s="3">
        <v>0.09</v>
      </c>
      <c r="S2247">
        <v>8</v>
      </c>
      <c r="T2247">
        <v>941.54</v>
      </c>
      <c r="U2247">
        <v>37</v>
      </c>
      <c r="V2247">
        <v>0</v>
      </c>
      <c r="W2247">
        <v>550.48</v>
      </c>
      <c r="X2247">
        <v>1924.02</v>
      </c>
      <c r="Y2247" t="s">
        <v>49</v>
      </c>
      <c r="Z2247" s="3">
        <v>699.54</v>
      </c>
      <c r="AA2247" t="s">
        <v>48</v>
      </c>
      <c r="AB2247" t="s">
        <v>42</v>
      </c>
      <c r="AC2247">
        <v>38.5</v>
      </c>
      <c r="AD2247" t="s">
        <v>34</v>
      </c>
      <c r="AE2247">
        <v>0</v>
      </c>
      <c r="AF2247">
        <v>0</v>
      </c>
    </row>
    <row r="2248" spans="3:32" x14ac:dyDescent="0.35">
      <c r="C2248" s="1">
        <v>44786</v>
      </c>
      <c r="D2248" s="2">
        <v>44774</v>
      </c>
      <c r="E2248">
        <v>1079</v>
      </c>
      <c r="F2248" s="3">
        <v>3674.29</v>
      </c>
      <c r="G2248" s="3">
        <v>2291.63</v>
      </c>
      <c r="H2248" s="3">
        <v>1382.66</v>
      </c>
      <c r="I2248" s="3">
        <v>0.62</v>
      </c>
      <c r="J2248">
        <v>7.0000000000000007E-2</v>
      </c>
      <c r="K2248">
        <v>2325.5100000000002</v>
      </c>
      <c r="L2248" t="s">
        <v>35</v>
      </c>
      <c r="M2248">
        <v>812</v>
      </c>
      <c r="N2248">
        <v>0.49</v>
      </c>
      <c r="O2248" s="3">
        <v>337.69</v>
      </c>
      <c r="P2248" s="3">
        <v>0.09</v>
      </c>
      <c r="Q2248" s="3">
        <v>317.35000000000002</v>
      </c>
      <c r="R2248" s="3">
        <v>0.09</v>
      </c>
      <c r="S2248">
        <v>7</v>
      </c>
      <c r="T2248">
        <v>992.21</v>
      </c>
      <c r="U2248">
        <v>84</v>
      </c>
      <c r="V2248">
        <v>0</v>
      </c>
      <c r="W2248">
        <v>428.84</v>
      </c>
      <c r="X2248">
        <v>2250.66</v>
      </c>
      <c r="Y2248" t="s">
        <v>36</v>
      </c>
      <c r="Z2248" s="3">
        <v>1400.5</v>
      </c>
      <c r="AA2248" t="s">
        <v>46</v>
      </c>
      <c r="AB2248" t="s">
        <v>33</v>
      </c>
      <c r="AC2248">
        <v>48.3</v>
      </c>
      <c r="AD2248" t="s">
        <v>43</v>
      </c>
      <c r="AE2248">
        <v>1382.66</v>
      </c>
      <c r="AF2248">
        <v>0</v>
      </c>
    </row>
    <row r="2249" spans="3:32" x14ac:dyDescent="0.35">
      <c r="C2249" s="1">
        <v>44786</v>
      </c>
      <c r="D2249" s="2">
        <v>44774</v>
      </c>
      <c r="E2249">
        <v>1519</v>
      </c>
      <c r="F2249" s="3">
        <v>5455.07</v>
      </c>
      <c r="G2249" s="3">
        <v>2837.07</v>
      </c>
      <c r="H2249" s="3">
        <v>2618</v>
      </c>
      <c r="I2249" s="3">
        <v>0.52</v>
      </c>
      <c r="J2249">
        <v>0.2</v>
      </c>
      <c r="K2249">
        <v>2297.2199999999998</v>
      </c>
      <c r="L2249" t="s">
        <v>35</v>
      </c>
      <c r="M2249">
        <v>754</v>
      </c>
      <c r="N2249">
        <v>0.14000000000000001</v>
      </c>
      <c r="O2249" s="3">
        <v>233.27</v>
      </c>
      <c r="P2249" s="3">
        <v>0.04</v>
      </c>
      <c r="Q2249" s="3">
        <v>532.26</v>
      </c>
      <c r="R2249" s="3">
        <v>0.1</v>
      </c>
      <c r="S2249">
        <v>5</v>
      </c>
      <c r="T2249">
        <v>1470.04</v>
      </c>
      <c r="U2249">
        <v>42</v>
      </c>
      <c r="V2249">
        <v>0</v>
      </c>
      <c r="W2249">
        <v>470.47</v>
      </c>
      <c r="X2249">
        <v>2678.14</v>
      </c>
      <c r="Y2249" t="s">
        <v>31</v>
      </c>
      <c r="Z2249" s="3">
        <v>1122.42</v>
      </c>
      <c r="AA2249" t="s">
        <v>41</v>
      </c>
      <c r="AB2249" t="s">
        <v>44</v>
      </c>
      <c r="AC2249">
        <v>40.299999999999997</v>
      </c>
      <c r="AD2249" t="s">
        <v>34</v>
      </c>
      <c r="AE2249">
        <v>2618</v>
      </c>
      <c r="AF2249">
        <v>1</v>
      </c>
    </row>
    <row r="2250" spans="3:32" x14ac:dyDescent="0.35">
      <c r="C2250" s="1">
        <v>44786</v>
      </c>
      <c r="D2250" s="2">
        <v>44774</v>
      </c>
      <c r="E2250">
        <v>1265</v>
      </c>
      <c r="F2250" s="3">
        <v>1980.37</v>
      </c>
      <c r="G2250" s="3">
        <v>3628.76</v>
      </c>
      <c r="H2250" s="3">
        <v>-1648.39</v>
      </c>
      <c r="I2250" s="3">
        <v>1.83</v>
      </c>
      <c r="J2250">
        <v>0.2</v>
      </c>
      <c r="K2250">
        <v>2585.87</v>
      </c>
      <c r="L2250" t="s">
        <v>35</v>
      </c>
      <c r="M2250">
        <v>615</v>
      </c>
      <c r="N2250">
        <v>0.41</v>
      </c>
      <c r="O2250" s="3">
        <v>549.92999999999995</v>
      </c>
      <c r="P2250" s="3">
        <v>0.28000000000000003</v>
      </c>
      <c r="Q2250" s="3">
        <v>370.39</v>
      </c>
      <c r="R2250" s="3">
        <v>0.19</v>
      </c>
      <c r="S2250">
        <v>1</v>
      </c>
      <c r="T2250">
        <v>1308.53</v>
      </c>
      <c r="U2250">
        <v>76</v>
      </c>
      <c r="V2250">
        <v>0</v>
      </c>
      <c r="W2250">
        <v>339.73</v>
      </c>
      <c r="X2250">
        <v>1931.89</v>
      </c>
      <c r="Y2250" t="s">
        <v>36</v>
      </c>
      <c r="Z2250" s="3">
        <v>980.77</v>
      </c>
      <c r="AA2250" t="s">
        <v>47</v>
      </c>
      <c r="AB2250" t="s">
        <v>42</v>
      </c>
      <c r="AC2250">
        <v>57.2</v>
      </c>
      <c r="AD2250" t="s">
        <v>43</v>
      </c>
      <c r="AE2250">
        <v>0</v>
      </c>
      <c r="AF2250">
        <v>0</v>
      </c>
    </row>
    <row r="2251" spans="3:32" x14ac:dyDescent="0.35">
      <c r="C2251" s="1">
        <v>44786</v>
      </c>
      <c r="D2251" s="2">
        <v>44774</v>
      </c>
      <c r="E2251">
        <v>1505</v>
      </c>
      <c r="F2251" s="3">
        <v>4102.74</v>
      </c>
      <c r="G2251" s="3">
        <v>2539.84</v>
      </c>
      <c r="H2251" s="3">
        <v>1562.9</v>
      </c>
      <c r="I2251" s="3">
        <v>0.62</v>
      </c>
      <c r="J2251">
        <v>0.27</v>
      </c>
      <c r="K2251">
        <v>2763.23</v>
      </c>
      <c r="L2251" t="s">
        <v>39</v>
      </c>
      <c r="M2251">
        <v>655</v>
      </c>
      <c r="N2251">
        <v>0.54</v>
      </c>
      <c r="O2251" s="3">
        <v>354.77</v>
      </c>
      <c r="P2251" s="3">
        <v>0.09</v>
      </c>
      <c r="Q2251" s="3">
        <v>124.01</v>
      </c>
      <c r="R2251" s="3">
        <v>0.03</v>
      </c>
      <c r="S2251">
        <v>2</v>
      </c>
      <c r="T2251">
        <v>901.13</v>
      </c>
      <c r="U2251">
        <v>84</v>
      </c>
      <c r="V2251">
        <v>0</v>
      </c>
      <c r="W2251">
        <v>891.01</v>
      </c>
      <c r="X2251">
        <v>2263.92</v>
      </c>
      <c r="Y2251" t="s">
        <v>36</v>
      </c>
      <c r="Z2251" s="3">
        <v>1139.67</v>
      </c>
      <c r="AA2251" t="s">
        <v>51</v>
      </c>
      <c r="AB2251" t="s">
        <v>33</v>
      </c>
      <c r="AC2251">
        <v>30.3</v>
      </c>
      <c r="AD2251" t="s">
        <v>43</v>
      </c>
      <c r="AE2251">
        <v>1562.9</v>
      </c>
      <c r="AF2251">
        <v>0</v>
      </c>
    </row>
    <row r="2252" spans="3:32" x14ac:dyDescent="0.35">
      <c r="C2252" s="1">
        <v>44816</v>
      </c>
      <c r="D2252" s="2">
        <v>44805</v>
      </c>
      <c r="E2252">
        <v>1957</v>
      </c>
      <c r="F2252" s="3">
        <v>1900.97</v>
      </c>
      <c r="G2252" s="3">
        <v>3577.86</v>
      </c>
      <c r="H2252" s="3">
        <v>-1676.89</v>
      </c>
      <c r="I2252" s="3">
        <v>1.88</v>
      </c>
      <c r="J2252">
        <v>0.4</v>
      </c>
      <c r="K2252">
        <v>3450.97</v>
      </c>
      <c r="L2252" t="s">
        <v>39</v>
      </c>
      <c r="M2252">
        <v>744</v>
      </c>
      <c r="N2252">
        <v>0.31</v>
      </c>
      <c r="O2252" s="3">
        <v>548.82000000000005</v>
      </c>
      <c r="P2252" s="3">
        <v>0.28999999999999998</v>
      </c>
      <c r="Q2252" s="3">
        <v>237.28</v>
      </c>
      <c r="R2252" s="3">
        <v>0.12</v>
      </c>
      <c r="S2252">
        <v>9</v>
      </c>
      <c r="T2252">
        <v>1398.07</v>
      </c>
      <c r="U2252">
        <v>35</v>
      </c>
      <c r="V2252">
        <v>0</v>
      </c>
      <c r="W2252">
        <v>719.91</v>
      </c>
      <c r="X2252">
        <v>2969.82</v>
      </c>
      <c r="Y2252" t="s">
        <v>36</v>
      </c>
      <c r="Z2252" s="3">
        <v>1418.73</v>
      </c>
      <c r="AA2252" t="s">
        <v>46</v>
      </c>
      <c r="AB2252" t="s">
        <v>33</v>
      </c>
      <c r="AC2252">
        <v>5.2</v>
      </c>
      <c r="AD2252" t="s">
        <v>34</v>
      </c>
      <c r="AE2252">
        <v>0</v>
      </c>
      <c r="AF2252">
        <v>0</v>
      </c>
    </row>
    <row r="2253" spans="3:32" x14ac:dyDescent="0.35">
      <c r="C2253" s="1">
        <v>44816</v>
      </c>
      <c r="D2253" s="2">
        <v>44805</v>
      </c>
      <c r="E2253">
        <v>1579</v>
      </c>
      <c r="F2253" s="3">
        <v>3062.59</v>
      </c>
      <c r="G2253" s="3">
        <v>2374.1799999999998</v>
      </c>
      <c r="H2253" s="3">
        <v>688.41</v>
      </c>
      <c r="I2253" s="3">
        <v>0.78</v>
      </c>
      <c r="J2253">
        <v>0.37</v>
      </c>
      <c r="K2253">
        <v>2715.38</v>
      </c>
      <c r="L2253" t="s">
        <v>35</v>
      </c>
      <c r="M2253">
        <v>691</v>
      </c>
      <c r="N2253">
        <v>0.28000000000000003</v>
      </c>
      <c r="O2253" s="3">
        <v>492.44</v>
      </c>
      <c r="P2253" s="3">
        <v>0.16</v>
      </c>
      <c r="Q2253" s="3">
        <v>312.52999999999997</v>
      </c>
      <c r="R2253" s="3">
        <v>0.1</v>
      </c>
      <c r="S2253">
        <v>6</v>
      </c>
      <c r="T2253">
        <v>1952.76</v>
      </c>
      <c r="U2253">
        <v>49</v>
      </c>
      <c r="V2253">
        <v>0</v>
      </c>
      <c r="W2253">
        <v>799.8</v>
      </c>
      <c r="X2253">
        <v>2231.37</v>
      </c>
      <c r="Y2253" t="s">
        <v>31</v>
      </c>
      <c r="Z2253" s="3">
        <v>1034.3699999999999</v>
      </c>
      <c r="AA2253" t="s">
        <v>32</v>
      </c>
      <c r="AB2253" t="s">
        <v>42</v>
      </c>
      <c r="AC2253">
        <v>33.299999999999997</v>
      </c>
      <c r="AD2253" t="s">
        <v>43</v>
      </c>
      <c r="AE2253">
        <v>688.41</v>
      </c>
      <c r="AF2253">
        <v>0</v>
      </c>
    </row>
    <row r="2254" spans="3:32" x14ac:dyDescent="0.35">
      <c r="C2254" s="1">
        <v>44816</v>
      </c>
      <c r="D2254" s="2">
        <v>44805</v>
      </c>
      <c r="E2254">
        <v>1643</v>
      </c>
      <c r="F2254" s="3">
        <v>3751.22</v>
      </c>
      <c r="G2254" s="3">
        <v>4491.63</v>
      </c>
      <c r="H2254" s="3">
        <v>-740.41</v>
      </c>
      <c r="I2254" s="3">
        <v>1.2</v>
      </c>
      <c r="J2254">
        <v>0.14000000000000001</v>
      </c>
      <c r="K2254">
        <v>3562.7</v>
      </c>
      <c r="L2254" t="s">
        <v>35</v>
      </c>
      <c r="M2254">
        <v>672</v>
      </c>
      <c r="N2254">
        <v>0.48</v>
      </c>
      <c r="O2254" s="3">
        <v>210.01</v>
      </c>
      <c r="P2254" s="3">
        <v>0.06</v>
      </c>
      <c r="Q2254" s="3">
        <v>391.71</v>
      </c>
      <c r="R2254" s="3">
        <v>0.1</v>
      </c>
      <c r="S2254">
        <v>5</v>
      </c>
      <c r="T2254">
        <v>1726.02</v>
      </c>
      <c r="U2254">
        <v>25</v>
      </c>
      <c r="V2254">
        <v>0</v>
      </c>
      <c r="W2254">
        <v>357.57</v>
      </c>
      <c r="X2254">
        <v>1613.11</v>
      </c>
      <c r="Y2254" t="s">
        <v>36</v>
      </c>
      <c r="Z2254" s="3">
        <v>583.67999999999995</v>
      </c>
      <c r="AA2254" t="s">
        <v>48</v>
      </c>
      <c r="AB2254" t="s">
        <v>44</v>
      </c>
      <c r="AC2254">
        <v>78.400000000000006</v>
      </c>
      <c r="AD2254" t="s">
        <v>34</v>
      </c>
      <c r="AE2254">
        <v>0</v>
      </c>
      <c r="AF2254">
        <v>0</v>
      </c>
    </row>
    <row r="2255" spans="3:32" x14ac:dyDescent="0.35">
      <c r="C2255" s="1">
        <v>44816</v>
      </c>
      <c r="D2255" s="2">
        <v>44805</v>
      </c>
      <c r="E2255">
        <v>1005</v>
      </c>
      <c r="F2255" s="3">
        <v>5907.23</v>
      </c>
      <c r="G2255" s="3">
        <v>2670.07</v>
      </c>
      <c r="H2255" s="3">
        <v>3237.16</v>
      </c>
      <c r="I2255" s="3">
        <v>0.45</v>
      </c>
      <c r="J2255">
        <v>0.31</v>
      </c>
      <c r="K2255">
        <v>2905.78</v>
      </c>
      <c r="L2255" t="s">
        <v>35</v>
      </c>
      <c r="M2255">
        <v>688</v>
      </c>
      <c r="N2255">
        <v>0.15</v>
      </c>
      <c r="O2255" s="3">
        <v>558.97</v>
      </c>
      <c r="P2255" s="3">
        <v>0.09</v>
      </c>
      <c r="Q2255" s="3">
        <v>398.13</v>
      </c>
      <c r="R2255" s="3">
        <v>7.0000000000000007E-2</v>
      </c>
      <c r="S2255">
        <v>5</v>
      </c>
      <c r="T2255">
        <v>1354.07</v>
      </c>
      <c r="U2255">
        <v>64</v>
      </c>
      <c r="V2255">
        <v>0</v>
      </c>
      <c r="W2255">
        <v>658.11</v>
      </c>
      <c r="X2255">
        <v>2295.59</v>
      </c>
      <c r="Y2255" t="s">
        <v>36</v>
      </c>
      <c r="Z2255" s="3">
        <v>1208.49</v>
      </c>
      <c r="AA2255" t="s">
        <v>32</v>
      </c>
      <c r="AB2255" t="s">
        <v>44</v>
      </c>
      <c r="AC2255">
        <v>25.3</v>
      </c>
      <c r="AD2255" t="s">
        <v>34</v>
      </c>
      <c r="AE2255">
        <v>3237.16</v>
      </c>
      <c r="AF2255">
        <v>1</v>
      </c>
    </row>
    <row r="2256" spans="3:32" x14ac:dyDescent="0.35">
      <c r="C2256" s="1">
        <v>44816</v>
      </c>
      <c r="D2256" s="2">
        <v>44805</v>
      </c>
      <c r="E2256">
        <v>1568</v>
      </c>
      <c r="F2256" s="3">
        <v>3688.35</v>
      </c>
      <c r="G2256" s="3">
        <v>3530.27</v>
      </c>
      <c r="H2256" s="3">
        <v>158.08000000000001</v>
      </c>
      <c r="I2256" s="3">
        <v>0.96</v>
      </c>
      <c r="J2256">
        <v>0.24</v>
      </c>
      <c r="K2256">
        <v>2616.1999999999998</v>
      </c>
      <c r="L2256" t="s">
        <v>39</v>
      </c>
      <c r="M2256">
        <v>643</v>
      </c>
      <c r="N2256">
        <v>0.27</v>
      </c>
      <c r="O2256" s="3">
        <v>386.02</v>
      </c>
      <c r="P2256" s="3">
        <v>0.1</v>
      </c>
      <c r="Q2256" s="3">
        <v>513.42999999999995</v>
      </c>
      <c r="R2256" s="3">
        <v>0.14000000000000001</v>
      </c>
      <c r="S2256">
        <v>4</v>
      </c>
      <c r="T2256">
        <v>1373.92</v>
      </c>
      <c r="U2256">
        <v>25</v>
      </c>
      <c r="V2256">
        <v>0</v>
      </c>
      <c r="W2256">
        <v>612.91</v>
      </c>
      <c r="X2256">
        <v>2005.82</v>
      </c>
      <c r="Y2256" t="s">
        <v>36</v>
      </c>
      <c r="Z2256" s="3">
        <v>993.77</v>
      </c>
      <c r="AA2256" t="s">
        <v>51</v>
      </c>
      <c r="AB2256" t="s">
        <v>33</v>
      </c>
      <c r="AC2256">
        <v>42.3</v>
      </c>
      <c r="AD2256" t="s">
        <v>38</v>
      </c>
      <c r="AE2256">
        <v>158.08000000000001</v>
      </c>
      <c r="AF2256">
        <v>0</v>
      </c>
    </row>
    <row r="2257" spans="3:32" x14ac:dyDescent="0.35">
      <c r="C2257" s="1">
        <v>44816</v>
      </c>
      <c r="D2257" s="2">
        <v>44805</v>
      </c>
      <c r="E2257">
        <v>1654</v>
      </c>
      <c r="F2257" s="3">
        <v>2418.64</v>
      </c>
      <c r="G2257" s="3">
        <v>2258.62</v>
      </c>
      <c r="H2257" s="3">
        <v>160.02000000000001</v>
      </c>
      <c r="I2257" s="3">
        <v>0.93</v>
      </c>
      <c r="J2257">
        <v>0.32</v>
      </c>
      <c r="K2257">
        <v>2679.51</v>
      </c>
      <c r="L2257" t="s">
        <v>39</v>
      </c>
      <c r="M2257">
        <v>614</v>
      </c>
      <c r="N2257">
        <v>0.1</v>
      </c>
      <c r="O2257" s="3">
        <v>424.5</v>
      </c>
      <c r="P2257" s="3">
        <v>0.18</v>
      </c>
      <c r="Q2257" s="3">
        <v>444.16</v>
      </c>
      <c r="R2257" s="3">
        <v>0.18</v>
      </c>
      <c r="S2257">
        <v>7</v>
      </c>
      <c r="T2257">
        <v>653.59</v>
      </c>
      <c r="U2257">
        <v>58</v>
      </c>
      <c r="V2257">
        <v>0</v>
      </c>
      <c r="W2257">
        <v>432.82</v>
      </c>
      <c r="X2257">
        <v>3255.69</v>
      </c>
      <c r="Y2257" t="s">
        <v>31</v>
      </c>
      <c r="Z2257" s="3">
        <v>781.41</v>
      </c>
      <c r="AA2257" t="s">
        <v>48</v>
      </c>
      <c r="AB2257" t="s">
        <v>44</v>
      </c>
      <c r="AC2257">
        <v>48</v>
      </c>
      <c r="AD2257" t="s">
        <v>34</v>
      </c>
      <c r="AE2257">
        <v>160.02000000000001</v>
      </c>
      <c r="AF2257">
        <v>0</v>
      </c>
    </row>
    <row r="2258" spans="3:32" x14ac:dyDescent="0.35">
      <c r="C2258" s="1">
        <v>44816</v>
      </c>
      <c r="D2258" s="2">
        <v>44805</v>
      </c>
      <c r="E2258">
        <v>1626</v>
      </c>
      <c r="F2258" s="3">
        <v>3167.23</v>
      </c>
      <c r="G2258" s="3">
        <v>4907.5</v>
      </c>
      <c r="H2258" s="3">
        <v>-1740.27</v>
      </c>
      <c r="I2258" s="3">
        <v>1.55</v>
      </c>
      <c r="J2258">
        <v>0.17</v>
      </c>
      <c r="K2258">
        <v>3214.17</v>
      </c>
      <c r="L2258" t="s">
        <v>30</v>
      </c>
      <c r="M2258">
        <v>705</v>
      </c>
      <c r="N2258">
        <v>0.19</v>
      </c>
      <c r="O2258" s="3">
        <v>331.45</v>
      </c>
      <c r="P2258" s="3">
        <v>0.1</v>
      </c>
      <c r="Q2258" s="3">
        <v>225.88</v>
      </c>
      <c r="R2258" s="3">
        <v>7.0000000000000007E-2</v>
      </c>
      <c r="S2258">
        <v>7</v>
      </c>
      <c r="T2258">
        <v>1117.3499999999999</v>
      </c>
      <c r="U2258">
        <v>56</v>
      </c>
      <c r="V2258">
        <v>0</v>
      </c>
      <c r="W2258">
        <v>280.83999999999997</v>
      </c>
      <c r="X2258">
        <v>2712.07</v>
      </c>
      <c r="Y2258" t="s">
        <v>36</v>
      </c>
      <c r="Z2258" s="3">
        <v>792.28</v>
      </c>
      <c r="AA2258" t="s">
        <v>45</v>
      </c>
      <c r="AB2258" t="s">
        <v>44</v>
      </c>
      <c r="AC2258">
        <v>76.2</v>
      </c>
      <c r="AD2258" t="s">
        <v>34</v>
      </c>
      <c r="AE2258">
        <v>0</v>
      </c>
      <c r="AF2258">
        <v>0</v>
      </c>
    </row>
    <row r="2259" spans="3:32" x14ac:dyDescent="0.35">
      <c r="C2259" s="1">
        <v>44816</v>
      </c>
      <c r="D2259" s="2">
        <v>44805</v>
      </c>
      <c r="E2259">
        <v>1392</v>
      </c>
      <c r="F2259" s="3">
        <v>5198.04</v>
      </c>
      <c r="G2259" s="3">
        <v>4072.54</v>
      </c>
      <c r="H2259" s="3">
        <v>1125.5</v>
      </c>
      <c r="I2259" s="3">
        <v>0.78</v>
      </c>
      <c r="J2259">
        <v>0.12</v>
      </c>
      <c r="K2259">
        <v>3192.61</v>
      </c>
      <c r="L2259" t="s">
        <v>39</v>
      </c>
      <c r="M2259">
        <v>708</v>
      </c>
      <c r="N2259">
        <v>0.14000000000000001</v>
      </c>
      <c r="O2259" s="3">
        <v>323.62</v>
      </c>
      <c r="P2259" s="3">
        <v>0.06</v>
      </c>
      <c r="Q2259" s="3">
        <v>61.64</v>
      </c>
      <c r="R2259" s="3">
        <v>0.01</v>
      </c>
      <c r="S2259">
        <v>9</v>
      </c>
      <c r="T2259">
        <v>1114.1600000000001</v>
      </c>
      <c r="U2259">
        <v>32</v>
      </c>
      <c r="V2259">
        <v>0</v>
      </c>
      <c r="W2259">
        <v>428.78</v>
      </c>
      <c r="X2259">
        <v>1966.94</v>
      </c>
      <c r="Y2259" t="s">
        <v>36</v>
      </c>
      <c r="Z2259" s="3">
        <v>1346.04</v>
      </c>
      <c r="AA2259" t="s">
        <v>41</v>
      </c>
      <c r="AB2259" t="s">
        <v>44</v>
      </c>
      <c r="AC2259">
        <v>33.200000000000003</v>
      </c>
      <c r="AD2259" t="s">
        <v>34</v>
      </c>
      <c r="AE2259">
        <v>1125.5</v>
      </c>
      <c r="AF2259">
        <v>0</v>
      </c>
    </row>
    <row r="2260" spans="3:32" x14ac:dyDescent="0.35">
      <c r="C2260" s="1">
        <v>44816</v>
      </c>
      <c r="D2260" s="2">
        <v>44805</v>
      </c>
      <c r="E2260">
        <v>1833</v>
      </c>
      <c r="F2260" s="3">
        <v>6285.31</v>
      </c>
      <c r="G2260" s="3">
        <v>2453.77</v>
      </c>
      <c r="H2260" s="3">
        <v>3831.54</v>
      </c>
      <c r="I2260" s="3">
        <v>0.39</v>
      </c>
      <c r="J2260">
        <v>0.25</v>
      </c>
      <c r="K2260">
        <v>2848.22</v>
      </c>
      <c r="L2260" t="s">
        <v>35</v>
      </c>
      <c r="M2260">
        <v>671</v>
      </c>
      <c r="N2260">
        <v>0.35</v>
      </c>
      <c r="O2260" s="3">
        <v>480.79</v>
      </c>
      <c r="P2260" s="3">
        <v>0.08</v>
      </c>
      <c r="Q2260" s="3">
        <v>192.97</v>
      </c>
      <c r="R2260" s="3">
        <v>0.03</v>
      </c>
      <c r="S2260">
        <v>7</v>
      </c>
      <c r="T2260">
        <v>1136</v>
      </c>
      <c r="U2260">
        <v>41</v>
      </c>
      <c r="V2260">
        <v>0</v>
      </c>
      <c r="W2260">
        <v>468.34</v>
      </c>
      <c r="X2260">
        <v>3114.21</v>
      </c>
      <c r="Y2260" t="s">
        <v>31</v>
      </c>
      <c r="Z2260" s="3">
        <v>1805.69</v>
      </c>
      <c r="AA2260" t="s">
        <v>32</v>
      </c>
      <c r="AB2260" t="s">
        <v>33</v>
      </c>
      <c r="AC2260">
        <v>51.4</v>
      </c>
      <c r="AD2260" t="s">
        <v>34</v>
      </c>
      <c r="AE2260">
        <v>3831.54</v>
      </c>
      <c r="AF2260">
        <v>1</v>
      </c>
    </row>
    <row r="2261" spans="3:32" x14ac:dyDescent="0.35">
      <c r="C2261" s="1">
        <v>44816</v>
      </c>
      <c r="D2261" s="2">
        <v>44805</v>
      </c>
      <c r="E2261">
        <v>1885</v>
      </c>
      <c r="F2261" s="3">
        <v>5065.2700000000004</v>
      </c>
      <c r="G2261" s="3">
        <v>3075.08</v>
      </c>
      <c r="H2261" s="3">
        <v>1990.19</v>
      </c>
      <c r="I2261" s="3">
        <v>0.61</v>
      </c>
      <c r="J2261">
        <v>0.14000000000000001</v>
      </c>
      <c r="K2261">
        <v>2044.48</v>
      </c>
      <c r="L2261" t="s">
        <v>35</v>
      </c>
      <c r="M2261">
        <v>585</v>
      </c>
      <c r="N2261">
        <v>0.5</v>
      </c>
      <c r="O2261" s="3">
        <v>676.05</v>
      </c>
      <c r="P2261" s="3">
        <v>0.13</v>
      </c>
      <c r="Q2261" s="3">
        <v>273.97000000000003</v>
      </c>
      <c r="R2261" s="3">
        <v>0.05</v>
      </c>
      <c r="S2261">
        <v>4</v>
      </c>
      <c r="T2261">
        <v>1571.9</v>
      </c>
      <c r="U2261">
        <v>87</v>
      </c>
      <c r="V2261">
        <v>0</v>
      </c>
      <c r="W2261">
        <v>895.88</v>
      </c>
      <c r="X2261">
        <v>1786.58</v>
      </c>
      <c r="Y2261" t="s">
        <v>36</v>
      </c>
      <c r="Z2261" s="3">
        <v>1661.15</v>
      </c>
      <c r="AA2261" t="s">
        <v>37</v>
      </c>
      <c r="AB2261" t="s">
        <v>33</v>
      </c>
      <c r="AC2261">
        <v>20.8</v>
      </c>
      <c r="AD2261" t="s">
        <v>38</v>
      </c>
      <c r="AE2261">
        <v>1990.19</v>
      </c>
      <c r="AF2261">
        <v>0</v>
      </c>
    </row>
    <row r="2262" spans="3:32" x14ac:dyDescent="0.35">
      <c r="C2262" s="1">
        <v>44816</v>
      </c>
      <c r="D2262" s="2">
        <v>44805</v>
      </c>
      <c r="E2262">
        <v>1121</v>
      </c>
      <c r="F2262" s="3">
        <v>4226.28</v>
      </c>
      <c r="G2262" s="3">
        <v>3012.43</v>
      </c>
      <c r="H2262" s="3">
        <v>1213.8499999999999</v>
      </c>
      <c r="I2262" s="3">
        <v>0.71</v>
      </c>
      <c r="J2262">
        <v>0.09</v>
      </c>
      <c r="K2262">
        <v>2664.69</v>
      </c>
      <c r="L2262" t="s">
        <v>39</v>
      </c>
      <c r="M2262">
        <v>761</v>
      </c>
      <c r="N2262">
        <v>0.56999999999999995</v>
      </c>
      <c r="O2262" s="3">
        <v>303.42</v>
      </c>
      <c r="P2262" s="3">
        <v>7.0000000000000007E-2</v>
      </c>
      <c r="Q2262" s="3">
        <v>454.08</v>
      </c>
      <c r="R2262" s="3">
        <v>0.11</v>
      </c>
      <c r="S2262">
        <v>9</v>
      </c>
      <c r="T2262">
        <v>716.32</v>
      </c>
      <c r="U2262">
        <v>94</v>
      </c>
      <c r="V2262">
        <v>0</v>
      </c>
      <c r="W2262">
        <v>705.69</v>
      </c>
      <c r="X2262">
        <v>2348.36</v>
      </c>
      <c r="Y2262" t="s">
        <v>36</v>
      </c>
      <c r="Z2262" s="3">
        <v>602.84</v>
      </c>
      <c r="AA2262" t="s">
        <v>50</v>
      </c>
      <c r="AB2262" t="s">
        <v>33</v>
      </c>
      <c r="AC2262">
        <v>45.6</v>
      </c>
      <c r="AD2262" t="s">
        <v>34</v>
      </c>
      <c r="AE2262">
        <v>1213.8499999999999</v>
      </c>
      <c r="AF2262">
        <v>0</v>
      </c>
    </row>
    <row r="2263" spans="3:32" x14ac:dyDescent="0.35">
      <c r="C2263" s="1">
        <v>44816</v>
      </c>
      <c r="D2263" s="2">
        <v>44805</v>
      </c>
      <c r="E2263">
        <v>1338</v>
      </c>
      <c r="F2263" s="3">
        <v>4814.8999999999996</v>
      </c>
      <c r="G2263" s="3">
        <v>4007.09</v>
      </c>
      <c r="H2263" s="3">
        <v>807.81</v>
      </c>
      <c r="I2263" s="3">
        <v>0.83</v>
      </c>
      <c r="J2263">
        <v>0.25</v>
      </c>
      <c r="K2263">
        <v>2679.18</v>
      </c>
      <c r="L2263" t="s">
        <v>35</v>
      </c>
      <c r="M2263">
        <v>554</v>
      </c>
      <c r="N2263">
        <v>0.41</v>
      </c>
      <c r="O2263" s="3">
        <v>337.23</v>
      </c>
      <c r="P2263" s="3">
        <v>7.0000000000000007E-2</v>
      </c>
      <c r="Q2263" s="3">
        <v>358.33</v>
      </c>
      <c r="R2263" s="3">
        <v>7.0000000000000007E-2</v>
      </c>
      <c r="S2263">
        <v>3</v>
      </c>
      <c r="T2263">
        <v>579.73</v>
      </c>
      <c r="U2263">
        <v>32</v>
      </c>
      <c r="V2263">
        <v>0</v>
      </c>
      <c r="W2263">
        <v>486.58</v>
      </c>
      <c r="X2263">
        <v>2061.25</v>
      </c>
      <c r="Y2263" t="s">
        <v>36</v>
      </c>
      <c r="Z2263" s="3">
        <v>359.29</v>
      </c>
      <c r="AA2263" t="s">
        <v>32</v>
      </c>
      <c r="AB2263" t="s">
        <v>33</v>
      </c>
      <c r="AC2263">
        <v>52.7</v>
      </c>
      <c r="AD2263" t="s">
        <v>38</v>
      </c>
      <c r="AE2263">
        <v>807.81</v>
      </c>
      <c r="AF2263">
        <v>0</v>
      </c>
    </row>
    <row r="2264" spans="3:32" x14ac:dyDescent="0.35">
      <c r="C2264" s="1">
        <v>44816</v>
      </c>
      <c r="D2264" s="2">
        <v>44805</v>
      </c>
      <c r="E2264">
        <v>1404</v>
      </c>
      <c r="F2264" s="3">
        <v>3436.35</v>
      </c>
      <c r="G2264" s="3">
        <v>3471.92</v>
      </c>
      <c r="H2264" s="3">
        <v>-35.57</v>
      </c>
      <c r="I2264" s="3">
        <v>1.01</v>
      </c>
      <c r="J2264">
        <v>0.14000000000000001</v>
      </c>
      <c r="K2264">
        <v>2674.16</v>
      </c>
      <c r="L2264" t="s">
        <v>35</v>
      </c>
      <c r="M2264">
        <v>668</v>
      </c>
      <c r="N2264">
        <v>0.25</v>
      </c>
      <c r="O2264" s="3">
        <v>355.3</v>
      </c>
      <c r="P2264" s="3">
        <v>0.1</v>
      </c>
      <c r="Q2264" s="3">
        <v>363.18</v>
      </c>
      <c r="R2264" s="3">
        <v>0.11</v>
      </c>
      <c r="S2264">
        <v>7</v>
      </c>
      <c r="T2264">
        <v>687.46</v>
      </c>
      <c r="U2264">
        <v>77</v>
      </c>
      <c r="V2264">
        <v>0</v>
      </c>
      <c r="W2264">
        <v>507.33</v>
      </c>
      <c r="X2264">
        <v>3301.4</v>
      </c>
      <c r="Y2264" t="s">
        <v>36</v>
      </c>
      <c r="Z2264" s="3">
        <v>1472.01</v>
      </c>
      <c r="AA2264" t="s">
        <v>37</v>
      </c>
      <c r="AB2264" t="s">
        <v>44</v>
      </c>
      <c r="AC2264">
        <v>97.2</v>
      </c>
      <c r="AD2264" t="s">
        <v>34</v>
      </c>
      <c r="AE2264">
        <v>0</v>
      </c>
      <c r="AF2264">
        <v>0</v>
      </c>
    </row>
    <row r="2265" spans="3:32" x14ac:dyDescent="0.35">
      <c r="C2265" s="1">
        <v>44816</v>
      </c>
      <c r="D2265" s="2">
        <v>44805</v>
      </c>
      <c r="E2265">
        <v>1198</v>
      </c>
      <c r="F2265" s="3">
        <v>3540.78</v>
      </c>
      <c r="G2265" s="3">
        <v>3251.17</v>
      </c>
      <c r="H2265" s="3">
        <v>289.61</v>
      </c>
      <c r="I2265" s="3">
        <v>0.92</v>
      </c>
      <c r="J2265">
        <v>0.17</v>
      </c>
      <c r="K2265">
        <v>2669.13</v>
      </c>
      <c r="L2265" t="s">
        <v>39</v>
      </c>
      <c r="M2265">
        <v>727</v>
      </c>
      <c r="N2265">
        <v>0.15</v>
      </c>
      <c r="O2265" s="3">
        <v>672.33</v>
      </c>
      <c r="P2265" s="3">
        <v>0.19</v>
      </c>
      <c r="Q2265" s="3">
        <v>494.59</v>
      </c>
      <c r="R2265" s="3">
        <v>0.14000000000000001</v>
      </c>
      <c r="S2265">
        <v>4</v>
      </c>
      <c r="T2265">
        <v>1483.74</v>
      </c>
      <c r="U2265">
        <v>60</v>
      </c>
      <c r="V2265">
        <v>0</v>
      </c>
      <c r="W2265">
        <v>383.33</v>
      </c>
      <c r="X2265">
        <v>3120.46</v>
      </c>
      <c r="Y2265" t="s">
        <v>36</v>
      </c>
      <c r="Z2265" s="3">
        <v>1194.79</v>
      </c>
      <c r="AA2265" t="s">
        <v>45</v>
      </c>
      <c r="AB2265" t="s">
        <v>44</v>
      </c>
      <c r="AC2265">
        <v>46.2</v>
      </c>
      <c r="AD2265" t="s">
        <v>34</v>
      </c>
      <c r="AE2265">
        <v>289.61</v>
      </c>
      <c r="AF2265">
        <v>0</v>
      </c>
    </row>
    <row r="2266" spans="3:32" x14ac:dyDescent="0.35">
      <c r="C2266" s="1">
        <v>44816</v>
      </c>
      <c r="D2266" s="2">
        <v>44805</v>
      </c>
      <c r="E2266">
        <v>1448</v>
      </c>
      <c r="F2266" s="3">
        <v>3585.61</v>
      </c>
      <c r="G2266" s="3">
        <v>2389.7600000000002</v>
      </c>
      <c r="H2266" s="3">
        <v>1195.8499999999999</v>
      </c>
      <c r="I2266" s="3">
        <v>0.67</v>
      </c>
      <c r="J2266">
        <v>0.32</v>
      </c>
      <c r="K2266">
        <v>1942.21</v>
      </c>
      <c r="L2266" t="s">
        <v>35</v>
      </c>
      <c r="M2266">
        <v>782</v>
      </c>
      <c r="N2266">
        <v>0.52</v>
      </c>
      <c r="O2266" s="3">
        <v>480.07</v>
      </c>
      <c r="P2266" s="3">
        <v>0.13</v>
      </c>
      <c r="Q2266" s="3">
        <v>258.27999999999997</v>
      </c>
      <c r="R2266" s="3">
        <v>7.0000000000000007E-2</v>
      </c>
      <c r="S2266">
        <v>4</v>
      </c>
      <c r="T2266">
        <v>1580.71</v>
      </c>
      <c r="U2266">
        <v>43</v>
      </c>
      <c r="V2266">
        <v>0</v>
      </c>
      <c r="W2266">
        <v>541.54999999999995</v>
      </c>
      <c r="X2266">
        <v>2745.99</v>
      </c>
      <c r="Y2266" t="s">
        <v>36</v>
      </c>
      <c r="Z2266" s="3">
        <v>1034.73</v>
      </c>
      <c r="AA2266" t="s">
        <v>37</v>
      </c>
      <c r="AB2266" t="s">
        <v>44</v>
      </c>
      <c r="AC2266">
        <v>86</v>
      </c>
      <c r="AD2266" t="s">
        <v>43</v>
      </c>
      <c r="AE2266">
        <v>1195.8499999999999</v>
      </c>
      <c r="AF2266">
        <v>0</v>
      </c>
    </row>
    <row r="2267" spans="3:32" x14ac:dyDescent="0.35">
      <c r="C2267" s="1">
        <v>44816</v>
      </c>
      <c r="D2267" s="2">
        <v>44805</v>
      </c>
      <c r="E2267">
        <v>1107</v>
      </c>
      <c r="F2267" s="3">
        <v>3885.65</v>
      </c>
      <c r="G2267" s="3">
        <v>2998.3</v>
      </c>
      <c r="H2267" s="3">
        <v>887.35</v>
      </c>
      <c r="I2267" s="3">
        <v>0.77</v>
      </c>
      <c r="J2267">
        <v>0.19</v>
      </c>
      <c r="K2267">
        <v>2168.56</v>
      </c>
      <c r="L2267" t="s">
        <v>35</v>
      </c>
      <c r="M2267">
        <v>628</v>
      </c>
      <c r="N2267">
        <v>0.12</v>
      </c>
      <c r="O2267" s="3">
        <v>654.25</v>
      </c>
      <c r="P2267" s="3">
        <v>0.17</v>
      </c>
      <c r="Q2267" s="3">
        <v>295.70999999999998</v>
      </c>
      <c r="R2267" s="3">
        <v>0.08</v>
      </c>
      <c r="S2267">
        <v>6</v>
      </c>
      <c r="T2267">
        <v>172.79</v>
      </c>
      <c r="U2267">
        <v>92</v>
      </c>
      <c r="V2267">
        <v>0</v>
      </c>
      <c r="W2267">
        <v>736.21</v>
      </c>
      <c r="X2267">
        <v>3096.29</v>
      </c>
      <c r="Y2267" t="s">
        <v>36</v>
      </c>
      <c r="Z2267" s="3">
        <v>1475.46</v>
      </c>
      <c r="AA2267" t="s">
        <v>51</v>
      </c>
      <c r="AB2267" t="s">
        <v>33</v>
      </c>
      <c r="AC2267">
        <v>93.8</v>
      </c>
      <c r="AD2267" t="s">
        <v>43</v>
      </c>
      <c r="AE2267">
        <v>887.35</v>
      </c>
      <c r="AF2267">
        <v>0</v>
      </c>
    </row>
    <row r="2268" spans="3:32" x14ac:dyDescent="0.35">
      <c r="C2268" s="1">
        <v>44816</v>
      </c>
      <c r="D2268" s="2">
        <v>44805</v>
      </c>
      <c r="E2268">
        <v>1374</v>
      </c>
      <c r="F2268" s="3">
        <v>3173.08</v>
      </c>
      <c r="G2268" s="3">
        <v>2490.5500000000002</v>
      </c>
      <c r="H2268" s="3">
        <v>682.53</v>
      </c>
      <c r="I2268" s="3">
        <v>0.78</v>
      </c>
      <c r="J2268">
        <v>0.38</v>
      </c>
      <c r="K2268">
        <v>2572.2800000000002</v>
      </c>
      <c r="L2268" t="s">
        <v>39</v>
      </c>
      <c r="M2268">
        <v>658</v>
      </c>
      <c r="N2268">
        <v>0.27</v>
      </c>
      <c r="O2268" s="3">
        <v>686.61</v>
      </c>
      <c r="P2268" s="3">
        <v>0.22</v>
      </c>
      <c r="Q2268" s="3">
        <v>344.78</v>
      </c>
      <c r="R2268" s="3">
        <v>0.11</v>
      </c>
      <c r="S2268">
        <v>8</v>
      </c>
      <c r="T2268">
        <v>579.54999999999995</v>
      </c>
      <c r="U2268">
        <v>30</v>
      </c>
      <c r="V2268">
        <v>0</v>
      </c>
      <c r="W2268">
        <v>725.91</v>
      </c>
      <c r="X2268">
        <v>1558.51</v>
      </c>
      <c r="Y2268" t="s">
        <v>36</v>
      </c>
      <c r="Z2268" s="3">
        <v>1757.89</v>
      </c>
      <c r="AA2268" t="s">
        <v>50</v>
      </c>
      <c r="AB2268" t="s">
        <v>33</v>
      </c>
      <c r="AC2268">
        <v>26.5</v>
      </c>
      <c r="AD2268" t="s">
        <v>34</v>
      </c>
      <c r="AE2268">
        <v>682.53</v>
      </c>
      <c r="AF2268">
        <v>0</v>
      </c>
    </row>
    <row r="2269" spans="3:32" x14ac:dyDescent="0.35">
      <c r="C2269" s="1">
        <v>44816</v>
      </c>
      <c r="D2269" s="2">
        <v>44805</v>
      </c>
      <c r="E2269">
        <v>1692</v>
      </c>
      <c r="F2269" s="3">
        <v>3067.71</v>
      </c>
      <c r="G2269" s="3">
        <v>3713.18</v>
      </c>
      <c r="H2269" s="3">
        <v>-645.47</v>
      </c>
      <c r="I2269" s="3">
        <v>1.21</v>
      </c>
      <c r="J2269">
        <v>0.24</v>
      </c>
      <c r="K2269">
        <v>2657.7</v>
      </c>
      <c r="L2269" t="s">
        <v>35</v>
      </c>
      <c r="M2269">
        <v>666</v>
      </c>
      <c r="N2269">
        <v>0.35</v>
      </c>
      <c r="O2269" s="3">
        <v>718.05</v>
      </c>
      <c r="P2269" s="3">
        <v>0.23</v>
      </c>
      <c r="Q2269" s="3">
        <v>475.5</v>
      </c>
      <c r="R2269" s="3">
        <v>0.16</v>
      </c>
      <c r="S2269">
        <v>2</v>
      </c>
      <c r="T2269">
        <v>1129.23</v>
      </c>
      <c r="U2269">
        <v>22</v>
      </c>
      <c r="V2269">
        <v>0</v>
      </c>
      <c r="W2269">
        <v>475.02</v>
      </c>
      <c r="X2269">
        <v>1512.35</v>
      </c>
      <c r="Y2269" t="s">
        <v>36</v>
      </c>
      <c r="Z2269" s="3">
        <v>1579.1</v>
      </c>
      <c r="AA2269" t="s">
        <v>40</v>
      </c>
      <c r="AB2269" t="s">
        <v>42</v>
      </c>
      <c r="AC2269">
        <v>3.2</v>
      </c>
      <c r="AD2269" t="s">
        <v>34</v>
      </c>
      <c r="AE2269">
        <v>0</v>
      </c>
      <c r="AF2269">
        <v>0</v>
      </c>
    </row>
    <row r="2270" spans="3:32" x14ac:dyDescent="0.35">
      <c r="C2270" s="1">
        <v>44816</v>
      </c>
      <c r="D2270" s="2">
        <v>44805</v>
      </c>
      <c r="E2270">
        <v>1383</v>
      </c>
      <c r="F2270" s="3">
        <v>3731.59</v>
      </c>
      <c r="G2270" s="3">
        <v>2505.9499999999998</v>
      </c>
      <c r="H2270" s="3">
        <v>1225.6400000000001</v>
      </c>
      <c r="I2270" s="3">
        <v>0.67</v>
      </c>
      <c r="J2270">
        <v>0.09</v>
      </c>
      <c r="K2270">
        <v>2322.42</v>
      </c>
      <c r="L2270" t="s">
        <v>39</v>
      </c>
      <c r="M2270">
        <v>605</v>
      </c>
      <c r="N2270">
        <v>0.49</v>
      </c>
      <c r="O2270" s="3">
        <v>233.63</v>
      </c>
      <c r="P2270" s="3">
        <v>0.06</v>
      </c>
      <c r="Q2270" s="3">
        <v>116.68</v>
      </c>
      <c r="R2270" s="3">
        <v>0.03</v>
      </c>
      <c r="S2270">
        <v>9</v>
      </c>
      <c r="T2270">
        <v>100.43</v>
      </c>
      <c r="U2270">
        <v>28</v>
      </c>
      <c r="V2270">
        <v>0</v>
      </c>
      <c r="W2270">
        <v>484.73</v>
      </c>
      <c r="X2270">
        <v>2603.96</v>
      </c>
      <c r="Y2270" t="s">
        <v>36</v>
      </c>
      <c r="Z2270" s="3">
        <v>1135.19</v>
      </c>
      <c r="AA2270" t="s">
        <v>50</v>
      </c>
      <c r="AB2270" t="s">
        <v>42</v>
      </c>
      <c r="AC2270">
        <v>9.6</v>
      </c>
      <c r="AD2270" t="s">
        <v>34</v>
      </c>
      <c r="AE2270">
        <v>1225.6400000000001</v>
      </c>
      <c r="AF2270">
        <v>0</v>
      </c>
    </row>
    <row r="2271" spans="3:32" x14ac:dyDescent="0.35">
      <c r="C2271" s="1">
        <v>44816</v>
      </c>
      <c r="D2271" s="2">
        <v>44805</v>
      </c>
      <c r="E2271">
        <v>1355</v>
      </c>
      <c r="F2271" s="3">
        <v>3810.97</v>
      </c>
      <c r="G2271" s="3">
        <v>2585.3200000000002</v>
      </c>
      <c r="H2271" s="3">
        <v>1225.6500000000001</v>
      </c>
      <c r="I2271" s="3">
        <v>0.68</v>
      </c>
      <c r="J2271">
        <v>0.14000000000000001</v>
      </c>
      <c r="K2271">
        <v>3269.94</v>
      </c>
      <c r="L2271" t="s">
        <v>39</v>
      </c>
      <c r="M2271">
        <v>592</v>
      </c>
      <c r="N2271">
        <v>0.46</v>
      </c>
      <c r="O2271" s="3">
        <v>319.61</v>
      </c>
      <c r="P2271" s="3">
        <v>0.08</v>
      </c>
      <c r="Q2271" s="3">
        <v>98.37</v>
      </c>
      <c r="R2271" s="3">
        <v>0.03</v>
      </c>
      <c r="S2271">
        <v>1</v>
      </c>
      <c r="T2271">
        <v>1553.85</v>
      </c>
      <c r="U2271">
        <v>33</v>
      </c>
      <c r="V2271">
        <v>0</v>
      </c>
      <c r="W2271">
        <v>557.61</v>
      </c>
      <c r="X2271">
        <v>2161.35</v>
      </c>
      <c r="Y2271" t="s">
        <v>36</v>
      </c>
      <c r="Z2271" s="3">
        <v>1600.71</v>
      </c>
      <c r="AA2271" t="s">
        <v>50</v>
      </c>
      <c r="AB2271" t="s">
        <v>33</v>
      </c>
      <c r="AC2271">
        <v>65.400000000000006</v>
      </c>
      <c r="AD2271" t="s">
        <v>34</v>
      </c>
      <c r="AE2271">
        <v>1225.6500000000001</v>
      </c>
      <c r="AF2271">
        <v>0</v>
      </c>
    </row>
    <row r="2272" spans="3:32" x14ac:dyDescent="0.35">
      <c r="C2272" s="1">
        <v>44816</v>
      </c>
      <c r="D2272" s="2">
        <v>44805</v>
      </c>
      <c r="E2272">
        <v>1990</v>
      </c>
      <c r="F2272" s="3">
        <v>3429.75</v>
      </c>
      <c r="G2272" s="3">
        <v>2948.37</v>
      </c>
      <c r="H2272" s="3">
        <v>481.38</v>
      </c>
      <c r="I2272" s="3">
        <v>0.86</v>
      </c>
      <c r="J2272">
        <v>0.19</v>
      </c>
      <c r="K2272">
        <v>2480.7800000000002</v>
      </c>
      <c r="L2272" t="s">
        <v>39</v>
      </c>
      <c r="M2272">
        <v>759</v>
      </c>
      <c r="N2272">
        <v>0.24</v>
      </c>
      <c r="O2272" s="3">
        <v>400.34</v>
      </c>
      <c r="P2272" s="3">
        <v>0.12</v>
      </c>
      <c r="Q2272" s="3">
        <v>260.87</v>
      </c>
      <c r="R2272" s="3">
        <v>0.08</v>
      </c>
      <c r="S2272">
        <v>5</v>
      </c>
      <c r="T2272">
        <v>974.42</v>
      </c>
      <c r="U2272">
        <v>91</v>
      </c>
      <c r="V2272">
        <v>0</v>
      </c>
      <c r="W2272">
        <v>458.76</v>
      </c>
      <c r="X2272">
        <v>2030.46</v>
      </c>
      <c r="Y2272" t="s">
        <v>31</v>
      </c>
      <c r="Z2272" s="3">
        <v>1145.03</v>
      </c>
      <c r="AA2272" t="s">
        <v>46</v>
      </c>
      <c r="AB2272" t="s">
        <v>33</v>
      </c>
      <c r="AC2272">
        <v>70.900000000000006</v>
      </c>
      <c r="AD2272" t="s">
        <v>43</v>
      </c>
      <c r="AE2272">
        <v>481.38</v>
      </c>
      <c r="AF2272">
        <v>0</v>
      </c>
    </row>
    <row r="2273" spans="3:32" x14ac:dyDescent="0.35">
      <c r="C2273" s="1">
        <v>44816</v>
      </c>
      <c r="D2273" s="2">
        <v>44805</v>
      </c>
      <c r="E2273">
        <v>1818</v>
      </c>
      <c r="F2273" s="3">
        <v>2585.77</v>
      </c>
      <c r="G2273" s="3">
        <v>2851.3</v>
      </c>
      <c r="H2273" s="3">
        <v>-265.52999999999997</v>
      </c>
      <c r="I2273" s="3">
        <v>1.1000000000000001</v>
      </c>
      <c r="J2273">
        <v>0.36</v>
      </c>
      <c r="K2273">
        <v>2959.83</v>
      </c>
      <c r="L2273" t="s">
        <v>35</v>
      </c>
      <c r="M2273">
        <v>744</v>
      </c>
      <c r="N2273">
        <v>0.25</v>
      </c>
      <c r="O2273" s="3">
        <v>211.14</v>
      </c>
      <c r="P2273" s="3">
        <v>0.08</v>
      </c>
      <c r="Q2273" s="3">
        <v>690.87</v>
      </c>
      <c r="R2273" s="3">
        <v>0.27</v>
      </c>
      <c r="S2273">
        <v>9</v>
      </c>
      <c r="T2273">
        <v>76.36</v>
      </c>
      <c r="U2273">
        <v>37</v>
      </c>
      <c r="V2273">
        <v>0</v>
      </c>
      <c r="W2273">
        <v>1158.74</v>
      </c>
      <c r="X2273">
        <v>2420.9699999999998</v>
      </c>
      <c r="Y2273" t="s">
        <v>49</v>
      </c>
      <c r="Z2273" s="3">
        <v>1306.3900000000001</v>
      </c>
      <c r="AA2273" t="s">
        <v>47</v>
      </c>
      <c r="AB2273" t="s">
        <v>33</v>
      </c>
      <c r="AC2273">
        <v>63.3</v>
      </c>
      <c r="AD2273" t="s">
        <v>38</v>
      </c>
      <c r="AE2273">
        <v>0</v>
      </c>
      <c r="AF2273">
        <v>0</v>
      </c>
    </row>
    <row r="2274" spans="3:32" x14ac:dyDescent="0.35">
      <c r="C2274" s="1">
        <v>44816</v>
      </c>
      <c r="D2274" s="2">
        <v>44805</v>
      </c>
      <c r="E2274">
        <v>1542</v>
      </c>
      <c r="F2274" s="3">
        <v>5110.75</v>
      </c>
      <c r="G2274" s="3">
        <v>2475.6799999999998</v>
      </c>
      <c r="H2274" s="3">
        <v>2635.07</v>
      </c>
      <c r="I2274" s="3">
        <v>0.48</v>
      </c>
      <c r="J2274">
        <v>0.3</v>
      </c>
      <c r="K2274">
        <v>2457.73</v>
      </c>
      <c r="L2274" t="s">
        <v>35</v>
      </c>
      <c r="M2274">
        <v>634</v>
      </c>
      <c r="N2274">
        <v>0.46</v>
      </c>
      <c r="O2274" s="3">
        <v>912.36</v>
      </c>
      <c r="P2274" s="3">
        <v>0.18</v>
      </c>
      <c r="Q2274" s="3">
        <v>402.85</v>
      </c>
      <c r="R2274" s="3">
        <v>0.08</v>
      </c>
      <c r="S2274">
        <v>7</v>
      </c>
      <c r="T2274">
        <v>1524.87</v>
      </c>
      <c r="U2274">
        <v>71</v>
      </c>
      <c r="V2274">
        <v>0</v>
      </c>
      <c r="W2274">
        <v>766.86</v>
      </c>
      <c r="X2274">
        <v>2425.3200000000002</v>
      </c>
      <c r="Y2274" t="s">
        <v>36</v>
      </c>
      <c r="Z2274" s="3">
        <v>362.54</v>
      </c>
      <c r="AA2274" t="s">
        <v>41</v>
      </c>
      <c r="AB2274" t="s">
        <v>44</v>
      </c>
      <c r="AC2274">
        <v>5.0999999999999996</v>
      </c>
      <c r="AD2274" t="s">
        <v>38</v>
      </c>
      <c r="AE2274">
        <v>2635.07</v>
      </c>
      <c r="AF2274">
        <v>1</v>
      </c>
    </row>
    <row r="2275" spans="3:32" x14ac:dyDescent="0.35">
      <c r="C2275" s="1">
        <v>44816</v>
      </c>
      <c r="D2275" s="2">
        <v>44805</v>
      </c>
      <c r="E2275">
        <v>1467</v>
      </c>
      <c r="F2275" s="3">
        <v>5880.03</v>
      </c>
      <c r="G2275" s="3">
        <v>3695.58</v>
      </c>
      <c r="H2275" s="3">
        <v>2184.4499999999998</v>
      </c>
      <c r="I2275" s="3">
        <v>0.63</v>
      </c>
      <c r="J2275">
        <v>0.06</v>
      </c>
      <c r="K2275">
        <v>3058.81</v>
      </c>
      <c r="L2275" t="s">
        <v>39</v>
      </c>
      <c r="M2275">
        <v>632</v>
      </c>
      <c r="N2275">
        <v>0.54</v>
      </c>
      <c r="O2275" s="3">
        <v>705.83</v>
      </c>
      <c r="P2275" s="3">
        <v>0.12</v>
      </c>
      <c r="Q2275" s="3">
        <v>730.27</v>
      </c>
      <c r="R2275" s="3">
        <v>0.12</v>
      </c>
      <c r="S2275">
        <v>6</v>
      </c>
      <c r="T2275">
        <v>876.43</v>
      </c>
      <c r="U2275">
        <v>22</v>
      </c>
      <c r="V2275">
        <v>0</v>
      </c>
      <c r="W2275">
        <v>126.65</v>
      </c>
      <c r="X2275">
        <v>1786.58</v>
      </c>
      <c r="Y2275" t="s">
        <v>36</v>
      </c>
      <c r="Z2275" s="3">
        <v>1452.68</v>
      </c>
      <c r="AA2275" t="s">
        <v>40</v>
      </c>
      <c r="AB2275" t="s">
        <v>33</v>
      </c>
      <c r="AC2275">
        <v>47.2</v>
      </c>
      <c r="AD2275" t="s">
        <v>38</v>
      </c>
      <c r="AE2275">
        <v>2184.4499999999998</v>
      </c>
      <c r="AF2275">
        <v>0</v>
      </c>
    </row>
    <row r="2276" spans="3:32" x14ac:dyDescent="0.35">
      <c r="C2276" s="1">
        <v>44816</v>
      </c>
      <c r="D2276" s="2">
        <v>44805</v>
      </c>
      <c r="E2276">
        <v>1726</v>
      </c>
      <c r="F2276" s="3">
        <v>5058.25</v>
      </c>
      <c r="G2276" s="3">
        <v>1650</v>
      </c>
      <c r="H2276" s="3">
        <v>3408.25</v>
      </c>
      <c r="I2276" s="3">
        <v>0.33</v>
      </c>
      <c r="J2276">
        <v>0.17</v>
      </c>
      <c r="K2276">
        <v>2381.75</v>
      </c>
      <c r="L2276" t="s">
        <v>39</v>
      </c>
      <c r="M2276">
        <v>612</v>
      </c>
      <c r="N2276">
        <v>0.15</v>
      </c>
      <c r="O2276" s="3">
        <v>504.12</v>
      </c>
      <c r="P2276" s="3">
        <v>0.1</v>
      </c>
      <c r="Q2276" s="3">
        <v>466.06</v>
      </c>
      <c r="R2276" s="3">
        <v>0.09</v>
      </c>
      <c r="S2276">
        <v>7</v>
      </c>
      <c r="T2276">
        <v>1395.15</v>
      </c>
      <c r="U2276">
        <v>24</v>
      </c>
      <c r="V2276">
        <v>0</v>
      </c>
      <c r="W2276">
        <v>145.29</v>
      </c>
      <c r="X2276">
        <v>1473.88</v>
      </c>
      <c r="Y2276" t="s">
        <v>31</v>
      </c>
      <c r="Z2276" s="3">
        <v>938.98</v>
      </c>
      <c r="AA2276" t="s">
        <v>32</v>
      </c>
      <c r="AB2276" t="s">
        <v>33</v>
      </c>
      <c r="AC2276">
        <v>6.1</v>
      </c>
      <c r="AD2276" t="s">
        <v>38</v>
      </c>
      <c r="AE2276">
        <v>3408.25</v>
      </c>
      <c r="AF2276">
        <v>1</v>
      </c>
    </row>
    <row r="2277" spans="3:32" x14ac:dyDescent="0.35">
      <c r="C2277" s="1">
        <v>44816</v>
      </c>
      <c r="D2277" s="2">
        <v>44805</v>
      </c>
      <c r="E2277">
        <v>1153</v>
      </c>
      <c r="F2277" s="3">
        <v>4839.76</v>
      </c>
      <c r="G2277" s="3">
        <v>2516.88</v>
      </c>
      <c r="H2277" s="3">
        <v>2322.88</v>
      </c>
      <c r="I2277" s="3">
        <v>0.52</v>
      </c>
      <c r="J2277">
        <v>0.23</v>
      </c>
      <c r="K2277">
        <v>3283.88</v>
      </c>
      <c r="L2277" t="s">
        <v>30</v>
      </c>
      <c r="M2277">
        <v>657</v>
      </c>
      <c r="N2277">
        <v>0.22</v>
      </c>
      <c r="O2277" s="3">
        <v>443.67</v>
      </c>
      <c r="P2277" s="3">
        <v>0.09</v>
      </c>
      <c r="Q2277" s="3">
        <v>614.24</v>
      </c>
      <c r="R2277" s="3">
        <v>0.13</v>
      </c>
      <c r="S2277">
        <v>2</v>
      </c>
      <c r="T2277">
        <v>604.23</v>
      </c>
      <c r="U2277">
        <v>28</v>
      </c>
      <c r="V2277">
        <v>0</v>
      </c>
      <c r="W2277">
        <v>900.06</v>
      </c>
      <c r="X2277">
        <v>1070.96</v>
      </c>
      <c r="Y2277" t="s">
        <v>36</v>
      </c>
      <c r="Z2277" s="3">
        <v>1084.68</v>
      </c>
      <c r="AA2277" t="s">
        <v>37</v>
      </c>
      <c r="AB2277" t="s">
        <v>33</v>
      </c>
      <c r="AC2277">
        <v>3.7</v>
      </c>
      <c r="AD2277" t="s">
        <v>34</v>
      </c>
      <c r="AE2277">
        <v>2322.88</v>
      </c>
      <c r="AF2277">
        <v>0</v>
      </c>
    </row>
    <row r="2278" spans="3:32" x14ac:dyDescent="0.35">
      <c r="C2278" s="1">
        <v>44816</v>
      </c>
      <c r="D2278" s="2">
        <v>44805</v>
      </c>
      <c r="E2278">
        <v>1377</v>
      </c>
      <c r="F2278" s="3">
        <v>3773.76</v>
      </c>
      <c r="G2278" s="3">
        <v>2722.33</v>
      </c>
      <c r="H2278" s="3">
        <v>1051.43</v>
      </c>
      <c r="I2278" s="3">
        <v>0.72</v>
      </c>
      <c r="J2278">
        <v>0.16</v>
      </c>
      <c r="K2278">
        <v>2631.65</v>
      </c>
      <c r="L2278" t="s">
        <v>30</v>
      </c>
      <c r="M2278">
        <v>727</v>
      </c>
      <c r="N2278">
        <v>0.12</v>
      </c>
      <c r="O2278" s="3">
        <v>418.51</v>
      </c>
      <c r="P2278" s="3">
        <v>0.11</v>
      </c>
      <c r="Q2278" s="3">
        <v>363.66</v>
      </c>
      <c r="R2278" s="3">
        <v>0.1</v>
      </c>
      <c r="S2278">
        <v>1</v>
      </c>
      <c r="T2278">
        <v>1044.75</v>
      </c>
      <c r="U2278">
        <v>77</v>
      </c>
      <c r="V2278">
        <v>0</v>
      </c>
      <c r="W2278">
        <v>473.65</v>
      </c>
      <c r="X2278">
        <v>1270.8800000000001</v>
      </c>
      <c r="Y2278" t="s">
        <v>36</v>
      </c>
      <c r="Z2278" s="3">
        <v>918.15</v>
      </c>
      <c r="AA2278" t="s">
        <v>45</v>
      </c>
      <c r="AB2278" t="s">
        <v>33</v>
      </c>
      <c r="AC2278">
        <v>28.1</v>
      </c>
      <c r="AD2278" t="s">
        <v>34</v>
      </c>
      <c r="AE2278">
        <v>1051.43</v>
      </c>
      <c r="AF2278">
        <v>0</v>
      </c>
    </row>
    <row r="2279" spans="3:32" x14ac:dyDescent="0.35">
      <c r="C2279" s="1">
        <v>44816</v>
      </c>
      <c r="D2279" s="2">
        <v>44805</v>
      </c>
      <c r="E2279">
        <v>1478</v>
      </c>
      <c r="F2279" s="3">
        <v>3933.67</v>
      </c>
      <c r="G2279" s="3">
        <v>2765.44</v>
      </c>
      <c r="H2279" s="3">
        <v>1168.23</v>
      </c>
      <c r="I2279" s="3">
        <v>0.7</v>
      </c>
      <c r="J2279">
        <v>0.35</v>
      </c>
      <c r="K2279">
        <v>2398.0100000000002</v>
      </c>
      <c r="L2279" t="s">
        <v>30</v>
      </c>
      <c r="M2279">
        <v>701</v>
      </c>
      <c r="N2279">
        <v>0.47</v>
      </c>
      <c r="O2279" s="3">
        <v>630.75</v>
      </c>
      <c r="P2279" s="3">
        <v>0.16</v>
      </c>
      <c r="Q2279" s="3">
        <v>404.94</v>
      </c>
      <c r="R2279" s="3">
        <v>0.1</v>
      </c>
      <c r="S2279">
        <v>9</v>
      </c>
      <c r="T2279">
        <v>1190.81</v>
      </c>
      <c r="U2279">
        <v>83</v>
      </c>
      <c r="V2279">
        <v>0</v>
      </c>
      <c r="W2279">
        <v>203.72</v>
      </c>
      <c r="X2279">
        <v>2116.08</v>
      </c>
      <c r="Y2279" t="s">
        <v>36</v>
      </c>
      <c r="Z2279" s="3">
        <v>1644.56</v>
      </c>
      <c r="AA2279" t="s">
        <v>48</v>
      </c>
      <c r="AB2279" t="s">
        <v>33</v>
      </c>
      <c r="AC2279">
        <v>75</v>
      </c>
      <c r="AD2279" t="s">
        <v>34</v>
      </c>
      <c r="AE2279">
        <v>1168.23</v>
      </c>
      <c r="AF2279">
        <v>0</v>
      </c>
    </row>
    <row r="2280" spans="3:32" x14ac:dyDescent="0.35">
      <c r="C2280" s="1">
        <v>44816</v>
      </c>
      <c r="D2280" s="2">
        <v>44805</v>
      </c>
      <c r="E2280">
        <v>1144</v>
      </c>
      <c r="F2280" s="3">
        <v>4462.25</v>
      </c>
      <c r="G2280" s="3">
        <v>2370.17</v>
      </c>
      <c r="H2280" s="3">
        <v>2092.08</v>
      </c>
      <c r="I2280" s="3">
        <v>0.53</v>
      </c>
      <c r="J2280">
        <v>0.31</v>
      </c>
      <c r="K2280">
        <v>2807.24</v>
      </c>
      <c r="L2280" t="s">
        <v>30</v>
      </c>
      <c r="M2280">
        <v>719</v>
      </c>
      <c r="N2280">
        <v>0.55000000000000004</v>
      </c>
      <c r="O2280" s="3">
        <v>588.98</v>
      </c>
      <c r="P2280" s="3">
        <v>0.13</v>
      </c>
      <c r="Q2280" s="3">
        <v>418.5</v>
      </c>
      <c r="R2280" s="3">
        <v>0.09</v>
      </c>
      <c r="S2280">
        <v>7</v>
      </c>
      <c r="T2280">
        <v>1304.48</v>
      </c>
      <c r="U2280">
        <v>62</v>
      </c>
      <c r="V2280">
        <v>0</v>
      </c>
      <c r="W2280">
        <v>215.77</v>
      </c>
      <c r="X2280">
        <v>1000</v>
      </c>
      <c r="Y2280" t="s">
        <v>31</v>
      </c>
      <c r="Z2280" s="3">
        <v>1241.8</v>
      </c>
      <c r="AA2280" t="s">
        <v>32</v>
      </c>
      <c r="AB2280" t="s">
        <v>44</v>
      </c>
      <c r="AC2280">
        <v>60.2</v>
      </c>
      <c r="AD2280" t="s">
        <v>34</v>
      </c>
      <c r="AE2280">
        <v>2092.08</v>
      </c>
      <c r="AF2280">
        <v>0</v>
      </c>
    </row>
    <row r="2281" spans="3:32" x14ac:dyDescent="0.35">
      <c r="C2281" s="1">
        <v>44816</v>
      </c>
      <c r="D2281" s="2">
        <v>44805</v>
      </c>
      <c r="E2281">
        <v>1732</v>
      </c>
      <c r="F2281" s="3">
        <v>4353.8</v>
      </c>
      <c r="G2281" s="3">
        <v>1791.33</v>
      </c>
      <c r="H2281" s="3">
        <v>2562.4699999999998</v>
      </c>
      <c r="I2281" s="3">
        <v>0.41</v>
      </c>
      <c r="J2281">
        <v>0.1</v>
      </c>
      <c r="K2281">
        <v>2447.5300000000002</v>
      </c>
      <c r="L2281" t="s">
        <v>39</v>
      </c>
      <c r="M2281">
        <v>707</v>
      </c>
      <c r="N2281">
        <v>0.37</v>
      </c>
      <c r="O2281" s="3">
        <v>279.39999999999998</v>
      </c>
      <c r="P2281" s="3">
        <v>0.06</v>
      </c>
      <c r="Q2281" s="3">
        <v>77.12</v>
      </c>
      <c r="R2281" s="3">
        <v>0.02</v>
      </c>
      <c r="S2281">
        <v>5</v>
      </c>
      <c r="T2281">
        <v>1492.63</v>
      </c>
      <c r="U2281">
        <v>61</v>
      </c>
      <c r="V2281">
        <v>0</v>
      </c>
      <c r="W2281">
        <v>849.96</v>
      </c>
      <c r="X2281">
        <v>2377.79</v>
      </c>
      <c r="Y2281" t="s">
        <v>36</v>
      </c>
      <c r="Z2281" s="3">
        <v>504.54</v>
      </c>
      <c r="AA2281" t="s">
        <v>45</v>
      </c>
      <c r="AB2281" t="s">
        <v>42</v>
      </c>
      <c r="AC2281">
        <v>63.8</v>
      </c>
      <c r="AD2281" t="s">
        <v>34</v>
      </c>
      <c r="AE2281">
        <v>2562.4699999999998</v>
      </c>
      <c r="AF2281">
        <v>1</v>
      </c>
    </row>
    <row r="2282" spans="3:32" x14ac:dyDescent="0.35">
      <c r="C2282" s="1">
        <v>44816</v>
      </c>
      <c r="D2282" s="2">
        <v>44805</v>
      </c>
      <c r="E2282">
        <v>1795</v>
      </c>
      <c r="F2282" s="3">
        <v>3890.97</v>
      </c>
      <c r="G2282" s="3">
        <v>3430.6</v>
      </c>
      <c r="H2282" s="3">
        <v>460.37</v>
      </c>
      <c r="I2282" s="3">
        <v>0.88</v>
      </c>
      <c r="J2282">
        <v>0.32</v>
      </c>
      <c r="K2282">
        <v>3024.77</v>
      </c>
      <c r="L2282" t="s">
        <v>35</v>
      </c>
      <c r="M2282">
        <v>689</v>
      </c>
      <c r="N2282">
        <v>0.39</v>
      </c>
      <c r="O2282" s="3">
        <v>210.47</v>
      </c>
      <c r="P2282" s="3">
        <v>0.05</v>
      </c>
      <c r="Q2282" s="3">
        <v>601.84</v>
      </c>
      <c r="R2282" s="3">
        <v>0.15</v>
      </c>
      <c r="S2282">
        <v>8</v>
      </c>
      <c r="T2282">
        <v>163.80000000000001</v>
      </c>
      <c r="U2282">
        <v>63</v>
      </c>
      <c r="V2282">
        <v>0</v>
      </c>
      <c r="W2282">
        <v>292.75</v>
      </c>
      <c r="X2282">
        <v>2349.0300000000002</v>
      </c>
      <c r="Y2282" t="s">
        <v>36</v>
      </c>
      <c r="Z2282" s="3">
        <v>1283.4100000000001</v>
      </c>
      <c r="AA2282" t="s">
        <v>51</v>
      </c>
      <c r="AB2282" t="s">
        <v>33</v>
      </c>
      <c r="AC2282">
        <v>66.099999999999994</v>
      </c>
      <c r="AD2282" t="s">
        <v>43</v>
      </c>
      <c r="AE2282">
        <v>460.37</v>
      </c>
      <c r="AF2282">
        <v>0</v>
      </c>
    </row>
    <row r="2283" spans="3:32" x14ac:dyDescent="0.35">
      <c r="C2283" s="1">
        <v>44816</v>
      </c>
      <c r="D2283" s="2">
        <v>44805</v>
      </c>
      <c r="E2283">
        <v>1798</v>
      </c>
      <c r="F2283" s="3">
        <v>3786.2</v>
      </c>
      <c r="G2283" s="3">
        <v>2024.35</v>
      </c>
      <c r="H2283" s="3">
        <v>1761.85</v>
      </c>
      <c r="I2283" s="3">
        <v>0.53</v>
      </c>
      <c r="J2283">
        <v>0.3</v>
      </c>
      <c r="K2283">
        <v>3090.69</v>
      </c>
      <c r="L2283" t="s">
        <v>39</v>
      </c>
      <c r="M2283">
        <v>710</v>
      </c>
      <c r="N2283">
        <v>0.59</v>
      </c>
      <c r="O2283" s="3">
        <v>352.4</v>
      </c>
      <c r="P2283" s="3">
        <v>0.09</v>
      </c>
      <c r="Q2283" s="3">
        <v>0</v>
      </c>
      <c r="R2283" s="3">
        <v>0</v>
      </c>
      <c r="S2283">
        <v>5</v>
      </c>
      <c r="T2283">
        <v>1536.06</v>
      </c>
      <c r="U2283">
        <v>74</v>
      </c>
      <c r="V2283">
        <v>0</v>
      </c>
      <c r="W2283">
        <v>589.80999999999995</v>
      </c>
      <c r="X2283">
        <v>1743.09</v>
      </c>
      <c r="Y2283" t="s">
        <v>36</v>
      </c>
      <c r="Z2283" s="3">
        <v>1417.56</v>
      </c>
      <c r="AA2283" t="s">
        <v>51</v>
      </c>
      <c r="AB2283" t="s">
        <v>33</v>
      </c>
      <c r="AC2283">
        <v>56.2</v>
      </c>
      <c r="AD2283" t="s">
        <v>38</v>
      </c>
      <c r="AE2283">
        <v>1761.85</v>
      </c>
      <c r="AF2283">
        <v>0</v>
      </c>
    </row>
    <row r="2284" spans="3:32" x14ac:dyDescent="0.35">
      <c r="C2284" s="1">
        <v>44816</v>
      </c>
      <c r="D2284" s="2">
        <v>44805</v>
      </c>
      <c r="E2284">
        <v>1000</v>
      </c>
      <c r="F2284" s="3">
        <v>2532.54</v>
      </c>
      <c r="G2284" s="3">
        <v>2400.73</v>
      </c>
      <c r="H2284" s="3">
        <v>131.81</v>
      </c>
      <c r="I2284" s="3">
        <v>0.95</v>
      </c>
      <c r="J2284">
        <v>0.14000000000000001</v>
      </c>
      <c r="K2284">
        <v>2374.16</v>
      </c>
      <c r="L2284" t="s">
        <v>35</v>
      </c>
      <c r="M2284">
        <v>580</v>
      </c>
      <c r="N2284">
        <v>0.43</v>
      </c>
      <c r="O2284" s="3">
        <v>599.29999999999995</v>
      </c>
      <c r="P2284" s="3">
        <v>0.24</v>
      </c>
      <c r="Q2284" s="3">
        <v>759.65</v>
      </c>
      <c r="R2284" s="3">
        <v>0.3</v>
      </c>
      <c r="S2284">
        <v>6</v>
      </c>
      <c r="T2284">
        <v>1115.43</v>
      </c>
      <c r="U2284">
        <v>91</v>
      </c>
      <c r="V2284">
        <v>0</v>
      </c>
      <c r="W2284">
        <v>500.86</v>
      </c>
      <c r="X2284">
        <v>1689.52</v>
      </c>
      <c r="Y2284" t="s">
        <v>31</v>
      </c>
      <c r="Z2284" s="3">
        <v>1632.85</v>
      </c>
      <c r="AA2284" t="s">
        <v>37</v>
      </c>
      <c r="AB2284" t="s">
        <v>33</v>
      </c>
      <c r="AC2284">
        <v>84.4</v>
      </c>
      <c r="AD2284" t="s">
        <v>34</v>
      </c>
      <c r="AE2284">
        <v>131.81</v>
      </c>
      <c r="AF2284">
        <v>0</v>
      </c>
    </row>
    <row r="2285" spans="3:32" x14ac:dyDescent="0.35">
      <c r="C2285" s="1">
        <v>44816</v>
      </c>
      <c r="D2285" s="2">
        <v>44805</v>
      </c>
      <c r="E2285">
        <v>1302</v>
      </c>
      <c r="F2285" s="3">
        <v>3529</v>
      </c>
      <c r="G2285" s="3">
        <v>3043.81</v>
      </c>
      <c r="H2285" s="3">
        <v>485.19</v>
      </c>
      <c r="I2285" s="3">
        <v>0.86</v>
      </c>
      <c r="J2285">
        <v>0.37</v>
      </c>
      <c r="K2285">
        <v>3252.49</v>
      </c>
      <c r="L2285" t="s">
        <v>39</v>
      </c>
      <c r="M2285">
        <v>647</v>
      </c>
      <c r="N2285">
        <v>0.3</v>
      </c>
      <c r="O2285" s="3">
        <v>525.47</v>
      </c>
      <c r="P2285" s="3">
        <v>0.15</v>
      </c>
      <c r="Q2285" s="3">
        <v>162.99</v>
      </c>
      <c r="R2285" s="3">
        <v>0.05</v>
      </c>
      <c r="S2285">
        <v>5</v>
      </c>
      <c r="T2285">
        <v>1190.8399999999999</v>
      </c>
      <c r="U2285">
        <v>22</v>
      </c>
      <c r="V2285">
        <v>0</v>
      </c>
      <c r="W2285">
        <v>676.86</v>
      </c>
      <c r="X2285">
        <v>2367.4899999999998</v>
      </c>
      <c r="Y2285" t="s">
        <v>36</v>
      </c>
      <c r="Z2285" s="3">
        <v>1240.1300000000001</v>
      </c>
      <c r="AA2285" t="s">
        <v>51</v>
      </c>
      <c r="AB2285" t="s">
        <v>42</v>
      </c>
      <c r="AC2285">
        <v>76.7</v>
      </c>
      <c r="AD2285" t="s">
        <v>34</v>
      </c>
      <c r="AE2285">
        <v>485.19</v>
      </c>
      <c r="AF2285">
        <v>0</v>
      </c>
    </row>
    <row r="2286" spans="3:32" x14ac:dyDescent="0.35">
      <c r="C2286" s="1">
        <v>44816</v>
      </c>
      <c r="D2286" s="2">
        <v>44805</v>
      </c>
      <c r="E2286">
        <v>1871</v>
      </c>
      <c r="F2286" s="3">
        <v>4004.11</v>
      </c>
      <c r="G2286" s="3">
        <v>1019.39</v>
      </c>
      <c r="H2286" s="3">
        <v>2984.72</v>
      </c>
      <c r="I2286" s="3">
        <v>0.25</v>
      </c>
      <c r="J2286">
        <v>0.16</v>
      </c>
      <c r="K2286">
        <v>3657.2</v>
      </c>
      <c r="L2286" t="s">
        <v>30</v>
      </c>
      <c r="M2286">
        <v>656</v>
      </c>
      <c r="N2286">
        <v>0.43</v>
      </c>
      <c r="O2286" s="3">
        <v>502.85</v>
      </c>
      <c r="P2286" s="3">
        <v>0.13</v>
      </c>
      <c r="Q2286" s="3">
        <v>49.35</v>
      </c>
      <c r="R2286" s="3">
        <v>0.01</v>
      </c>
      <c r="S2286">
        <v>9</v>
      </c>
      <c r="T2286">
        <v>1517.19</v>
      </c>
      <c r="U2286">
        <v>99</v>
      </c>
      <c r="V2286">
        <v>0</v>
      </c>
      <c r="W2286">
        <v>481.27</v>
      </c>
      <c r="X2286">
        <v>2480.79</v>
      </c>
      <c r="Y2286" t="s">
        <v>36</v>
      </c>
      <c r="Z2286" s="3">
        <v>1688.1</v>
      </c>
      <c r="AA2286" t="s">
        <v>40</v>
      </c>
      <c r="AB2286" t="s">
        <v>42</v>
      </c>
      <c r="AC2286">
        <v>76.2</v>
      </c>
      <c r="AD2286" t="s">
        <v>43</v>
      </c>
      <c r="AE2286">
        <v>2984.72</v>
      </c>
      <c r="AF2286">
        <v>0</v>
      </c>
    </row>
    <row r="2287" spans="3:32" x14ac:dyDescent="0.35">
      <c r="C2287" s="1">
        <v>44816</v>
      </c>
      <c r="D2287" s="2">
        <v>44805</v>
      </c>
      <c r="E2287">
        <v>1751</v>
      </c>
      <c r="F2287" s="3">
        <v>4442.6000000000004</v>
      </c>
      <c r="G2287" s="3">
        <v>2505.46</v>
      </c>
      <c r="H2287" s="3">
        <v>1937.14</v>
      </c>
      <c r="I2287" s="3">
        <v>0.56000000000000005</v>
      </c>
      <c r="J2287">
        <v>0.39</v>
      </c>
      <c r="K2287">
        <v>2313.12</v>
      </c>
      <c r="L2287" t="s">
        <v>35</v>
      </c>
      <c r="M2287">
        <v>652</v>
      </c>
      <c r="N2287">
        <v>0.26</v>
      </c>
      <c r="O2287" s="3">
        <v>213.09</v>
      </c>
      <c r="P2287" s="3">
        <v>0.05</v>
      </c>
      <c r="Q2287" s="3">
        <v>584.41999999999996</v>
      </c>
      <c r="R2287" s="3">
        <v>0.13</v>
      </c>
      <c r="S2287">
        <v>7</v>
      </c>
      <c r="T2287">
        <v>1005.76</v>
      </c>
      <c r="U2287">
        <v>99</v>
      </c>
      <c r="V2287">
        <v>0</v>
      </c>
      <c r="W2287">
        <v>952.07</v>
      </c>
      <c r="X2287">
        <v>3124.05</v>
      </c>
      <c r="Y2287" t="s">
        <v>36</v>
      </c>
      <c r="Z2287" s="3">
        <v>646.58000000000004</v>
      </c>
      <c r="AA2287" t="s">
        <v>51</v>
      </c>
      <c r="AB2287" t="s">
        <v>33</v>
      </c>
      <c r="AC2287">
        <v>25.7</v>
      </c>
      <c r="AD2287" t="s">
        <v>34</v>
      </c>
      <c r="AE2287">
        <v>1937.14</v>
      </c>
      <c r="AF2287">
        <v>0</v>
      </c>
    </row>
    <row r="2288" spans="3:32" x14ac:dyDescent="0.35">
      <c r="C2288" s="1">
        <v>44816</v>
      </c>
      <c r="D2288" s="2">
        <v>44805</v>
      </c>
      <c r="E2288">
        <v>1868</v>
      </c>
      <c r="F2288" s="3">
        <v>5117.3100000000004</v>
      </c>
      <c r="G2288" s="3">
        <v>4416.0200000000004</v>
      </c>
      <c r="H2288" s="3">
        <v>701.29</v>
      </c>
      <c r="I2288" s="3">
        <v>0.86</v>
      </c>
      <c r="J2288">
        <v>0.36</v>
      </c>
      <c r="K2288">
        <v>3283.95</v>
      </c>
      <c r="L2288" t="s">
        <v>35</v>
      </c>
      <c r="M2288">
        <v>672</v>
      </c>
      <c r="N2288">
        <v>0.17</v>
      </c>
      <c r="O2288" s="3">
        <v>508.74</v>
      </c>
      <c r="P2288" s="3">
        <v>0.1</v>
      </c>
      <c r="Q2288" s="3">
        <v>540.66</v>
      </c>
      <c r="R2288" s="3">
        <v>0.11</v>
      </c>
      <c r="S2288">
        <v>1</v>
      </c>
      <c r="T2288">
        <v>0</v>
      </c>
      <c r="U2288">
        <v>81</v>
      </c>
      <c r="V2288">
        <v>0</v>
      </c>
      <c r="W2288">
        <v>666.53</v>
      </c>
      <c r="X2288">
        <v>2387.15</v>
      </c>
      <c r="Y2288" t="s">
        <v>36</v>
      </c>
      <c r="Z2288" s="3">
        <v>1944.15</v>
      </c>
      <c r="AA2288" t="s">
        <v>48</v>
      </c>
      <c r="AB2288" t="s">
        <v>33</v>
      </c>
      <c r="AC2288">
        <v>9.1</v>
      </c>
      <c r="AD2288" t="s">
        <v>43</v>
      </c>
      <c r="AE2288">
        <v>701.29</v>
      </c>
      <c r="AF2288">
        <v>0</v>
      </c>
    </row>
    <row r="2289" spans="3:32" x14ac:dyDescent="0.35">
      <c r="C2289" s="1">
        <v>44816</v>
      </c>
      <c r="D2289" s="2">
        <v>44805</v>
      </c>
      <c r="E2289">
        <v>1336</v>
      </c>
      <c r="F2289" s="3">
        <v>4594.62</v>
      </c>
      <c r="G2289" s="3">
        <v>3771.01</v>
      </c>
      <c r="H2289" s="3">
        <v>823.61</v>
      </c>
      <c r="I2289" s="3">
        <v>0.82</v>
      </c>
      <c r="J2289">
        <v>0.34</v>
      </c>
      <c r="K2289">
        <v>2378.0500000000002</v>
      </c>
      <c r="L2289" t="s">
        <v>39</v>
      </c>
      <c r="M2289">
        <v>689</v>
      </c>
      <c r="N2289">
        <v>0.1</v>
      </c>
      <c r="O2289" s="3">
        <v>357.54</v>
      </c>
      <c r="P2289" s="3">
        <v>0.08</v>
      </c>
      <c r="Q2289" s="3">
        <v>218.58</v>
      </c>
      <c r="R2289" s="3">
        <v>0.05</v>
      </c>
      <c r="S2289">
        <v>2</v>
      </c>
      <c r="T2289">
        <v>2152.83</v>
      </c>
      <c r="U2289">
        <v>29</v>
      </c>
      <c r="V2289">
        <v>0</v>
      </c>
      <c r="W2289">
        <v>689.36</v>
      </c>
      <c r="X2289">
        <v>2960.52</v>
      </c>
      <c r="Y2289" t="s">
        <v>36</v>
      </c>
      <c r="Z2289" s="3">
        <v>751.3</v>
      </c>
      <c r="AA2289" t="s">
        <v>46</v>
      </c>
      <c r="AB2289" t="s">
        <v>33</v>
      </c>
      <c r="AC2289">
        <v>83.2</v>
      </c>
      <c r="AD2289" t="s">
        <v>34</v>
      </c>
      <c r="AE2289">
        <v>823.61</v>
      </c>
      <c r="AF2289">
        <v>0</v>
      </c>
    </row>
    <row r="2290" spans="3:32" x14ac:dyDescent="0.35">
      <c r="C2290" s="1">
        <v>44816</v>
      </c>
      <c r="D2290" s="2">
        <v>44805</v>
      </c>
      <c r="E2290">
        <v>1965</v>
      </c>
      <c r="F2290" s="3">
        <v>4811.3999999999996</v>
      </c>
      <c r="G2290" s="3">
        <v>3982.71</v>
      </c>
      <c r="H2290" s="3">
        <v>828.69</v>
      </c>
      <c r="I2290" s="3">
        <v>0.83</v>
      </c>
      <c r="J2290">
        <v>0.19</v>
      </c>
      <c r="K2290">
        <v>2707.33</v>
      </c>
      <c r="L2290" t="s">
        <v>35</v>
      </c>
      <c r="M2290">
        <v>605</v>
      </c>
      <c r="N2290">
        <v>0.39</v>
      </c>
      <c r="O2290" s="3">
        <v>537.05999999999995</v>
      </c>
      <c r="P2290" s="3">
        <v>0.11</v>
      </c>
      <c r="Q2290" s="3">
        <v>337.75</v>
      </c>
      <c r="R2290" s="3">
        <v>7.0000000000000007E-2</v>
      </c>
      <c r="S2290">
        <v>8</v>
      </c>
      <c r="T2290">
        <v>1764.95</v>
      </c>
      <c r="U2290">
        <v>94</v>
      </c>
      <c r="V2290">
        <v>0</v>
      </c>
      <c r="W2290">
        <v>253.62</v>
      </c>
      <c r="X2290">
        <v>2071.88</v>
      </c>
      <c r="Y2290" t="s">
        <v>49</v>
      </c>
      <c r="Z2290" s="3">
        <v>1122.9000000000001</v>
      </c>
      <c r="AA2290" t="s">
        <v>47</v>
      </c>
      <c r="AB2290" t="s">
        <v>33</v>
      </c>
      <c r="AC2290">
        <v>77.3</v>
      </c>
      <c r="AD2290" t="s">
        <v>34</v>
      </c>
      <c r="AE2290">
        <v>828.69</v>
      </c>
      <c r="AF2290">
        <v>0</v>
      </c>
    </row>
    <row r="2291" spans="3:32" x14ac:dyDescent="0.35">
      <c r="C2291" s="1">
        <v>44816</v>
      </c>
      <c r="D2291" s="2">
        <v>44805</v>
      </c>
      <c r="E2291">
        <v>1472</v>
      </c>
      <c r="F2291" s="3">
        <v>4295.6099999999997</v>
      </c>
      <c r="G2291" s="3">
        <v>3373.02</v>
      </c>
      <c r="H2291" s="3">
        <v>922.59</v>
      </c>
      <c r="I2291" s="3">
        <v>0.79</v>
      </c>
      <c r="J2291">
        <v>0.16</v>
      </c>
      <c r="K2291">
        <v>3986.5</v>
      </c>
      <c r="L2291" t="s">
        <v>39</v>
      </c>
      <c r="M2291">
        <v>716</v>
      </c>
      <c r="N2291">
        <v>0.39</v>
      </c>
      <c r="O2291" s="3">
        <v>773.56</v>
      </c>
      <c r="P2291" s="3">
        <v>0.18</v>
      </c>
      <c r="Q2291" s="3">
        <v>0</v>
      </c>
      <c r="R2291" s="3">
        <v>0</v>
      </c>
      <c r="S2291">
        <v>7</v>
      </c>
      <c r="T2291">
        <v>1332.02</v>
      </c>
      <c r="U2291">
        <v>59</v>
      </c>
      <c r="V2291">
        <v>0</v>
      </c>
      <c r="W2291">
        <v>358.32</v>
      </c>
      <c r="X2291">
        <v>2212.73</v>
      </c>
      <c r="Y2291" t="s">
        <v>36</v>
      </c>
      <c r="Z2291" s="3">
        <v>1051.8499999999999</v>
      </c>
      <c r="AA2291" t="s">
        <v>46</v>
      </c>
      <c r="AB2291" t="s">
        <v>44</v>
      </c>
      <c r="AC2291">
        <v>71.099999999999994</v>
      </c>
      <c r="AD2291" t="s">
        <v>43</v>
      </c>
      <c r="AE2291">
        <v>922.59</v>
      </c>
      <c r="AF2291">
        <v>0</v>
      </c>
    </row>
    <row r="2292" spans="3:32" x14ac:dyDescent="0.35">
      <c r="C2292" s="1">
        <v>44816</v>
      </c>
      <c r="D2292" s="2">
        <v>44805</v>
      </c>
      <c r="E2292">
        <v>1916</v>
      </c>
      <c r="F2292" s="3">
        <v>4384.75</v>
      </c>
      <c r="G2292" s="3">
        <v>2273.5700000000002</v>
      </c>
      <c r="H2292" s="3">
        <v>2111.1799999999998</v>
      </c>
      <c r="I2292" s="3">
        <v>0.52</v>
      </c>
      <c r="J2292">
        <v>0.27</v>
      </c>
      <c r="K2292">
        <v>3330.21</v>
      </c>
      <c r="L2292" t="s">
        <v>39</v>
      </c>
      <c r="M2292">
        <v>754</v>
      </c>
      <c r="N2292">
        <v>0.15</v>
      </c>
      <c r="O2292" s="3">
        <v>531.35</v>
      </c>
      <c r="P2292" s="3">
        <v>0.12</v>
      </c>
      <c r="Q2292" s="3">
        <v>495.52</v>
      </c>
      <c r="R2292" s="3">
        <v>0.11</v>
      </c>
      <c r="S2292">
        <v>3</v>
      </c>
      <c r="T2292">
        <v>1276.6600000000001</v>
      </c>
      <c r="U2292">
        <v>61</v>
      </c>
      <c r="V2292">
        <v>0</v>
      </c>
      <c r="W2292">
        <v>765.61</v>
      </c>
      <c r="X2292">
        <v>2376.96</v>
      </c>
      <c r="Y2292" t="s">
        <v>36</v>
      </c>
      <c r="Z2292" s="3">
        <v>888.85</v>
      </c>
      <c r="AA2292" t="s">
        <v>41</v>
      </c>
      <c r="AB2292" t="s">
        <v>33</v>
      </c>
      <c r="AC2292">
        <v>77.400000000000006</v>
      </c>
      <c r="AD2292" t="s">
        <v>43</v>
      </c>
      <c r="AE2292">
        <v>2111.1799999999998</v>
      </c>
      <c r="AF2292">
        <v>0</v>
      </c>
    </row>
    <row r="2293" spans="3:32" x14ac:dyDescent="0.35">
      <c r="C2293" s="1">
        <v>44816</v>
      </c>
      <c r="D2293" s="2">
        <v>44805</v>
      </c>
      <c r="E2293">
        <v>1178</v>
      </c>
      <c r="F2293" s="3">
        <v>4339.83</v>
      </c>
      <c r="G2293" s="3">
        <v>2955.24</v>
      </c>
      <c r="H2293" s="3">
        <v>1384.59</v>
      </c>
      <c r="I2293" s="3">
        <v>0.68</v>
      </c>
      <c r="J2293">
        <v>0.08</v>
      </c>
      <c r="K2293">
        <v>2582.8200000000002</v>
      </c>
      <c r="L2293" t="s">
        <v>35</v>
      </c>
      <c r="M2293">
        <v>617</v>
      </c>
      <c r="N2293">
        <v>0.24</v>
      </c>
      <c r="O2293" s="3">
        <v>239.71</v>
      </c>
      <c r="P2293" s="3">
        <v>0.06</v>
      </c>
      <c r="Q2293" s="3">
        <v>396.24</v>
      </c>
      <c r="R2293" s="3">
        <v>0.09</v>
      </c>
      <c r="S2293">
        <v>5</v>
      </c>
      <c r="T2293">
        <v>599.38</v>
      </c>
      <c r="U2293">
        <v>96</v>
      </c>
      <c r="V2293">
        <v>0</v>
      </c>
      <c r="W2293">
        <v>397.03</v>
      </c>
      <c r="X2293">
        <v>2384.13</v>
      </c>
      <c r="Y2293" t="s">
        <v>36</v>
      </c>
      <c r="Z2293" s="3">
        <v>1260.07</v>
      </c>
      <c r="AA2293" t="s">
        <v>50</v>
      </c>
      <c r="AB2293" t="s">
        <v>33</v>
      </c>
      <c r="AC2293">
        <v>95</v>
      </c>
      <c r="AD2293" t="s">
        <v>34</v>
      </c>
      <c r="AE2293">
        <v>1384.59</v>
      </c>
      <c r="AF2293">
        <v>0</v>
      </c>
    </row>
    <row r="2294" spans="3:32" x14ac:dyDescent="0.35">
      <c r="C2294" s="1">
        <v>44816</v>
      </c>
      <c r="D2294" s="2">
        <v>44805</v>
      </c>
      <c r="E2294">
        <v>1150</v>
      </c>
      <c r="F2294" s="3">
        <v>4149.05</v>
      </c>
      <c r="G2294" s="3">
        <v>879.94</v>
      </c>
      <c r="H2294" s="3">
        <v>3269.11</v>
      </c>
      <c r="I2294" s="3">
        <v>0.21</v>
      </c>
      <c r="J2294">
        <v>0.16</v>
      </c>
      <c r="K2294">
        <v>2799.44</v>
      </c>
      <c r="L2294" t="s">
        <v>35</v>
      </c>
      <c r="M2294">
        <v>656</v>
      </c>
      <c r="N2294">
        <v>0.2</v>
      </c>
      <c r="O2294" s="3">
        <v>973.69</v>
      </c>
      <c r="P2294" s="3">
        <v>0.23</v>
      </c>
      <c r="Q2294" s="3">
        <v>409.42</v>
      </c>
      <c r="R2294" s="3">
        <v>0.1</v>
      </c>
      <c r="S2294">
        <v>5</v>
      </c>
      <c r="T2294">
        <v>1510.46</v>
      </c>
      <c r="U2294">
        <v>23</v>
      </c>
      <c r="V2294">
        <v>0</v>
      </c>
      <c r="W2294">
        <v>686.7</v>
      </c>
      <c r="X2294">
        <v>1860.2</v>
      </c>
      <c r="Y2294" t="s">
        <v>31</v>
      </c>
      <c r="Z2294" s="3">
        <v>657.92</v>
      </c>
      <c r="AA2294" t="s">
        <v>37</v>
      </c>
      <c r="AB2294" t="s">
        <v>33</v>
      </c>
      <c r="AC2294">
        <v>82.4</v>
      </c>
      <c r="AD2294" t="s">
        <v>34</v>
      </c>
      <c r="AE2294">
        <v>3269.11</v>
      </c>
      <c r="AF2294">
        <v>1</v>
      </c>
    </row>
    <row r="2295" spans="3:32" x14ac:dyDescent="0.35">
      <c r="C2295" s="1">
        <v>44816</v>
      </c>
      <c r="D2295" s="2">
        <v>44805</v>
      </c>
      <c r="E2295">
        <v>1947</v>
      </c>
      <c r="F2295" s="3">
        <v>3170.92</v>
      </c>
      <c r="G2295" s="3">
        <v>4245.07</v>
      </c>
      <c r="H2295" s="3">
        <v>-1074.1500000000001</v>
      </c>
      <c r="I2295" s="3">
        <v>1.34</v>
      </c>
      <c r="J2295">
        <v>0.06</v>
      </c>
      <c r="K2295">
        <v>3367.66</v>
      </c>
      <c r="L2295" t="s">
        <v>35</v>
      </c>
      <c r="M2295">
        <v>716</v>
      </c>
      <c r="N2295">
        <v>0.32</v>
      </c>
      <c r="O2295" s="3">
        <v>296.10000000000002</v>
      </c>
      <c r="P2295" s="3">
        <v>0.09</v>
      </c>
      <c r="Q2295" s="3">
        <v>186.74</v>
      </c>
      <c r="R2295" s="3">
        <v>0.06</v>
      </c>
      <c r="S2295">
        <v>9</v>
      </c>
      <c r="T2295">
        <v>0</v>
      </c>
      <c r="U2295">
        <v>89</v>
      </c>
      <c r="V2295">
        <v>0</v>
      </c>
      <c r="W2295">
        <v>512.26</v>
      </c>
      <c r="X2295">
        <v>3578.13</v>
      </c>
      <c r="Y2295" t="s">
        <v>36</v>
      </c>
      <c r="Z2295" s="3">
        <v>1739.09</v>
      </c>
      <c r="AA2295" t="s">
        <v>37</v>
      </c>
      <c r="AB2295" t="s">
        <v>44</v>
      </c>
      <c r="AC2295">
        <v>6.7</v>
      </c>
      <c r="AD2295" t="s">
        <v>43</v>
      </c>
      <c r="AE2295">
        <v>0</v>
      </c>
      <c r="AF2295">
        <v>0</v>
      </c>
    </row>
    <row r="2296" spans="3:32" x14ac:dyDescent="0.35">
      <c r="C2296" s="1">
        <v>44816</v>
      </c>
      <c r="D2296" s="2">
        <v>44805</v>
      </c>
      <c r="E2296">
        <v>1753</v>
      </c>
      <c r="F2296" s="3">
        <v>4427.1899999999996</v>
      </c>
      <c r="G2296" s="3">
        <v>2731.95</v>
      </c>
      <c r="H2296" s="3">
        <v>1695.24</v>
      </c>
      <c r="I2296" s="3">
        <v>0.62</v>
      </c>
      <c r="J2296">
        <v>0.18</v>
      </c>
      <c r="K2296">
        <v>3372.03</v>
      </c>
      <c r="L2296" t="s">
        <v>35</v>
      </c>
      <c r="M2296">
        <v>700</v>
      </c>
      <c r="N2296">
        <v>0.34</v>
      </c>
      <c r="O2296" s="3">
        <v>546.58000000000004</v>
      </c>
      <c r="P2296" s="3">
        <v>0.12</v>
      </c>
      <c r="Q2296" s="3">
        <v>251.78</v>
      </c>
      <c r="R2296" s="3">
        <v>0.06</v>
      </c>
      <c r="S2296">
        <v>3</v>
      </c>
      <c r="T2296">
        <v>822.3</v>
      </c>
      <c r="U2296">
        <v>99</v>
      </c>
      <c r="V2296">
        <v>0</v>
      </c>
      <c r="W2296">
        <v>512.35</v>
      </c>
      <c r="X2296">
        <v>2092.7600000000002</v>
      </c>
      <c r="Y2296" t="s">
        <v>36</v>
      </c>
      <c r="Z2296" s="3">
        <v>1743.16</v>
      </c>
      <c r="AA2296" t="s">
        <v>46</v>
      </c>
      <c r="AB2296" t="s">
        <v>33</v>
      </c>
      <c r="AC2296">
        <v>19.7</v>
      </c>
      <c r="AD2296" t="s">
        <v>34</v>
      </c>
      <c r="AE2296">
        <v>1695.24</v>
      </c>
      <c r="AF2296">
        <v>0</v>
      </c>
    </row>
    <row r="2297" spans="3:32" x14ac:dyDescent="0.35">
      <c r="C2297" s="1">
        <v>44816</v>
      </c>
      <c r="D2297" s="2">
        <v>44805</v>
      </c>
      <c r="E2297">
        <v>1499</v>
      </c>
      <c r="F2297" s="3">
        <v>4950.53</v>
      </c>
      <c r="G2297" s="3">
        <v>2660.23</v>
      </c>
      <c r="H2297" s="3">
        <v>2290.3000000000002</v>
      </c>
      <c r="I2297" s="3">
        <v>0.54</v>
      </c>
      <c r="J2297">
        <v>0.1</v>
      </c>
      <c r="K2297">
        <v>2722.77</v>
      </c>
      <c r="L2297" t="s">
        <v>39</v>
      </c>
      <c r="M2297">
        <v>697</v>
      </c>
      <c r="N2297">
        <v>0.13</v>
      </c>
      <c r="O2297" s="3">
        <v>355.31</v>
      </c>
      <c r="P2297" s="3">
        <v>7.0000000000000007E-2</v>
      </c>
      <c r="Q2297" s="3">
        <v>626.49</v>
      </c>
      <c r="R2297" s="3">
        <v>0.13</v>
      </c>
      <c r="S2297">
        <v>6</v>
      </c>
      <c r="T2297">
        <v>1294.31</v>
      </c>
      <c r="U2297">
        <v>23</v>
      </c>
      <c r="V2297">
        <v>0</v>
      </c>
      <c r="W2297">
        <v>191.95</v>
      </c>
      <c r="X2297">
        <v>2894.7</v>
      </c>
      <c r="Y2297" t="s">
        <v>49</v>
      </c>
      <c r="Z2297" s="3">
        <v>2070.84</v>
      </c>
      <c r="AA2297" t="s">
        <v>51</v>
      </c>
      <c r="AB2297" t="s">
        <v>42</v>
      </c>
      <c r="AC2297">
        <v>76.5</v>
      </c>
      <c r="AD2297" t="s">
        <v>34</v>
      </c>
      <c r="AE2297">
        <v>2290.3000000000002</v>
      </c>
      <c r="AF2297">
        <v>0</v>
      </c>
    </row>
    <row r="2298" spans="3:32" x14ac:dyDescent="0.35">
      <c r="C2298" s="1">
        <v>44816</v>
      </c>
      <c r="D2298" s="2">
        <v>44805</v>
      </c>
      <c r="E2298">
        <v>1998</v>
      </c>
      <c r="F2298" s="3">
        <v>4997.92</v>
      </c>
      <c r="G2298" s="3">
        <v>4692.49</v>
      </c>
      <c r="H2298" s="3">
        <v>305.43</v>
      </c>
      <c r="I2298" s="3">
        <v>0.94</v>
      </c>
      <c r="J2298">
        <v>0.16</v>
      </c>
      <c r="K2298">
        <v>2001.26</v>
      </c>
      <c r="L2298" t="s">
        <v>30</v>
      </c>
      <c r="M2298">
        <v>772</v>
      </c>
      <c r="N2298">
        <v>0.45</v>
      </c>
      <c r="O2298" s="3">
        <v>252.7</v>
      </c>
      <c r="P2298" s="3">
        <v>0.05</v>
      </c>
      <c r="Q2298" s="3">
        <v>237.12</v>
      </c>
      <c r="R2298" s="3">
        <v>0.05</v>
      </c>
      <c r="S2298">
        <v>1</v>
      </c>
      <c r="T2298">
        <v>0</v>
      </c>
      <c r="U2298">
        <v>23</v>
      </c>
      <c r="V2298">
        <v>0</v>
      </c>
      <c r="W2298">
        <v>892.63</v>
      </c>
      <c r="X2298">
        <v>2629.39</v>
      </c>
      <c r="Y2298" t="s">
        <v>31</v>
      </c>
      <c r="Z2298" s="3">
        <v>729.93</v>
      </c>
      <c r="AA2298" t="s">
        <v>41</v>
      </c>
      <c r="AB2298" t="s">
        <v>42</v>
      </c>
      <c r="AC2298">
        <v>32.4</v>
      </c>
      <c r="AD2298" t="s">
        <v>34</v>
      </c>
      <c r="AE2298">
        <v>305.43</v>
      </c>
      <c r="AF2298">
        <v>0</v>
      </c>
    </row>
    <row r="2299" spans="3:32" x14ac:dyDescent="0.35">
      <c r="C2299" s="1">
        <v>44816</v>
      </c>
      <c r="D2299" s="2">
        <v>44805</v>
      </c>
      <c r="E2299">
        <v>1553</v>
      </c>
      <c r="F2299" s="3">
        <v>5558.89</v>
      </c>
      <c r="G2299" s="3">
        <v>1461.78</v>
      </c>
      <c r="H2299" s="3">
        <v>4097.1099999999997</v>
      </c>
      <c r="I2299" s="3">
        <v>0.26</v>
      </c>
      <c r="J2299">
        <v>0.16</v>
      </c>
      <c r="K2299">
        <v>3851.46</v>
      </c>
      <c r="L2299" t="s">
        <v>35</v>
      </c>
      <c r="M2299">
        <v>593</v>
      </c>
      <c r="N2299">
        <v>0.56999999999999995</v>
      </c>
      <c r="O2299" s="3">
        <v>224.51</v>
      </c>
      <c r="P2299" s="3">
        <v>0.04</v>
      </c>
      <c r="Q2299" s="3">
        <v>166.73</v>
      </c>
      <c r="R2299" s="3">
        <v>0.03</v>
      </c>
      <c r="S2299">
        <v>1</v>
      </c>
      <c r="T2299">
        <v>1234.22</v>
      </c>
      <c r="U2299">
        <v>35</v>
      </c>
      <c r="V2299">
        <v>0</v>
      </c>
      <c r="W2299">
        <v>409.61</v>
      </c>
      <c r="X2299">
        <v>2376.2600000000002</v>
      </c>
      <c r="Y2299" t="s">
        <v>31</v>
      </c>
      <c r="Z2299" s="3">
        <v>1331.74</v>
      </c>
      <c r="AA2299" t="s">
        <v>40</v>
      </c>
      <c r="AB2299" t="s">
        <v>42</v>
      </c>
      <c r="AC2299">
        <v>98.6</v>
      </c>
      <c r="AD2299" t="s">
        <v>43</v>
      </c>
      <c r="AE2299">
        <v>4097.1099999999997</v>
      </c>
      <c r="AF2299">
        <v>1</v>
      </c>
    </row>
    <row r="2300" spans="3:32" x14ac:dyDescent="0.35">
      <c r="C2300" s="1">
        <v>44816</v>
      </c>
      <c r="D2300" s="2">
        <v>44805</v>
      </c>
      <c r="E2300">
        <v>1749</v>
      </c>
      <c r="F2300" s="3">
        <v>4545.67</v>
      </c>
      <c r="G2300" s="3">
        <v>2386.48</v>
      </c>
      <c r="H2300" s="3">
        <v>2159.19</v>
      </c>
      <c r="I2300" s="3">
        <v>0.53</v>
      </c>
      <c r="J2300">
        <v>0.23</v>
      </c>
      <c r="K2300">
        <v>3041.63</v>
      </c>
      <c r="L2300" t="s">
        <v>35</v>
      </c>
      <c r="M2300">
        <v>729</v>
      </c>
      <c r="N2300">
        <v>0.28999999999999998</v>
      </c>
      <c r="O2300" s="3">
        <v>680.71</v>
      </c>
      <c r="P2300" s="3">
        <v>0.15</v>
      </c>
      <c r="Q2300" s="3">
        <v>403.78</v>
      </c>
      <c r="R2300" s="3">
        <v>0.09</v>
      </c>
      <c r="S2300">
        <v>7</v>
      </c>
      <c r="T2300">
        <v>704.44</v>
      </c>
      <c r="U2300">
        <v>84</v>
      </c>
      <c r="V2300">
        <v>0</v>
      </c>
      <c r="W2300">
        <v>614.35</v>
      </c>
      <c r="X2300">
        <v>2331.66</v>
      </c>
      <c r="Y2300" t="s">
        <v>36</v>
      </c>
      <c r="Z2300" s="3">
        <v>1574.01</v>
      </c>
      <c r="AA2300" t="s">
        <v>51</v>
      </c>
      <c r="AB2300" t="s">
        <v>33</v>
      </c>
      <c r="AC2300">
        <v>40.9</v>
      </c>
      <c r="AD2300" t="s">
        <v>43</v>
      </c>
      <c r="AE2300">
        <v>2159.19</v>
      </c>
      <c r="AF2300">
        <v>0</v>
      </c>
    </row>
    <row r="2301" spans="3:32" x14ac:dyDescent="0.35">
      <c r="C2301" s="1">
        <v>44816</v>
      </c>
      <c r="D2301" s="2">
        <v>44805</v>
      </c>
      <c r="E2301">
        <v>1065</v>
      </c>
      <c r="F2301" s="3">
        <v>3443.28</v>
      </c>
      <c r="G2301" s="3">
        <v>4650.25</v>
      </c>
      <c r="H2301" s="3">
        <v>-1206.97</v>
      </c>
      <c r="I2301" s="3">
        <v>1.35</v>
      </c>
      <c r="J2301">
        <v>0.26</v>
      </c>
      <c r="K2301">
        <v>2628.64</v>
      </c>
      <c r="L2301" t="s">
        <v>39</v>
      </c>
      <c r="M2301">
        <v>718</v>
      </c>
      <c r="N2301">
        <v>0.49</v>
      </c>
      <c r="O2301" s="3">
        <v>235.5</v>
      </c>
      <c r="P2301" s="3">
        <v>7.0000000000000007E-2</v>
      </c>
      <c r="Q2301" s="3">
        <v>424.02</v>
      </c>
      <c r="R2301" s="3">
        <v>0.12</v>
      </c>
      <c r="S2301">
        <v>1</v>
      </c>
      <c r="T2301">
        <v>1179.8699999999999</v>
      </c>
      <c r="U2301">
        <v>46</v>
      </c>
      <c r="V2301">
        <v>0</v>
      </c>
      <c r="W2301">
        <v>545.94000000000005</v>
      </c>
      <c r="X2301">
        <v>2720.59</v>
      </c>
      <c r="Y2301" t="s">
        <v>36</v>
      </c>
      <c r="Z2301" s="3">
        <v>1157.9000000000001</v>
      </c>
      <c r="AA2301" t="s">
        <v>32</v>
      </c>
      <c r="AB2301" t="s">
        <v>42</v>
      </c>
      <c r="AC2301">
        <v>31.6</v>
      </c>
      <c r="AD2301" t="s">
        <v>34</v>
      </c>
      <c r="AE2301">
        <v>0</v>
      </c>
      <c r="AF2301">
        <v>0</v>
      </c>
    </row>
    <row r="2302" spans="3:32" x14ac:dyDescent="0.35">
      <c r="C2302" s="1">
        <v>44846</v>
      </c>
      <c r="D2302" s="2">
        <v>44835</v>
      </c>
      <c r="E2302">
        <v>1983</v>
      </c>
      <c r="F2302" s="3">
        <v>2402.19</v>
      </c>
      <c r="G2302" s="3">
        <v>2901.92</v>
      </c>
      <c r="H2302" s="3">
        <v>-499.73</v>
      </c>
      <c r="I2302" s="3">
        <v>1.21</v>
      </c>
      <c r="J2302">
        <v>0.06</v>
      </c>
      <c r="K2302">
        <v>2919.87</v>
      </c>
      <c r="L2302" t="s">
        <v>35</v>
      </c>
      <c r="M2302">
        <v>705</v>
      </c>
      <c r="N2302">
        <v>0.18</v>
      </c>
      <c r="O2302" s="3">
        <v>686.61</v>
      </c>
      <c r="P2302" s="3">
        <v>0.28999999999999998</v>
      </c>
      <c r="Q2302" s="3">
        <v>461.51</v>
      </c>
      <c r="R2302" s="3">
        <v>0.19</v>
      </c>
      <c r="S2302">
        <v>6</v>
      </c>
      <c r="T2302">
        <v>1569.13</v>
      </c>
      <c r="U2302">
        <v>54</v>
      </c>
      <c r="V2302">
        <v>0</v>
      </c>
      <c r="W2302">
        <v>702.66</v>
      </c>
      <c r="X2302">
        <v>2610.4</v>
      </c>
      <c r="Y2302" t="s">
        <v>36</v>
      </c>
      <c r="Z2302" s="3">
        <v>1762.45</v>
      </c>
      <c r="AA2302" t="s">
        <v>37</v>
      </c>
      <c r="AB2302" t="s">
        <v>33</v>
      </c>
      <c r="AC2302">
        <v>39.9</v>
      </c>
      <c r="AD2302" t="s">
        <v>34</v>
      </c>
      <c r="AE2302">
        <v>0</v>
      </c>
      <c r="AF2302">
        <v>0</v>
      </c>
    </row>
    <row r="2303" spans="3:32" x14ac:dyDescent="0.35">
      <c r="C2303" s="1">
        <v>44846</v>
      </c>
      <c r="D2303" s="2">
        <v>44835</v>
      </c>
      <c r="E2303">
        <v>1866</v>
      </c>
      <c r="F2303" s="3">
        <v>2567.88</v>
      </c>
      <c r="G2303" s="3">
        <v>2611.6999999999998</v>
      </c>
      <c r="H2303" s="3">
        <v>-43.82</v>
      </c>
      <c r="I2303" s="3">
        <v>1.02</v>
      </c>
      <c r="J2303">
        <v>0.22</v>
      </c>
      <c r="K2303">
        <v>3408.13</v>
      </c>
      <c r="L2303" t="s">
        <v>35</v>
      </c>
      <c r="M2303">
        <v>663</v>
      </c>
      <c r="N2303">
        <v>0.41</v>
      </c>
      <c r="O2303" s="3">
        <v>505.42</v>
      </c>
      <c r="P2303" s="3">
        <v>0.2</v>
      </c>
      <c r="Q2303" s="3">
        <v>0</v>
      </c>
      <c r="R2303" s="3">
        <v>0</v>
      </c>
      <c r="S2303">
        <v>1</v>
      </c>
      <c r="T2303">
        <v>397.39</v>
      </c>
      <c r="U2303">
        <v>32</v>
      </c>
      <c r="V2303">
        <v>0</v>
      </c>
      <c r="W2303">
        <v>399.37</v>
      </c>
      <c r="X2303">
        <v>1913.29</v>
      </c>
      <c r="Y2303" t="s">
        <v>31</v>
      </c>
      <c r="Z2303" s="3">
        <v>1856.11</v>
      </c>
      <c r="AA2303" t="s">
        <v>32</v>
      </c>
      <c r="AB2303" t="s">
        <v>33</v>
      </c>
      <c r="AC2303">
        <v>4.9000000000000004</v>
      </c>
      <c r="AD2303" t="s">
        <v>38</v>
      </c>
      <c r="AE2303">
        <v>0</v>
      </c>
      <c r="AF2303">
        <v>0</v>
      </c>
    </row>
    <row r="2304" spans="3:32" x14ac:dyDescent="0.35">
      <c r="C2304" s="1">
        <v>44846</v>
      </c>
      <c r="D2304" s="2">
        <v>44835</v>
      </c>
      <c r="E2304">
        <v>1865</v>
      </c>
      <c r="F2304" s="3">
        <v>4018.19</v>
      </c>
      <c r="G2304" s="3">
        <v>2347.54</v>
      </c>
      <c r="H2304" s="3">
        <v>1670.65</v>
      </c>
      <c r="I2304" s="3">
        <v>0.57999999999999996</v>
      </c>
      <c r="J2304">
        <v>0.36</v>
      </c>
      <c r="K2304">
        <v>3538.24</v>
      </c>
      <c r="L2304" t="s">
        <v>30</v>
      </c>
      <c r="M2304">
        <v>723</v>
      </c>
      <c r="N2304">
        <v>0.44</v>
      </c>
      <c r="O2304" s="3">
        <v>321.20999999999998</v>
      </c>
      <c r="P2304" s="3">
        <v>0.08</v>
      </c>
      <c r="Q2304" s="3">
        <v>559.82000000000005</v>
      </c>
      <c r="R2304" s="3">
        <v>0.14000000000000001</v>
      </c>
      <c r="S2304">
        <v>5</v>
      </c>
      <c r="T2304">
        <v>811.69</v>
      </c>
      <c r="U2304">
        <v>20</v>
      </c>
      <c r="V2304">
        <v>0</v>
      </c>
      <c r="W2304">
        <v>792.24</v>
      </c>
      <c r="X2304">
        <v>2164.37</v>
      </c>
      <c r="Y2304" t="s">
        <v>31</v>
      </c>
      <c r="Z2304" s="3">
        <v>300</v>
      </c>
      <c r="AA2304" t="s">
        <v>51</v>
      </c>
      <c r="AB2304" t="s">
        <v>33</v>
      </c>
      <c r="AC2304">
        <v>39.6</v>
      </c>
      <c r="AD2304" t="s">
        <v>34</v>
      </c>
      <c r="AE2304">
        <v>1670.65</v>
      </c>
      <c r="AF2304">
        <v>0</v>
      </c>
    </row>
    <row r="2305" spans="3:32" x14ac:dyDescent="0.35">
      <c r="C2305" s="1">
        <v>44846</v>
      </c>
      <c r="D2305" s="2">
        <v>44835</v>
      </c>
      <c r="E2305">
        <v>1145</v>
      </c>
      <c r="F2305" s="3">
        <v>5196.78</v>
      </c>
      <c r="G2305" s="3">
        <v>3775.28</v>
      </c>
      <c r="H2305" s="3">
        <v>1421.5</v>
      </c>
      <c r="I2305" s="3">
        <v>0.73</v>
      </c>
      <c r="J2305">
        <v>0.05</v>
      </c>
      <c r="K2305">
        <v>2880</v>
      </c>
      <c r="L2305" t="s">
        <v>30</v>
      </c>
      <c r="M2305">
        <v>704</v>
      </c>
      <c r="N2305">
        <v>0.21</v>
      </c>
      <c r="O2305" s="3">
        <v>634.59</v>
      </c>
      <c r="P2305" s="3">
        <v>0.12</v>
      </c>
      <c r="Q2305" s="3">
        <v>433.45</v>
      </c>
      <c r="R2305" s="3">
        <v>0.08</v>
      </c>
      <c r="S2305">
        <v>4</v>
      </c>
      <c r="T2305">
        <v>1068.71</v>
      </c>
      <c r="U2305">
        <v>63</v>
      </c>
      <c r="V2305">
        <v>0</v>
      </c>
      <c r="W2305">
        <v>799.53</v>
      </c>
      <c r="X2305">
        <v>2485.54</v>
      </c>
      <c r="Y2305" t="s">
        <v>36</v>
      </c>
      <c r="Z2305" s="3">
        <v>361.49</v>
      </c>
      <c r="AA2305" t="s">
        <v>40</v>
      </c>
      <c r="AB2305" t="s">
        <v>33</v>
      </c>
      <c r="AC2305">
        <v>32.200000000000003</v>
      </c>
      <c r="AD2305" t="s">
        <v>34</v>
      </c>
      <c r="AE2305">
        <v>1421.5</v>
      </c>
      <c r="AF2305">
        <v>0</v>
      </c>
    </row>
    <row r="2306" spans="3:32" x14ac:dyDescent="0.35">
      <c r="C2306" s="1">
        <v>44846</v>
      </c>
      <c r="D2306" s="2">
        <v>44835</v>
      </c>
      <c r="E2306">
        <v>1683</v>
      </c>
      <c r="F2306" s="3">
        <v>4431.8</v>
      </c>
      <c r="G2306" s="3">
        <v>2816.37</v>
      </c>
      <c r="H2306" s="3">
        <v>1615.43</v>
      </c>
      <c r="I2306" s="3">
        <v>0.64</v>
      </c>
      <c r="J2306">
        <v>0.25</v>
      </c>
      <c r="K2306">
        <v>2584.6</v>
      </c>
      <c r="L2306" t="s">
        <v>35</v>
      </c>
      <c r="M2306">
        <v>607</v>
      </c>
      <c r="N2306">
        <v>0.49</v>
      </c>
      <c r="O2306" s="3">
        <v>908.21</v>
      </c>
      <c r="P2306" s="3">
        <v>0.2</v>
      </c>
      <c r="Q2306" s="3">
        <v>1089.9100000000001</v>
      </c>
      <c r="R2306" s="3">
        <v>0.25</v>
      </c>
      <c r="S2306">
        <v>9</v>
      </c>
      <c r="T2306">
        <v>831.46</v>
      </c>
      <c r="U2306">
        <v>55</v>
      </c>
      <c r="V2306">
        <v>0</v>
      </c>
      <c r="W2306">
        <v>774.05</v>
      </c>
      <c r="X2306">
        <v>2509.19</v>
      </c>
      <c r="Y2306" t="s">
        <v>36</v>
      </c>
      <c r="Z2306" s="3">
        <v>1433.18</v>
      </c>
      <c r="AA2306" t="s">
        <v>45</v>
      </c>
      <c r="AB2306" t="s">
        <v>33</v>
      </c>
      <c r="AC2306">
        <v>7.5</v>
      </c>
      <c r="AD2306" t="s">
        <v>34</v>
      </c>
      <c r="AE2306">
        <v>1615.43</v>
      </c>
      <c r="AF2306">
        <v>0</v>
      </c>
    </row>
    <row r="2307" spans="3:32" x14ac:dyDescent="0.35">
      <c r="C2307" s="1">
        <v>44846</v>
      </c>
      <c r="D2307" s="2">
        <v>44835</v>
      </c>
      <c r="E2307">
        <v>1082</v>
      </c>
      <c r="F2307" s="3">
        <v>3989.81</v>
      </c>
      <c r="G2307" s="3">
        <v>2400.21</v>
      </c>
      <c r="H2307" s="3">
        <v>1589.6</v>
      </c>
      <c r="I2307" s="3">
        <v>0.6</v>
      </c>
      <c r="J2307">
        <v>0.35</v>
      </c>
      <c r="K2307">
        <v>3080.67</v>
      </c>
      <c r="L2307" t="s">
        <v>35</v>
      </c>
      <c r="M2307">
        <v>741</v>
      </c>
      <c r="N2307">
        <v>0.27</v>
      </c>
      <c r="O2307" s="3">
        <v>586.66</v>
      </c>
      <c r="P2307" s="3">
        <v>0.15</v>
      </c>
      <c r="Q2307" s="3">
        <v>170.9</v>
      </c>
      <c r="R2307" s="3">
        <v>0.04</v>
      </c>
      <c r="S2307">
        <v>5</v>
      </c>
      <c r="T2307">
        <v>0</v>
      </c>
      <c r="U2307">
        <v>47</v>
      </c>
      <c r="V2307">
        <v>0</v>
      </c>
      <c r="W2307">
        <v>271.39999999999998</v>
      </c>
      <c r="X2307">
        <v>2072.3000000000002</v>
      </c>
      <c r="Y2307" t="s">
        <v>36</v>
      </c>
      <c r="Z2307" s="3">
        <v>1401.76</v>
      </c>
      <c r="AA2307" t="s">
        <v>41</v>
      </c>
      <c r="AB2307" t="s">
        <v>33</v>
      </c>
      <c r="AC2307">
        <v>37.299999999999997</v>
      </c>
      <c r="AD2307" t="s">
        <v>34</v>
      </c>
      <c r="AE2307">
        <v>1589.6</v>
      </c>
      <c r="AF2307">
        <v>0</v>
      </c>
    </row>
    <row r="2308" spans="3:32" x14ac:dyDescent="0.35">
      <c r="C2308" s="1">
        <v>44846</v>
      </c>
      <c r="D2308" s="2">
        <v>44835</v>
      </c>
      <c r="E2308">
        <v>1426</v>
      </c>
      <c r="F2308" s="3">
        <v>3667.84</v>
      </c>
      <c r="G2308" s="3">
        <v>3268.22</v>
      </c>
      <c r="H2308" s="3">
        <v>399.62</v>
      </c>
      <c r="I2308" s="3">
        <v>0.89</v>
      </c>
      <c r="J2308">
        <v>0.33</v>
      </c>
      <c r="K2308">
        <v>2887.99</v>
      </c>
      <c r="L2308" t="s">
        <v>30</v>
      </c>
      <c r="M2308">
        <v>636</v>
      </c>
      <c r="N2308">
        <v>0.51</v>
      </c>
      <c r="O2308" s="3">
        <v>1006.86</v>
      </c>
      <c r="P2308" s="3">
        <v>0.27</v>
      </c>
      <c r="Q2308" s="3">
        <v>792.51</v>
      </c>
      <c r="R2308" s="3">
        <v>0.22</v>
      </c>
      <c r="S2308">
        <v>3</v>
      </c>
      <c r="T2308">
        <v>1662.67</v>
      </c>
      <c r="U2308">
        <v>59</v>
      </c>
      <c r="V2308">
        <v>0</v>
      </c>
      <c r="W2308">
        <v>276.95999999999998</v>
      </c>
      <c r="X2308">
        <v>2914.63</v>
      </c>
      <c r="Y2308" t="s">
        <v>36</v>
      </c>
      <c r="Z2308" s="3">
        <v>1625.68</v>
      </c>
      <c r="AA2308" t="s">
        <v>40</v>
      </c>
      <c r="AB2308" t="s">
        <v>42</v>
      </c>
      <c r="AC2308">
        <v>34.6</v>
      </c>
      <c r="AD2308" t="s">
        <v>34</v>
      </c>
      <c r="AE2308">
        <v>399.62</v>
      </c>
      <c r="AF2308">
        <v>0</v>
      </c>
    </row>
    <row r="2309" spans="3:32" x14ac:dyDescent="0.35">
      <c r="C2309" s="1">
        <v>44846</v>
      </c>
      <c r="D2309" s="2">
        <v>44835</v>
      </c>
      <c r="E2309">
        <v>1373</v>
      </c>
      <c r="F2309" s="3">
        <v>4764.91</v>
      </c>
      <c r="G2309" s="3">
        <v>3517.07</v>
      </c>
      <c r="H2309" s="3">
        <v>1247.8399999999999</v>
      </c>
      <c r="I2309" s="3">
        <v>0.74</v>
      </c>
      <c r="J2309">
        <v>0.33</v>
      </c>
      <c r="K2309">
        <v>2818.2</v>
      </c>
      <c r="L2309" t="s">
        <v>30</v>
      </c>
      <c r="M2309">
        <v>671</v>
      </c>
      <c r="N2309">
        <v>0.26</v>
      </c>
      <c r="O2309" s="3">
        <v>553.46</v>
      </c>
      <c r="P2309" s="3">
        <v>0.12</v>
      </c>
      <c r="Q2309" s="3">
        <v>257.39999999999998</v>
      </c>
      <c r="R2309" s="3">
        <v>0.05</v>
      </c>
      <c r="S2309">
        <v>8</v>
      </c>
      <c r="T2309">
        <v>916.49</v>
      </c>
      <c r="U2309">
        <v>51</v>
      </c>
      <c r="V2309">
        <v>0</v>
      </c>
      <c r="W2309">
        <v>361.91</v>
      </c>
      <c r="X2309">
        <v>2737.54</v>
      </c>
      <c r="Y2309" t="s">
        <v>49</v>
      </c>
      <c r="Z2309" s="3">
        <v>300</v>
      </c>
      <c r="AA2309" t="s">
        <v>45</v>
      </c>
      <c r="AB2309" t="s">
        <v>33</v>
      </c>
      <c r="AC2309">
        <v>17.5</v>
      </c>
      <c r="AD2309" t="s">
        <v>34</v>
      </c>
      <c r="AE2309">
        <v>1247.8399999999999</v>
      </c>
      <c r="AF2309">
        <v>0</v>
      </c>
    </row>
    <row r="2310" spans="3:32" x14ac:dyDescent="0.35">
      <c r="C2310" s="1">
        <v>44846</v>
      </c>
      <c r="D2310" s="2">
        <v>44835</v>
      </c>
      <c r="E2310">
        <v>1464</v>
      </c>
      <c r="F2310" s="3">
        <v>3278.96</v>
      </c>
      <c r="G2310" s="3">
        <v>4461.07</v>
      </c>
      <c r="H2310" s="3">
        <v>-1182.1099999999999</v>
      </c>
      <c r="I2310" s="3">
        <v>1.36</v>
      </c>
      <c r="J2310">
        <v>0.32</v>
      </c>
      <c r="K2310">
        <v>1875.27</v>
      </c>
      <c r="L2310" t="s">
        <v>35</v>
      </c>
      <c r="M2310">
        <v>679</v>
      </c>
      <c r="N2310">
        <v>0.18</v>
      </c>
      <c r="O2310" s="3">
        <v>211.22</v>
      </c>
      <c r="P2310" s="3">
        <v>0.06</v>
      </c>
      <c r="Q2310" s="3">
        <v>293.14</v>
      </c>
      <c r="R2310" s="3">
        <v>0.09</v>
      </c>
      <c r="S2310">
        <v>9</v>
      </c>
      <c r="T2310">
        <v>552.95000000000005</v>
      </c>
      <c r="U2310">
        <v>39</v>
      </c>
      <c r="V2310">
        <v>0</v>
      </c>
      <c r="W2310">
        <v>856.29</v>
      </c>
      <c r="X2310">
        <v>2166.17</v>
      </c>
      <c r="Y2310" t="s">
        <v>36</v>
      </c>
      <c r="Z2310" s="3">
        <v>300</v>
      </c>
      <c r="AA2310" t="s">
        <v>41</v>
      </c>
      <c r="AB2310" t="s">
        <v>33</v>
      </c>
      <c r="AC2310">
        <v>88.5</v>
      </c>
      <c r="AD2310" t="s">
        <v>43</v>
      </c>
      <c r="AE2310">
        <v>0</v>
      </c>
      <c r="AF2310">
        <v>0</v>
      </c>
    </row>
    <row r="2311" spans="3:32" x14ac:dyDescent="0.35">
      <c r="C2311" s="1">
        <v>44846</v>
      </c>
      <c r="D2311" s="2">
        <v>44835</v>
      </c>
      <c r="E2311">
        <v>1553</v>
      </c>
      <c r="F2311" s="3">
        <v>3830.87</v>
      </c>
      <c r="G2311" s="3">
        <v>2175.19</v>
      </c>
      <c r="H2311" s="3">
        <v>1655.68</v>
      </c>
      <c r="I2311" s="3">
        <v>0.56999999999999995</v>
      </c>
      <c r="J2311">
        <v>0.17</v>
      </c>
      <c r="K2311">
        <v>4386.5</v>
      </c>
      <c r="L2311" t="s">
        <v>39</v>
      </c>
      <c r="M2311">
        <v>649</v>
      </c>
      <c r="N2311">
        <v>0.46</v>
      </c>
      <c r="O2311" s="3">
        <v>479.31</v>
      </c>
      <c r="P2311" s="3">
        <v>0.13</v>
      </c>
      <c r="Q2311" s="3">
        <v>675.47</v>
      </c>
      <c r="R2311" s="3">
        <v>0.18</v>
      </c>
      <c r="S2311">
        <v>7</v>
      </c>
      <c r="T2311">
        <v>204.87</v>
      </c>
      <c r="U2311">
        <v>72</v>
      </c>
      <c r="V2311">
        <v>0</v>
      </c>
      <c r="W2311">
        <v>985.9</v>
      </c>
      <c r="X2311">
        <v>1890.72</v>
      </c>
      <c r="Y2311" t="s">
        <v>36</v>
      </c>
      <c r="Z2311" s="3">
        <v>1055.1600000000001</v>
      </c>
      <c r="AA2311" t="s">
        <v>41</v>
      </c>
      <c r="AB2311" t="s">
        <v>33</v>
      </c>
      <c r="AC2311">
        <v>0.4</v>
      </c>
      <c r="AD2311" t="s">
        <v>34</v>
      </c>
      <c r="AE2311">
        <v>1655.68</v>
      </c>
      <c r="AF2311">
        <v>0</v>
      </c>
    </row>
    <row r="2312" spans="3:32" x14ac:dyDescent="0.35">
      <c r="C2312" s="1">
        <v>44846</v>
      </c>
      <c r="D2312" s="2">
        <v>44835</v>
      </c>
      <c r="E2312">
        <v>1751</v>
      </c>
      <c r="F2312" s="3">
        <v>4241.91</v>
      </c>
      <c r="G2312" s="3">
        <v>2455.2199999999998</v>
      </c>
      <c r="H2312" s="3">
        <v>1786.69</v>
      </c>
      <c r="I2312" s="3">
        <v>0.57999999999999996</v>
      </c>
      <c r="J2312">
        <v>0.4</v>
      </c>
      <c r="K2312">
        <v>2132.46</v>
      </c>
      <c r="L2312" t="s">
        <v>30</v>
      </c>
      <c r="M2312">
        <v>700</v>
      </c>
      <c r="N2312">
        <v>0.57999999999999996</v>
      </c>
      <c r="O2312" s="3">
        <v>419.5</v>
      </c>
      <c r="P2312" s="3">
        <v>0.1</v>
      </c>
      <c r="Q2312" s="3">
        <v>370.62</v>
      </c>
      <c r="R2312" s="3">
        <v>0.09</v>
      </c>
      <c r="S2312">
        <v>5</v>
      </c>
      <c r="T2312">
        <v>2045.64</v>
      </c>
      <c r="U2312">
        <v>40</v>
      </c>
      <c r="V2312">
        <v>0</v>
      </c>
      <c r="W2312">
        <v>823.05</v>
      </c>
      <c r="X2312">
        <v>2871.61</v>
      </c>
      <c r="Y2312" t="s">
        <v>49</v>
      </c>
      <c r="Z2312" s="3">
        <v>644.23</v>
      </c>
      <c r="AA2312" t="s">
        <v>46</v>
      </c>
      <c r="AB2312" t="s">
        <v>33</v>
      </c>
      <c r="AC2312">
        <v>30.4</v>
      </c>
      <c r="AD2312" t="s">
        <v>34</v>
      </c>
      <c r="AE2312">
        <v>1786.69</v>
      </c>
      <c r="AF2312">
        <v>0</v>
      </c>
    </row>
    <row r="2313" spans="3:32" x14ac:dyDescent="0.35">
      <c r="C2313" s="1">
        <v>44846</v>
      </c>
      <c r="D2313" s="2">
        <v>44835</v>
      </c>
      <c r="E2313">
        <v>1027</v>
      </c>
      <c r="F2313" s="3">
        <v>3291.11</v>
      </c>
      <c r="G2313" s="3">
        <v>3327.54</v>
      </c>
      <c r="H2313" s="3">
        <v>-36.43</v>
      </c>
      <c r="I2313" s="3">
        <v>1.01</v>
      </c>
      <c r="J2313">
        <v>0.15</v>
      </c>
      <c r="K2313">
        <v>2957.58</v>
      </c>
      <c r="L2313" t="s">
        <v>35</v>
      </c>
      <c r="M2313">
        <v>674</v>
      </c>
      <c r="N2313">
        <v>0.55000000000000004</v>
      </c>
      <c r="O2313" s="3">
        <v>368.21</v>
      </c>
      <c r="P2313" s="3">
        <v>0.11</v>
      </c>
      <c r="Q2313" s="3">
        <v>786.48</v>
      </c>
      <c r="R2313" s="3">
        <v>0.24</v>
      </c>
      <c r="S2313">
        <v>9</v>
      </c>
      <c r="T2313">
        <v>1434.91</v>
      </c>
      <c r="U2313">
        <v>66</v>
      </c>
      <c r="V2313">
        <v>0</v>
      </c>
      <c r="W2313">
        <v>442.54</v>
      </c>
      <c r="X2313">
        <v>2909.5</v>
      </c>
      <c r="Y2313" t="s">
        <v>36</v>
      </c>
      <c r="Z2313" s="3">
        <v>1015.46</v>
      </c>
      <c r="AA2313" t="s">
        <v>50</v>
      </c>
      <c r="AB2313" t="s">
        <v>33</v>
      </c>
      <c r="AC2313">
        <v>27.5</v>
      </c>
      <c r="AD2313" t="s">
        <v>38</v>
      </c>
      <c r="AE2313">
        <v>0</v>
      </c>
      <c r="AF2313">
        <v>0</v>
      </c>
    </row>
    <row r="2314" spans="3:32" x14ac:dyDescent="0.35">
      <c r="C2314" s="1">
        <v>44846</v>
      </c>
      <c r="D2314" s="2">
        <v>44835</v>
      </c>
      <c r="E2314">
        <v>1654</v>
      </c>
      <c r="F2314" s="3">
        <v>4709.47</v>
      </c>
      <c r="G2314" s="3">
        <v>3255.54</v>
      </c>
      <c r="H2314" s="3">
        <v>1453.93</v>
      </c>
      <c r="I2314" s="3">
        <v>0.69</v>
      </c>
      <c r="J2314">
        <v>0.22</v>
      </c>
      <c r="K2314">
        <v>2715.4</v>
      </c>
      <c r="L2314" t="s">
        <v>35</v>
      </c>
      <c r="M2314">
        <v>736</v>
      </c>
      <c r="N2314">
        <v>0.42</v>
      </c>
      <c r="O2314" s="3">
        <v>529.29</v>
      </c>
      <c r="P2314" s="3">
        <v>0.11</v>
      </c>
      <c r="Q2314" s="3">
        <v>309.68</v>
      </c>
      <c r="R2314" s="3">
        <v>7.0000000000000007E-2</v>
      </c>
      <c r="S2314">
        <v>9</v>
      </c>
      <c r="T2314">
        <v>933.11</v>
      </c>
      <c r="U2314">
        <v>53</v>
      </c>
      <c r="V2314">
        <v>0</v>
      </c>
      <c r="W2314">
        <v>151.66</v>
      </c>
      <c r="X2314">
        <v>1870.61</v>
      </c>
      <c r="Y2314" t="s">
        <v>49</v>
      </c>
      <c r="Z2314" s="3">
        <v>829.45</v>
      </c>
      <c r="AA2314" t="s">
        <v>48</v>
      </c>
      <c r="AB2314" t="s">
        <v>33</v>
      </c>
      <c r="AC2314">
        <v>9.8000000000000007</v>
      </c>
      <c r="AD2314" t="s">
        <v>34</v>
      </c>
      <c r="AE2314">
        <v>1453.93</v>
      </c>
      <c r="AF2314">
        <v>0</v>
      </c>
    </row>
    <row r="2315" spans="3:32" x14ac:dyDescent="0.35">
      <c r="C2315" s="1">
        <v>44846</v>
      </c>
      <c r="D2315" s="2">
        <v>44835</v>
      </c>
      <c r="E2315">
        <v>1339</v>
      </c>
      <c r="F2315" s="3">
        <v>3344.13</v>
      </c>
      <c r="G2315" s="3">
        <v>3264.27</v>
      </c>
      <c r="H2315" s="3">
        <v>79.86</v>
      </c>
      <c r="I2315" s="3">
        <v>0.98</v>
      </c>
      <c r="J2315">
        <v>0.1</v>
      </c>
      <c r="K2315">
        <v>2244.59</v>
      </c>
      <c r="L2315" t="s">
        <v>30</v>
      </c>
      <c r="M2315">
        <v>610</v>
      </c>
      <c r="N2315">
        <v>0.22</v>
      </c>
      <c r="O2315" s="3">
        <v>277.99</v>
      </c>
      <c r="P2315" s="3">
        <v>0.08</v>
      </c>
      <c r="Q2315" s="3">
        <v>0</v>
      </c>
      <c r="R2315" s="3">
        <v>0</v>
      </c>
      <c r="S2315">
        <v>6</v>
      </c>
      <c r="T2315">
        <v>1079.6400000000001</v>
      </c>
      <c r="U2315">
        <v>27</v>
      </c>
      <c r="V2315">
        <v>0</v>
      </c>
      <c r="W2315">
        <v>387</v>
      </c>
      <c r="X2315">
        <v>2750.07</v>
      </c>
      <c r="Y2315" t="s">
        <v>36</v>
      </c>
      <c r="Z2315" s="3">
        <v>1111.73</v>
      </c>
      <c r="AA2315" t="s">
        <v>47</v>
      </c>
      <c r="AB2315" t="s">
        <v>42</v>
      </c>
      <c r="AC2315">
        <v>85.5</v>
      </c>
      <c r="AD2315" t="s">
        <v>43</v>
      </c>
      <c r="AE2315">
        <v>79.86</v>
      </c>
      <c r="AF2315">
        <v>0</v>
      </c>
    </row>
    <row r="2316" spans="3:32" x14ac:dyDescent="0.35">
      <c r="C2316" s="1">
        <v>44846</v>
      </c>
      <c r="D2316" s="2">
        <v>44835</v>
      </c>
      <c r="E2316">
        <v>1746</v>
      </c>
      <c r="F2316" s="3">
        <v>3688.36</v>
      </c>
      <c r="G2316" s="3">
        <v>1658.22</v>
      </c>
      <c r="H2316" s="3">
        <v>2030.14</v>
      </c>
      <c r="I2316" s="3">
        <v>0.45</v>
      </c>
      <c r="J2316">
        <v>0.22</v>
      </c>
      <c r="K2316">
        <v>2400.09</v>
      </c>
      <c r="L2316" t="s">
        <v>30</v>
      </c>
      <c r="M2316">
        <v>734</v>
      </c>
      <c r="N2316">
        <v>0.34</v>
      </c>
      <c r="O2316" s="3">
        <v>525.41999999999996</v>
      </c>
      <c r="P2316" s="3">
        <v>0.14000000000000001</v>
      </c>
      <c r="Q2316" s="3">
        <v>442.05</v>
      </c>
      <c r="R2316" s="3">
        <v>0.12</v>
      </c>
      <c r="S2316">
        <v>7</v>
      </c>
      <c r="T2316">
        <v>1381.41</v>
      </c>
      <c r="U2316">
        <v>72</v>
      </c>
      <c r="V2316">
        <v>0</v>
      </c>
      <c r="W2316">
        <v>390.35</v>
      </c>
      <c r="X2316">
        <v>2343.4</v>
      </c>
      <c r="Y2316" t="s">
        <v>36</v>
      </c>
      <c r="Z2316" s="3">
        <v>954.35</v>
      </c>
      <c r="AA2316" t="s">
        <v>41</v>
      </c>
      <c r="AB2316" t="s">
        <v>33</v>
      </c>
      <c r="AC2316">
        <v>82.7</v>
      </c>
      <c r="AD2316" t="s">
        <v>34</v>
      </c>
      <c r="AE2316">
        <v>2030.14</v>
      </c>
      <c r="AF2316">
        <v>0</v>
      </c>
    </row>
    <row r="2317" spans="3:32" x14ac:dyDescent="0.35">
      <c r="C2317" s="1">
        <v>44846</v>
      </c>
      <c r="D2317" s="2">
        <v>44835</v>
      </c>
      <c r="E2317">
        <v>1096</v>
      </c>
      <c r="F2317" s="3">
        <v>3667.15</v>
      </c>
      <c r="G2317" s="3">
        <v>2130.2399999999998</v>
      </c>
      <c r="H2317" s="3">
        <v>1536.91</v>
      </c>
      <c r="I2317" s="3">
        <v>0.57999999999999996</v>
      </c>
      <c r="J2317">
        <v>0.25</v>
      </c>
      <c r="K2317">
        <v>2491.29</v>
      </c>
      <c r="L2317" t="s">
        <v>30</v>
      </c>
      <c r="M2317">
        <v>709</v>
      </c>
      <c r="N2317">
        <v>0.27</v>
      </c>
      <c r="O2317" s="3">
        <v>173.04</v>
      </c>
      <c r="P2317" s="3">
        <v>0.05</v>
      </c>
      <c r="Q2317" s="3">
        <v>396.02</v>
      </c>
      <c r="R2317" s="3">
        <v>0.11</v>
      </c>
      <c r="S2317">
        <v>8</v>
      </c>
      <c r="T2317">
        <v>722.03</v>
      </c>
      <c r="U2317">
        <v>73</v>
      </c>
      <c r="V2317">
        <v>0</v>
      </c>
      <c r="W2317">
        <v>706.99</v>
      </c>
      <c r="X2317">
        <v>2469.13</v>
      </c>
      <c r="Y2317" t="s">
        <v>36</v>
      </c>
      <c r="Z2317" s="3">
        <v>972.99</v>
      </c>
      <c r="AA2317" t="s">
        <v>45</v>
      </c>
      <c r="AB2317" t="s">
        <v>33</v>
      </c>
      <c r="AC2317">
        <v>97.1</v>
      </c>
      <c r="AD2317" t="s">
        <v>38</v>
      </c>
      <c r="AE2317">
        <v>1536.91</v>
      </c>
      <c r="AF2317">
        <v>0</v>
      </c>
    </row>
    <row r="2318" spans="3:32" x14ac:dyDescent="0.35">
      <c r="C2318" s="1">
        <v>44846</v>
      </c>
      <c r="D2318" s="2">
        <v>44835</v>
      </c>
      <c r="E2318">
        <v>1603</v>
      </c>
      <c r="F2318" s="3">
        <v>3845.92</v>
      </c>
      <c r="G2318" s="3">
        <v>4105.88</v>
      </c>
      <c r="H2318" s="3">
        <v>-259.95999999999998</v>
      </c>
      <c r="I2318" s="3">
        <v>1.07</v>
      </c>
      <c r="J2318">
        <v>0.08</v>
      </c>
      <c r="K2318">
        <v>3590.66</v>
      </c>
      <c r="L2318" t="s">
        <v>30</v>
      </c>
      <c r="M2318">
        <v>665</v>
      </c>
      <c r="N2318">
        <v>0.23</v>
      </c>
      <c r="O2318" s="3">
        <v>521.66</v>
      </c>
      <c r="P2318" s="3">
        <v>0.14000000000000001</v>
      </c>
      <c r="Q2318" s="3">
        <v>552.87</v>
      </c>
      <c r="R2318" s="3">
        <v>0.14000000000000001</v>
      </c>
      <c r="S2318">
        <v>2</v>
      </c>
      <c r="T2318">
        <v>427.29</v>
      </c>
      <c r="U2318">
        <v>76</v>
      </c>
      <c r="V2318">
        <v>0</v>
      </c>
      <c r="W2318">
        <v>257.64</v>
      </c>
      <c r="X2318">
        <v>2859.74</v>
      </c>
      <c r="Y2318" t="s">
        <v>36</v>
      </c>
      <c r="Z2318" s="3">
        <v>1404.06</v>
      </c>
      <c r="AA2318" t="s">
        <v>47</v>
      </c>
      <c r="AB2318" t="s">
        <v>42</v>
      </c>
      <c r="AC2318">
        <v>61.4</v>
      </c>
      <c r="AD2318" t="s">
        <v>34</v>
      </c>
      <c r="AE2318">
        <v>0</v>
      </c>
      <c r="AF2318">
        <v>0</v>
      </c>
    </row>
    <row r="2319" spans="3:32" x14ac:dyDescent="0.35">
      <c r="C2319" s="1">
        <v>44846</v>
      </c>
      <c r="D2319" s="2">
        <v>44835</v>
      </c>
      <c r="E2319">
        <v>1741</v>
      </c>
      <c r="F2319" s="3">
        <v>6707.56</v>
      </c>
      <c r="G2319" s="3">
        <v>1816.45</v>
      </c>
      <c r="H2319" s="3">
        <v>4891.1099999999997</v>
      </c>
      <c r="I2319" s="3">
        <v>0.27</v>
      </c>
      <c r="J2319">
        <v>0.1</v>
      </c>
      <c r="K2319">
        <v>1706.52</v>
      </c>
      <c r="L2319" t="s">
        <v>35</v>
      </c>
      <c r="M2319">
        <v>699</v>
      </c>
      <c r="N2319">
        <v>0.25</v>
      </c>
      <c r="O2319" s="3">
        <v>675.57</v>
      </c>
      <c r="P2319" s="3">
        <v>0.1</v>
      </c>
      <c r="Q2319" s="3">
        <v>429.94</v>
      </c>
      <c r="R2319" s="3">
        <v>0.06</v>
      </c>
      <c r="S2319">
        <v>7</v>
      </c>
      <c r="T2319">
        <v>694.08</v>
      </c>
      <c r="U2319">
        <v>36</v>
      </c>
      <c r="V2319">
        <v>0</v>
      </c>
      <c r="W2319">
        <v>341.93</v>
      </c>
      <c r="X2319">
        <v>1120.1199999999999</v>
      </c>
      <c r="Y2319" t="s">
        <v>31</v>
      </c>
      <c r="Z2319" s="3">
        <v>1776.29</v>
      </c>
      <c r="AA2319" t="s">
        <v>50</v>
      </c>
      <c r="AB2319" t="s">
        <v>44</v>
      </c>
      <c r="AC2319">
        <v>80.2</v>
      </c>
      <c r="AD2319" t="s">
        <v>34</v>
      </c>
      <c r="AE2319">
        <v>4891.1099999999997</v>
      </c>
      <c r="AF2319">
        <v>1</v>
      </c>
    </row>
    <row r="2320" spans="3:32" x14ac:dyDescent="0.35">
      <c r="C2320" s="1">
        <v>44846</v>
      </c>
      <c r="D2320" s="2">
        <v>44835</v>
      </c>
      <c r="E2320">
        <v>1518</v>
      </c>
      <c r="F2320" s="3">
        <v>3263.77</v>
      </c>
      <c r="G2320" s="3">
        <v>3183.38</v>
      </c>
      <c r="H2320" s="3">
        <v>80.39</v>
      </c>
      <c r="I2320" s="3">
        <v>0.98</v>
      </c>
      <c r="J2320">
        <v>0.12</v>
      </c>
      <c r="K2320">
        <v>2350.2800000000002</v>
      </c>
      <c r="L2320" t="s">
        <v>35</v>
      </c>
      <c r="M2320">
        <v>631</v>
      </c>
      <c r="N2320">
        <v>0.56000000000000005</v>
      </c>
      <c r="O2320" s="3">
        <v>497.82</v>
      </c>
      <c r="P2320" s="3">
        <v>0.15</v>
      </c>
      <c r="Q2320" s="3">
        <v>454.9</v>
      </c>
      <c r="R2320" s="3">
        <v>0.14000000000000001</v>
      </c>
      <c r="S2320">
        <v>3</v>
      </c>
      <c r="T2320">
        <v>935.68</v>
      </c>
      <c r="U2320">
        <v>20</v>
      </c>
      <c r="V2320">
        <v>1</v>
      </c>
      <c r="W2320">
        <v>503.22</v>
      </c>
      <c r="X2320">
        <v>3331.16</v>
      </c>
      <c r="Y2320" t="s">
        <v>36</v>
      </c>
      <c r="Z2320" s="3">
        <v>1190.5</v>
      </c>
      <c r="AA2320" t="s">
        <v>47</v>
      </c>
      <c r="AB2320" t="s">
        <v>33</v>
      </c>
      <c r="AC2320">
        <v>90.9</v>
      </c>
      <c r="AD2320" t="s">
        <v>43</v>
      </c>
      <c r="AE2320">
        <v>80.39</v>
      </c>
      <c r="AF2320">
        <v>0</v>
      </c>
    </row>
    <row r="2321" spans="3:32" x14ac:dyDescent="0.35">
      <c r="C2321" s="1">
        <v>44846</v>
      </c>
      <c r="D2321" s="2">
        <v>44835</v>
      </c>
      <c r="E2321">
        <v>1681</v>
      </c>
      <c r="F2321" s="3">
        <v>5005.0600000000004</v>
      </c>
      <c r="G2321" s="3">
        <v>2421.1799999999998</v>
      </c>
      <c r="H2321" s="3">
        <v>2583.88</v>
      </c>
      <c r="I2321" s="3">
        <v>0.48</v>
      </c>
      <c r="J2321">
        <v>0.3</v>
      </c>
      <c r="K2321">
        <v>1916.07</v>
      </c>
      <c r="L2321" t="s">
        <v>35</v>
      </c>
      <c r="M2321">
        <v>654</v>
      </c>
      <c r="N2321">
        <v>0.16</v>
      </c>
      <c r="O2321" s="3">
        <v>513.19000000000005</v>
      </c>
      <c r="P2321" s="3">
        <v>0.1</v>
      </c>
      <c r="Q2321" s="3">
        <v>502.21</v>
      </c>
      <c r="R2321" s="3">
        <v>0.1</v>
      </c>
      <c r="S2321">
        <v>4</v>
      </c>
      <c r="T2321">
        <v>1184.3800000000001</v>
      </c>
      <c r="U2321">
        <v>70</v>
      </c>
      <c r="V2321">
        <v>0</v>
      </c>
      <c r="W2321">
        <v>319.64999999999998</v>
      </c>
      <c r="X2321">
        <v>2027.77</v>
      </c>
      <c r="Y2321" t="s">
        <v>49</v>
      </c>
      <c r="Z2321" s="3">
        <v>1642.5</v>
      </c>
      <c r="AA2321" t="s">
        <v>37</v>
      </c>
      <c r="AB2321" t="s">
        <v>33</v>
      </c>
      <c r="AC2321">
        <v>69.5</v>
      </c>
      <c r="AD2321" t="s">
        <v>34</v>
      </c>
      <c r="AE2321">
        <v>2583.88</v>
      </c>
      <c r="AF2321">
        <v>1</v>
      </c>
    </row>
    <row r="2322" spans="3:32" x14ac:dyDescent="0.35">
      <c r="C2322" s="1">
        <v>44846</v>
      </c>
      <c r="D2322" s="2">
        <v>44835</v>
      </c>
      <c r="E2322">
        <v>1347</v>
      </c>
      <c r="F2322" s="3">
        <v>2513.6799999999998</v>
      </c>
      <c r="G2322" s="3">
        <v>3305.56</v>
      </c>
      <c r="H2322" s="3">
        <v>-791.88</v>
      </c>
      <c r="I2322" s="3">
        <v>1.32</v>
      </c>
      <c r="J2322">
        <v>0.34</v>
      </c>
      <c r="K2322">
        <v>3146.13</v>
      </c>
      <c r="L2322" t="s">
        <v>39</v>
      </c>
      <c r="M2322">
        <v>615</v>
      </c>
      <c r="N2322">
        <v>0.44</v>
      </c>
      <c r="O2322" s="3">
        <v>244.78</v>
      </c>
      <c r="P2322" s="3">
        <v>0.1</v>
      </c>
      <c r="Q2322" s="3">
        <v>704.38</v>
      </c>
      <c r="R2322" s="3">
        <v>0.28000000000000003</v>
      </c>
      <c r="S2322">
        <v>7</v>
      </c>
      <c r="T2322">
        <v>1213.18</v>
      </c>
      <c r="U2322">
        <v>37</v>
      </c>
      <c r="V2322">
        <v>0</v>
      </c>
      <c r="W2322">
        <v>610.16</v>
      </c>
      <c r="X2322">
        <v>1051.3599999999999</v>
      </c>
      <c r="Y2322" t="s">
        <v>36</v>
      </c>
      <c r="Z2322" s="3">
        <v>2410.29</v>
      </c>
      <c r="AA2322" t="s">
        <v>48</v>
      </c>
      <c r="AB2322" t="s">
        <v>42</v>
      </c>
      <c r="AC2322">
        <v>45.3</v>
      </c>
      <c r="AD2322" t="s">
        <v>34</v>
      </c>
      <c r="AE2322">
        <v>0</v>
      </c>
      <c r="AF2322">
        <v>0</v>
      </c>
    </row>
    <row r="2323" spans="3:32" x14ac:dyDescent="0.35">
      <c r="C2323" s="1">
        <v>44846</v>
      </c>
      <c r="D2323" s="2">
        <v>44835</v>
      </c>
      <c r="E2323">
        <v>1052</v>
      </c>
      <c r="F2323" s="3">
        <v>2401.62</v>
      </c>
      <c r="G2323" s="3">
        <v>3662.26</v>
      </c>
      <c r="H2323" s="3">
        <v>-1260.6400000000001</v>
      </c>
      <c r="I2323" s="3">
        <v>1.52</v>
      </c>
      <c r="J2323">
        <v>0.2</v>
      </c>
      <c r="K2323">
        <v>3215.26</v>
      </c>
      <c r="L2323" t="s">
        <v>39</v>
      </c>
      <c r="M2323">
        <v>648</v>
      </c>
      <c r="N2323">
        <v>0.56999999999999995</v>
      </c>
      <c r="O2323" s="3">
        <v>647.5</v>
      </c>
      <c r="P2323" s="3">
        <v>0.27</v>
      </c>
      <c r="Q2323" s="3">
        <v>920.38</v>
      </c>
      <c r="R2323" s="3">
        <v>0.38</v>
      </c>
      <c r="S2323">
        <v>6</v>
      </c>
      <c r="T2323">
        <v>1620.24</v>
      </c>
      <c r="U2323">
        <v>53</v>
      </c>
      <c r="V2323">
        <v>1</v>
      </c>
      <c r="W2323">
        <v>567.29999999999995</v>
      </c>
      <c r="X2323">
        <v>1856.06</v>
      </c>
      <c r="Y2323" t="s">
        <v>49</v>
      </c>
      <c r="Z2323" s="3">
        <v>1150.76</v>
      </c>
      <c r="AA2323" t="s">
        <v>47</v>
      </c>
      <c r="AB2323" t="s">
        <v>44</v>
      </c>
      <c r="AC2323">
        <v>43</v>
      </c>
      <c r="AD2323" t="s">
        <v>38</v>
      </c>
      <c r="AE2323">
        <v>0</v>
      </c>
      <c r="AF2323">
        <v>0</v>
      </c>
    </row>
    <row r="2324" spans="3:32" x14ac:dyDescent="0.35">
      <c r="C2324" s="1">
        <v>44846</v>
      </c>
      <c r="D2324" s="2">
        <v>44835</v>
      </c>
      <c r="E2324">
        <v>1175</v>
      </c>
      <c r="F2324" s="3">
        <v>4445.3</v>
      </c>
      <c r="G2324" s="3">
        <v>3458.44</v>
      </c>
      <c r="H2324" s="3">
        <v>986.86</v>
      </c>
      <c r="I2324" s="3">
        <v>0.78</v>
      </c>
      <c r="J2324">
        <v>0.38</v>
      </c>
      <c r="K2324">
        <v>2913.05</v>
      </c>
      <c r="L2324" t="s">
        <v>35</v>
      </c>
      <c r="M2324">
        <v>603</v>
      </c>
      <c r="N2324">
        <v>0.32</v>
      </c>
      <c r="O2324" s="3">
        <v>564.07000000000005</v>
      </c>
      <c r="P2324" s="3">
        <v>0.13</v>
      </c>
      <c r="Q2324" s="3">
        <v>403.67</v>
      </c>
      <c r="R2324" s="3">
        <v>0.09</v>
      </c>
      <c r="S2324">
        <v>7</v>
      </c>
      <c r="T2324">
        <v>1631.16</v>
      </c>
      <c r="U2324">
        <v>41</v>
      </c>
      <c r="V2324">
        <v>0</v>
      </c>
      <c r="W2324">
        <v>529.09</v>
      </c>
      <c r="X2324">
        <v>1942.57</v>
      </c>
      <c r="Y2324" t="s">
        <v>31</v>
      </c>
      <c r="Z2324" s="3">
        <v>1061.05</v>
      </c>
      <c r="AA2324" t="s">
        <v>47</v>
      </c>
      <c r="AB2324" t="s">
        <v>44</v>
      </c>
      <c r="AC2324">
        <v>73.7</v>
      </c>
      <c r="AD2324" t="s">
        <v>34</v>
      </c>
      <c r="AE2324">
        <v>986.86</v>
      </c>
      <c r="AF2324">
        <v>0</v>
      </c>
    </row>
    <row r="2325" spans="3:32" x14ac:dyDescent="0.35">
      <c r="C2325" s="1">
        <v>44846</v>
      </c>
      <c r="D2325" s="2">
        <v>44835</v>
      </c>
      <c r="E2325">
        <v>1563</v>
      </c>
      <c r="F2325" s="3">
        <v>4973.72</v>
      </c>
      <c r="G2325" s="3">
        <v>3652.49</v>
      </c>
      <c r="H2325" s="3">
        <v>1321.23</v>
      </c>
      <c r="I2325" s="3">
        <v>0.73</v>
      </c>
      <c r="J2325">
        <v>0.31</v>
      </c>
      <c r="K2325">
        <v>2820.11</v>
      </c>
      <c r="L2325" t="s">
        <v>39</v>
      </c>
      <c r="M2325">
        <v>649</v>
      </c>
      <c r="N2325">
        <v>0.12</v>
      </c>
      <c r="O2325" s="3">
        <v>561.6</v>
      </c>
      <c r="P2325" s="3">
        <v>0.11</v>
      </c>
      <c r="Q2325" s="3">
        <v>447.26</v>
      </c>
      <c r="R2325" s="3">
        <v>0.09</v>
      </c>
      <c r="S2325">
        <v>2</v>
      </c>
      <c r="T2325">
        <v>2082.9299999999998</v>
      </c>
      <c r="U2325">
        <v>94</v>
      </c>
      <c r="V2325">
        <v>0</v>
      </c>
      <c r="W2325">
        <v>372.59</v>
      </c>
      <c r="X2325">
        <v>2231.0700000000002</v>
      </c>
      <c r="Y2325" t="s">
        <v>36</v>
      </c>
      <c r="Z2325" s="3">
        <v>1664.58</v>
      </c>
      <c r="AA2325" t="s">
        <v>41</v>
      </c>
      <c r="AB2325" t="s">
        <v>33</v>
      </c>
      <c r="AC2325">
        <v>62.5</v>
      </c>
      <c r="AD2325" t="s">
        <v>34</v>
      </c>
      <c r="AE2325">
        <v>1321.23</v>
      </c>
      <c r="AF2325">
        <v>0</v>
      </c>
    </row>
    <row r="2326" spans="3:32" x14ac:dyDescent="0.35">
      <c r="C2326" s="1">
        <v>44846</v>
      </c>
      <c r="D2326" s="2">
        <v>44835</v>
      </c>
      <c r="E2326">
        <v>1733</v>
      </c>
      <c r="F2326" s="3">
        <v>4598.99</v>
      </c>
      <c r="G2326" s="3">
        <v>4585.55</v>
      </c>
      <c r="H2326" s="3">
        <v>13.44</v>
      </c>
      <c r="I2326" s="3">
        <v>1</v>
      </c>
      <c r="J2326">
        <v>0.34</v>
      </c>
      <c r="K2326">
        <v>2286.21</v>
      </c>
      <c r="L2326" t="s">
        <v>30</v>
      </c>
      <c r="M2326">
        <v>662</v>
      </c>
      <c r="N2326">
        <v>0.25</v>
      </c>
      <c r="O2326" s="3">
        <v>834.16</v>
      </c>
      <c r="P2326" s="3">
        <v>0.18</v>
      </c>
      <c r="Q2326" s="3">
        <v>503.72</v>
      </c>
      <c r="R2326" s="3">
        <v>0.11</v>
      </c>
      <c r="S2326">
        <v>3</v>
      </c>
      <c r="T2326">
        <v>858.3</v>
      </c>
      <c r="U2326">
        <v>40</v>
      </c>
      <c r="V2326">
        <v>0</v>
      </c>
      <c r="W2326">
        <v>507.65</v>
      </c>
      <c r="X2326">
        <v>2302.62</v>
      </c>
      <c r="Y2326" t="s">
        <v>36</v>
      </c>
      <c r="Z2326" s="3">
        <v>1101.72</v>
      </c>
      <c r="AA2326" t="s">
        <v>48</v>
      </c>
      <c r="AB2326" t="s">
        <v>42</v>
      </c>
      <c r="AC2326">
        <v>58.7</v>
      </c>
      <c r="AD2326" t="s">
        <v>34</v>
      </c>
      <c r="AE2326">
        <v>13.44</v>
      </c>
      <c r="AF2326">
        <v>0</v>
      </c>
    </row>
    <row r="2327" spans="3:32" x14ac:dyDescent="0.35">
      <c r="C2327" s="1">
        <v>44846</v>
      </c>
      <c r="D2327" s="2">
        <v>44835</v>
      </c>
      <c r="E2327">
        <v>1101</v>
      </c>
      <c r="F2327" s="3">
        <v>4910.43</v>
      </c>
      <c r="G2327" s="3">
        <v>3607.76</v>
      </c>
      <c r="H2327" s="3">
        <v>1302.67</v>
      </c>
      <c r="I2327" s="3">
        <v>0.73</v>
      </c>
      <c r="J2327">
        <v>0.23</v>
      </c>
      <c r="K2327">
        <v>2669.79</v>
      </c>
      <c r="L2327" t="s">
        <v>35</v>
      </c>
      <c r="M2327">
        <v>703</v>
      </c>
      <c r="N2327">
        <v>0.53</v>
      </c>
      <c r="O2327" s="3">
        <v>358.36</v>
      </c>
      <c r="P2327" s="3">
        <v>7.0000000000000007E-2</v>
      </c>
      <c r="Q2327" s="3">
        <v>376.48</v>
      </c>
      <c r="R2327" s="3">
        <v>0.08</v>
      </c>
      <c r="S2327">
        <v>2</v>
      </c>
      <c r="T2327">
        <v>508.14</v>
      </c>
      <c r="U2327">
        <v>93</v>
      </c>
      <c r="V2327">
        <v>0</v>
      </c>
      <c r="W2327">
        <v>384.72</v>
      </c>
      <c r="X2327">
        <v>1467.39</v>
      </c>
      <c r="Y2327" t="s">
        <v>49</v>
      </c>
      <c r="Z2327" s="3">
        <v>511.58</v>
      </c>
      <c r="AA2327" t="s">
        <v>47</v>
      </c>
      <c r="AB2327" t="s">
        <v>44</v>
      </c>
      <c r="AC2327">
        <v>80.2</v>
      </c>
      <c r="AD2327" t="s">
        <v>43</v>
      </c>
      <c r="AE2327">
        <v>1302.67</v>
      </c>
      <c r="AF2327">
        <v>0</v>
      </c>
    </row>
    <row r="2328" spans="3:32" x14ac:dyDescent="0.35">
      <c r="C2328" s="1">
        <v>44846</v>
      </c>
      <c r="D2328" s="2">
        <v>44835</v>
      </c>
      <c r="E2328">
        <v>1290</v>
      </c>
      <c r="F2328" s="3">
        <v>3574.91</v>
      </c>
      <c r="G2328" s="3">
        <v>3462.02</v>
      </c>
      <c r="H2328" s="3">
        <v>112.89</v>
      </c>
      <c r="I2328" s="3">
        <v>0.97</v>
      </c>
      <c r="J2328">
        <v>0.39</v>
      </c>
      <c r="K2328">
        <v>3199.02</v>
      </c>
      <c r="L2328" t="s">
        <v>35</v>
      </c>
      <c r="M2328">
        <v>641</v>
      </c>
      <c r="N2328">
        <v>0.34</v>
      </c>
      <c r="O2328" s="3">
        <v>428.94</v>
      </c>
      <c r="P2328" s="3">
        <v>0.12</v>
      </c>
      <c r="Q2328" s="3">
        <v>527.66</v>
      </c>
      <c r="R2328" s="3">
        <v>0.15</v>
      </c>
      <c r="S2328">
        <v>6</v>
      </c>
      <c r="T2328">
        <v>0</v>
      </c>
      <c r="U2328">
        <v>69</v>
      </c>
      <c r="V2328">
        <v>0</v>
      </c>
      <c r="W2328">
        <v>479.37</v>
      </c>
      <c r="X2328">
        <v>2878.42</v>
      </c>
      <c r="Y2328" t="s">
        <v>31</v>
      </c>
      <c r="Z2328" s="3">
        <v>1054.46</v>
      </c>
      <c r="AA2328" t="s">
        <v>50</v>
      </c>
      <c r="AB2328" t="s">
        <v>33</v>
      </c>
      <c r="AC2328">
        <v>47.9</v>
      </c>
      <c r="AD2328" t="s">
        <v>34</v>
      </c>
      <c r="AE2328">
        <v>112.89</v>
      </c>
      <c r="AF2328">
        <v>0</v>
      </c>
    </row>
    <row r="2329" spans="3:32" x14ac:dyDescent="0.35">
      <c r="C2329" s="1">
        <v>44846</v>
      </c>
      <c r="D2329" s="2">
        <v>44835</v>
      </c>
      <c r="E2329">
        <v>1076</v>
      </c>
      <c r="F2329" s="3">
        <v>4370.7299999999996</v>
      </c>
      <c r="G2329" s="3">
        <v>3079.32</v>
      </c>
      <c r="H2329" s="3">
        <v>1291.4100000000001</v>
      </c>
      <c r="I2329" s="3">
        <v>0.7</v>
      </c>
      <c r="J2329">
        <v>7.0000000000000007E-2</v>
      </c>
      <c r="K2329">
        <v>2727.35</v>
      </c>
      <c r="L2329" t="s">
        <v>30</v>
      </c>
      <c r="M2329">
        <v>666</v>
      </c>
      <c r="N2329">
        <v>0.41</v>
      </c>
      <c r="O2329" s="3">
        <v>514.49</v>
      </c>
      <c r="P2329" s="3">
        <v>0.12</v>
      </c>
      <c r="Q2329" s="3">
        <v>384.74</v>
      </c>
      <c r="R2329" s="3">
        <v>0.09</v>
      </c>
      <c r="S2329">
        <v>1</v>
      </c>
      <c r="T2329">
        <v>578.11</v>
      </c>
      <c r="U2329">
        <v>56</v>
      </c>
      <c r="V2329">
        <v>0</v>
      </c>
      <c r="W2329">
        <v>461.07</v>
      </c>
      <c r="X2329">
        <v>1670.01</v>
      </c>
      <c r="Y2329" t="s">
        <v>49</v>
      </c>
      <c r="Z2329" s="3">
        <v>1388.1</v>
      </c>
      <c r="AA2329" t="s">
        <v>48</v>
      </c>
      <c r="AB2329" t="s">
        <v>33</v>
      </c>
      <c r="AC2329">
        <v>96.1</v>
      </c>
      <c r="AD2329" t="s">
        <v>43</v>
      </c>
      <c r="AE2329">
        <v>1291.4100000000001</v>
      </c>
      <c r="AF2329">
        <v>0</v>
      </c>
    </row>
    <row r="2330" spans="3:32" x14ac:dyDescent="0.35">
      <c r="C2330" s="1">
        <v>44846</v>
      </c>
      <c r="D2330" s="2">
        <v>44835</v>
      </c>
      <c r="E2330">
        <v>1169</v>
      </c>
      <c r="F2330" s="3">
        <v>3837.53</v>
      </c>
      <c r="G2330" s="3">
        <v>3323.27</v>
      </c>
      <c r="H2330" s="3">
        <v>514.26</v>
      </c>
      <c r="I2330" s="3">
        <v>0.87</v>
      </c>
      <c r="J2330">
        <v>0.14000000000000001</v>
      </c>
      <c r="K2330">
        <v>2631.73</v>
      </c>
      <c r="L2330" t="s">
        <v>39</v>
      </c>
      <c r="M2330">
        <v>713</v>
      </c>
      <c r="N2330">
        <v>0.54</v>
      </c>
      <c r="O2330" s="3">
        <v>223.62</v>
      </c>
      <c r="P2330" s="3">
        <v>0.06</v>
      </c>
      <c r="Q2330" s="3">
        <v>882.07</v>
      </c>
      <c r="R2330" s="3">
        <v>0.23</v>
      </c>
      <c r="S2330">
        <v>3</v>
      </c>
      <c r="T2330">
        <v>490.95</v>
      </c>
      <c r="U2330">
        <v>57</v>
      </c>
      <c r="V2330">
        <v>0</v>
      </c>
      <c r="W2330">
        <v>740.68</v>
      </c>
      <c r="X2330">
        <v>1901.04</v>
      </c>
      <c r="Y2330" t="s">
        <v>36</v>
      </c>
      <c r="Z2330" s="3">
        <v>822.84</v>
      </c>
      <c r="AA2330" t="s">
        <v>45</v>
      </c>
      <c r="AB2330" t="s">
        <v>33</v>
      </c>
      <c r="AC2330">
        <v>32.299999999999997</v>
      </c>
      <c r="AD2330" t="s">
        <v>43</v>
      </c>
      <c r="AE2330">
        <v>514.26</v>
      </c>
      <c r="AF2330">
        <v>0</v>
      </c>
    </row>
    <row r="2331" spans="3:32" x14ac:dyDescent="0.35">
      <c r="C2331" s="1">
        <v>44846</v>
      </c>
      <c r="D2331" s="2">
        <v>44835</v>
      </c>
      <c r="E2331">
        <v>1036</v>
      </c>
      <c r="F2331" s="3">
        <v>4033.62</v>
      </c>
      <c r="G2331" s="3">
        <v>2011.96</v>
      </c>
      <c r="H2331" s="3">
        <v>2021.66</v>
      </c>
      <c r="I2331" s="3">
        <v>0.5</v>
      </c>
      <c r="J2331">
        <v>0.16</v>
      </c>
      <c r="K2331">
        <v>2974.18</v>
      </c>
      <c r="L2331" t="s">
        <v>35</v>
      </c>
      <c r="M2331">
        <v>670</v>
      </c>
      <c r="N2331">
        <v>0.44</v>
      </c>
      <c r="O2331" s="3">
        <v>656.94</v>
      </c>
      <c r="P2331" s="3">
        <v>0.16</v>
      </c>
      <c r="Q2331" s="3">
        <v>389.49</v>
      </c>
      <c r="R2331" s="3">
        <v>0.1</v>
      </c>
      <c r="S2331">
        <v>6</v>
      </c>
      <c r="T2331">
        <v>1021.55</v>
      </c>
      <c r="U2331">
        <v>72</v>
      </c>
      <c r="V2331">
        <v>0</v>
      </c>
      <c r="W2331">
        <v>364.46</v>
      </c>
      <c r="X2331">
        <v>2860.72</v>
      </c>
      <c r="Y2331" t="s">
        <v>36</v>
      </c>
      <c r="Z2331" s="3">
        <v>991.98</v>
      </c>
      <c r="AA2331" t="s">
        <v>45</v>
      </c>
      <c r="AB2331" t="s">
        <v>42</v>
      </c>
      <c r="AC2331">
        <v>16.899999999999999</v>
      </c>
      <c r="AD2331" t="s">
        <v>34</v>
      </c>
      <c r="AE2331">
        <v>2021.66</v>
      </c>
      <c r="AF2331">
        <v>0</v>
      </c>
    </row>
    <row r="2332" spans="3:32" x14ac:dyDescent="0.35">
      <c r="C2332" s="1">
        <v>44846</v>
      </c>
      <c r="D2332" s="2">
        <v>44835</v>
      </c>
      <c r="E2332">
        <v>1925</v>
      </c>
      <c r="F2332" s="3">
        <v>3813.72</v>
      </c>
      <c r="G2332" s="3">
        <v>3462.34</v>
      </c>
      <c r="H2332" s="3">
        <v>351.38</v>
      </c>
      <c r="I2332" s="3">
        <v>0.91</v>
      </c>
      <c r="J2332">
        <v>0.37</v>
      </c>
      <c r="K2332">
        <v>2863.75</v>
      </c>
      <c r="L2332" t="s">
        <v>35</v>
      </c>
      <c r="M2332">
        <v>733</v>
      </c>
      <c r="N2332">
        <v>0.48</v>
      </c>
      <c r="O2332" s="3">
        <v>589.42999999999995</v>
      </c>
      <c r="P2332" s="3">
        <v>0.15</v>
      </c>
      <c r="Q2332" s="3">
        <v>905.64</v>
      </c>
      <c r="R2332" s="3">
        <v>0.24</v>
      </c>
      <c r="S2332">
        <v>1</v>
      </c>
      <c r="T2332">
        <v>617.73</v>
      </c>
      <c r="U2332">
        <v>72</v>
      </c>
      <c r="V2332">
        <v>0</v>
      </c>
      <c r="W2332">
        <v>854.01</v>
      </c>
      <c r="X2332">
        <v>2268.94</v>
      </c>
      <c r="Y2332" t="s">
        <v>49</v>
      </c>
      <c r="Z2332" s="3">
        <v>1237.97</v>
      </c>
      <c r="AA2332" t="s">
        <v>48</v>
      </c>
      <c r="AB2332" t="s">
        <v>33</v>
      </c>
      <c r="AC2332">
        <v>76.2</v>
      </c>
      <c r="AD2332" t="s">
        <v>34</v>
      </c>
      <c r="AE2332">
        <v>351.38</v>
      </c>
      <c r="AF2332">
        <v>0</v>
      </c>
    </row>
    <row r="2333" spans="3:32" x14ac:dyDescent="0.35">
      <c r="C2333" s="1">
        <v>44846</v>
      </c>
      <c r="D2333" s="2">
        <v>44835</v>
      </c>
      <c r="E2333">
        <v>1009</v>
      </c>
      <c r="F2333" s="3">
        <v>3964.49</v>
      </c>
      <c r="G2333" s="3">
        <v>2834.72</v>
      </c>
      <c r="H2333" s="3">
        <v>1129.77</v>
      </c>
      <c r="I2333" s="3">
        <v>0.72</v>
      </c>
      <c r="J2333">
        <v>0.11</v>
      </c>
      <c r="K2333">
        <v>2030.89</v>
      </c>
      <c r="L2333" t="s">
        <v>35</v>
      </c>
      <c r="M2333">
        <v>692</v>
      </c>
      <c r="N2333">
        <v>0.54</v>
      </c>
      <c r="O2333" s="3">
        <v>411.44</v>
      </c>
      <c r="P2333" s="3">
        <v>0.1</v>
      </c>
      <c r="Q2333" s="3">
        <v>415.3</v>
      </c>
      <c r="R2333" s="3">
        <v>0.1</v>
      </c>
      <c r="S2333">
        <v>7</v>
      </c>
      <c r="T2333">
        <v>709.75</v>
      </c>
      <c r="U2333">
        <v>32</v>
      </c>
      <c r="V2333">
        <v>0</v>
      </c>
      <c r="W2333">
        <v>270.06</v>
      </c>
      <c r="X2333">
        <v>2844.87</v>
      </c>
      <c r="Y2333" t="s">
        <v>36</v>
      </c>
      <c r="Z2333" s="3">
        <v>1131.6099999999999</v>
      </c>
      <c r="AA2333" t="s">
        <v>40</v>
      </c>
      <c r="AB2333" t="s">
        <v>44</v>
      </c>
      <c r="AC2333">
        <v>18.2</v>
      </c>
      <c r="AD2333" t="s">
        <v>34</v>
      </c>
      <c r="AE2333">
        <v>1129.77</v>
      </c>
      <c r="AF2333">
        <v>0</v>
      </c>
    </row>
    <row r="2334" spans="3:32" x14ac:dyDescent="0.35">
      <c r="C2334" s="1">
        <v>44846</v>
      </c>
      <c r="D2334" s="2">
        <v>44835</v>
      </c>
      <c r="E2334">
        <v>1224</v>
      </c>
      <c r="F2334" s="3">
        <v>3550.25</v>
      </c>
      <c r="G2334" s="3">
        <v>3313.66</v>
      </c>
      <c r="H2334" s="3">
        <v>236.59</v>
      </c>
      <c r="I2334" s="3">
        <v>0.93</v>
      </c>
      <c r="J2334">
        <v>0.12</v>
      </c>
      <c r="K2334">
        <v>2045.98</v>
      </c>
      <c r="L2334" t="s">
        <v>30</v>
      </c>
      <c r="M2334">
        <v>673</v>
      </c>
      <c r="N2334">
        <v>0.59</v>
      </c>
      <c r="O2334" s="3">
        <v>639.13</v>
      </c>
      <c r="P2334" s="3">
        <v>0.18</v>
      </c>
      <c r="Q2334" s="3">
        <v>0</v>
      </c>
      <c r="R2334" s="3">
        <v>0</v>
      </c>
      <c r="S2334">
        <v>4</v>
      </c>
      <c r="T2334">
        <v>688.51</v>
      </c>
      <c r="U2334">
        <v>74</v>
      </c>
      <c r="V2334">
        <v>0</v>
      </c>
      <c r="W2334">
        <v>442.26</v>
      </c>
      <c r="X2334">
        <v>2363.54</v>
      </c>
      <c r="Y2334" t="s">
        <v>36</v>
      </c>
      <c r="Z2334" s="3">
        <v>1338.92</v>
      </c>
      <c r="AA2334" t="s">
        <v>50</v>
      </c>
      <c r="AB2334" t="s">
        <v>42</v>
      </c>
      <c r="AC2334">
        <v>86.8</v>
      </c>
      <c r="AD2334" t="s">
        <v>38</v>
      </c>
      <c r="AE2334">
        <v>236.59</v>
      </c>
      <c r="AF2334">
        <v>0</v>
      </c>
    </row>
    <row r="2335" spans="3:32" x14ac:dyDescent="0.35">
      <c r="C2335" s="1">
        <v>44846</v>
      </c>
      <c r="D2335" s="2">
        <v>44835</v>
      </c>
      <c r="E2335">
        <v>1328</v>
      </c>
      <c r="F2335" s="3">
        <v>3584.76</v>
      </c>
      <c r="G2335" s="3">
        <v>2356.4</v>
      </c>
      <c r="H2335" s="3">
        <v>1228.3599999999999</v>
      </c>
      <c r="I2335" s="3">
        <v>0.66</v>
      </c>
      <c r="J2335">
        <v>0.3</v>
      </c>
      <c r="K2335">
        <v>2264.52</v>
      </c>
      <c r="L2335" t="s">
        <v>35</v>
      </c>
      <c r="M2335">
        <v>706</v>
      </c>
      <c r="N2335">
        <v>0.15</v>
      </c>
      <c r="O2335" s="3">
        <v>111.79</v>
      </c>
      <c r="P2335" s="3">
        <v>0.03</v>
      </c>
      <c r="Q2335" s="3">
        <v>859.12</v>
      </c>
      <c r="R2335" s="3">
        <v>0.24</v>
      </c>
      <c r="S2335">
        <v>3</v>
      </c>
      <c r="T2335">
        <v>927.99</v>
      </c>
      <c r="U2335">
        <v>89</v>
      </c>
      <c r="V2335">
        <v>0</v>
      </c>
      <c r="W2335">
        <v>440.92</v>
      </c>
      <c r="X2335">
        <v>1729.53</v>
      </c>
      <c r="Y2335" t="s">
        <v>49</v>
      </c>
      <c r="Z2335" s="3">
        <v>1368.42</v>
      </c>
      <c r="AA2335" t="s">
        <v>37</v>
      </c>
      <c r="AB2335" t="s">
        <v>33</v>
      </c>
      <c r="AC2335">
        <v>32.1</v>
      </c>
      <c r="AD2335" t="s">
        <v>43</v>
      </c>
      <c r="AE2335">
        <v>1228.3599999999999</v>
      </c>
      <c r="AF2335">
        <v>0</v>
      </c>
    </row>
    <row r="2336" spans="3:32" x14ac:dyDescent="0.35">
      <c r="C2336" s="1">
        <v>44846</v>
      </c>
      <c r="D2336" s="2">
        <v>44835</v>
      </c>
      <c r="E2336">
        <v>1567</v>
      </c>
      <c r="F2336" s="3">
        <v>3289.02</v>
      </c>
      <c r="G2336" s="3">
        <v>1487.46</v>
      </c>
      <c r="H2336" s="3">
        <v>1801.56</v>
      </c>
      <c r="I2336" s="3">
        <v>0.45</v>
      </c>
      <c r="J2336">
        <v>0.09</v>
      </c>
      <c r="K2336">
        <v>2761.13</v>
      </c>
      <c r="L2336" t="s">
        <v>35</v>
      </c>
      <c r="M2336">
        <v>590</v>
      </c>
      <c r="N2336">
        <v>0.48</v>
      </c>
      <c r="O2336" s="3">
        <v>850.49</v>
      </c>
      <c r="P2336" s="3">
        <v>0.26</v>
      </c>
      <c r="Q2336" s="3">
        <v>370.35</v>
      </c>
      <c r="R2336" s="3">
        <v>0.11</v>
      </c>
      <c r="S2336">
        <v>8</v>
      </c>
      <c r="T2336">
        <v>771.09</v>
      </c>
      <c r="U2336">
        <v>62</v>
      </c>
      <c r="V2336">
        <v>0</v>
      </c>
      <c r="W2336">
        <v>622.87</v>
      </c>
      <c r="X2336">
        <v>1747.67</v>
      </c>
      <c r="Y2336" t="s">
        <v>49</v>
      </c>
      <c r="Z2336" s="3">
        <v>496.87</v>
      </c>
      <c r="AA2336" t="s">
        <v>41</v>
      </c>
      <c r="AB2336" t="s">
        <v>33</v>
      </c>
      <c r="AC2336">
        <v>78.7</v>
      </c>
      <c r="AD2336" t="s">
        <v>43</v>
      </c>
      <c r="AE2336">
        <v>1801.56</v>
      </c>
      <c r="AF2336">
        <v>0</v>
      </c>
    </row>
    <row r="2337" spans="3:32" x14ac:dyDescent="0.35">
      <c r="C2337" s="1">
        <v>44846</v>
      </c>
      <c r="D2337" s="2">
        <v>44835</v>
      </c>
      <c r="E2337">
        <v>1458</v>
      </c>
      <c r="F2337" s="3">
        <v>2642.24</v>
      </c>
      <c r="G2337" s="3">
        <v>2988.1</v>
      </c>
      <c r="H2337" s="3">
        <v>-345.86</v>
      </c>
      <c r="I2337" s="3">
        <v>1.1299999999999999</v>
      </c>
      <c r="J2337">
        <v>0.22</v>
      </c>
      <c r="K2337">
        <v>2160.65</v>
      </c>
      <c r="L2337" t="s">
        <v>30</v>
      </c>
      <c r="M2337">
        <v>653</v>
      </c>
      <c r="N2337">
        <v>0.4</v>
      </c>
      <c r="O2337" s="3">
        <v>646.15</v>
      </c>
      <c r="P2337" s="3">
        <v>0.24</v>
      </c>
      <c r="Q2337" s="3">
        <v>278.95</v>
      </c>
      <c r="R2337" s="3">
        <v>0.11</v>
      </c>
      <c r="S2337">
        <v>6</v>
      </c>
      <c r="T2337">
        <v>118.51</v>
      </c>
      <c r="U2337">
        <v>45</v>
      </c>
      <c r="V2337">
        <v>0</v>
      </c>
      <c r="W2337">
        <v>332.49</v>
      </c>
      <c r="X2337">
        <v>2270.21</v>
      </c>
      <c r="Y2337" t="s">
        <v>31</v>
      </c>
      <c r="Z2337" s="3">
        <v>1172.69</v>
      </c>
      <c r="AA2337" t="s">
        <v>50</v>
      </c>
      <c r="AB2337" t="s">
        <v>33</v>
      </c>
      <c r="AC2337">
        <v>9.5</v>
      </c>
      <c r="AD2337" t="s">
        <v>34</v>
      </c>
      <c r="AE2337">
        <v>0</v>
      </c>
      <c r="AF2337">
        <v>0</v>
      </c>
    </row>
    <row r="2338" spans="3:32" x14ac:dyDescent="0.35">
      <c r="C2338" s="1">
        <v>44846</v>
      </c>
      <c r="D2338" s="2">
        <v>44835</v>
      </c>
      <c r="E2338">
        <v>1888</v>
      </c>
      <c r="F2338" s="3">
        <v>4105.57</v>
      </c>
      <c r="G2338" s="3">
        <v>2607.75</v>
      </c>
      <c r="H2338" s="3">
        <v>1497.82</v>
      </c>
      <c r="I2338" s="3">
        <v>0.64</v>
      </c>
      <c r="J2338">
        <v>0.33</v>
      </c>
      <c r="K2338">
        <v>2529.4699999999998</v>
      </c>
      <c r="L2338" t="s">
        <v>35</v>
      </c>
      <c r="M2338">
        <v>698</v>
      </c>
      <c r="N2338">
        <v>0.4</v>
      </c>
      <c r="O2338" s="3">
        <v>61.39</v>
      </c>
      <c r="P2338" s="3">
        <v>0.01</v>
      </c>
      <c r="Q2338" s="3">
        <v>459.11</v>
      </c>
      <c r="R2338" s="3">
        <v>0.11</v>
      </c>
      <c r="S2338">
        <v>4</v>
      </c>
      <c r="T2338">
        <v>1228.18</v>
      </c>
      <c r="U2338">
        <v>87</v>
      </c>
      <c r="V2338">
        <v>0</v>
      </c>
      <c r="W2338">
        <v>490.37</v>
      </c>
      <c r="X2338">
        <v>2615.9499999999998</v>
      </c>
      <c r="Y2338" t="s">
        <v>36</v>
      </c>
      <c r="Z2338" s="3">
        <v>702.63</v>
      </c>
      <c r="AA2338" t="s">
        <v>51</v>
      </c>
      <c r="AB2338" t="s">
        <v>42</v>
      </c>
      <c r="AC2338">
        <v>48.8</v>
      </c>
      <c r="AD2338" t="s">
        <v>34</v>
      </c>
      <c r="AE2338">
        <v>1497.82</v>
      </c>
      <c r="AF2338">
        <v>0</v>
      </c>
    </row>
    <row r="2339" spans="3:32" x14ac:dyDescent="0.35">
      <c r="C2339" s="1">
        <v>44846</v>
      </c>
      <c r="D2339" s="2">
        <v>44835</v>
      </c>
      <c r="E2339">
        <v>1641</v>
      </c>
      <c r="F2339" s="3">
        <v>4460.6099999999997</v>
      </c>
      <c r="G2339" s="3">
        <v>2793.19</v>
      </c>
      <c r="H2339" s="3">
        <v>1667.42</v>
      </c>
      <c r="I2339" s="3">
        <v>0.63</v>
      </c>
      <c r="J2339">
        <v>0.24</v>
      </c>
      <c r="K2339">
        <v>2424.4299999999998</v>
      </c>
      <c r="L2339" t="s">
        <v>39</v>
      </c>
      <c r="M2339">
        <v>678</v>
      </c>
      <c r="N2339">
        <v>0.53</v>
      </c>
      <c r="O2339" s="3">
        <v>637.20000000000005</v>
      </c>
      <c r="P2339" s="3">
        <v>0.14000000000000001</v>
      </c>
      <c r="Q2339" s="3">
        <v>978.79</v>
      </c>
      <c r="R2339" s="3">
        <v>0.22</v>
      </c>
      <c r="S2339">
        <v>2</v>
      </c>
      <c r="T2339">
        <v>21.26</v>
      </c>
      <c r="U2339">
        <v>34</v>
      </c>
      <c r="V2339">
        <v>0</v>
      </c>
      <c r="W2339">
        <v>640.12</v>
      </c>
      <c r="X2339">
        <v>1509.18</v>
      </c>
      <c r="Y2339" t="s">
        <v>36</v>
      </c>
      <c r="Z2339" s="3">
        <v>685.73</v>
      </c>
      <c r="AA2339" t="s">
        <v>45</v>
      </c>
      <c r="AB2339" t="s">
        <v>33</v>
      </c>
      <c r="AC2339">
        <v>90</v>
      </c>
      <c r="AD2339" t="s">
        <v>34</v>
      </c>
      <c r="AE2339">
        <v>1667.42</v>
      </c>
      <c r="AF2339">
        <v>0</v>
      </c>
    </row>
    <row r="2340" spans="3:32" x14ac:dyDescent="0.35">
      <c r="C2340" s="1">
        <v>44846</v>
      </c>
      <c r="D2340" s="2">
        <v>44835</v>
      </c>
      <c r="E2340">
        <v>1314</v>
      </c>
      <c r="F2340" s="3">
        <v>4734.04</v>
      </c>
      <c r="G2340" s="3">
        <v>3175.1</v>
      </c>
      <c r="H2340" s="3">
        <v>1558.94</v>
      </c>
      <c r="I2340" s="3">
        <v>0.67</v>
      </c>
      <c r="J2340">
        <v>0.2</v>
      </c>
      <c r="K2340">
        <v>3004.97</v>
      </c>
      <c r="L2340" t="s">
        <v>35</v>
      </c>
      <c r="M2340">
        <v>582</v>
      </c>
      <c r="N2340">
        <v>0.47</v>
      </c>
      <c r="O2340" s="3">
        <v>522.23</v>
      </c>
      <c r="P2340" s="3">
        <v>0.11</v>
      </c>
      <c r="Q2340" s="3">
        <v>156.51</v>
      </c>
      <c r="R2340" s="3">
        <v>0.03</v>
      </c>
      <c r="S2340">
        <v>5</v>
      </c>
      <c r="T2340">
        <v>673.57</v>
      </c>
      <c r="U2340">
        <v>56</v>
      </c>
      <c r="V2340">
        <v>0</v>
      </c>
      <c r="W2340">
        <v>513.04</v>
      </c>
      <c r="X2340">
        <v>1000</v>
      </c>
      <c r="Y2340" t="s">
        <v>36</v>
      </c>
      <c r="Z2340" s="3">
        <v>980.23</v>
      </c>
      <c r="AA2340" t="s">
        <v>45</v>
      </c>
      <c r="AB2340" t="s">
        <v>33</v>
      </c>
      <c r="AC2340">
        <v>47.7</v>
      </c>
      <c r="AD2340" t="s">
        <v>43</v>
      </c>
      <c r="AE2340">
        <v>1558.94</v>
      </c>
      <c r="AF2340">
        <v>0</v>
      </c>
    </row>
    <row r="2341" spans="3:32" x14ac:dyDescent="0.35">
      <c r="C2341" s="1">
        <v>44846</v>
      </c>
      <c r="D2341" s="2">
        <v>44835</v>
      </c>
      <c r="E2341">
        <v>1312</v>
      </c>
      <c r="F2341" s="3">
        <v>4059.88</v>
      </c>
      <c r="G2341" s="3">
        <v>4273.1499999999996</v>
      </c>
      <c r="H2341" s="3">
        <v>-213.27</v>
      </c>
      <c r="I2341" s="3">
        <v>1.05</v>
      </c>
      <c r="J2341">
        <v>0.06</v>
      </c>
      <c r="K2341">
        <v>2692.4</v>
      </c>
      <c r="L2341" t="s">
        <v>35</v>
      </c>
      <c r="M2341">
        <v>638</v>
      </c>
      <c r="N2341">
        <v>0.35</v>
      </c>
      <c r="O2341" s="3">
        <v>656.68</v>
      </c>
      <c r="P2341" s="3">
        <v>0.16</v>
      </c>
      <c r="Q2341" s="3">
        <v>297.14</v>
      </c>
      <c r="R2341" s="3">
        <v>7.0000000000000007E-2</v>
      </c>
      <c r="S2341">
        <v>1</v>
      </c>
      <c r="T2341">
        <v>613.67999999999995</v>
      </c>
      <c r="U2341">
        <v>81</v>
      </c>
      <c r="V2341">
        <v>0</v>
      </c>
      <c r="W2341">
        <v>606.30999999999995</v>
      </c>
      <c r="X2341">
        <v>1428.63</v>
      </c>
      <c r="Y2341" t="s">
        <v>36</v>
      </c>
      <c r="Z2341" s="3">
        <v>1022.24</v>
      </c>
      <c r="AA2341" t="s">
        <v>51</v>
      </c>
      <c r="AB2341" t="s">
        <v>42</v>
      </c>
      <c r="AC2341">
        <v>71</v>
      </c>
      <c r="AD2341" t="s">
        <v>38</v>
      </c>
      <c r="AE2341">
        <v>0</v>
      </c>
      <c r="AF2341">
        <v>0</v>
      </c>
    </row>
    <row r="2342" spans="3:32" x14ac:dyDescent="0.35">
      <c r="C2342" s="1">
        <v>44846</v>
      </c>
      <c r="D2342" s="2">
        <v>44835</v>
      </c>
      <c r="E2342">
        <v>1460</v>
      </c>
      <c r="F2342" s="3">
        <v>4214.59</v>
      </c>
      <c r="G2342" s="3">
        <v>2935.05</v>
      </c>
      <c r="H2342" s="3">
        <v>1279.54</v>
      </c>
      <c r="I2342" s="3">
        <v>0.7</v>
      </c>
      <c r="J2342">
        <v>0.34</v>
      </c>
      <c r="K2342">
        <v>3561.01</v>
      </c>
      <c r="L2342" t="s">
        <v>35</v>
      </c>
      <c r="M2342">
        <v>716</v>
      </c>
      <c r="N2342">
        <v>0.21</v>
      </c>
      <c r="O2342" s="3">
        <v>145.65</v>
      </c>
      <c r="P2342" s="3">
        <v>0.03</v>
      </c>
      <c r="Q2342" s="3">
        <v>749.6</v>
      </c>
      <c r="R2342" s="3">
        <v>0.18</v>
      </c>
      <c r="S2342">
        <v>8</v>
      </c>
      <c r="T2342">
        <v>1480.97</v>
      </c>
      <c r="U2342">
        <v>25</v>
      </c>
      <c r="V2342">
        <v>0</v>
      </c>
      <c r="W2342">
        <v>512.89</v>
      </c>
      <c r="X2342">
        <v>1520.38</v>
      </c>
      <c r="Y2342" t="s">
        <v>49</v>
      </c>
      <c r="Z2342" s="3">
        <v>1507.2</v>
      </c>
      <c r="AA2342" t="s">
        <v>45</v>
      </c>
      <c r="AB2342" t="s">
        <v>33</v>
      </c>
      <c r="AC2342">
        <v>56.7</v>
      </c>
      <c r="AD2342" t="s">
        <v>34</v>
      </c>
      <c r="AE2342">
        <v>1279.54</v>
      </c>
      <c r="AF2342">
        <v>0</v>
      </c>
    </row>
    <row r="2343" spans="3:32" x14ac:dyDescent="0.35">
      <c r="C2343" s="1">
        <v>44846</v>
      </c>
      <c r="D2343" s="2">
        <v>44835</v>
      </c>
      <c r="E2343">
        <v>1131</v>
      </c>
      <c r="F2343" s="3">
        <v>5362.52</v>
      </c>
      <c r="G2343" s="3">
        <v>2620.39</v>
      </c>
      <c r="H2343" s="3">
        <v>2742.13</v>
      </c>
      <c r="I2343" s="3">
        <v>0.49</v>
      </c>
      <c r="J2343">
        <v>0.3</v>
      </c>
      <c r="K2343">
        <v>2221.5700000000002</v>
      </c>
      <c r="L2343" t="s">
        <v>39</v>
      </c>
      <c r="M2343">
        <v>668</v>
      </c>
      <c r="N2343">
        <v>0.16</v>
      </c>
      <c r="O2343" s="3">
        <v>371.56</v>
      </c>
      <c r="P2343" s="3">
        <v>7.0000000000000007E-2</v>
      </c>
      <c r="Q2343" s="3">
        <v>349.05</v>
      </c>
      <c r="R2343" s="3">
        <v>7.0000000000000007E-2</v>
      </c>
      <c r="S2343">
        <v>6</v>
      </c>
      <c r="T2343">
        <v>601.49</v>
      </c>
      <c r="U2343">
        <v>47</v>
      </c>
      <c r="V2343">
        <v>0</v>
      </c>
      <c r="W2343">
        <v>203.03</v>
      </c>
      <c r="X2343">
        <v>2676.7</v>
      </c>
      <c r="Y2343" t="s">
        <v>36</v>
      </c>
      <c r="Z2343" s="3">
        <v>1828.14</v>
      </c>
      <c r="AA2343" t="s">
        <v>46</v>
      </c>
      <c r="AB2343" t="s">
        <v>42</v>
      </c>
      <c r="AC2343">
        <v>69.900000000000006</v>
      </c>
      <c r="AD2343" t="s">
        <v>43</v>
      </c>
      <c r="AE2343">
        <v>2742.13</v>
      </c>
      <c r="AF2343">
        <v>1</v>
      </c>
    </row>
    <row r="2344" spans="3:32" x14ac:dyDescent="0.35">
      <c r="C2344" s="1">
        <v>44846</v>
      </c>
      <c r="D2344" s="2">
        <v>44835</v>
      </c>
      <c r="E2344">
        <v>1649</v>
      </c>
      <c r="F2344" s="3">
        <v>3474.62</v>
      </c>
      <c r="G2344" s="3">
        <v>3989.72</v>
      </c>
      <c r="H2344" s="3">
        <v>-515.1</v>
      </c>
      <c r="I2344" s="3">
        <v>1.1499999999999999</v>
      </c>
      <c r="J2344">
        <v>0.15</v>
      </c>
      <c r="K2344">
        <v>2315.2199999999998</v>
      </c>
      <c r="L2344" t="s">
        <v>30</v>
      </c>
      <c r="M2344">
        <v>812</v>
      </c>
      <c r="N2344">
        <v>0.19</v>
      </c>
      <c r="O2344" s="3">
        <v>736.69</v>
      </c>
      <c r="P2344" s="3">
        <v>0.21</v>
      </c>
      <c r="Q2344" s="3">
        <v>727.95</v>
      </c>
      <c r="R2344" s="3">
        <v>0.21</v>
      </c>
      <c r="S2344">
        <v>3</v>
      </c>
      <c r="T2344">
        <v>88.84</v>
      </c>
      <c r="U2344">
        <v>65</v>
      </c>
      <c r="V2344">
        <v>0</v>
      </c>
      <c r="W2344">
        <v>671.23</v>
      </c>
      <c r="X2344">
        <v>2511.4299999999998</v>
      </c>
      <c r="Y2344" t="s">
        <v>31</v>
      </c>
      <c r="Z2344" s="3">
        <v>2126.91</v>
      </c>
      <c r="AA2344" t="s">
        <v>37</v>
      </c>
      <c r="AB2344" t="s">
        <v>33</v>
      </c>
      <c r="AC2344">
        <v>19.3</v>
      </c>
      <c r="AD2344" t="s">
        <v>34</v>
      </c>
      <c r="AE2344">
        <v>0</v>
      </c>
      <c r="AF2344">
        <v>0</v>
      </c>
    </row>
    <row r="2345" spans="3:32" x14ac:dyDescent="0.35">
      <c r="C2345" s="1">
        <v>44846</v>
      </c>
      <c r="D2345" s="2">
        <v>44835</v>
      </c>
      <c r="E2345">
        <v>1740</v>
      </c>
      <c r="F2345" s="3">
        <v>1147.83</v>
      </c>
      <c r="G2345" s="3">
        <v>3373.13</v>
      </c>
      <c r="H2345" s="3">
        <v>-2225.3000000000002</v>
      </c>
      <c r="I2345" s="3">
        <v>2.94</v>
      </c>
      <c r="J2345">
        <v>0.22</v>
      </c>
      <c r="K2345">
        <v>3110.87</v>
      </c>
      <c r="L2345" t="s">
        <v>35</v>
      </c>
      <c r="M2345">
        <v>663</v>
      </c>
      <c r="N2345">
        <v>0.41</v>
      </c>
      <c r="O2345" s="3">
        <v>891.92</v>
      </c>
      <c r="P2345" s="3">
        <v>0.78</v>
      </c>
      <c r="Q2345" s="3">
        <v>12.52</v>
      </c>
      <c r="R2345" s="3">
        <v>0.01</v>
      </c>
      <c r="S2345">
        <v>8</v>
      </c>
      <c r="T2345">
        <v>1451.49</v>
      </c>
      <c r="U2345">
        <v>66</v>
      </c>
      <c r="V2345">
        <v>0</v>
      </c>
      <c r="W2345">
        <v>672.85</v>
      </c>
      <c r="X2345">
        <v>2003.59</v>
      </c>
      <c r="Y2345" t="s">
        <v>31</v>
      </c>
      <c r="Z2345" s="3">
        <v>474.7</v>
      </c>
      <c r="AA2345" t="s">
        <v>51</v>
      </c>
      <c r="AB2345" t="s">
        <v>33</v>
      </c>
      <c r="AC2345">
        <v>32.9</v>
      </c>
      <c r="AD2345" t="s">
        <v>34</v>
      </c>
      <c r="AE2345">
        <v>0</v>
      </c>
      <c r="AF2345">
        <v>0</v>
      </c>
    </row>
    <row r="2346" spans="3:32" x14ac:dyDescent="0.35">
      <c r="C2346" s="1">
        <v>44846</v>
      </c>
      <c r="D2346" s="2">
        <v>44835</v>
      </c>
      <c r="E2346">
        <v>1272</v>
      </c>
      <c r="F2346" s="3">
        <v>5710.41</v>
      </c>
      <c r="G2346" s="3">
        <v>3616.83</v>
      </c>
      <c r="H2346" s="3">
        <v>2093.58</v>
      </c>
      <c r="I2346" s="3">
        <v>0.63</v>
      </c>
      <c r="J2346">
        <v>0.31</v>
      </c>
      <c r="K2346">
        <v>3079.28</v>
      </c>
      <c r="L2346" t="s">
        <v>30</v>
      </c>
      <c r="M2346">
        <v>663</v>
      </c>
      <c r="N2346">
        <v>0.41</v>
      </c>
      <c r="O2346" s="3">
        <v>424.15</v>
      </c>
      <c r="P2346" s="3">
        <v>7.0000000000000007E-2</v>
      </c>
      <c r="Q2346" s="3">
        <v>582.80999999999995</v>
      </c>
      <c r="R2346" s="3">
        <v>0.1</v>
      </c>
      <c r="S2346">
        <v>9</v>
      </c>
      <c r="T2346">
        <v>1713.24</v>
      </c>
      <c r="U2346">
        <v>70</v>
      </c>
      <c r="V2346">
        <v>0</v>
      </c>
      <c r="W2346">
        <v>921.32</v>
      </c>
      <c r="X2346">
        <v>1525.48</v>
      </c>
      <c r="Y2346" t="s">
        <v>36</v>
      </c>
      <c r="Z2346" s="3">
        <v>1539.99</v>
      </c>
      <c r="AA2346" t="s">
        <v>51</v>
      </c>
      <c r="AB2346" t="s">
        <v>33</v>
      </c>
      <c r="AC2346">
        <v>59.5</v>
      </c>
      <c r="AD2346" t="s">
        <v>43</v>
      </c>
      <c r="AE2346">
        <v>2093.58</v>
      </c>
      <c r="AF2346">
        <v>0</v>
      </c>
    </row>
    <row r="2347" spans="3:32" x14ac:dyDescent="0.35">
      <c r="C2347" s="1">
        <v>44846</v>
      </c>
      <c r="D2347" s="2">
        <v>44835</v>
      </c>
      <c r="E2347">
        <v>1074</v>
      </c>
      <c r="F2347" s="3">
        <v>3604.93</v>
      </c>
      <c r="G2347" s="3">
        <v>3988.9</v>
      </c>
      <c r="H2347" s="3">
        <v>-383.97</v>
      </c>
      <c r="I2347" s="3">
        <v>1.1100000000000001</v>
      </c>
      <c r="J2347">
        <v>0.31</v>
      </c>
      <c r="K2347">
        <v>2924.95</v>
      </c>
      <c r="L2347" t="s">
        <v>35</v>
      </c>
      <c r="M2347">
        <v>723</v>
      </c>
      <c r="N2347">
        <v>0.33</v>
      </c>
      <c r="O2347" s="3">
        <v>899.1</v>
      </c>
      <c r="P2347" s="3">
        <v>0.25</v>
      </c>
      <c r="Q2347" s="3">
        <v>37.24</v>
      </c>
      <c r="R2347" s="3">
        <v>0.01</v>
      </c>
      <c r="S2347">
        <v>4</v>
      </c>
      <c r="T2347">
        <v>620.92999999999995</v>
      </c>
      <c r="U2347">
        <v>23</v>
      </c>
      <c r="V2347">
        <v>0</v>
      </c>
      <c r="W2347">
        <v>463.33</v>
      </c>
      <c r="X2347">
        <v>2238.2600000000002</v>
      </c>
      <c r="Y2347" t="s">
        <v>36</v>
      </c>
      <c r="Z2347" s="3">
        <v>863.76</v>
      </c>
      <c r="AA2347" t="s">
        <v>48</v>
      </c>
      <c r="AB2347" t="s">
        <v>42</v>
      </c>
      <c r="AC2347">
        <v>88.3</v>
      </c>
      <c r="AD2347" t="s">
        <v>34</v>
      </c>
      <c r="AE2347">
        <v>0</v>
      </c>
      <c r="AF2347">
        <v>0</v>
      </c>
    </row>
    <row r="2348" spans="3:32" x14ac:dyDescent="0.35">
      <c r="C2348" s="1">
        <v>44846</v>
      </c>
      <c r="D2348" s="2">
        <v>44835</v>
      </c>
      <c r="E2348">
        <v>1813</v>
      </c>
      <c r="F2348" s="3">
        <v>5782.05</v>
      </c>
      <c r="G2348" s="3">
        <v>3674.54</v>
      </c>
      <c r="H2348" s="3">
        <v>2107.5100000000002</v>
      </c>
      <c r="I2348" s="3">
        <v>0.64</v>
      </c>
      <c r="J2348">
        <v>0.37</v>
      </c>
      <c r="K2348">
        <v>3226.92</v>
      </c>
      <c r="L2348" t="s">
        <v>30</v>
      </c>
      <c r="M2348">
        <v>696</v>
      </c>
      <c r="N2348">
        <v>0.24</v>
      </c>
      <c r="O2348" s="3">
        <v>395.89</v>
      </c>
      <c r="P2348" s="3">
        <v>7.0000000000000007E-2</v>
      </c>
      <c r="Q2348" s="3">
        <v>298.8</v>
      </c>
      <c r="R2348" s="3">
        <v>0.05</v>
      </c>
      <c r="S2348">
        <v>3</v>
      </c>
      <c r="T2348">
        <v>849.83</v>
      </c>
      <c r="U2348">
        <v>94</v>
      </c>
      <c r="V2348">
        <v>0</v>
      </c>
      <c r="W2348">
        <v>0</v>
      </c>
      <c r="X2348">
        <v>2276.15</v>
      </c>
      <c r="Y2348" t="s">
        <v>36</v>
      </c>
      <c r="Z2348" s="3">
        <v>1018.62</v>
      </c>
      <c r="AA2348" t="s">
        <v>48</v>
      </c>
      <c r="AB2348" t="s">
        <v>33</v>
      </c>
      <c r="AC2348">
        <v>42.2</v>
      </c>
      <c r="AD2348" t="s">
        <v>43</v>
      </c>
      <c r="AE2348">
        <v>2107.5100000000002</v>
      </c>
      <c r="AF2348">
        <v>0</v>
      </c>
    </row>
    <row r="2349" spans="3:32" x14ac:dyDescent="0.35">
      <c r="C2349" s="1">
        <v>44846</v>
      </c>
      <c r="D2349" s="2">
        <v>44835</v>
      </c>
      <c r="E2349">
        <v>1050</v>
      </c>
      <c r="F2349" s="3">
        <v>5144.68</v>
      </c>
      <c r="G2349" s="3">
        <v>2707.01</v>
      </c>
      <c r="H2349" s="3">
        <v>2437.67</v>
      </c>
      <c r="I2349" s="3">
        <v>0.53</v>
      </c>
      <c r="J2349">
        <v>0.19</v>
      </c>
      <c r="K2349">
        <v>2709.53</v>
      </c>
      <c r="L2349" t="s">
        <v>35</v>
      </c>
      <c r="M2349">
        <v>646</v>
      </c>
      <c r="N2349">
        <v>0.32</v>
      </c>
      <c r="O2349" s="3">
        <v>827.5</v>
      </c>
      <c r="P2349" s="3">
        <v>0.16</v>
      </c>
      <c r="Q2349" s="3">
        <v>545.91999999999996</v>
      </c>
      <c r="R2349" s="3">
        <v>0.11</v>
      </c>
      <c r="S2349">
        <v>4</v>
      </c>
      <c r="T2349">
        <v>1328.28</v>
      </c>
      <c r="U2349">
        <v>99</v>
      </c>
      <c r="V2349">
        <v>0</v>
      </c>
      <c r="W2349">
        <v>663.84</v>
      </c>
      <c r="X2349">
        <v>1903.01</v>
      </c>
      <c r="Y2349" t="s">
        <v>31</v>
      </c>
      <c r="Z2349" s="3">
        <v>1341.3</v>
      </c>
      <c r="AA2349" t="s">
        <v>32</v>
      </c>
      <c r="AB2349" t="s">
        <v>42</v>
      </c>
      <c r="AC2349">
        <v>8.1</v>
      </c>
      <c r="AD2349" t="s">
        <v>34</v>
      </c>
      <c r="AE2349">
        <v>2437.67</v>
      </c>
      <c r="AF2349">
        <v>0</v>
      </c>
    </row>
    <row r="2350" spans="3:32" x14ac:dyDescent="0.35">
      <c r="C2350" s="1">
        <v>44846</v>
      </c>
      <c r="D2350" s="2">
        <v>44835</v>
      </c>
      <c r="E2350">
        <v>1932</v>
      </c>
      <c r="F2350" s="3">
        <v>4779.21</v>
      </c>
      <c r="G2350" s="3">
        <v>3920.42</v>
      </c>
      <c r="H2350" s="3">
        <v>858.79</v>
      </c>
      <c r="I2350" s="3">
        <v>0.82</v>
      </c>
      <c r="J2350">
        <v>0.05</v>
      </c>
      <c r="K2350">
        <v>3225.64</v>
      </c>
      <c r="L2350" t="s">
        <v>35</v>
      </c>
      <c r="M2350">
        <v>688</v>
      </c>
      <c r="N2350">
        <v>0.18</v>
      </c>
      <c r="O2350" s="3">
        <v>499.08</v>
      </c>
      <c r="P2350" s="3">
        <v>0.1</v>
      </c>
      <c r="Q2350" s="3">
        <v>462.01</v>
      </c>
      <c r="R2350" s="3">
        <v>0.1</v>
      </c>
      <c r="S2350">
        <v>3</v>
      </c>
      <c r="T2350">
        <v>1125.1099999999999</v>
      </c>
      <c r="U2350">
        <v>80</v>
      </c>
      <c r="V2350">
        <v>0</v>
      </c>
      <c r="W2350">
        <v>423.15</v>
      </c>
      <c r="X2350">
        <v>1623.55</v>
      </c>
      <c r="Y2350" t="s">
        <v>36</v>
      </c>
      <c r="Z2350" s="3">
        <v>1456.12</v>
      </c>
      <c r="AA2350" t="s">
        <v>37</v>
      </c>
      <c r="AB2350" t="s">
        <v>33</v>
      </c>
      <c r="AC2350">
        <v>11.1</v>
      </c>
      <c r="AD2350" t="s">
        <v>34</v>
      </c>
      <c r="AE2350">
        <v>858.79</v>
      </c>
      <c r="AF2350">
        <v>0</v>
      </c>
    </row>
    <row r="2351" spans="3:32" x14ac:dyDescent="0.35">
      <c r="C2351" s="1">
        <v>44846</v>
      </c>
      <c r="D2351" s="2">
        <v>44835</v>
      </c>
      <c r="E2351">
        <v>1421</v>
      </c>
      <c r="F2351" s="3">
        <v>4415.51</v>
      </c>
      <c r="G2351" s="3">
        <v>2821.05</v>
      </c>
      <c r="H2351" s="3">
        <v>1594.46</v>
      </c>
      <c r="I2351" s="3">
        <v>0.64</v>
      </c>
      <c r="J2351">
        <v>0.22</v>
      </c>
      <c r="K2351">
        <v>3232.88</v>
      </c>
      <c r="L2351" t="s">
        <v>30</v>
      </c>
      <c r="M2351">
        <v>685</v>
      </c>
      <c r="N2351">
        <v>0.55000000000000004</v>
      </c>
      <c r="O2351" s="3">
        <v>468.13</v>
      </c>
      <c r="P2351" s="3">
        <v>0.11</v>
      </c>
      <c r="Q2351" s="3">
        <v>0</v>
      </c>
      <c r="R2351" s="3">
        <v>0</v>
      </c>
      <c r="S2351">
        <v>5</v>
      </c>
      <c r="T2351">
        <v>1482.55</v>
      </c>
      <c r="U2351">
        <v>33</v>
      </c>
      <c r="V2351">
        <v>0</v>
      </c>
      <c r="W2351">
        <v>531.76</v>
      </c>
      <c r="X2351">
        <v>2225.2600000000002</v>
      </c>
      <c r="Y2351" t="s">
        <v>36</v>
      </c>
      <c r="Z2351" s="3">
        <v>1530.83</v>
      </c>
      <c r="AA2351" t="s">
        <v>45</v>
      </c>
      <c r="AB2351" t="s">
        <v>33</v>
      </c>
      <c r="AC2351">
        <v>17.399999999999999</v>
      </c>
      <c r="AD2351" t="s">
        <v>43</v>
      </c>
      <c r="AE2351">
        <v>1594.46</v>
      </c>
      <c r="AF2351">
        <v>0</v>
      </c>
    </row>
    <row r="2352" spans="3:32" x14ac:dyDescent="0.35">
      <c r="C2352" s="1">
        <v>44876</v>
      </c>
      <c r="D2352" s="2">
        <v>44866</v>
      </c>
      <c r="E2352">
        <v>1206</v>
      </c>
      <c r="F2352" s="3">
        <v>3764.31</v>
      </c>
      <c r="G2352" s="3">
        <v>2918.07</v>
      </c>
      <c r="H2352" s="3">
        <v>846.24</v>
      </c>
      <c r="I2352" s="3">
        <v>0.78</v>
      </c>
      <c r="J2352">
        <v>0.22</v>
      </c>
      <c r="K2352">
        <v>2831.01</v>
      </c>
      <c r="L2352" t="s">
        <v>35</v>
      </c>
      <c r="M2352">
        <v>662</v>
      </c>
      <c r="N2352">
        <v>0.44</v>
      </c>
      <c r="O2352" s="3">
        <v>671.29</v>
      </c>
      <c r="P2352" s="3">
        <v>0.18</v>
      </c>
      <c r="Q2352" s="3">
        <v>0</v>
      </c>
      <c r="R2352" s="3">
        <v>0</v>
      </c>
      <c r="S2352">
        <v>4</v>
      </c>
      <c r="T2352">
        <v>789.59</v>
      </c>
      <c r="U2352">
        <v>96</v>
      </c>
      <c r="V2352">
        <v>0</v>
      </c>
      <c r="W2352">
        <v>619.13</v>
      </c>
      <c r="X2352">
        <v>2275.19</v>
      </c>
      <c r="Y2352" t="s">
        <v>36</v>
      </c>
      <c r="Z2352" s="3">
        <v>1127.83</v>
      </c>
      <c r="AA2352" t="s">
        <v>48</v>
      </c>
      <c r="AB2352" t="s">
        <v>33</v>
      </c>
      <c r="AC2352">
        <v>66</v>
      </c>
      <c r="AD2352" t="s">
        <v>34</v>
      </c>
      <c r="AE2352">
        <v>846.24</v>
      </c>
      <c r="AF2352">
        <v>0</v>
      </c>
    </row>
    <row r="2353" spans="3:32" x14ac:dyDescent="0.35">
      <c r="C2353" s="1">
        <v>44876</v>
      </c>
      <c r="D2353" s="2">
        <v>44866</v>
      </c>
      <c r="E2353">
        <v>1737</v>
      </c>
      <c r="F2353" s="3">
        <v>3564.15</v>
      </c>
      <c r="G2353" s="3">
        <v>2364.9699999999998</v>
      </c>
      <c r="H2353" s="3">
        <v>1199.18</v>
      </c>
      <c r="I2353" s="3">
        <v>0.66</v>
      </c>
      <c r="J2353">
        <v>0.26</v>
      </c>
      <c r="K2353">
        <v>2846.31</v>
      </c>
      <c r="L2353" t="s">
        <v>30</v>
      </c>
      <c r="M2353">
        <v>711</v>
      </c>
      <c r="N2353">
        <v>0.14000000000000001</v>
      </c>
      <c r="O2353" s="3">
        <v>544.1</v>
      </c>
      <c r="P2353" s="3">
        <v>0.15</v>
      </c>
      <c r="Q2353" s="3">
        <v>48.06</v>
      </c>
      <c r="R2353" s="3">
        <v>0.01</v>
      </c>
      <c r="S2353">
        <v>4</v>
      </c>
      <c r="T2353">
        <v>397.5</v>
      </c>
      <c r="U2353">
        <v>68</v>
      </c>
      <c r="V2353">
        <v>0</v>
      </c>
      <c r="W2353">
        <v>285.79000000000002</v>
      </c>
      <c r="X2353">
        <v>2412.89</v>
      </c>
      <c r="Y2353" t="s">
        <v>36</v>
      </c>
      <c r="Z2353" s="3">
        <v>930.95</v>
      </c>
      <c r="AA2353" t="s">
        <v>37</v>
      </c>
      <c r="AB2353" t="s">
        <v>44</v>
      </c>
      <c r="AC2353">
        <v>53.1</v>
      </c>
      <c r="AD2353" t="s">
        <v>43</v>
      </c>
      <c r="AE2353">
        <v>1199.18</v>
      </c>
      <c r="AF2353">
        <v>0</v>
      </c>
    </row>
    <row r="2354" spans="3:32" x14ac:dyDescent="0.35">
      <c r="C2354" s="1">
        <v>44876</v>
      </c>
      <c r="D2354" s="2">
        <v>44866</v>
      </c>
      <c r="E2354">
        <v>1194</v>
      </c>
      <c r="F2354" s="3">
        <v>4405.6000000000004</v>
      </c>
      <c r="G2354" s="3">
        <v>2086.7399999999998</v>
      </c>
      <c r="H2354" s="3">
        <v>2318.86</v>
      </c>
      <c r="I2354" s="3">
        <v>0.47</v>
      </c>
      <c r="J2354">
        <v>0.25</v>
      </c>
      <c r="K2354">
        <v>3067.48</v>
      </c>
      <c r="L2354" t="s">
        <v>30</v>
      </c>
      <c r="M2354">
        <v>667</v>
      </c>
      <c r="N2354">
        <v>0.31</v>
      </c>
      <c r="O2354" s="3">
        <v>690.36</v>
      </c>
      <c r="P2354" s="3">
        <v>0.16</v>
      </c>
      <c r="Q2354" s="3">
        <v>291.7</v>
      </c>
      <c r="R2354" s="3">
        <v>7.0000000000000007E-2</v>
      </c>
      <c r="S2354">
        <v>2</v>
      </c>
      <c r="T2354">
        <v>1254.99</v>
      </c>
      <c r="U2354">
        <v>78</v>
      </c>
      <c r="V2354">
        <v>0</v>
      </c>
      <c r="W2354">
        <v>604.26</v>
      </c>
      <c r="X2354">
        <v>1317.03</v>
      </c>
      <c r="Y2354" t="s">
        <v>31</v>
      </c>
      <c r="Z2354" s="3">
        <v>1402.39</v>
      </c>
      <c r="AA2354" t="s">
        <v>41</v>
      </c>
      <c r="AB2354" t="s">
        <v>44</v>
      </c>
      <c r="AC2354">
        <v>42.6</v>
      </c>
      <c r="AD2354" t="s">
        <v>34</v>
      </c>
      <c r="AE2354">
        <v>2318.86</v>
      </c>
      <c r="AF2354">
        <v>0</v>
      </c>
    </row>
    <row r="2355" spans="3:32" x14ac:dyDescent="0.35">
      <c r="C2355" s="1">
        <v>44876</v>
      </c>
      <c r="D2355" s="2">
        <v>44866</v>
      </c>
      <c r="E2355">
        <v>1391</v>
      </c>
      <c r="F2355" s="3">
        <v>3008.33</v>
      </c>
      <c r="G2355" s="3">
        <v>2707.59</v>
      </c>
      <c r="H2355" s="3">
        <v>300.74</v>
      </c>
      <c r="I2355" s="3">
        <v>0.9</v>
      </c>
      <c r="J2355">
        <v>0.16</v>
      </c>
      <c r="K2355">
        <v>2970.39</v>
      </c>
      <c r="L2355" t="s">
        <v>39</v>
      </c>
      <c r="M2355">
        <v>662</v>
      </c>
      <c r="N2355">
        <v>0.52</v>
      </c>
      <c r="O2355" s="3">
        <v>331.77</v>
      </c>
      <c r="P2355" s="3">
        <v>0.11</v>
      </c>
      <c r="Q2355" s="3">
        <v>393.5</v>
      </c>
      <c r="R2355" s="3">
        <v>0.13</v>
      </c>
      <c r="S2355">
        <v>4</v>
      </c>
      <c r="T2355">
        <v>573.03</v>
      </c>
      <c r="U2355">
        <v>27</v>
      </c>
      <c r="V2355">
        <v>0</v>
      </c>
      <c r="W2355">
        <v>528.58000000000004</v>
      </c>
      <c r="X2355">
        <v>2332.52</v>
      </c>
      <c r="Y2355" t="s">
        <v>36</v>
      </c>
      <c r="Z2355" s="3">
        <v>1616.83</v>
      </c>
      <c r="AA2355" t="s">
        <v>47</v>
      </c>
      <c r="AB2355" t="s">
        <v>44</v>
      </c>
      <c r="AC2355">
        <v>78.2</v>
      </c>
      <c r="AD2355" t="s">
        <v>34</v>
      </c>
      <c r="AE2355">
        <v>300.74</v>
      </c>
      <c r="AF2355">
        <v>0</v>
      </c>
    </row>
    <row r="2356" spans="3:32" x14ac:dyDescent="0.35">
      <c r="C2356" s="1">
        <v>44876</v>
      </c>
      <c r="D2356" s="2">
        <v>44866</v>
      </c>
      <c r="E2356">
        <v>1875</v>
      </c>
      <c r="F2356" s="3">
        <v>2482.7399999999998</v>
      </c>
      <c r="G2356" s="3">
        <v>2494.31</v>
      </c>
      <c r="H2356" s="3">
        <v>-11.57</v>
      </c>
      <c r="I2356" s="3">
        <v>1</v>
      </c>
      <c r="J2356">
        <v>0.08</v>
      </c>
      <c r="K2356">
        <v>2043.34</v>
      </c>
      <c r="L2356" t="s">
        <v>35</v>
      </c>
      <c r="M2356">
        <v>656</v>
      </c>
      <c r="N2356">
        <v>0.21</v>
      </c>
      <c r="O2356" s="3">
        <v>642.08000000000004</v>
      </c>
      <c r="P2356" s="3">
        <v>0.26</v>
      </c>
      <c r="Q2356" s="3">
        <v>354.87</v>
      </c>
      <c r="R2356" s="3">
        <v>0.14000000000000001</v>
      </c>
      <c r="S2356">
        <v>4</v>
      </c>
      <c r="T2356">
        <v>779.65</v>
      </c>
      <c r="U2356">
        <v>24</v>
      </c>
      <c r="V2356">
        <v>0</v>
      </c>
      <c r="W2356">
        <v>472.08</v>
      </c>
      <c r="X2356">
        <v>3925.17</v>
      </c>
      <c r="Y2356" t="s">
        <v>49</v>
      </c>
      <c r="Z2356" s="3">
        <v>908.01</v>
      </c>
      <c r="AA2356" t="s">
        <v>40</v>
      </c>
      <c r="AB2356" t="s">
        <v>33</v>
      </c>
      <c r="AC2356">
        <v>39</v>
      </c>
      <c r="AD2356" t="s">
        <v>43</v>
      </c>
      <c r="AE2356">
        <v>0</v>
      </c>
      <c r="AF2356">
        <v>0</v>
      </c>
    </row>
    <row r="2357" spans="3:32" x14ac:dyDescent="0.35">
      <c r="C2357" s="1">
        <v>44876</v>
      </c>
      <c r="D2357" s="2">
        <v>44866</v>
      </c>
      <c r="E2357">
        <v>1997</v>
      </c>
      <c r="F2357" s="3">
        <v>4196.79</v>
      </c>
      <c r="G2357" s="3">
        <v>3668.42</v>
      </c>
      <c r="H2357" s="3">
        <v>528.37</v>
      </c>
      <c r="I2357" s="3">
        <v>0.87</v>
      </c>
      <c r="J2357">
        <v>0.27</v>
      </c>
      <c r="K2357">
        <v>2891.74</v>
      </c>
      <c r="L2357" t="s">
        <v>39</v>
      </c>
      <c r="M2357">
        <v>729</v>
      </c>
      <c r="N2357">
        <v>0.57999999999999996</v>
      </c>
      <c r="O2357" s="3">
        <v>49.07</v>
      </c>
      <c r="P2357" s="3">
        <v>0.01</v>
      </c>
      <c r="Q2357" s="3">
        <v>588.88</v>
      </c>
      <c r="R2357" s="3">
        <v>0.14000000000000001</v>
      </c>
      <c r="S2357">
        <v>6</v>
      </c>
      <c r="T2357">
        <v>939.47</v>
      </c>
      <c r="U2357">
        <v>78</v>
      </c>
      <c r="V2357">
        <v>0</v>
      </c>
      <c r="W2357">
        <v>490.08</v>
      </c>
      <c r="X2357">
        <v>1398.86</v>
      </c>
      <c r="Y2357" t="s">
        <v>36</v>
      </c>
      <c r="Z2357" s="3">
        <v>1820.12</v>
      </c>
      <c r="AA2357" t="s">
        <v>47</v>
      </c>
      <c r="AB2357" t="s">
        <v>33</v>
      </c>
      <c r="AC2357">
        <v>56.7</v>
      </c>
      <c r="AD2357" t="s">
        <v>43</v>
      </c>
      <c r="AE2357">
        <v>528.37</v>
      </c>
      <c r="AF2357">
        <v>0</v>
      </c>
    </row>
    <row r="2358" spans="3:32" x14ac:dyDescent="0.35">
      <c r="C2358" s="1">
        <v>44876</v>
      </c>
      <c r="D2358" s="2">
        <v>44866</v>
      </c>
      <c r="E2358">
        <v>1526</v>
      </c>
      <c r="F2358" s="3">
        <v>4691.3500000000004</v>
      </c>
      <c r="G2358" s="3">
        <v>2418.36</v>
      </c>
      <c r="H2358" s="3">
        <v>2272.9899999999998</v>
      </c>
      <c r="I2358" s="3">
        <v>0.52</v>
      </c>
      <c r="J2358">
        <v>0.3</v>
      </c>
      <c r="K2358">
        <v>2610.73</v>
      </c>
      <c r="L2358" t="s">
        <v>30</v>
      </c>
      <c r="M2358">
        <v>718</v>
      </c>
      <c r="N2358">
        <v>0.55000000000000004</v>
      </c>
      <c r="O2358" s="3">
        <v>381.63</v>
      </c>
      <c r="P2358" s="3">
        <v>0.08</v>
      </c>
      <c r="Q2358" s="3">
        <v>533.70000000000005</v>
      </c>
      <c r="R2358" s="3">
        <v>0.11</v>
      </c>
      <c r="S2358">
        <v>5</v>
      </c>
      <c r="T2358">
        <v>1054.18</v>
      </c>
      <c r="U2358">
        <v>21</v>
      </c>
      <c r="V2358">
        <v>0</v>
      </c>
      <c r="W2358">
        <v>702.55</v>
      </c>
      <c r="X2358">
        <v>1311.71</v>
      </c>
      <c r="Y2358" t="s">
        <v>36</v>
      </c>
      <c r="Z2358" s="3">
        <v>726.94</v>
      </c>
      <c r="AA2358" t="s">
        <v>47</v>
      </c>
      <c r="AB2358" t="s">
        <v>33</v>
      </c>
      <c r="AC2358">
        <v>79.5</v>
      </c>
      <c r="AD2358" t="s">
        <v>34</v>
      </c>
      <c r="AE2358">
        <v>2272.9899999999998</v>
      </c>
      <c r="AF2358">
        <v>0</v>
      </c>
    </row>
    <row r="2359" spans="3:32" x14ac:dyDescent="0.35">
      <c r="C2359" s="1">
        <v>44876</v>
      </c>
      <c r="D2359" s="2">
        <v>44866</v>
      </c>
      <c r="E2359">
        <v>1493</v>
      </c>
      <c r="F2359" s="3">
        <v>4903.91</v>
      </c>
      <c r="G2359" s="3">
        <v>4430.9799999999996</v>
      </c>
      <c r="H2359" s="3">
        <v>472.93</v>
      </c>
      <c r="I2359" s="3">
        <v>0.9</v>
      </c>
      <c r="J2359">
        <v>0.15</v>
      </c>
      <c r="K2359">
        <v>2181.0100000000002</v>
      </c>
      <c r="L2359" t="s">
        <v>39</v>
      </c>
      <c r="M2359">
        <v>658</v>
      </c>
      <c r="N2359">
        <v>0.12</v>
      </c>
      <c r="O2359" s="3">
        <v>353.86</v>
      </c>
      <c r="P2359" s="3">
        <v>7.0000000000000007E-2</v>
      </c>
      <c r="Q2359" s="3">
        <v>310.92</v>
      </c>
      <c r="R2359" s="3">
        <v>0.06</v>
      </c>
      <c r="S2359">
        <v>6</v>
      </c>
      <c r="T2359">
        <v>1028.1600000000001</v>
      </c>
      <c r="U2359">
        <v>71</v>
      </c>
      <c r="V2359">
        <v>0</v>
      </c>
      <c r="W2359">
        <v>619.22</v>
      </c>
      <c r="X2359">
        <v>1816.74</v>
      </c>
      <c r="Y2359" t="s">
        <v>31</v>
      </c>
      <c r="Z2359" s="3">
        <v>1067.29</v>
      </c>
      <c r="AA2359" t="s">
        <v>32</v>
      </c>
      <c r="AB2359" t="s">
        <v>33</v>
      </c>
      <c r="AC2359">
        <v>68.5</v>
      </c>
      <c r="AD2359" t="s">
        <v>34</v>
      </c>
      <c r="AE2359">
        <v>472.93</v>
      </c>
      <c r="AF2359">
        <v>0</v>
      </c>
    </row>
    <row r="2360" spans="3:32" x14ac:dyDescent="0.35">
      <c r="C2360" s="1">
        <v>44876</v>
      </c>
      <c r="D2360" s="2">
        <v>44866</v>
      </c>
      <c r="E2360">
        <v>1158</v>
      </c>
      <c r="F2360" s="3">
        <v>3633.85</v>
      </c>
      <c r="G2360" s="3">
        <v>3215.2</v>
      </c>
      <c r="H2360" s="3">
        <v>418.65</v>
      </c>
      <c r="I2360" s="3">
        <v>0.88</v>
      </c>
      <c r="J2360">
        <v>0.35</v>
      </c>
      <c r="K2360">
        <v>2864.14</v>
      </c>
      <c r="L2360" t="s">
        <v>35</v>
      </c>
      <c r="M2360">
        <v>678</v>
      </c>
      <c r="N2360">
        <v>0.28999999999999998</v>
      </c>
      <c r="O2360" s="3">
        <v>491.23</v>
      </c>
      <c r="P2360" s="3">
        <v>0.14000000000000001</v>
      </c>
      <c r="Q2360" s="3">
        <v>363.41</v>
      </c>
      <c r="R2360" s="3">
        <v>0.1</v>
      </c>
      <c r="S2360">
        <v>9</v>
      </c>
      <c r="T2360">
        <v>405.86</v>
      </c>
      <c r="U2360">
        <v>88</v>
      </c>
      <c r="V2360">
        <v>0</v>
      </c>
      <c r="W2360">
        <v>293.17</v>
      </c>
      <c r="X2360">
        <v>3402.98</v>
      </c>
      <c r="Y2360" t="s">
        <v>36</v>
      </c>
      <c r="Z2360" s="3">
        <v>1455.86</v>
      </c>
      <c r="AA2360" t="s">
        <v>32</v>
      </c>
      <c r="AB2360" t="s">
        <v>33</v>
      </c>
      <c r="AC2360">
        <v>59</v>
      </c>
      <c r="AD2360" t="s">
        <v>34</v>
      </c>
      <c r="AE2360">
        <v>418.65</v>
      </c>
      <c r="AF2360">
        <v>0</v>
      </c>
    </row>
    <row r="2361" spans="3:32" x14ac:dyDescent="0.35">
      <c r="C2361" s="1">
        <v>44876</v>
      </c>
      <c r="D2361" s="2">
        <v>44866</v>
      </c>
      <c r="E2361">
        <v>1950</v>
      </c>
      <c r="F2361" s="3">
        <v>6575.88</v>
      </c>
      <c r="G2361" s="3">
        <v>2749.9</v>
      </c>
      <c r="H2361" s="3">
        <v>3825.98</v>
      </c>
      <c r="I2361" s="3">
        <v>0.42</v>
      </c>
      <c r="J2361">
        <v>0.06</v>
      </c>
      <c r="K2361">
        <v>2244.91</v>
      </c>
      <c r="L2361" t="s">
        <v>35</v>
      </c>
      <c r="M2361">
        <v>712</v>
      </c>
      <c r="N2361">
        <v>0.53</v>
      </c>
      <c r="O2361" s="3">
        <v>573.89</v>
      </c>
      <c r="P2361" s="3">
        <v>0.09</v>
      </c>
      <c r="Q2361" s="3">
        <v>443.84</v>
      </c>
      <c r="R2361" s="3">
        <v>7.0000000000000007E-2</v>
      </c>
      <c r="S2361">
        <v>2</v>
      </c>
      <c r="T2361">
        <v>1760.12</v>
      </c>
      <c r="U2361">
        <v>63</v>
      </c>
      <c r="V2361">
        <v>0</v>
      </c>
      <c r="W2361">
        <v>639.52</v>
      </c>
      <c r="X2361">
        <v>2563.9899999999998</v>
      </c>
      <c r="Y2361" t="s">
        <v>36</v>
      </c>
      <c r="Z2361" s="3">
        <v>1422.68</v>
      </c>
      <c r="AA2361" t="s">
        <v>37</v>
      </c>
      <c r="AB2361" t="s">
        <v>42</v>
      </c>
      <c r="AC2361">
        <v>10.7</v>
      </c>
      <c r="AD2361" t="s">
        <v>34</v>
      </c>
      <c r="AE2361">
        <v>3825.98</v>
      </c>
      <c r="AF2361">
        <v>1</v>
      </c>
    </row>
    <row r="2362" spans="3:32" x14ac:dyDescent="0.35">
      <c r="C2362" s="1">
        <v>44876</v>
      </c>
      <c r="D2362" s="2">
        <v>44866</v>
      </c>
      <c r="E2362">
        <v>1572</v>
      </c>
      <c r="F2362" s="3">
        <v>3360.59</v>
      </c>
      <c r="G2362" s="3">
        <v>2987.21</v>
      </c>
      <c r="H2362" s="3">
        <v>373.38</v>
      </c>
      <c r="I2362" s="3">
        <v>0.89</v>
      </c>
      <c r="J2362">
        <v>0.39</v>
      </c>
      <c r="K2362">
        <v>1992.49</v>
      </c>
      <c r="L2362" t="s">
        <v>35</v>
      </c>
      <c r="M2362">
        <v>678</v>
      </c>
      <c r="N2362">
        <v>0.5</v>
      </c>
      <c r="O2362" s="3">
        <v>495.91</v>
      </c>
      <c r="P2362" s="3">
        <v>0.15</v>
      </c>
      <c r="Q2362" s="3">
        <v>291.60000000000002</v>
      </c>
      <c r="R2362" s="3">
        <v>0.09</v>
      </c>
      <c r="S2362">
        <v>4</v>
      </c>
      <c r="T2362">
        <v>1114.26</v>
      </c>
      <c r="U2362">
        <v>64</v>
      </c>
      <c r="V2362">
        <v>0</v>
      </c>
      <c r="W2362">
        <v>883.94</v>
      </c>
      <c r="X2362">
        <v>1833.94</v>
      </c>
      <c r="Y2362" t="s">
        <v>36</v>
      </c>
      <c r="Z2362" s="3">
        <v>1646.15</v>
      </c>
      <c r="AA2362" t="s">
        <v>40</v>
      </c>
      <c r="AB2362" t="s">
        <v>44</v>
      </c>
      <c r="AC2362">
        <v>87</v>
      </c>
      <c r="AD2362" t="s">
        <v>34</v>
      </c>
      <c r="AE2362">
        <v>373.38</v>
      </c>
      <c r="AF2362">
        <v>0</v>
      </c>
    </row>
    <row r="2363" spans="3:32" x14ac:dyDescent="0.35">
      <c r="C2363" s="1">
        <v>44876</v>
      </c>
      <c r="D2363" s="2">
        <v>44866</v>
      </c>
      <c r="E2363">
        <v>1864</v>
      </c>
      <c r="F2363" s="3">
        <v>5261.41</v>
      </c>
      <c r="G2363" s="3">
        <v>2880.23</v>
      </c>
      <c r="H2363" s="3">
        <v>2381.1799999999998</v>
      </c>
      <c r="I2363" s="3">
        <v>0.55000000000000004</v>
      </c>
      <c r="J2363">
        <v>0.06</v>
      </c>
      <c r="K2363">
        <v>3180.42</v>
      </c>
      <c r="L2363" t="s">
        <v>39</v>
      </c>
      <c r="M2363">
        <v>571</v>
      </c>
      <c r="N2363">
        <v>0.15</v>
      </c>
      <c r="O2363" s="3">
        <v>0</v>
      </c>
      <c r="P2363" s="3">
        <v>0</v>
      </c>
      <c r="Q2363" s="3">
        <v>366.4</v>
      </c>
      <c r="R2363" s="3">
        <v>7.0000000000000007E-2</v>
      </c>
      <c r="S2363">
        <v>3</v>
      </c>
      <c r="T2363">
        <v>902.25</v>
      </c>
      <c r="U2363">
        <v>75</v>
      </c>
      <c r="V2363">
        <v>0</v>
      </c>
      <c r="W2363">
        <v>509.47</v>
      </c>
      <c r="X2363">
        <v>1672.65</v>
      </c>
      <c r="Y2363" t="s">
        <v>36</v>
      </c>
      <c r="Z2363" s="3">
        <v>1666.5</v>
      </c>
      <c r="AA2363" t="s">
        <v>46</v>
      </c>
      <c r="AB2363" t="s">
        <v>42</v>
      </c>
      <c r="AC2363">
        <v>70.900000000000006</v>
      </c>
      <c r="AD2363" t="s">
        <v>34</v>
      </c>
      <c r="AE2363">
        <v>2381.1799999999998</v>
      </c>
      <c r="AF2363">
        <v>0</v>
      </c>
    </row>
    <row r="2364" spans="3:32" x14ac:dyDescent="0.35">
      <c r="C2364" s="1">
        <v>44876</v>
      </c>
      <c r="D2364" s="2">
        <v>44866</v>
      </c>
      <c r="E2364">
        <v>1449</v>
      </c>
      <c r="F2364" s="3">
        <v>5146.83</v>
      </c>
      <c r="G2364" s="3">
        <v>3076.56</v>
      </c>
      <c r="H2364" s="3">
        <v>2070.27</v>
      </c>
      <c r="I2364" s="3">
        <v>0.6</v>
      </c>
      <c r="J2364">
        <v>0.27</v>
      </c>
      <c r="K2364">
        <v>2449.4299999999998</v>
      </c>
      <c r="L2364" t="s">
        <v>39</v>
      </c>
      <c r="M2364">
        <v>624</v>
      </c>
      <c r="N2364">
        <v>0.28999999999999998</v>
      </c>
      <c r="O2364" s="3">
        <v>701.73</v>
      </c>
      <c r="P2364" s="3">
        <v>0.14000000000000001</v>
      </c>
      <c r="Q2364" s="3">
        <v>574.23</v>
      </c>
      <c r="R2364" s="3">
        <v>0.11</v>
      </c>
      <c r="S2364">
        <v>3</v>
      </c>
      <c r="T2364">
        <v>1481.68</v>
      </c>
      <c r="U2364">
        <v>75</v>
      </c>
      <c r="V2364">
        <v>0</v>
      </c>
      <c r="W2364">
        <v>465.31</v>
      </c>
      <c r="X2364">
        <v>1259.02</v>
      </c>
      <c r="Y2364" t="s">
        <v>36</v>
      </c>
      <c r="Z2364" s="3">
        <v>1549.63</v>
      </c>
      <c r="AA2364" t="s">
        <v>41</v>
      </c>
      <c r="AB2364" t="s">
        <v>44</v>
      </c>
      <c r="AC2364">
        <v>49.2</v>
      </c>
      <c r="AD2364" t="s">
        <v>34</v>
      </c>
      <c r="AE2364">
        <v>2070.27</v>
      </c>
      <c r="AF2364">
        <v>0</v>
      </c>
    </row>
    <row r="2365" spans="3:32" x14ac:dyDescent="0.35">
      <c r="C2365" s="1">
        <v>44876</v>
      </c>
      <c r="D2365" s="2">
        <v>44866</v>
      </c>
      <c r="E2365">
        <v>1411</v>
      </c>
      <c r="F2365" s="3">
        <v>3879.76</v>
      </c>
      <c r="G2365" s="3">
        <v>1873.07</v>
      </c>
      <c r="H2365" s="3">
        <v>2006.69</v>
      </c>
      <c r="I2365" s="3">
        <v>0.48</v>
      </c>
      <c r="J2365">
        <v>0.06</v>
      </c>
      <c r="K2365">
        <v>2399.13</v>
      </c>
      <c r="L2365" t="s">
        <v>30</v>
      </c>
      <c r="M2365">
        <v>744</v>
      </c>
      <c r="N2365">
        <v>0.15</v>
      </c>
      <c r="O2365" s="3">
        <v>210.98</v>
      </c>
      <c r="P2365" s="3">
        <v>0.05</v>
      </c>
      <c r="Q2365" s="3">
        <v>233.22</v>
      </c>
      <c r="R2365" s="3">
        <v>0.06</v>
      </c>
      <c r="S2365">
        <v>3</v>
      </c>
      <c r="T2365">
        <v>572.47</v>
      </c>
      <c r="U2365">
        <v>43</v>
      </c>
      <c r="V2365">
        <v>0</v>
      </c>
      <c r="W2365">
        <v>577.82000000000005</v>
      </c>
      <c r="X2365">
        <v>1561.96</v>
      </c>
      <c r="Y2365" t="s">
        <v>49</v>
      </c>
      <c r="Z2365" s="3">
        <v>1532.44</v>
      </c>
      <c r="AA2365" t="s">
        <v>40</v>
      </c>
      <c r="AB2365" t="s">
        <v>33</v>
      </c>
      <c r="AC2365">
        <v>9.1</v>
      </c>
      <c r="AD2365" t="s">
        <v>43</v>
      </c>
      <c r="AE2365">
        <v>2006.69</v>
      </c>
      <c r="AF2365">
        <v>0</v>
      </c>
    </row>
    <row r="2366" spans="3:32" x14ac:dyDescent="0.35">
      <c r="C2366" s="1">
        <v>44876</v>
      </c>
      <c r="D2366" s="2">
        <v>44866</v>
      </c>
      <c r="E2366">
        <v>1027</v>
      </c>
      <c r="F2366" s="3">
        <v>3856.87</v>
      </c>
      <c r="G2366" s="3">
        <v>2783.08</v>
      </c>
      <c r="H2366" s="3">
        <v>1073.79</v>
      </c>
      <c r="I2366" s="3">
        <v>0.72</v>
      </c>
      <c r="J2366">
        <v>0.4</v>
      </c>
      <c r="K2366">
        <v>2847.61</v>
      </c>
      <c r="L2366" t="s">
        <v>35</v>
      </c>
      <c r="M2366">
        <v>705</v>
      </c>
      <c r="N2366">
        <v>0.39</v>
      </c>
      <c r="O2366" s="3">
        <v>412.18</v>
      </c>
      <c r="P2366" s="3">
        <v>0.11</v>
      </c>
      <c r="Q2366" s="3">
        <v>531.27</v>
      </c>
      <c r="R2366" s="3">
        <v>0.14000000000000001</v>
      </c>
      <c r="S2366">
        <v>8</v>
      </c>
      <c r="T2366">
        <v>1292.6500000000001</v>
      </c>
      <c r="U2366">
        <v>68</v>
      </c>
      <c r="V2366">
        <v>0</v>
      </c>
      <c r="W2366">
        <v>665.78</v>
      </c>
      <c r="X2366">
        <v>2063.71</v>
      </c>
      <c r="Y2366" t="s">
        <v>36</v>
      </c>
      <c r="Z2366" s="3">
        <v>1718.92</v>
      </c>
      <c r="AA2366" t="s">
        <v>37</v>
      </c>
      <c r="AB2366" t="s">
        <v>33</v>
      </c>
      <c r="AC2366">
        <v>34.6</v>
      </c>
      <c r="AD2366" t="s">
        <v>43</v>
      </c>
      <c r="AE2366">
        <v>1073.79</v>
      </c>
      <c r="AF2366">
        <v>0</v>
      </c>
    </row>
    <row r="2367" spans="3:32" x14ac:dyDescent="0.35">
      <c r="C2367" s="1">
        <v>44876</v>
      </c>
      <c r="D2367" s="2">
        <v>44866</v>
      </c>
      <c r="E2367">
        <v>1199</v>
      </c>
      <c r="F2367" s="3">
        <v>3450.7</v>
      </c>
      <c r="G2367" s="3">
        <v>2302.19</v>
      </c>
      <c r="H2367" s="3">
        <v>1148.51</v>
      </c>
      <c r="I2367" s="3">
        <v>0.67</v>
      </c>
      <c r="J2367">
        <v>0.16</v>
      </c>
      <c r="K2367">
        <v>2957.13</v>
      </c>
      <c r="L2367" t="s">
        <v>35</v>
      </c>
      <c r="M2367">
        <v>657</v>
      </c>
      <c r="N2367">
        <v>0.42</v>
      </c>
      <c r="O2367" s="3">
        <v>436.23</v>
      </c>
      <c r="P2367" s="3">
        <v>0.13</v>
      </c>
      <c r="Q2367" s="3">
        <v>608.75</v>
      </c>
      <c r="R2367" s="3">
        <v>0.18</v>
      </c>
      <c r="S2367">
        <v>1</v>
      </c>
      <c r="T2367">
        <v>1398.63</v>
      </c>
      <c r="U2367">
        <v>45</v>
      </c>
      <c r="V2367">
        <v>0</v>
      </c>
      <c r="W2367">
        <v>430.86</v>
      </c>
      <c r="X2367">
        <v>2232.4699999999998</v>
      </c>
      <c r="Y2367" t="s">
        <v>36</v>
      </c>
      <c r="Z2367" s="3">
        <v>1398.47</v>
      </c>
      <c r="AA2367" t="s">
        <v>46</v>
      </c>
      <c r="AB2367" t="s">
        <v>42</v>
      </c>
      <c r="AC2367">
        <v>37.700000000000003</v>
      </c>
      <c r="AD2367" t="s">
        <v>34</v>
      </c>
      <c r="AE2367">
        <v>1148.51</v>
      </c>
      <c r="AF2367">
        <v>0</v>
      </c>
    </row>
    <row r="2368" spans="3:32" x14ac:dyDescent="0.35">
      <c r="C2368" s="1">
        <v>44876</v>
      </c>
      <c r="D2368" s="2">
        <v>44866</v>
      </c>
      <c r="E2368">
        <v>1219</v>
      </c>
      <c r="F2368" s="3">
        <v>4139.21</v>
      </c>
      <c r="G2368" s="3">
        <v>2260.29</v>
      </c>
      <c r="H2368" s="3">
        <v>1878.92</v>
      </c>
      <c r="I2368" s="3">
        <v>0.55000000000000004</v>
      </c>
      <c r="J2368">
        <v>0.31</v>
      </c>
      <c r="K2368">
        <v>3141.57</v>
      </c>
      <c r="L2368" t="s">
        <v>35</v>
      </c>
      <c r="M2368">
        <v>706</v>
      </c>
      <c r="N2368">
        <v>0.22</v>
      </c>
      <c r="O2368" s="3">
        <v>20.53</v>
      </c>
      <c r="P2368" s="3">
        <v>0</v>
      </c>
      <c r="Q2368" s="3">
        <v>77.3</v>
      </c>
      <c r="R2368" s="3">
        <v>0.02</v>
      </c>
      <c r="S2368">
        <v>8</v>
      </c>
      <c r="T2368">
        <v>1817.67</v>
      </c>
      <c r="U2368">
        <v>64</v>
      </c>
      <c r="V2368">
        <v>0</v>
      </c>
      <c r="W2368">
        <v>645.41999999999996</v>
      </c>
      <c r="X2368">
        <v>2843.36</v>
      </c>
      <c r="Y2368" t="s">
        <v>36</v>
      </c>
      <c r="Z2368" s="3">
        <v>1687.51</v>
      </c>
      <c r="AA2368" t="s">
        <v>46</v>
      </c>
      <c r="AB2368" t="s">
        <v>33</v>
      </c>
      <c r="AC2368">
        <v>19.7</v>
      </c>
      <c r="AD2368" t="s">
        <v>38</v>
      </c>
      <c r="AE2368">
        <v>1878.92</v>
      </c>
      <c r="AF2368">
        <v>0</v>
      </c>
    </row>
    <row r="2369" spans="3:32" x14ac:dyDescent="0.35">
      <c r="C2369" s="1">
        <v>44876</v>
      </c>
      <c r="D2369" s="2">
        <v>44866</v>
      </c>
      <c r="E2369">
        <v>1012</v>
      </c>
      <c r="F2369" s="3">
        <v>5047.92</v>
      </c>
      <c r="G2369" s="3">
        <v>2324.62</v>
      </c>
      <c r="H2369" s="3">
        <v>2723.3</v>
      </c>
      <c r="I2369" s="3">
        <v>0.46</v>
      </c>
      <c r="J2369">
        <v>0.05</v>
      </c>
      <c r="K2369">
        <v>1805.49</v>
      </c>
      <c r="L2369" t="s">
        <v>30</v>
      </c>
      <c r="M2369">
        <v>699</v>
      </c>
      <c r="N2369">
        <v>0.43</v>
      </c>
      <c r="O2369" s="3">
        <v>130.35</v>
      </c>
      <c r="P2369" s="3">
        <v>0.03</v>
      </c>
      <c r="Q2369" s="3">
        <v>496.63</v>
      </c>
      <c r="R2369" s="3">
        <v>0.1</v>
      </c>
      <c r="S2369">
        <v>7</v>
      </c>
      <c r="T2369">
        <v>694.46</v>
      </c>
      <c r="U2369">
        <v>61</v>
      </c>
      <c r="V2369">
        <v>0</v>
      </c>
      <c r="W2369">
        <v>445.59</v>
      </c>
      <c r="X2369">
        <v>2599.11</v>
      </c>
      <c r="Y2369" t="s">
        <v>36</v>
      </c>
      <c r="Z2369" s="3">
        <v>1128.1500000000001</v>
      </c>
      <c r="AA2369" t="s">
        <v>32</v>
      </c>
      <c r="AB2369" t="s">
        <v>33</v>
      </c>
      <c r="AC2369">
        <v>77</v>
      </c>
      <c r="AD2369" t="s">
        <v>34</v>
      </c>
      <c r="AE2369">
        <v>2723.3</v>
      </c>
      <c r="AF2369">
        <v>1</v>
      </c>
    </row>
    <row r="2370" spans="3:32" x14ac:dyDescent="0.35">
      <c r="C2370" s="1">
        <v>44876</v>
      </c>
      <c r="D2370" s="2">
        <v>44866</v>
      </c>
      <c r="E2370">
        <v>1901</v>
      </c>
      <c r="F2370" s="3">
        <v>4607.72</v>
      </c>
      <c r="G2370" s="3">
        <v>2172.89</v>
      </c>
      <c r="H2370" s="3">
        <v>2434.83</v>
      </c>
      <c r="I2370" s="3">
        <v>0.47</v>
      </c>
      <c r="J2370">
        <v>0.19</v>
      </c>
      <c r="K2370">
        <v>2606.41</v>
      </c>
      <c r="L2370" t="s">
        <v>30</v>
      </c>
      <c r="M2370">
        <v>734</v>
      </c>
      <c r="N2370">
        <v>0.56000000000000005</v>
      </c>
      <c r="O2370" s="3">
        <v>418.91</v>
      </c>
      <c r="P2370" s="3">
        <v>0.09</v>
      </c>
      <c r="Q2370" s="3">
        <v>505.64</v>
      </c>
      <c r="R2370" s="3">
        <v>0.11</v>
      </c>
      <c r="S2370">
        <v>2</v>
      </c>
      <c r="T2370">
        <v>2037.83</v>
      </c>
      <c r="U2370">
        <v>69</v>
      </c>
      <c r="V2370">
        <v>0</v>
      </c>
      <c r="W2370">
        <v>466.98</v>
      </c>
      <c r="X2370">
        <v>1883.69</v>
      </c>
      <c r="Y2370" t="s">
        <v>36</v>
      </c>
      <c r="Z2370" s="3">
        <v>1130.6600000000001</v>
      </c>
      <c r="AA2370" t="s">
        <v>46</v>
      </c>
      <c r="AB2370" t="s">
        <v>33</v>
      </c>
      <c r="AC2370">
        <v>77.599999999999994</v>
      </c>
      <c r="AD2370" t="s">
        <v>34</v>
      </c>
      <c r="AE2370">
        <v>2434.83</v>
      </c>
      <c r="AF2370">
        <v>0</v>
      </c>
    </row>
    <row r="2371" spans="3:32" x14ac:dyDescent="0.35">
      <c r="C2371" s="1">
        <v>44876</v>
      </c>
      <c r="D2371" s="2">
        <v>44866</v>
      </c>
      <c r="E2371">
        <v>1470</v>
      </c>
      <c r="F2371" s="3">
        <v>5019.59</v>
      </c>
      <c r="G2371" s="3">
        <v>4036</v>
      </c>
      <c r="H2371" s="3">
        <v>983.59</v>
      </c>
      <c r="I2371" s="3">
        <v>0.8</v>
      </c>
      <c r="J2371">
        <v>0.16</v>
      </c>
      <c r="K2371">
        <v>3032.5</v>
      </c>
      <c r="L2371" t="s">
        <v>35</v>
      </c>
      <c r="M2371">
        <v>675</v>
      </c>
      <c r="N2371">
        <v>0.35</v>
      </c>
      <c r="O2371" s="3">
        <v>567.52</v>
      </c>
      <c r="P2371" s="3">
        <v>0.11</v>
      </c>
      <c r="Q2371" s="3">
        <v>294.08</v>
      </c>
      <c r="R2371" s="3">
        <v>0.06</v>
      </c>
      <c r="S2371">
        <v>1</v>
      </c>
      <c r="T2371">
        <v>1576.67</v>
      </c>
      <c r="U2371">
        <v>85</v>
      </c>
      <c r="V2371">
        <v>0</v>
      </c>
      <c r="W2371">
        <v>822.54</v>
      </c>
      <c r="X2371">
        <v>2471.86</v>
      </c>
      <c r="Y2371" t="s">
        <v>36</v>
      </c>
      <c r="Z2371" s="3">
        <v>1564.72</v>
      </c>
      <c r="AA2371" t="s">
        <v>50</v>
      </c>
      <c r="AB2371" t="s">
        <v>33</v>
      </c>
      <c r="AC2371">
        <v>34.6</v>
      </c>
      <c r="AD2371" t="s">
        <v>43</v>
      </c>
      <c r="AE2371">
        <v>983.59</v>
      </c>
      <c r="AF2371">
        <v>0</v>
      </c>
    </row>
    <row r="2372" spans="3:32" x14ac:dyDescent="0.35">
      <c r="C2372" s="1">
        <v>44876</v>
      </c>
      <c r="D2372" s="2">
        <v>44866</v>
      </c>
      <c r="E2372">
        <v>1959</v>
      </c>
      <c r="F2372" s="3">
        <v>4359.38</v>
      </c>
      <c r="G2372" s="3">
        <v>3964.36</v>
      </c>
      <c r="H2372" s="3">
        <v>395.02</v>
      </c>
      <c r="I2372" s="3">
        <v>0.91</v>
      </c>
      <c r="J2372">
        <v>0.25</v>
      </c>
      <c r="K2372">
        <v>3010.92</v>
      </c>
      <c r="L2372" t="s">
        <v>35</v>
      </c>
      <c r="M2372">
        <v>668</v>
      </c>
      <c r="N2372">
        <v>0.39</v>
      </c>
      <c r="O2372" s="3">
        <v>604.30999999999995</v>
      </c>
      <c r="P2372" s="3">
        <v>0.14000000000000001</v>
      </c>
      <c r="Q2372" s="3">
        <v>482.33</v>
      </c>
      <c r="R2372" s="3">
        <v>0.11</v>
      </c>
      <c r="S2372">
        <v>5</v>
      </c>
      <c r="T2372">
        <v>905.58</v>
      </c>
      <c r="U2372">
        <v>38</v>
      </c>
      <c r="V2372">
        <v>0</v>
      </c>
      <c r="W2372">
        <v>494.94</v>
      </c>
      <c r="X2372">
        <v>2548.91</v>
      </c>
      <c r="Y2372" t="s">
        <v>31</v>
      </c>
      <c r="Z2372" s="3">
        <v>1140.56</v>
      </c>
      <c r="AA2372" t="s">
        <v>50</v>
      </c>
      <c r="AB2372" t="s">
        <v>44</v>
      </c>
      <c r="AC2372">
        <v>22.3</v>
      </c>
      <c r="AD2372" t="s">
        <v>43</v>
      </c>
      <c r="AE2372">
        <v>395.02</v>
      </c>
      <c r="AF2372">
        <v>0</v>
      </c>
    </row>
    <row r="2373" spans="3:32" x14ac:dyDescent="0.35">
      <c r="C2373" s="1">
        <v>44876</v>
      </c>
      <c r="D2373" s="2">
        <v>44866</v>
      </c>
      <c r="E2373">
        <v>1161</v>
      </c>
      <c r="F2373" s="3">
        <v>4043.99</v>
      </c>
      <c r="G2373" s="3">
        <v>3735.51</v>
      </c>
      <c r="H2373" s="3">
        <v>308.48</v>
      </c>
      <c r="I2373" s="3">
        <v>0.92</v>
      </c>
      <c r="J2373">
        <v>0.19</v>
      </c>
      <c r="K2373">
        <v>1540.17</v>
      </c>
      <c r="L2373" t="s">
        <v>39</v>
      </c>
      <c r="M2373">
        <v>813</v>
      </c>
      <c r="N2373">
        <v>0.4</v>
      </c>
      <c r="O2373" s="3">
        <v>576.85</v>
      </c>
      <c r="P2373" s="3">
        <v>0.14000000000000001</v>
      </c>
      <c r="Q2373" s="3">
        <v>0</v>
      </c>
      <c r="R2373" s="3">
        <v>0</v>
      </c>
      <c r="S2373">
        <v>8</v>
      </c>
      <c r="T2373">
        <v>1656.52</v>
      </c>
      <c r="U2373">
        <v>49</v>
      </c>
      <c r="V2373">
        <v>0</v>
      </c>
      <c r="W2373">
        <v>650.48</v>
      </c>
      <c r="X2373">
        <v>2863.29</v>
      </c>
      <c r="Y2373" t="s">
        <v>36</v>
      </c>
      <c r="Z2373" s="3">
        <v>848.09</v>
      </c>
      <c r="AA2373" t="s">
        <v>37</v>
      </c>
      <c r="AB2373" t="s">
        <v>42</v>
      </c>
      <c r="AC2373">
        <v>87.3</v>
      </c>
      <c r="AD2373" t="s">
        <v>43</v>
      </c>
      <c r="AE2373">
        <v>308.48</v>
      </c>
      <c r="AF2373">
        <v>0</v>
      </c>
    </row>
    <row r="2374" spans="3:32" x14ac:dyDescent="0.35">
      <c r="C2374" s="1">
        <v>44876</v>
      </c>
      <c r="D2374" s="2">
        <v>44866</v>
      </c>
      <c r="E2374">
        <v>1187</v>
      </c>
      <c r="F2374" s="3">
        <v>3250.29</v>
      </c>
      <c r="G2374" s="3">
        <v>2500.34</v>
      </c>
      <c r="H2374" s="3">
        <v>749.95</v>
      </c>
      <c r="I2374" s="3">
        <v>0.77</v>
      </c>
      <c r="J2374">
        <v>0.27</v>
      </c>
      <c r="K2374">
        <v>2844</v>
      </c>
      <c r="L2374" t="s">
        <v>30</v>
      </c>
      <c r="M2374">
        <v>640</v>
      </c>
      <c r="N2374">
        <v>0.43</v>
      </c>
      <c r="O2374" s="3">
        <v>827.72</v>
      </c>
      <c r="P2374" s="3">
        <v>0.25</v>
      </c>
      <c r="Q2374" s="3">
        <v>544.49</v>
      </c>
      <c r="R2374" s="3">
        <v>0.17</v>
      </c>
      <c r="S2374">
        <v>6</v>
      </c>
      <c r="T2374">
        <v>702.68</v>
      </c>
      <c r="U2374">
        <v>69</v>
      </c>
      <c r="V2374">
        <v>0</v>
      </c>
      <c r="W2374">
        <v>498.21</v>
      </c>
      <c r="X2374">
        <v>1000</v>
      </c>
      <c r="Y2374" t="s">
        <v>49</v>
      </c>
      <c r="Z2374" s="3">
        <v>1358.19</v>
      </c>
      <c r="AA2374" t="s">
        <v>47</v>
      </c>
      <c r="AB2374" t="s">
        <v>44</v>
      </c>
      <c r="AC2374">
        <v>44.5</v>
      </c>
      <c r="AD2374" t="s">
        <v>34</v>
      </c>
      <c r="AE2374">
        <v>749.95</v>
      </c>
      <c r="AF2374">
        <v>0</v>
      </c>
    </row>
    <row r="2375" spans="3:32" x14ac:dyDescent="0.35">
      <c r="C2375" s="1">
        <v>44876</v>
      </c>
      <c r="D2375" s="2">
        <v>44866</v>
      </c>
      <c r="E2375">
        <v>1287</v>
      </c>
      <c r="F2375" s="3">
        <v>4669.17</v>
      </c>
      <c r="G2375" s="3">
        <v>2316.4899999999998</v>
      </c>
      <c r="H2375" s="3">
        <v>2352.6799999999998</v>
      </c>
      <c r="I2375" s="3">
        <v>0.5</v>
      </c>
      <c r="J2375">
        <v>0.27</v>
      </c>
      <c r="K2375">
        <v>3174.65</v>
      </c>
      <c r="L2375" t="s">
        <v>35</v>
      </c>
      <c r="M2375">
        <v>749</v>
      </c>
      <c r="N2375">
        <v>0.21</v>
      </c>
      <c r="O2375" s="3">
        <v>893.09</v>
      </c>
      <c r="P2375" s="3">
        <v>0.19</v>
      </c>
      <c r="Q2375" s="3">
        <v>167.75</v>
      </c>
      <c r="R2375" s="3">
        <v>0.04</v>
      </c>
      <c r="S2375">
        <v>3</v>
      </c>
      <c r="T2375">
        <v>2204.29</v>
      </c>
      <c r="U2375">
        <v>64</v>
      </c>
      <c r="V2375">
        <v>0</v>
      </c>
      <c r="W2375">
        <v>647.33000000000004</v>
      </c>
      <c r="X2375">
        <v>1799.14</v>
      </c>
      <c r="Y2375" t="s">
        <v>36</v>
      </c>
      <c r="Z2375" s="3">
        <v>1619.31</v>
      </c>
      <c r="AA2375" t="s">
        <v>46</v>
      </c>
      <c r="AB2375" t="s">
        <v>33</v>
      </c>
      <c r="AC2375">
        <v>90.5</v>
      </c>
      <c r="AD2375" t="s">
        <v>43</v>
      </c>
      <c r="AE2375">
        <v>2352.6799999999998</v>
      </c>
      <c r="AF2375">
        <v>0</v>
      </c>
    </row>
    <row r="2376" spans="3:32" x14ac:dyDescent="0.35">
      <c r="C2376" s="1">
        <v>44876</v>
      </c>
      <c r="D2376" s="2">
        <v>44866</v>
      </c>
      <c r="E2376">
        <v>1014</v>
      </c>
      <c r="F2376" s="3">
        <v>5567.2</v>
      </c>
      <c r="G2376" s="3">
        <v>3655.79</v>
      </c>
      <c r="H2376" s="3">
        <v>1911.41</v>
      </c>
      <c r="I2376" s="3">
        <v>0.66</v>
      </c>
      <c r="J2376">
        <v>0.34</v>
      </c>
      <c r="K2376">
        <v>2593.4</v>
      </c>
      <c r="L2376" t="s">
        <v>39</v>
      </c>
      <c r="M2376">
        <v>614</v>
      </c>
      <c r="N2376">
        <v>0.23</v>
      </c>
      <c r="O2376" s="3">
        <v>571.04999999999995</v>
      </c>
      <c r="P2376" s="3">
        <v>0.1</v>
      </c>
      <c r="Q2376" s="3">
        <v>317.69</v>
      </c>
      <c r="R2376" s="3">
        <v>0.06</v>
      </c>
      <c r="S2376">
        <v>2</v>
      </c>
      <c r="T2376">
        <v>1628.62</v>
      </c>
      <c r="U2376">
        <v>27</v>
      </c>
      <c r="V2376">
        <v>0</v>
      </c>
      <c r="W2376">
        <v>612.04999999999995</v>
      </c>
      <c r="X2376">
        <v>1646.79</v>
      </c>
      <c r="Y2376" t="s">
        <v>36</v>
      </c>
      <c r="Z2376" s="3">
        <v>1658.45</v>
      </c>
      <c r="AA2376" t="s">
        <v>45</v>
      </c>
      <c r="AB2376" t="s">
        <v>44</v>
      </c>
      <c r="AC2376">
        <v>72.7</v>
      </c>
      <c r="AD2376" t="s">
        <v>34</v>
      </c>
      <c r="AE2376">
        <v>1911.41</v>
      </c>
      <c r="AF2376">
        <v>0</v>
      </c>
    </row>
    <row r="2377" spans="3:32" x14ac:dyDescent="0.35">
      <c r="C2377" s="1">
        <v>44876</v>
      </c>
      <c r="D2377" s="2">
        <v>44866</v>
      </c>
      <c r="E2377">
        <v>1516</v>
      </c>
      <c r="F2377" s="3">
        <v>4185.6899999999996</v>
      </c>
      <c r="G2377" s="3">
        <v>3291.93</v>
      </c>
      <c r="H2377" s="3">
        <v>893.76</v>
      </c>
      <c r="I2377" s="3">
        <v>0.79</v>
      </c>
      <c r="J2377">
        <v>0.31</v>
      </c>
      <c r="K2377">
        <v>2665.39</v>
      </c>
      <c r="L2377" t="s">
        <v>30</v>
      </c>
      <c r="M2377">
        <v>636</v>
      </c>
      <c r="N2377">
        <v>0.3</v>
      </c>
      <c r="O2377" s="3">
        <v>791.34</v>
      </c>
      <c r="P2377" s="3">
        <v>0.19</v>
      </c>
      <c r="Q2377" s="3">
        <v>389.57</v>
      </c>
      <c r="R2377" s="3">
        <v>0.09</v>
      </c>
      <c r="S2377">
        <v>4</v>
      </c>
      <c r="T2377">
        <v>959.75</v>
      </c>
      <c r="U2377">
        <v>78</v>
      </c>
      <c r="V2377">
        <v>0</v>
      </c>
      <c r="W2377">
        <v>372.64</v>
      </c>
      <c r="X2377">
        <v>3316.95</v>
      </c>
      <c r="Y2377" t="s">
        <v>36</v>
      </c>
      <c r="Z2377" s="3">
        <v>1066.45</v>
      </c>
      <c r="AA2377" t="s">
        <v>50</v>
      </c>
      <c r="AB2377" t="s">
        <v>42</v>
      </c>
      <c r="AC2377">
        <v>4.8</v>
      </c>
      <c r="AD2377" t="s">
        <v>34</v>
      </c>
      <c r="AE2377">
        <v>893.76</v>
      </c>
      <c r="AF2377">
        <v>0</v>
      </c>
    </row>
    <row r="2378" spans="3:32" x14ac:dyDescent="0.35">
      <c r="C2378" s="1">
        <v>44876</v>
      </c>
      <c r="D2378" s="2">
        <v>44866</v>
      </c>
      <c r="E2378">
        <v>1841</v>
      </c>
      <c r="F2378" s="3">
        <v>4866.8500000000004</v>
      </c>
      <c r="G2378" s="3">
        <v>2570.8200000000002</v>
      </c>
      <c r="H2378" s="3">
        <v>2296.0300000000002</v>
      </c>
      <c r="I2378" s="3">
        <v>0.53</v>
      </c>
      <c r="J2378">
        <v>0.17</v>
      </c>
      <c r="K2378">
        <v>2763.03</v>
      </c>
      <c r="L2378" t="s">
        <v>35</v>
      </c>
      <c r="M2378">
        <v>825</v>
      </c>
      <c r="N2378">
        <v>0.15</v>
      </c>
      <c r="O2378" s="3">
        <v>505.62</v>
      </c>
      <c r="P2378" s="3">
        <v>0.1</v>
      </c>
      <c r="Q2378" s="3">
        <v>45.06</v>
      </c>
      <c r="R2378" s="3">
        <v>0.01</v>
      </c>
      <c r="S2378">
        <v>3</v>
      </c>
      <c r="T2378">
        <v>240.49</v>
      </c>
      <c r="U2378">
        <v>97</v>
      </c>
      <c r="V2378">
        <v>0</v>
      </c>
      <c r="W2378">
        <v>655.74</v>
      </c>
      <c r="X2378">
        <v>1988.59</v>
      </c>
      <c r="Y2378" t="s">
        <v>36</v>
      </c>
      <c r="Z2378" s="3">
        <v>1064.44</v>
      </c>
      <c r="AA2378" t="s">
        <v>32</v>
      </c>
      <c r="AB2378" t="s">
        <v>44</v>
      </c>
      <c r="AC2378">
        <v>85.4</v>
      </c>
      <c r="AD2378" t="s">
        <v>38</v>
      </c>
      <c r="AE2378">
        <v>2296.0300000000002</v>
      </c>
      <c r="AF2378">
        <v>0</v>
      </c>
    </row>
    <row r="2379" spans="3:32" x14ac:dyDescent="0.35">
      <c r="C2379" s="1">
        <v>44876</v>
      </c>
      <c r="D2379" s="2">
        <v>44866</v>
      </c>
      <c r="E2379">
        <v>1320</v>
      </c>
      <c r="F2379" s="3">
        <v>3540.69</v>
      </c>
      <c r="G2379" s="3">
        <v>3548.21</v>
      </c>
      <c r="H2379" s="3">
        <v>-7.52</v>
      </c>
      <c r="I2379" s="3">
        <v>1</v>
      </c>
      <c r="J2379">
        <v>0.24</v>
      </c>
      <c r="K2379">
        <v>3392.41</v>
      </c>
      <c r="L2379" t="s">
        <v>35</v>
      </c>
      <c r="M2379">
        <v>659</v>
      </c>
      <c r="N2379">
        <v>0.57999999999999996</v>
      </c>
      <c r="O2379" s="3">
        <v>371.17</v>
      </c>
      <c r="P2379" s="3">
        <v>0.1</v>
      </c>
      <c r="Q2379" s="3">
        <v>777.61</v>
      </c>
      <c r="R2379" s="3">
        <v>0.22</v>
      </c>
      <c r="S2379">
        <v>4</v>
      </c>
      <c r="T2379">
        <v>1229.07</v>
      </c>
      <c r="U2379">
        <v>47</v>
      </c>
      <c r="V2379">
        <v>0</v>
      </c>
      <c r="W2379">
        <v>658.15</v>
      </c>
      <c r="X2379">
        <v>2571.65</v>
      </c>
      <c r="Y2379" t="s">
        <v>36</v>
      </c>
      <c r="Z2379" s="3">
        <v>1147.27</v>
      </c>
      <c r="AA2379" t="s">
        <v>40</v>
      </c>
      <c r="AB2379" t="s">
        <v>33</v>
      </c>
      <c r="AC2379">
        <v>52.2</v>
      </c>
      <c r="AD2379" t="s">
        <v>34</v>
      </c>
      <c r="AE2379">
        <v>0</v>
      </c>
      <c r="AF2379">
        <v>0</v>
      </c>
    </row>
    <row r="2380" spans="3:32" x14ac:dyDescent="0.35">
      <c r="C2380" s="1">
        <v>44876</v>
      </c>
      <c r="D2380" s="2">
        <v>44866</v>
      </c>
      <c r="E2380">
        <v>1634</v>
      </c>
      <c r="F2380" s="3">
        <v>3618.52</v>
      </c>
      <c r="G2380" s="3">
        <v>2967.77</v>
      </c>
      <c r="H2380" s="3">
        <v>650.75</v>
      </c>
      <c r="I2380" s="3">
        <v>0.82</v>
      </c>
      <c r="J2380">
        <v>0.22</v>
      </c>
      <c r="K2380">
        <v>2755.62</v>
      </c>
      <c r="L2380" t="s">
        <v>35</v>
      </c>
      <c r="M2380">
        <v>628</v>
      </c>
      <c r="N2380">
        <v>0.52</v>
      </c>
      <c r="O2380" s="3">
        <v>343.49</v>
      </c>
      <c r="P2380" s="3">
        <v>0.09</v>
      </c>
      <c r="Q2380" s="3">
        <v>566.83000000000004</v>
      </c>
      <c r="R2380" s="3">
        <v>0.16</v>
      </c>
      <c r="S2380">
        <v>3</v>
      </c>
      <c r="T2380">
        <v>1138.3900000000001</v>
      </c>
      <c r="U2380">
        <v>97</v>
      </c>
      <c r="V2380">
        <v>0</v>
      </c>
      <c r="W2380">
        <v>107.12</v>
      </c>
      <c r="X2380">
        <v>2406.85</v>
      </c>
      <c r="Y2380" t="s">
        <v>36</v>
      </c>
      <c r="Z2380" s="3">
        <v>1811.99</v>
      </c>
      <c r="AA2380" t="s">
        <v>32</v>
      </c>
      <c r="AB2380" t="s">
        <v>42</v>
      </c>
      <c r="AC2380">
        <v>54.2</v>
      </c>
      <c r="AD2380" t="s">
        <v>34</v>
      </c>
      <c r="AE2380">
        <v>650.75</v>
      </c>
      <c r="AF2380">
        <v>0</v>
      </c>
    </row>
    <row r="2381" spans="3:32" x14ac:dyDescent="0.35">
      <c r="C2381" s="1">
        <v>44876</v>
      </c>
      <c r="D2381" s="2">
        <v>44866</v>
      </c>
      <c r="E2381">
        <v>1353</v>
      </c>
      <c r="F2381" s="3">
        <v>3698.63</v>
      </c>
      <c r="G2381" s="3">
        <v>2624.57</v>
      </c>
      <c r="H2381" s="3">
        <v>1074.06</v>
      </c>
      <c r="I2381" s="3">
        <v>0.71</v>
      </c>
      <c r="J2381">
        <v>0.32</v>
      </c>
      <c r="K2381">
        <v>2752.33</v>
      </c>
      <c r="L2381" t="s">
        <v>39</v>
      </c>
      <c r="M2381">
        <v>706</v>
      </c>
      <c r="N2381">
        <v>0.23</v>
      </c>
      <c r="O2381" s="3">
        <v>408.45</v>
      </c>
      <c r="P2381" s="3">
        <v>0.11</v>
      </c>
      <c r="Q2381" s="3">
        <v>111.48</v>
      </c>
      <c r="R2381" s="3">
        <v>0.03</v>
      </c>
      <c r="S2381">
        <v>6</v>
      </c>
      <c r="T2381">
        <v>1044.17</v>
      </c>
      <c r="U2381">
        <v>68</v>
      </c>
      <c r="V2381">
        <v>0</v>
      </c>
      <c r="W2381">
        <v>449.06</v>
      </c>
      <c r="X2381">
        <v>2378.6799999999998</v>
      </c>
      <c r="Y2381" t="s">
        <v>36</v>
      </c>
      <c r="Z2381" s="3">
        <v>1432.05</v>
      </c>
      <c r="AA2381" t="s">
        <v>40</v>
      </c>
      <c r="AB2381" t="s">
        <v>44</v>
      </c>
      <c r="AC2381">
        <v>25.6</v>
      </c>
      <c r="AD2381" t="s">
        <v>34</v>
      </c>
      <c r="AE2381">
        <v>1074.06</v>
      </c>
      <c r="AF2381">
        <v>0</v>
      </c>
    </row>
    <row r="2382" spans="3:32" x14ac:dyDescent="0.35">
      <c r="C2382" s="1">
        <v>44876</v>
      </c>
      <c r="D2382" s="2">
        <v>44866</v>
      </c>
      <c r="E2382">
        <v>1555</v>
      </c>
      <c r="F2382" s="3">
        <v>2321.86</v>
      </c>
      <c r="G2382" s="3">
        <v>4290.8900000000003</v>
      </c>
      <c r="H2382" s="3">
        <v>-1969.03</v>
      </c>
      <c r="I2382" s="3">
        <v>1.85</v>
      </c>
      <c r="J2382">
        <v>0.37</v>
      </c>
      <c r="K2382">
        <v>2907.94</v>
      </c>
      <c r="L2382" t="s">
        <v>35</v>
      </c>
      <c r="M2382">
        <v>682</v>
      </c>
      <c r="N2382">
        <v>0.33</v>
      </c>
      <c r="O2382" s="3">
        <v>821.64</v>
      </c>
      <c r="P2382" s="3">
        <v>0.35</v>
      </c>
      <c r="Q2382" s="3">
        <v>289.22000000000003</v>
      </c>
      <c r="R2382" s="3">
        <v>0.12</v>
      </c>
      <c r="S2382">
        <v>4</v>
      </c>
      <c r="T2382">
        <v>0</v>
      </c>
      <c r="U2382">
        <v>24</v>
      </c>
      <c r="V2382">
        <v>0</v>
      </c>
      <c r="W2382">
        <v>346.17</v>
      </c>
      <c r="X2382">
        <v>2657.93</v>
      </c>
      <c r="Y2382" t="s">
        <v>31</v>
      </c>
      <c r="Z2382" s="3">
        <v>802.27</v>
      </c>
      <c r="AA2382" t="s">
        <v>48</v>
      </c>
      <c r="AB2382" t="s">
        <v>44</v>
      </c>
      <c r="AC2382">
        <v>24.1</v>
      </c>
      <c r="AD2382" t="s">
        <v>34</v>
      </c>
      <c r="AE2382">
        <v>0</v>
      </c>
      <c r="AF2382">
        <v>0</v>
      </c>
    </row>
    <row r="2383" spans="3:32" x14ac:dyDescent="0.35">
      <c r="C2383" s="1">
        <v>44876</v>
      </c>
      <c r="D2383" s="2">
        <v>44866</v>
      </c>
      <c r="E2383">
        <v>1602</v>
      </c>
      <c r="F2383" s="3">
        <v>2405.71</v>
      </c>
      <c r="G2383" s="3">
        <v>4562.28</v>
      </c>
      <c r="H2383" s="3">
        <v>-2156.5700000000002</v>
      </c>
      <c r="I2383" s="3">
        <v>1.9</v>
      </c>
      <c r="J2383">
        <v>0.13</v>
      </c>
      <c r="K2383">
        <v>2952.5</v>
      </c>
      <c r="L2383" t="s">
        <v>39</v>
      </c>
      <c r="M2383">
        <v>741</v>
      </c>
      <c r="N2383">
        <v>0.57999999999999996</v>
      </c>
      <c r="O2383" s="3">
        <v>584.54</v>
      </c>
      <c r="P2383" s="3">
        <v>0.24</v>
      </c>
      <c r="Q2383" s="3">
        <v>483.62</v>
      </c>
      <c r="R2383" s="3">
        <v>0.2</v>
      </c>
      <c r="S2383">
        <v>2</v>
      </c>
      <c r="T2383">
        <v>0</v>
      </c>
      <c r="U2383">
        <v>65</v>
      </c>
      <c r="V2383">
        <v>0</v>
      </c>
      <c r="W2383">
        <v>823.89</v>
      </c>
      <c r="X2383">
        <v>2617.8200000000002</v>
      </c>
      <c r="Y2383" t="s">
        <v>49</v>
      </c>
      <c r="Z2383" s="3">
        <v>1571.02</v>
      </c>
      <c r="AA2383" t="s">
        <v>51</v>
      </c>
      <c r="AB2383" t="s">
        <v>33</v>
      </c>
      <c r="AC2383">
        <v>45.9</v>
      </c>
      <c r="AD2383" t="s">
        <v>34</v>
      </c>
      <c r="AE2383">
        <v>0</v>
      </c>
      <c r="AF2383">
        <v>0</v>
      </c>
    </row>
    <row r="2384" spans="3:32" x14ac:dyDescent="0.35">
      <c r="C2384" s="1">
        <v>44876</v>
      </c>
      <c r="D2384" s="2">
        <v>44866</v>
      </c>
      <c r="E2384">
        <v>1551</v>
      </c>
      <c r="F2384" s="3">
        <v>3188.44</v>
      </c>
      <c r="G2384" s="3">
        <v>1373.62</v>
      </c>
      <c r="H2384" s="3">
        <v>1814.82</v>
      </c>
      <c r="I2384" s="3">
        <v>0.43</v>
      </c>
      <c r="J2384">
        <v>0.21</v>
      </c>
      <c r="K2384">
        <v>3168.85</v>
      </c>
      <c r="L2384" t="s">
        <v>35</v>
      </c>
      <c r="M2384">
        <v>539</v>
      </c>
      <c r="N2384">
        <v>0.17</v>
      </c>
      <c r="O2384" s="3">
        <v>464.12</v>
      </c>
      <c r="P2384" s="3">
        <v>0.15</v>
      </c>
      <c r="Q2384" s="3">
        <v>287.32</v>
      </c>
      <c r="R2384" s="3">
        <v>0.09</v>
      </c>
      <c r="S2384">
        <v>6</v>
      </c>
      <c r="T2384">
        <v>493.11</v>
      </c>
      <c r="U2384">
        <v>48</v>
      </c>
      <c r="V2384">
        <v>0</v>
      </c>
      <c r="W2384">
        <v>499.78</v>
      </c>
      <c r="X2384">
        <v>1707.82</v>
      </c>
      <c r="Y2384" t="s">
        <v>36</v>
      </c>
      <c r="Z2384" s="3">
        <v>1662.84</v>
      </c>
      <c r="AA2384" t="s">
        <v>50</v>
      </c>
      <c r="AB2384" t="s">
        <v>42</v>
      </c>
      <c r="AC2384">
        <v>66.400000000000006</v>
      </c>
      <c r="AD2384" t="s">
        <v>43</v>
      </c>
      <c r="AE2384">
        <v>1814.82</v>
      </c>
      <c r="AF2384">
        <v>0</v>
      </c>
    </row>
    <row r="2385" spans="3:32" x14ac:dyDescent="0.35">
      <c r="C2385" s="1">
        <v>44876</v>
      </c>
      <c r="D2385" s="2">
        <v>44866</v>
      </c>
      <c r="E2385">
        <v>1219</v>
      </c>
      <c r="F2385" s="3">
        <v>5665.27</v>
      </c>
      <c r="G2385" s="3">
        <v>2858.91</v>
      </c>
      <c r="H2385" s="3">
        <v>2806.36</v>
      </c>
      <c r="I2385" s="3">
        <v>0.5</v>
      </c>
      <c r="J2385">
        <v>0.1</v>
      </c>
      <c r="K2385">
        <v>2586.39</v>
      </c>
      <c r="L2385" t="s">
        <v>30</v>
      </c>
      <c r="M2385">
        <v>565</v>
      </c>
      <c r="N2385">
        <v>0.21</v>
      </c>
      <c r="O2385" s="3">
        <v>573.33000000000004</v>
      </c>
      <c r="P2385" s="3">
        <v>0.1</v>
      </c>
      <c r="Q2385" s="3">
        <v>302.2</v>
      </c>
      <c r="R2385" s="3">
        <v>0.05</v>
      </c>
      <c r="S2385">
        <v>7</v>
      </c>
      <c r="T2385">
        <v>751.16</v>
      </c>
      <c r="U2385">
        <v>88</v>
      </c>
      <c r="V2385">
        <v>0</v>
      </c>
      <c r="W2385">
        <v>164.85</v>
      </c>
      <c r="X2385">
        <v>1000</v>
      </c>
      <c r="Y2385" t="s">
        <v>36</v>
      </c>
      <c r="Z2385" s="3">
        <v>794.15</v>
      </c>
      <c r="AA2385" t="s">
        <v>45</v>
      </c>
      <c r="AB2385" t="s">
        <v>44</v>
      </c>
      <c r="AC2385">
        <v>39.6</v>
      </c>
      <c r="AD2385" t="s">
        <v>43</v>
      </c>
      <c r="AE2385">
        <v>2806.36</v>
      </c>
      <c r="AF2385">
        <v>1</v>
      </c>
    </row>
    <row r="2386" spans="3:32" x14ac:dyDescent="0.35">
      <c r="C2386" s="1">
        <v>44876</v>
      </c>
      <c r="D2386" s="2">
        <v>44866</v>
      </c>
      <c r="E2386">
        <v>1785</v>
      </c>
      <c r="F2386" s="3">
        <v>3254.07</v>
      </c>
      <c r="G2386" s="3">
        <v>2865</v>
      </c>
      <c r="H2386" s="3">
        <v>389.07</v>
      </c>
      <c r="I2386" s="3">
        <v>0.88</v>
      </c>
      <c r="J2386">
        <v>0.24</v>
      </c>
      <c r="K2386">
        <v>2681.88</v>
      </c>
      <c r="L2386" t="s">
        <v>39</v>
      </c>
      <c r="M2386">
        <v>690</v>
      </c>
      <c r="N2386">
        <v>0.3</v>
      </c>
      <c r="O2386" s="3">
        <v>230.91</v>
      </c>
      <c r="P2386" s="3">
        <v>7.0000000000000007E-2</v>
      </c>
      <c r="Q2386" s="3">
        <v>0</v>
      </c>
      <c r="R2386" s="3">
        <v>0</v>
      </c>
      <c r="S2386">
        <v>1</v>
      </c>
      <c r="T2386">
        <v>1037.01</v>
      </c>
      <c r="U2386">
        <v>71</v>
      </c>
      <c r="V2386">
        <v>1</v>
      </c>
      <c r="W2386">
        <v>617.58000000000004</v>
      </c>
      <c r="X2386">
        <v>1856.42</v>
      </c>
      <c r="Y2386" t="s">
        <v>36</v>
      </c>
      <c r="Z2386" s="3">
        <v>1089.5999999999999</v>
      </c>
      <c r="AA2386" t="s">
        <v>41</v>
      </c>
      <c r="AB2386" t="s">
        <v>33</v>
      </c>
      <c r="AC2386">
        <v>86.4</v>
      </c>
      <c r="AD2386" t="s">
        <v>34</v>
      </c>
      <c r="AE2386">
        <v>389.07</v>
      </c>
      <c r="AF2386">
        <v>0</v>
      </c>
    </row>
    <row r="2387" spans="3:32" x14ac:dyDescent="0.35">
      <c r="C2387" s="1">
        <v>44876</v>
      </c>
      <c r="D2387" s="2">
        <v>44866</v>
      </c>
      <c r="E2387">
        <v>1907</v>
      </c>
      <c r="F2387" s="3">
        <v>5292.79</v>
      </c>
      <c r="G2387" s="3">
        <v>3055.96</v>
      </c>
      <c r="H2387" s="3">
        <v>2236.83</v>
      </c>
      <c r="I2387" s="3">
        <v>0.57999999999999996</v>
      </c>
      <c r="J2387">
        <v>0.19</v>
      </c>
      <c r="K2387">
        <v>3496.25</v>
      </c>
      <c r="L2387" t="s">
        <v>35</v>
      </c>
      <c r="M2387">
        <v>648</v>
      </c>
      <c r="N2387">
        <v>0.57999999999999996</v>
      </c>
      <c r="O2387" s="3">
        <v>989.67</v>
      </c>
      <c r="P2387" s="3">
        <v>0.19</v>
      </c>
      <c r="Q2387" s="3">
        <v>427.84</v>
      </c>
      <c r="R2387" s="3">
        <v>0.08</v>
      </c>
      <c r="S2387">
        <v>3</v>
      </c>
      <c r="T2387">
        <v>1315.72</v>
      </c>
      <c r="U2387">
        <v>62</v>
      </c>
      <c r="V2387">
        <v>0</v>
      </c>
      <c r="W2387">
        <v>496.26</v>
      </c>
      <c r="X2387">
        <v>2529.0500000000002</v>
      </c>
      <c r="Y2387" t="s">
        <v>36</v>
      </c>
      <c r="Z2387" s="3">
        <v>863.2</v>
      </c>
      <c r="AA2387" t="s">
        <v>40</v>
      </c>
      <c r="AB2387" t="s">
        <v>33</v>
      </c>
      <c r="AC2387">
        <v>31.5</v>
      </c>
      <c r="AD2387" t="s">
        <v>34</v>
      </c>
      <c r="AE2387">
        <v>2236.83</v>
      </c>
      <c r="AF2387">
        <v>0</v>
      </c>
    </row>
    <row r="2388" spans="3:32" x14ac:dyDescent="0.35">
      <c r="C2388" s="1">
        <v>44876</v>
      </c>
      <c r="D2388" s="2">
        <v>44866</v>
      </c>
      <c r="E2388">
        <v>1072</v>
      </c>
      <c r="F2388" s="3">
        <v>4602.1099999999997</v>
      </c>
      <c r="G2388" s="3">
        <v>4009.33</v>
      </c>
      <c r="H2388" s="3">
        <v>592.78</v>
      </c>
      <c r="I2388" s="3">
        <v>0.87</v>
      </c>
      <c r="J2388">
        <v>0.06</v>
      </c>
      <c r="K2388">
        <v>3575.51</v>
      </c>
      <c r="L2388" t="s">
        <v>39</v>
      </c>
      <c r="M2388">
        <v>720</v>
      </c>
      <c r="N2388">
        <v>0.15</v>
      </c>
      <c r="O2388" s="3">
        <v>70.27</v>
      </c>
      <c r="P2388" s="3">
        <v>0.02</v>
      </c>
      <c r="Q2388" s="3">
        <v>580.62</v>
      </c>
      <c r="R2388" s="3">
        <v>0.13</v>
      </c>
      <c r="S2388">
        <v>3</v>
      </c>
      <c r="T2388">
        <v>899.79</v>
      </c>
      <c r="U2388">
        <v>52</v>
      </c>
      <c r="V2388">
        <v>0</v>
      </c>
      <c r="W2388">
        <v>701.75</v>
      </c>
      <c r="X2388">
        <v>1253.46</v>
      </c>
      <c r="Y2388" t="s">
        <v>36</v>
      </c>
      <c r="Z2388" s="3">
        <v>1642.09</v>
      </c>
      <c r="AA2388" t="s">
        <v>51</v>
      </c>
      <c r="AB2388" t="s">
        <v>33</v>
      </c>
      <c r="AC2388">
        <v>27.5</v>
      </c>
      <c r="AD2388" t="s">
        <v>43</v>
      </c>
      <c r="AE2388">
        <v>592.78</v>
      </c>
      <c r="AF2388">
        <v>0</v>
      </c>
    </row>
    <row r="2389" spans="3:32" x14ac:dyDescent="0.35">
      <c r="C2389" s="1">
        <v>44876</v>
      </c>
      <c r="D2389" s="2">
        <v>44866</v>
      </c>
      <c r="E2389">
        <v>1550</v>
      </c>
      <c r="F2389" s="3">
        <v>2687.96</v>
      </c>
      <c r="G2389" s="3">
        <v>3789.69</v>
      </c>
      <c r="H2389" s="3">
        <v>-1101.73</v>
      </c>
      <c r="I2389" s="3">
        <v>1.41</v>
      </c>
      <c r="J2389">
        <v>0.2</v>
      </c>
      <c r="K2389">
        <v>3631.85</v>
      </c>
      <c r="L2389" t="s">
        <v>35</v>
      </c>
      <c r="M2389">
        <v>625</v>
      </c>
      <c r="N2389">
        <v>0.36</v>
      </c>
      <c r="O2389" s="3">
        <v>476.73</v>
      </c>
      <c r="P2389" s="3">
        <v>0.18</v>
      </c>
      <c r="Q2389" s="3">
        <v>554.51</v>
      </c>
      <c r="R2389" s="3">
        <v>0.21</v>
      </c>
      <c r="S2389">
        <v>2</v>
      </c>
      <c r="T2389">
        <v>1289.46</v>
      </c>
      <c r="U2389">
        <v>92</v>
      </c>
      <c r="V2389">
        <v>0</v>
      </c>
      <c r="W2389">
        <v>559.46</v>
      </c>
      <c r="X2389">
        <v>1003.98</v>
      </c>
      <c r="Y2389" t="s">
        <v>36</v>
      </c>
      <c r="Z2389" s="3">
        <v>1134.0899999999999</v>
      </c>
      <c r="AA2389" t="s">
        <v>32</v>
      </c>
      <c r="AB2389" t="s">
        <v>42</v>
      </c>
      <c r="AC2389">
        <v>37.6</v>
      </c>
      <c r="AD2389" t="s">
        <v>38</v>
      </c>
      <c r="AE2389">
        <v>0</v>
      </c>
      <c r="AF2389">
        <v>0</v>
      </c>
    </row>
    <row r="2390" spans="3:32" x14ac:dyDescent="0.35">
      <c r="C2390" s="1">
        <v>44876</v>
      </c>
      <c r="D2390" s="2">
        <v>44866</v>
      </c>
      <c r="E2390">
        <v>1723</v>
      </c>
      <c r="F2390" s="3">
        <v>3402.86</v>
      </c>
      <c r="G2390" s="3">
        <v>4083.54</v>
      </c>
      <c r="H2390" s="3">
        <v>-680.68</v>
      </c>
      <c r="I2390" s="3">
        <v>1.2</v>
      </c>
      <c r="J2390">
        <v>0.11</v>
      </c>
      <c r="K2390">
        <v>2831.13</v>
      </c>
      <c r="L2390" t="s">
        <v>30</v>
      </c>
      <c r="M2390">
        <v>700</v>
      </c>
      <c r="N2390">
        <v>0.27</v>
      </c>
      <c r="O2390" s="3">
        <v>793.68</v>
      </c>
      <c r="P2390" s="3">
        <v>0.23</v>
      </c>
      <c r="Q2390" s="3">
        <v>885.55</v>
      </c>
      <c r="R2390" s="3">
        <v>0.26</v>
      </c>
      <c r="S2390">
        <v>3</v>
      </c>
      <c r="T2390">
        <v>1054.6099999999999</v>
      </c>
      <c r="U2390">
        <v>70</v>
      </c>
      <c r="V2390">
        <v>0</v>
      </c>
      <c r="W2390">
        <v>512.20000000000005</v>
      </c>
      <c r="X2390">
        <v>1548.21</v>
      </c>
      <c r="Y2390" t="s">
        <v>36</v>
      </c>
      <c r="Z2390" s="3">
        <v>1440.2</v>
      </c>
      <c r="AA2390" t="s">
        <v>48</v>
      </c>
      <c r="AB2390" t="s">
        <v>33</v>
      </c>
      <c r="AC2390">
        <v>11.5</v>
      </c>
      <c r="AD2390" t="s">
        <v>34</v>
      </c>
      <c r="AE2390">
        <v>0</v>
      </c>
      <c r="AF2390">
        <v>0</v>
      </c>
    </row>
    <row r="2391" spans="3:32" x14ac:dyDescent="0.35">
      <c r="C2391" s="1">
        <v>44876</v>
      </c>
      <c r="D2391" s="2">
        <v>44866</v>
      </c>
      <c r="E2391">
        <v>1034</v>
      </c>
      <c r="F2391" s="3">
        <v>3911.2</v>
      </c>
      <c r="G2391" s="3">
        <v>3136.87</v>
      </c>
      <c r="H2391" s="3">
        <v>774.33</v>
      </c>
      <c r="I2391" s="3">
        <v>0.8</v>
      </c>
      <c r="J2391">
        <v>0.36</v>
      </c>
      <c r="K2391">
        <v>3648.78</v>
      </c>
      <c r="L2391" t="s">
        <v>30</v>
      </c>
      <c r="M2391">
        <v>624</v>
      </c>
      <c r="N2391">
        <v>0.16</v>
      </c>
      <c r="O2391" s="3">
        <v>347.2</v>
      </c>
      <c r="P2391" s="3">
        <v>0.09</v>
      </c>
      <c r="Q2391" s="3">
        <v>275.60000000000002</v>
      </c>
      <c r="R2391" s="3">
        <v>7.0000000000000007E-2</v>
      </c>
      <c r="S2391">
        <v>6</v>
      </c>
      <c r="T2391">
        <v>1160.4000000000001</v>
      </c>
      <c r="U2391">
        <v>29</v>
      </c>
      <c r="V2391">
        <v>0</v>
      </c>
      <c r="W2391">
        <v>562.36</v>
      </c>
      <c r="X2391">
        <v>1748.16</v>
      </c>
      <c r="Y2391" t="s">
        <v>36</v>
      </c>
      <c r="Z2391" s="3">
        <v>2108.19</v>
      </c>
      <c r="AA2391" t="s">
        <v>47</v>
      </c>
      <c r="AB2391" t="s">
        <v>42</v>
      </c>
      <c r="AC2391">
        <v>6</v>
      </c>
      <c r="AD2391" t="s">
        <v>34</v>
      </c>
      <c r="AE2391">
        <v>774.33</v>
      </c>
      <c r="AF2391">
        <v>0</v>
      </c>
    </row>
    <row r="2392" spans="3:32" x14ac:dyDescent="0.35">
      <c r="C2392" s="1">
        <v>44876</v>
      </c>
      <c r="D2392" s="2">
        <v>44866</v>
      </c>
      <c r="E2392">
        <v>1753</v>
      </c>
      <c r="F2392" s="3">
        <v>3356.03</v>
      </c>
      <c r="G2392" s="3">
        <v>3909.6</v>
      </c>
      <c r="H2392" s="3">
        <v>-553.57000000000005</v>
      </c>
      <c r="I2392" s="3">
        <v>1.1599999999999999</v>
      </c>
      <c r="J2392">
        <v>0.1</v>
      </c>
      <c r="K2392">
        <v>2722.37</v>
      </c>
      <c r="L2392" t="s">
        <v>30</v>
      </c>
      <c r="M2392">
        <v>710</v>
      </c>
      <c r="N2392">
        <v>0.56999999999999995</v>
      </c>
      <c r="O2392" s="3">
        <v>188.45</v>
      </c>
      <c r="P2392" s="3">
        <v>0.06</v>
      </c>
      <c r="Q2392" s="3">
        <v>21.28</v>
      </c>
      <c r="R2392" s="3">
        <v>0.01</v>
      </c>
      <c r="S2392">
        <v>7</v>
      </c>
      <c r="T2392">
        <v>1544.29</v>
      </c>
      <c r="U2392">
        <v>38</v>
      </c>
      <c r="V2392">
        <v>0</v>
      </c>
      <c r="W2392">
        <v>492.75</v>
      </c>
      <c r="X2392">
        <v>3499</v>
      </c>
      <c r="Y2392" t="s">
        <v>31</v>
      </c>
      <c r="Z2392" s="3">
        <v>1305.98</v>
      </c>
      <c r="AA2392" t="s">
        <v>48</v>
      </c>
      <c r="AB2392" t="s">
        <v>33</v>
      </c>
      <c r="AC2392">
        <v>13.3</v>
      </c>
      <c r="AD2392" t="s">
        <v>34</v>
      </c>
      <c r="AE2392">
        <v>0</v>
      </c>
      <c r="AF2392">
        <v>0</v>
      </c>
    </row>
    <row r="2393" spans="3:32" x14ac:dyDescent="0.35">
      <c r="C2393" s="1">
        <v>44876</v>
      </c>
      <c r="D2393" s="2">
        <v>44866</v>
      </c>
      <c r="E2393">
        <v>1874</v>
      </c>
      <c r="F2393" s="3">
        <v>3030.58</v>
      </c>
      <c r="G2393" s="3">
        <v>2997.62</v>
      </c>
      <c r="H2393" s="3">
        <v>32.96</v>
      </c>
      <c r="I2393" s="3">
        <v>0.99</v>
      </c>
      <c r="J2393">
        <v>0.35</v>
      </c>
      <c r="K2393">
        <v>2788.29</v>
      </c>
      <c r="L2393" t="s">
        <v>39</v>
      </c>
      <c r="M2393">
        <v>648</v>
      </c>
      <c r="N2393">
        <v>0.21</v>
      </c>
      <c r="O2393" s="3">
        <v>452.72</v>
      </c>
      <c r="P2393" s="3">
        <v>0.15</v>
      </c>
      <c r="Q2393" s="3">
        <v>692.94</v>
      </c>
      <c r="R2393" s="3">
        <v>0.23</v>
      </c>
      <c r="S2393">
        <v>5</v>
      </c>
      <c r="T2393">
        <v>0</v>
      </c>
      <c r="U2393">
        <v>60</v>
      </c>
      <c r="V2393">
        <v>0</v>
      </c>
      <c r="W2393">
        <v>433.04</v>
      </c>
      <c r="X2393">
        <v>1634.03</v>
      </c>
      <c r="Y2393" t="s">
        <v>31</v>
      </c>
      <c r="Z2393" s="3">
        <v>916.83</v>
      </c>
      <c r="AA2393" t="s">
        <v>51</v>
      </c>
      <c r="AB2393" t="s">
        <v>33</v>
      </c>
      <c r="AC2393">
        <v>99</v>
      </c>
      <c r="AD2393" t="s">
        <v>34</v>
      </c>
      <c r="AE2393">
        <v>32.96</v>
      </c>
      <c r="AF2393">
        <v>0</v>
      </c>
    </row>
    <row r="2394" spans="3:32" x14ac:dyDescent="0.35">
      <c r="C2394" s="1">
        <v>44876</v>
      </c>
      <c r="D2394" s="2">
        <v>44866</v>
      </c>
      <c r="E2394">
        <v>1595</v>
      </c>
      <c r="F2394" s="3">
        <v>5707.28</v>
      </c>
      <c r="G2394" s="3">
        <v>2239.11</v>
      </c>
      <c r="H2394" s="3">
        <v>3468.17</v>
      </c>
      <c r="I2394" s="3">
        <v>0.39</v>
      </c>
      <c r="J2394">
        <v>0.39</v>
      </c>
      <c r="K2394">
        <v>2923.4</v>
      </c>
      <c r="L2394" t="s">
        <v>39</v>
      </c>
      <c r="M2394">
        <v>664</v>
      </c>
      <c r="N2394">
        <v>0.3</v>
      </c>
      <c r="O2394" s="3">
        <v>263.12</v>
      </c>
      <c r="P2394" s="3">
        <v>0.05</v>
      </c>
      <c r="Q2394" s="3">
        <v>0</v>
      </c>
      <c r="R2394" s="3">
        <v>0</v>
      </c>
      <c r="S2394">
        <v>7</v>
      </c>
      <c r="T2394">
        <v>1205.1300000000001</v>
      </c>
      <c r="U2394">
        <v>61</v>
      </c>
      <c r="V2394">
        <v>0</v>
      </c>
      <c r="W2394">
        <v>314.47000000000003</v>
      </c>
      <c r="X2394">
        <v>2034.51</v>
      </c>
      <c r="Y2394" t="s">
        <v>36</v>
      </c>
      <c r="Z2394" s="3">
        <v>1574.51</v>
      </c>
      <c r="AA2394" t="s">
        <v>46</v>
      </c>
      <c r="AB2394" t="s">
        <v>42</v>
      </c>
      <c r="AC2394">
        <v>59.6</v>
      </c>
      <c r="AD2394" t="s">
        <v>38</v>
      </c>
      <c r="AE2394">
        <v>3468.17</v>
      </c>
      <c r="AF2394">
        <v>1</v>
      </c>
    </row>
    <row r="2395" spans="3:32" x14ac:dyDescent="0.35">
      <c r="C2395" s="1">
        <v>44876</v>
      </c>
      <c r="D2395" s="2">
        <v>44866</v>
      </c>
      <c r="E2395">
        <v>1044</v>
      </c>
      <c r="F2395" s="3">
        <v>2721.83</v>
      </c>
      <c r="G2395" s="3">
        <v>2296.9899999999998</v>
      </c>
      <c r="H2395" s="3">
        <v>424.84</v>
      </c>
      <c r="I2395" s="3">
        <v>0.84</v>
      </c>
      <c r="J2395">
        <v>0.22</v>
      </c>
      <c r="K2395">
        <v>3346.71</v>
      </c>
      <c r="L2395" t="s">
        <v>35</v>
      </c>
      <c r="M2395">
        <v>668</v>
      </c>
      <c r="N2395">
        <v>0.41</v>
      </c>
      <c r="O2395" s="3">
        <v>655.49</v>
      </c>
      <c r="P2395" s="3">
        <v>0.24</v>
      </c>
      <c r="Q2395" s="3">
        <v>746.71</v>
      </c>
      <c r="R2395" s="3">
        <v>0.27</v>
      </c>
      <c r="S2395">
        <v>1</v>
      </c>
      <c r="T2395">
        <v>403.28</v>
      </c>
      <c r="U2395">
        <v>26</v>
      </c>
      <c r="V2395">
        <v>0</v>
      </c>
      <c r="W2395">
        <v>650.63</v>
      </c>
      <c r="X2395">
        <v>1748.83</v>
      </c>
      <c r="Y2395" t="s">
        <v>31</v>
      </c>
      <c r="Z2395" s="3">
        <v>1424.74</v>
      </c>
      <c r="AA2395" t="s">
        <v>48</v>
      </c>
      <c r="AB2395" t="s">
        <v>33</v>
      </c>
      <c r="AC2395">
        <v>22.1</v>
      </c>
      <c r="AD2395" t="s">
        <v>34</v>
      </c>
      <c r="AE2395">
        <v>424.84</v>
      </c>
      <c r="AF2395">
        <v>0</v>
      </c>
    </row>
    <row r="2396" spans="3:32" x14ac:dyDescent="0.35">
      <c r="C2396" s="1">
        <v>44876</v>
      </c>
      <c r="D2396" s="2">
        <v>44866</v>
      </c>
      <c r="E2396">
        <v>1406</v>
      </c>
      <c r="F2396" s="3">
        <v>4150.82</v>
      </c>
      <c r="G2396" s="3">
        <v>2735.75</v>
      </c>
      <c r="H2396" s="3">
        <v>1415.07</v>
      </c>
      <c r="I2396" s="3">
        <v>0.66</v>
      </c>
      <c r="J2396">
        <v>0.14000000000000001</v>
      </c>
      <c r="K2396">
        <v>3025.26</v>
      </c>
      <c r="L2396" t="s">
        <v>35</v>
      </c>
      <c r="M2396">
        <v>603</v>
      </c>
      <c r="N2396">
        <v>0.25</v>
      </c>
      <c r="O2396" s="3">
        <v>664.43</v>
      </c>
      <c r="P2396" s="3">
        <v>0.16</v>
      </c>
      <c r="Q2396" s="3">
        <v>338.87</v>
      </c>
      <c r="R2396" s="3">
        <v>0.08</v>
      </c>
      <c r="S2396">
        <v>8</v>
      </c>
      <c r="T2396">
        <v>1379.04</v>
      </c>
      <c r="U2396">
        <v>73</v>
      </c>
      <c r="V2396">
        <v>0</v>
      </c>
      <c r="W2396">
        <v>804.24</v>
      </c>
      <c r="X2396">
        <v>1913.24</v>
      </c>
      <c r="Y2396" t="s">
        <v>36</v>
      </c>
      <c r="Z2396" s="3">
        <v>1680.86</v>
      </c>
      <c r="AA2396" t="s">
        <v>47</v>
      </c>
      <c r="AB2396" t="s">
        <v>33</v>
      </c>
      <c r="AC2396">
        <v>92.1</v>
      </c>
      <c r="AD2396" t="s">
        <v>38</v>
      </c>
      <c r="AE2396">
        <v>1415.07</v>
      </c>
      <c r="AF2396">
        <v>0</v>
      </c>
    </row>
    <row r="2397" spans="3:32" x14ac:dyDescent="0.35">
      <c r="C2397" s="1">
        <v>44876</v>
      </c>
      <c r="D2397" s="2">
        <v>44866</v>
      </c>
      <c r="E2397">
        <v>1695</v>
      </c>
      <c r="F2397" s="3">
        <v>3333.42</v>
      </c>
      <c r="G2397" s="3">
        <v>2866.01</v>
      </c>
      <c r="H2397" s="3">
        <v>467.41</v>
      </c>
      <c r="I2397" s="3">
        <v>0.86</v>
      </c>
      <c r="J2397">
        <v>0.28000000000000003</v>
      </c>
      <c r="K2397">
        <v>3242.65</v>
      </c>
      <c r="L2397" t="s">
        <v>39</v>
      </c>
      <c r="M2397">
        <v>656</v>
      </c>
      <c r="N2397">
        <v>0.45</v>
      </c>
      <c r="O2397" s="3">
        <v>764.27</v>
      </c>
      <c r="P2397" s="3">
        <v>0.23</v>
      </c>
      <c r="Q2397" s="3">
        <v>0</v>
      </c>
      <c r="R2397" s="3">
        <v>0</v>
      </c>
      <c r="S2397">
        <v>4</v>
      </c>
      <c r="T2397">
        <v>1440.17</v>
      </c>
      <c r="U2397">
        <v>54</v>
      </c>
      <c r="V2397">
        <v>0</v>
      </c>
      <c r="W2397">
        <v>463.89</v>
      </c>
      <c r="X2397">
        <v>2456.9499999999998</v>
      </c>
      <c r="Y2397" t="s">
        <v>36</v>
      </c>
      <c r="Z2397" s="3">
        <v>1392.13</v>
      </c>
      <c r="AA2397" t="s">
        <v>47</v>
      </c>
      <c r="AB2397" t="s">
        <v>33</v>
      </c>
      <c r="AC2397">
        <v>83.5</v>
      </c>
      <c r="AD2397" t="s">
        <v>34</v>
      </c>
      <c r="AE2397">
        <v>467.41</v>
      </c>
      <c r="AF2397">
        <v>0</v>
      </c>
    </row>
    <row r="2398" spans="3:32" x14ac:dyDescent="0.35">
      <c r="C2398" s="1">
        <v>44876</v>
      </c>
      <c r="D2398" s="2">
        <v>44866</v>
      </c>
      <c r="E2398">
        <v>1212</v>
      </c>
      <c r="F2398" s="3">
        <v>5144.22</v>
      </c>
      <c r="G2398" s="3">
        <v>1162.32</v>
      </c>
      <c r="H2398" s="3">
        <v>3981.9</v>
      </c>
      <c r="I2398" s="3">
        <v>0.23</v>
      </c>
      <c r="J2398">
        <v>0.4</v>
      </c>
      <c r="K2398">
        <v>2116.16</v>
      </c>
      <c r="L2398" t="s">
        <v>30</v>
      </c>
      <c r="M2398">
        <v>752</v>
      </c>
      <c r="N2398">
        <v>0.26</v>
      </c>
      <c r="O2398" s="3">
        <v>394.54</v>
      </c>
      <c r="P2398" s="3">
        <v>0.08</v>
      </c>
      <c r="Q2398" s="3">
        <v>680.59</v>
      </c>
      <c r="R2398" s="3">
        <v>0.13</v>
      </c>
      <c r="S2398">
        <v>2</v>
      </c>
      <c r="T2398">
        <v>1278.67</v>
      </c>
      <c r="U2398">
        <v>26</v>
      </c>
      <c r="V2398">
        <v>0</v>
      </c>
      <c r="W2398">
        <v>165.74</v>
      </c>
      <c r="X2398">
        <v>1999.85</v>
      </c>
      <c r="Y2398" t="s">
        <v>36</v>
      </c>
      <c r="Z2398" s="3">
        <v>1420.82</v>
      </c>
      <c r="AA2398" t="s">
        <v>32</v>
      </c>
      <c r="AB2398" t="s">
        <v>33</v>
      </c>
      <c r="AC2398">
        <v>32.1</v>
      </c>
      <c r="AD2398" t="s">
        <v>34</v>
      </c>
      <c r="AE2398">
        <v>3981.9</v>
      </c>
      <c r="AF2398">
        <v>1</v>
      </c>
    </row>
    <row r="2399" spans="3:32" x14ac:dyDescent="0.35">
      <c r="C2399" s="1">
        <v>44876</v>
      </c>
      <c r="D2399" s="2">
        <v>44866</v>
      </c>
      <c r="E2399">
        <v>1497</v>
      </c>
      <c r="F2399" s="3">
        <v>4408.5</v>
      </c>
      <c r="G2399" s="3">
        <v>3183.57</v>
      </c>
      <c r="H2399" s="3">
        <v>1224.93</v>
      </c>
      <c r="I2399" s="3">
        <v>0.72</v>
      </c>
      <c r="J2399">
        <v>0.1</v>
      </c>
      <c r="K2399">
        <v>2607.66</v>
      </c>
      <c r="L2399" t="s">
        <v>35</v>
      </c>
      <c r="M2399">
        <v>761</v>
      </c>
      <c r="N2399">
        <v>0.31</v>
      </c>
      <c r="O2399" s="3">
        <v>548.66999999999996</v>
      </c>
      <c r="P2399" s="3">
        <v>0.12</v>
      </c>
      <c r="Q2399" s="3">
        <v>1014.45</v>
      </c>
      <c r="R2399" s="3">
        <v>0.23</v>
      </c>
      <c r="S2399">
        <v>9</v>
      </c>
      <c r="T2399">
        <v>1825.57</v>
      </c>
      <c r="U2399">
        <v>77</v>
      </c>
      <c r="V2399">
        <v>0</v>
      </c>
      <c r="W2399">
        <v>165.53</v>
      </c>
      <c r="X2399">
        <v>2021.6</v>
      </c>
      <c r="Y2399" t="s">
        <v>36</v>
      </c>
      <c r="Z2399" s="3">
        <v>888.01</v>
      </c>
      <c r="AA2399" t="s">
        <v>51</v>
      </c>
      <c r="AB2399" t="s">
        <v>44</v>
      </c>
      <c r="AC2399">
        <v>66.3</v>
      </c>
      <c r="AD2399" t="s">
        <v>38</v>
      </c>
      <c r="AE2399">
        <v>1224.93</v>
      </c>
      <c r="AF2399">
        <v>0</v>
      </c>
    </row>
    <row r="2400" spans="3:32" x14ac:dyDescent="0.35">
      <c r="C2400" s="1">
        <v>44876</v>
      </c>
      <c r="D2400" s="2">
        <v>44866</v>
      </c>
      <c r="E2400">
        <v>1763</v>
      </c>
      <c r="F2400" s="3">
        <v>4194.95</v>
      </c>
      <c r="G2400" s="3">
        <v>2869.99</v>
      </c>
      <c r="H2400" s="3">
        <v>1324.96</v>
      </c>
      <c r="I2400" s="3">
        <v>0.68</v>
      </c>
      <c r="J2400">
        <v>0.32</v>
      </c>
      <c r="K2400">
        <v>3338.56</v>
      </c>
      <c r="L2400" t="s">
        <v>39</v>
      </c>
      <c r="M2400">
        <v>682</v>
      </c>
      <c r="N2400">
        <v>0.57999999999999996</v>
      </c>
      <c r="O2400" s="3">
        <v>125.12</v>
      </c>
      <c r="P2400" s="3">
        <v>0.03</v>
      </c>
      <c r="Q2400" s="3">
        <v>220.85</v>
      </c>
      <c r="R2400" s="3">
        <v>0.05</v>
      </c>
      <c r="S2400">
        <v>1</v>
      </c>
      <c r="T2400">
        <v>1045.5899999999999</v>
      </c>
      <c r="U2400">
        <v>32</v>
      </c>
      <c r="V2400">
        <v>0</v>
      </c>
      <c r="W2400">
        <v>376.22</v>
      </c>
      <c r="X2400">
        <v>1945.68</v>
      </c>
      <c r="Y2400" t="s">
        <v>31</v>
      </c>
      <c r="Z2400" s="3">
        <v>1724.73</v>
      </c>
      <c r="AA2400" t="s">
        <v>50</v>
      </c>
      <c r="AB2400" t="s">
        <v>33</v>
      </c>
      <c r="AC2400">
        <v>29.3</v>
      </c>
      <c r="AD2400" t="s">
        <v>34</v>
      </c>
      <c r="AE2400">
        <v>1324.96</v>
      </c>
      <c r="AF2400">
        <v>0</v>
      </c>
    </row>
    <row r="2401" spans="3:32" x14ac:dyDescent="0.35">
      <c r="C2401" s="1">
        <v>44876</v>
      </c>
      <c r="D2401" s="2">
        <v>44866</v>
      </c>
      <c r="E2401">
        <v>1744</v>
      </c>
      <c r="F2401" s="3">
        <v>4106.8900000000003</v>
      </c>
      <c r="G2401" s="3">
        <v>2535.23</v>
      </c>
      <c r="H2401" s="3">
        <v>1571.66</v>
      </c>
      <c r="I2401" s="3">
        <v>0.62</v>
      </c>
      <c r="J2401">
        <v>0.31</v>
      </c>
      <c r="K2401">
        <v>2805.5</v>
      </c>
      <c r="L2401" t="s">
        <v>35</v>
      </c>
      <c r="M2401">
        <v>639</v>
      </c>
      <c r="N2401">
        <v>0.26</v>
      </c>
      <c r="O2401" s="3">
        <v>554.53</v>
      </c>
      <c r="P2401" s="3">
        <v>0.14000000000000001</v>
      </c>
      <c r="Q2401" s="3">
        <v>712.04</v>
      </c>
      <c r="R2401" s="3">
        <v>0.17</v>
      </c>
      <c r="S2401">
        <v>7</v>
      </c>
      <c r="T2401">
        <v>628.71</v>
      </c>
      <c r="U2401">
        <v>36</v>
      </c>
      <c r="V2401">
        <v>0</v>
      </c>
      <c r="W2401">
        <v>298.07</v>
      </c>
      <c r="X2401">
        <v>2327.02</v>
      </c>
      <c r="Y2401" t="s">
        <v>36</v>
      </c>
      <c r="Z2401" s="3">
        <v>1249.31</v>
      </c>
      <c r="AA2401" t="s">
        <v>41</v>
      </c>
      <c r="AB2401" t="s">
        <v>44</v>
      </c>
      <c r="AC2401">
        <v>18.899999999999999</v>
      </c>
      <c r="AD2401" t="s">
        <v>43</v>
      </c>
      <c r="AE2401">
        <v>1571.66</v>
      </c>
      <c r="AF2401">
        <v>0</v>
      </c>
    </row>
    <row r="2402" spans="3:32" x14ac:dyDescent="0.35">
      <c r="C2402" s="1">
        <v>44906</v>
      </c>
      <c r="D2402" s="2">
        <v>44896</v>
      </c>
      <c r="E2402">
        <v>1983</v>
      </c>
      <c r="F2402" s="3">
        <v>3549.62</v>
      </c>
      <c r="G2402" s="3">
        <v>2797.15</v>
      </c>
      <c r="H2402" s="3">
        <v>752.47</v>
      </c>
      <c r="I2402" s="3">
        <v>0.79</v>
      </c>
      <c r="J2402">
        <v>7.0000000000000007E-2</v>
      </c>
      <c r="K2402">
        <v>2304.84</v>
      </c>
      <c r="L2402" t="s">
        <v>35</v>
      </c>
      <c r="M2402">
        <v>690</v>
      </c>
      <c r="N2402">
        <v>0.16</v>
      </c>
      <c r="O2402" s="3">
        <v>639.79</v>
      </c>
      <c r="P2402" s="3">
        <v>0.18</v>
      </c>
      <c r="Q2402" s="3">
        <v>313.85000000000002</v>
      </c>
      <c r="R2402" s="3">
        <v>0.09</v>
      </c>
      <c r="S2402">
        <v>7</v>
      </c>
      <c r="T2402">
        <v>713.24</v>
      </c>
      <c r="U2402">
        <v>94</v>
      </c>
      <c r="V2402">
        <v>0</v>
      </c>
      <c r="W2402">
        <v>722.47</v>
      </c>
      <c r="X2402">
        <v>2522.92</v>
      </c>
      <c r="Y2402" t="s">
        <v>36</v>
      </c>
      <c r="Z2402" s="3">
        <v>906.81</v>
      </c>
      <c r="AA2402" t="s">
        <v>37</v>
      </c>
      <c r="AB2402" t="s">
        <v>33</v>
      </c>
      <c r="AC2402">
        <v>71.599999999999994</v>
      </c>
      <c r="AD2402" t="s">
        <v>38</v>
      </c>
      <c r="AE2402">
        <v>752.47</v>
      </c>
      <c r="AF2402">
        <v>0</v>
      </c>
    </row>
    <row r="2403" spans="3:32" x14ac:dyDescent="0.35">
      <c r="C2403" s="1">
        <v>44906</v>
      </c>
      <c r="D2403" s="2">
        <v>44896</v>
      </c>
      <c r="E2403">
        <v>1370</v>
      </c>
      <c r="F2403" s="3">
        <v>3018.3</v>
      </c>
      <c r="G2403" s="3">
        <v>2843.89</v>
      </c>
      <c r="H2403" s="3">
        <v>174.41</v>
      </c>
      <c r="I2403" s="3">
        <v>0.94</v>
      </c>
      <c r="J2403">
        <v>0.18</v>
      </c>
      <c r="K2403">
        <v>2417.0100000000002</v>
      </c>
      <c r="L2403" t="s">
        <v>35</v>
      </c>
      <c r="M2403">
        <v>635</v>
      </c>
      <c r="N2403">
        <v>0.36</v>
      </c>
      <c r="O2403" s="3">
        <v>722.82</v>
      </c>
      <c r="P2403" s="3">
        <v>0.24</v>
      </c>
      <c r="Q2403" s="3">
        <v>438.22</v>
      </c>
      <c r="R2403" s="3">
        <v>0.15</v>
      </c>
      <c r="S2403">
        <v>3</v>
      </c>
      <c r="T2403">
        <v>997.38</v>
      </c>
      <c r="U2403">
        <v>71</v>
      </c>
      <c r="V2403">
        <v>0</v>
      </c>
      <c r="W2403">
        <v>687.59</v>
      </c>
      <c r="X2403">
        <v>2514.67</v>
      </c>
      <c r="Y2403" t="s">
        <v>31</v>
      </c>
      <c r="Z2403" s="3">
        <v>1535.2</v>
      </c>
      <c r="AA2403" t="s">
        <v>45</v>
      </c>
      <c r="AB2403" t="s">
        <v>33</v>
      </c>
      <c r="AC2403">
        <v>7.1</v>
      </c>
      <c r="AD2403" t="s">
        <v>38</v>
      </c>
      <c r="AE2403">
        <v>174.41</v>
      </c>
      <c r="AF2403">
        <v>0</v>
      </c>
    </row>
    <row r="2404" spans="3:32" x14ac:dyDescent="0.35">
      <c r="C2404" s="1">
        <v>44906</v>
      </c>
      <c r="D2404" s="2">
        <v>44896</v>
      </c>
      <c r="E2404">
        <v>1889</v>
      </c>
      <c r="F2404" s="3">
        <v>3988.46</v>
      </c>
      <c r="G2404" s="3">
        <v>4850.38</v>
      </c>
      <c r="H2404" s="3">
        <v>-861.92</v>
      </c>
      <c r="I2404" s="3">
        <v>1.22</v>
      </c>
      <c r="J2404">
        <v>0.23</v>
      </c>
      <c r="K2404">
        <v>3107.88</v>
      </c>
      <c r="L2404" t="s">
        <v>35</v>
      </c>
      <c r="M2404">
        <v>726</v>
      </c>
      <c r="N2404">
        <v>0.39</v>
      </c>
      <c r="O2404" s="3">
        <v>503.97</v>
      </c>
      <c r="P2404" s="3">
        <v>0.13</v>
      </c>
      <c r="Q2404" s="3">
        <v>513.48</v>
      </c>
      <c r="R2404" s="3">
        <v>0.13</v>
      </c>
      <c r="S2404">
        <v>2</v>
      </c>
      <c r="T2404">
        <v>997.14</v>
      </c>
      <c r="U2404">
        <v>38</v>
      </c>
      <c r="V2404">
        <v>0</v>
      </c>
      <c r="W2404">
        <v>98.36</v>
      </c>
      <c r="X2404">
        <v>2494.41</v>
      </c>
      <c r="Y2404" t="s">
        <v>36</v>
      </c>
      <c r="Z2404" s="3">
        <v>962.58</v>
      </c>
      <c r="AA2404" t="s">
        <v>47</v>
      </c>
      <c r="AB2404" t="s">
        <v>44</v>
      </c>
      <c r="AC2404">
        <v>43.7</v>
      </c>
      <c r="AD2404" t="s">
        <v>34</v>
      </c>
      <c r="AE2404">
        <v>0</v>
      </c>
      <c r="AF2404">
        <v>0</v>
      </c>
    </row>
    <row r="2405" spans="3:32" x14ac:dyDescent="0.35">
      <c r="C2405" s="1">
        <v>44906</v>
      </c>
      <c r="D2405" s="2">
        <v>44896</v>
      </c>
      <c r="E2405">
        <v>1829</v>
      </c>
      <c r="F2405" s="3">
        <v>4589.2</v>
      </c>
      <c r="G2405" s="3">
        <v>2140.7600000000002</v>
      </c>
      <c r="H2405" s="3">
        <v>2448.44</v>
      </c>
      <c r="I2405" s="3">
        <v>0.47</v>
      </c>
      <c r="J2405">
        <v>0.36</v>
      </c>
      <c r="K2405">
        <v>2019.69</v>
      </c>
      <c r="L2405" t="s">
        <v>30</v>
      </c>
      <c r="M2405">
        <v>682</v>
      </c>
      <c r="N2405">
        <v>0.46</v>
      </c>
      <c r="O2405" s="3">
        <v>245.8</v>
      </c>
      <c r="P2405" s="3">
        <v>0.05</v>
      </c>
      <c r="Q2405" s="3">
        <v>285.51</v>
      </c>
      <c r="R2405" s="3">
        <v>0.06</v>
      </c>
      <c r="S2405">
        <v>2</v>
      </c>
      <c r="T2405">
        <v>921.04</v>
      </c>
      <c r="U2405">
        <v>58</v>
      </c>
      <c r="V2405">
        <v>0</v>
      </c>
      <c r="W2405">
        <v>666.19</v>
      </c>
      <c r="X2405">
        <v>2528.63</v>
      </c>
      <c r="Y2405" t="s">
        <v>31</v>
      </c>
      <c r="Z2405" s="3">
        <v>1411.3</v>
      </c>
      <c r="AA2405" t="s">
        <v>37</v>
      </c>
      <c r="AB2405" t="s">
        <v>42</v>
      </c>
      <c r="AC2405">
        <v>60.2</v>
      </c>
      <c r="AD2405" t="s">
        <v>34</v>
      </c>
      <c r="AE2405">
        <v>2448.44</v>
      </c>
      <c r="AF2405">
        <v>1</v>
      </c>
    </row>
    <row r="2406" spans="3:32" x14ac:dyDescent="0.35">
      <c r="C2406" s="1">
        <v>44906</v>
      </c>
      <c r="D2406" s="2">
        <v>44896</v>
      </c>
      <c r="E2406">
        <v>1867</v>
      </c>
      <c r="F2406" s="3">
        <v>3893.7</v>
      </c>
      <c r="G2406" s="3">
        <v>4059.59</v>
      </c>
      <c r="H2406" s="3">
        <v>-165.89</v>
      </c>
      <c r="I2406" s="3">
        <v>1.04</v>
      </c>
      <c r="J2406">
        <v>0.36</v>
      </c>
      <c r="K2406">
        <v>2105.37</v>
      </c>
      <c r="L2406" t="s">
        <v>30</v>
      </c>
      <c r="M2406">
        <v>720</v>
      </c>
      <c r="N2406">
        <v>0.52</v>
      </c>
      <c r="O2406" s="3">
        <v>548.55999999999995</v>
      </c>
      <c r="P2406" s="3">
        <v>0.14000000000000001</v>
      </c>
      <c r="Q2406" s="3">
        <v>270.79000000000002</v>
      </c>
      <c r="R2406" s="3">
        <v>7.0000000000000007E-2</v>
      </c>
      <c r="S2406">
        <v>1</v>
      </c>
      <c r="T2406">
        <v>617.51</v>
      </c>
      <c r="U2406">
        <v>36</v>
      </c>
      <c r="V2406">
        <v>0</v>
      </c>
      <c r="W2406">
        <v>666.82</v>
      </c>
      <c r="X2406">
        <v>1463.57</v>
      </c>
      <c r="Y2406" t="s">
        <v>36</v>
      </c>
      <c r="Z2406" s="3">
        <v>709.16</v>
      </c>
      <c r="AA2406" t="s">
        <v>48</v>
      </c>
      <c r="AB2406" t="s">
        <v>33</v>
      </c>
      <c r="AC2406">
        <v>28.1</v>
      </c>
      <c r="AD2406" t="s">
        <v>43</v>
      </c>
      <c r="AE2406">
        <v>0</v>
      </c>
      <c r="AF2406">
        <v>0</v>
      </c>
    </row>
    <row r="2407" spans="3:32" x14ac:dyDescent="0.35">
      <c r="C2407" s="1">
        <v>44906</v>
      </c>
      <c r="D2407" s="2">
        <v>44896</v>
      </c>
      <c r="E2407">
        <v>1169</v>
      </c>
      <c r="F2407" s="3">
        <v>4290.13</v>
      </c>
      <c r="G2407" s="3">
        <v>3487.21</v>
      </c>
      <c r="H2407" s="3">
        <v>802.92</v>
      </c>
      <c r="I2407" s="3">
        <v>0.81</v>
      </c>
      <c r="J2407">
        <v>0.05</v>
      </c>
      <c r="K2407">
        <v>2711.37</v>
      </c>
      <c r="L2407" t="s">
        <v>30</v>
      </c>
      <c r="M2407">
        <v>663</v>
      </c>
      <c r="N2407">
        <v>0.59</v>
      </c>
      <c r="O2407" s="3">
        <v>458.92</v>
      </c>
      <c r="P2407" s="3">
        <v>0.11</v>
      </c>
      <c r="Q2407" s="3">
        <v>729.89</v>
      </c>
      <c r="R2407" s="3">
        <v>0.17</v>
      </c>
      <c r="S2407">
        <v>4</v>
      </c>
      <c r="T2407">
        <v>1550.91</v>
      </c>
      <c r="U2407">
        <v>26</v>
      </c>
      <c r="V2407">
        <v>0</v>
      </c>
      <c r="W2407">
        <v>793.93</v>
      </c>
      <c r="X2407">
        <v>1666.23</v>
      </c>
      <c r="Y2407" t="s">
        <v>36</v>
      </c>
      <c r="Z2407" s="3">
        <v>822.24</v>
      </c>
      <c r="AA2407" t="s">
        <v>50</v>
      </c>
      <c r="AB2407" t="s">
        <v>42</v>
      </c>
      <c r="AC2407">
        <v>0.2</v>
      </c>
      <c r="AD2407" t="s">
        <v>34</v>
      </c>
      <c r="AE2407">
        <v>802.92</v>
      </c>
      <c r="AF2407">
        <v>0</v>
      </c>
    </row>
    <row r="2408" spans="3:32" x14ac:dyDescent="0.35">
      <c r="C2408" s="1">
        <v>44906</v>
      </c>
      <c r="D2408" s="2">
        <v>44896</v>
      </c>
      <c r="E2408">
        <v>1701</v>
      </c>
      <c r="F2408" s="3">
        <v>3408.84</v>
      </c>
      <c r="G2408" s="3">
        <v>3743.66</v>
      </c>
      <c r="H2408" s="3">
        <v>-334.82</v>
      </c>
      <c r="I2408" s="3">
        <v>1.1000000000000001</v>
      </c>
      <c r="J2408">
        <v>0.38</v>
      </c>
      <c r="K2408">
        <v>3649.06</v>
      </c>
      <c r="L2408" t="s">
        <v>35</v>
      </c>
      <c r="M2408">
        <v>676</v>
      </c>
      <c r="N2408">
        <v>0.19</v>
      </c>
      <c r="O2408" s="3">
        <v>618.17999999999995</v>
      </c>
      <c r="P2408" s="3">
        <v>0.18</v>
      </c>
      <c r="Q2408" s="3">
        <v>287.7</v>
      </c>
      <c r="R2408" s="3">
        <v>0.08</v>
      </c>
      <c r="S2408">
        <v>3</v>
      </c>
      <c r="T2408">
        <v>1439.19</v>
      </c>
      <c r="U2408">
        <v>81</v>
      </c>
      <c r="V2408">
        <v>0</v>
      </c>
      <c r="W2408">
        <v>532.17999999999995</v>
      </c>
      <c r="X2408">
        <v>2387.9899999999998</v>
      </c>
      <c r="Y2408" t="s">
        <v>49</v>
      </c>
      <c r="Z2408" s="3">
        <v>1537.6</v>
      </c>
      <c r="AA2408" t="s">
        <v>51</v>
      </c>
      <c r="AB2408" t="s">
        <v>33</v>
      </c>
      <c r="AC2408">
        <v>62.3</v>
      </c>
      <c r="AD2408" t="s">
        <v>34</v>
      </c>
      <c r="AE2408">
        <v>0</v>
      </c>
      <c r="AF2408">
        <v>0</v>
      </c>
    </row>
    <row r="2409" spans="3:32" x14ac:dyDescent="0.35">
      <c r="C2409" s="1">
        <v>44906</v>
      </c>
      <c r="D2409" s="2">
        <v>44896</v>
      </c>
      <c r="E2409">
        <v>1134</v>
      </c>
      <c r="F2409" s="3">
        <v>4813.4399999999996</v>
      </c>
      <c r="G2409" s="3">
        <v>4016</v>
      </c>
      <c r="H2409" s="3">
        <v>797.44</v>
      </c>
      <c r="I2409" s="3">
        <v>0.83</v>
      </c>
      <c r="J2409">
        <v>0.16</v>
      </c>
      <c r="K2409">
        <v>2977.31</v>
      </c>
      <c r="L2409" t="s">
        <v>35</v>
      </c>
      <c r="M2409">
        <v>656</v>
      </c>
      <c r="N2409">
        <v>0.43</v>
      </c>
      <c r="O2409" s="3">
        <v>562.97</v>
      </c>
      <c r="P2409" s="3">
        <v>0.12</v>
      </c>
      <c r="Q2409" s="3">
        <v>234.33</v>
      </c>
      <c r="R2409" s="3">
        <v>0.05</v>
      </c>
      <c r="S2409">
        <v>6</v>
      </c>
      <c r="T2409">
        <v>486.95</v>
      </c>
      <c r="U2409">
        <v>58</v>
      </c>
      <c r="V2409">
        <v>0</v>
      </c>
      <c r="W2409">
        <v>593.19000000000005</v>
      </c>
      <c r="X2409">
        <v>2363.81</v>
      </c>
      <c r="Y2409" t="s">
        <v>36</v>
      </c>
      <c r="Z2409" s="3">
        <v>698.64</v>
      </c>
      <c r="AA2409" t="s">
        <v>46</v>
      </c>
      <c r="AB2409" t="s">
        <v>33</v>
      </c>
      <c r="AC2409">
        <v>80.599999999999994</v>
      </c>
      <c r="AD2409" t="s">
        <v>34</v>
      </c>
      <c r="AE2409">
        <v>797.44</v>
      </c>
      <c r="AF2409">
        <v>0</v>
      </c>
    </row>
    <row r="2410" spans="3:32" x14ac:dyDescent="0.35">
      <c r="C2410" s="1">
        <v>44906</v>
      </c>
      <c r="D2410" s="2">
        <v>44896</v>
      </c>
      <c r="E2410">
        <v>1388</v>
      </c>
      <c r="F2410" s="3">
        <v>4308.4399999999996</v>
      </c>
      <c r="G2410" s="3">
        <v>3195.17</v>
      </c>
      <c r="H2410" s="3">
        <v>1113.27</v>
      </c>
      <c r="I2410" s="3">
        <v>0.74</v>
      </c>
      <c r="J2410">
        <v>0.28000000000000003</v>
      </c>
      <c r="K2410">
        <v>2411.4499999999998</v>
      </c>
      <c r="L2410" t="s">
        <v>35</v>
      </c>
      <c r="M2410">
        <v>696</v>
      </c>
      <c r="N2410">
        <v>0.51</v>
      </c>
      <c r="O2410" s="3">
        <v>616.57000000000005</v>
      </c>
      <c r="P2410" s="3">
        <v>0.14000000000000001</v>
      </c>
      <c r="Q2410" s="3">
        <v>142.16</v>
      </c>
      <c r="R2410" s="3">
        <v>0.03</v>
      </c>
      <c r="S2410">
        <v>1</v>
      </c>
      <c r="T2410">
        <v>766.1</v>
      </c>
      <c r="U2410">
        <v>37</v>
      </c>
      <c r="V2410">
        <v>0</v>
      </c>
      <c r="W2410">
        <v>274.68</v>
      </c>
      <c r="X2410">
        <v>1453.02</v>
      </c>
      <c r="Y2410" t="s">
        <v>36</v>
      </c>
      <c r="Z2410" s="3">
        <v>1609.43</v>
      </c>
      <c r="AA2410" t="s">
        <v>37</v>
      </c>
      <c r="AB2410" t="s">
        <v>44</v>
      </c>
      <c r="AC2410">
        <v>62.6</v>
      </c>
      <c r="AD2410" t="s">
        <v>38</v>
      </c>
      <c r="AE2410">
        <v>1113.27</v>
      </c>
      <c r="AF2410">
        <v>0</v>
      </c>
    </row>
    <row r="2411" spans="3:32" x14ac:dyDescent="0.35">
      <c r="C2411" s="1">
        <v>44906</v>
      </c>
      <c r="D2411" s="2">
        <v>44896</v>
      </c>
      <c r="E2411">
        <v>1438</v>
      </c>
      <c r="F2411" s="3">
        <v>4833.5200000000004</v>
      </c>
      <c r="G2411" s="3">
        <v>4217.3</v>
      </c>
      <c r="H2411" s="3">
        <v>616.22</v>
      </c>
      <c r="I2411" s="3">
        <v>0.87</v>
      </c>
      <c r="J2411">
        <v>0.19</v>
      </c>
      <c r="K2411">
        <v>2641.02</v>
      </c>
      <c r="L2411" t="s">
        <v>39</v>
      </c>
      <c r="M2411">
        <v>680</v>
      </c>
      <c r="N2411">
        <v>0.59</v>
      </c>
      <c r="O2411" s="3">
        <v>549.16999999999996</v>
      </c>
      <c r="P2411" s="3">
        <v>0.11</v>
      </c>
      <c r="Q2411" s="3">
        <v>0</v>
      </c>
      <c r="R2411" s="3">
        <v>0</v>
      </c>
      <c r="S2411">
        <v>5</v>
      </c>
      <c r="T2411">
        <v>628.85</v>
      </c>
      <c r="U2411">
        <v>85</v>
      </c>
      <c r="V2411">
        <v>0</v>
      </c>
      <c r="W2411">
        <v>493.39</v>
      </c>
      <c r="X2411">
        <v>3065.21</v>
      </c>
      <c r="Y2411" t="s">
        <v>36</v>
      </c>
      <c r="Z2411" s="3">
        <v>1301.49</v>
      </c>
      <c r="AA2411" t="s">
        <v>32</v>
      </c>
      <c r="AB2411" t="s">
        <v>44</v>
      </c>
      <c r="AC2411">
        <v>92</v>
      </c>
      <c r="AD2411" t="s">
        <v>43</v>
      </c>
      <c r="AE2411">
        <v>616.22</v>
      </c>
      <c r="AF2411">
        <v>0</v>
      </c>
    </row>
    <row r="2412" spans="3:32" x14ac:dyDescent="0.35">
      <c r="C2412" s="1">
        <v>44906</v>
      </c>
      <c r="D2412" s="2">
        <v>44896</v>
      </c>
      <c r="E2412">
        <v>1925</v>
      </c>
      <c r="F2412" s="3">
        <v>4397.2</v>
      </c>
      <c r="G2412" s="3">
        <v>3052.77</v>
      </c>
      <c r="H2412" s="3">
        <v>1344.43</v>
      </c>
      <c r="I2412" s="3">
        <v>0.69</v>
      </c>
      <c r="J2412">
        <v>0.09</v>
      </c>
      <c r="K2412">
        <v>2611.9</v>
      </c>
      <c r="L2412" t="s">
        <v>30</v>
      </c>
      <c r="M2412">
        <v>649</v>
      </c>
      <c r="N2412">
        <v>0.23</v>
      </c>
      <c r="O2412" s="3">
        <v>378.74</v>
      </c>
      <c r="P2412" s="3">
        <v>0.09</v>
      </c>
      <c r="Q2412" s="3">
        <v>603.35</v>
      </c>
      <c r="R2412" s="3">
        <v>0.14000000000000001</v>
      </c>
      <c r="S2412">
        <v>9</v>
      </c>
      <c r="T2412">
        <v>1277.8699999999999</v>
      </c>
      <c r="U2412">
        <v>80</v>
      </c>
      <c r="V2412">
        <v>0</v>
      </c>
      <c r="W2412">
        <v>648.20000000000005</v>
      </c>
      <c r="X2412">
        <v>2494.39</v>
      </c>
      <c r="Y2412" t="s">
        <v>36</v>
      </c>
      <c r="Z2412" s="3">
        <v>1128.6300000000001</v>
      </c>
      <c r="AA2412" t="s">
        <v>45</v>
      </c>
      <c r="AB2412" t="s">
        <v>42</v>
      </c>
      <c r="AC2412">
        <v>12.1</v>
      </c>
      <c r="AD2412" t="s">
        <v>34</v>
      </c>
      <c r="AE2412">
        <v>1344.43</v>
      </c>
      <c r="AF2412">
        <v>0</v>
      </c>
    </row>
    <row r="2413" spans="3:32" x14ac:dyDescent="0.35">
      <c r="C2413" s="1">
        <v>44906</v>
      </c>
      <c r="D2413" s="2">
        <v>44896</v>
      </c>
      <c r="E2413">
        <v>1389</v>
      </c>
      <c r="F2413" s="3">
        <v>4529.38</v>
      </c>
      <c r="G2413" s="3">
        <v>4001.78</v>
      </c>
      <c r="H2413" s="3">
        <v>527.6</v>
      </c>
      <c r="I2413" s="3">
        <v>0.88</v>
      </c>
      <c r="J2413">
        <v>0.25</v>
      </c>
      <c r="K2413">
        <v>3568.74</v>
      </c>
      <c r="L2413" t="s">
        <v>39</v>
      </c>
      <c r="M2413">
        <v>657</v>
      </c>
      <c r="N2413">
        <v>0.44</v>
      </c>
      <c r="O2413" s="3">
        <v>491.76</v>
      </c>
      <c r="P2413" s="3">
        <v>0.11</v>
      </c>
      <c r="Q2413" s="3">
        <v>294.75</v>
      </c>
      <c r="R2413" s="3">
        <v>7.0000000000000007E-2</v>
      </c>
      <c r="S2413">
        <v>4</v>
      </c>
      <c r="T2413">
        <v>364.74</v>
      </c>
      <c r="U2413">
        <v>41</v>
      </c>
      <c r="V2413">
        <v>0</v>
      </c>
      <c r="W2413">
        <v>439.57</v>
      </c>
      <c r="X2413">
        <v>1458.89</v>
      </c>
      <c r="Y2413" t="s">
        <v>36</v>
      </c>
      <c r="Z2413" s="3">
        <v>1070.32</v>
      </c>
      <c r="AA2413" t="s">
        <v>41</v>
      </c>
      <c r="AB2413" t="s">
        <v>33</v>
      </c>
      <c r="AC2413">
        <v>42.7</v>
      </c>
      <c r="AD2413" t="s">
        <v>34</v>
      </c>
      <c r="AE2413">
        <v>527.6</v>
      </c>
      <c r="AF2413">
        <v>0</v>
      </c>
    </row>
    <row r="2414" spans="3:32" x14ac:dyDescent="0.35">
      <c r="C2414" s="1">
        <v>44906</v>
      </c>
      <c r="D2414" s="2">
        <v>44896</v>
      </c>
      <c r="E2414">
        <v>1258</v>
      </c>
      <c r="F2414" s="3">
        <v>5989.19</v>
      </c>
      <c r="G2414" s="3">
        <v>2687.49</v>
      </c>
      <c r="H2414" s="3">
        <v>3301.7</v>
      </c>
      <c r="I2414" s="3">
        <v>0.45</v>
      </c>
      <c r="J2414">
        <v>0.3</v>
      </c>
      <c r="K2414">
        <v>3194.39</v>
      </c>
      <c r="L2414" t="s">
        <v>35</v>
      </c>
      <c r="M2414">
        <v>611</v>
      </c>
      <c r="N2414">
        <v>0.12</v>
      </c>
      <c r="O2414" s="3">
        <v>223.1</v>
      </c>
      <c r="P2414" s="3">
        <v>0.04</v>
      </c>
      <c r="Q2414" s="3">
        <v>504.72</v>
      </c>
      <c r="R2414" s="3">
        <v>0.08</v>
      </c>
      <c r="S2414">
        <v>2</v>
      </c>
      <c r="T2414">
        <v>457.28</v>
      </c>
      <c r="U2414">
        <v>44</v>
      </c>
      <c r="V2414">
        <v>0</v>
      </c>
      <c r="W2414">
        <v>660.01</v>
      </c>
      <c r="X2414">
        <v>1630.53</v>
      </c>
      <c r="Y2414" t="s">
        <v>36</v>
      </c>
      <c r="Z2414" s="3">
        <v>717.67</v>
      </c>
      <c r="AA2414" t="s">
        <v>37</v>
      </c>
      <c r="AB2414" t="s">
        <v>33</v>
      </c>
      <c r="AC2414">
        <v>39.700000000000003</v>
      </c>
      <c r="AD2414" t="s">
        <v>43</v>
      </c>
      <c r="AE2414">
        <v>3301.7</v>
      </c>
      <c r="AF2414">
        <v>1</v>
      </c>
    </row>
    <row r="2415" spans="3:32" x14ac:dyDescent="0.35">
      <c r="C2415" s="1">
        <v>44906</v>
      </c>
      <c r="D2415" s="2">
        <v>44896</v>
      </c>
      <c r="E2415">
        <v>1851</v>
      </c>
      <c r="F2415" s="3">
        <v>2905.1</v>
      </c>
      <c r="G2415" s="3">
        <v>3345.67</v>
      </c>
      <c r="H2415" s="3">
        <v>-440.57</v>
      </c>
      <c r="I2415" s="3">
        <v>1.1499999999999999</v>
      </c>
      <c r="J2415">
        <v>0.36</v>
      </c>
      <c r="K2415">
        <v>2199.02</v>
      </c>
      <c r="L2415" t="s">
        <v>30</v>
      </c>
      <c r="M2415">
        <v>668</v>
      </c>
      <c r="N2415">
        <v>0.35</v>
      </c>
      <c r="O2415" s="3">
        <v>450.09</v>
      </c>
      <c r="P2415" s="3">
        <v>0.15</v>
      </c>
      <c r="Q2415" s="3">
        <v>446.8</v>
      </c>
      <c r="R2415" s="3">
        <v>0.15</v>
      </c>
      <c r="S2415">
        <v>3</v>
      </c>
      <c r="T2415">
        <v>1171.3900000000001</v>
      </c>
      <c r="U2415">
        <v>33</v>
      </c>
      <c r="V2415">
        <v>0</v>
      </c>
      <c r="W2415">
        <v>337.25</v>
      </c>
      <c r="X2415">
        <v>2633.49</v>
      </c>
      <c r="Y2415" t="s">
        <v>31</v>
      </c>
      <c r="Z2415" s="3">
        <v>1426.97</v>
      </c>
      <c r="AA2415" t="s">
        <v>41</v>
      </c>
      <c r="AB2415" t="s">
        <v>33</v>
      </c>
      <c r="AC2415">
        <v>78.5</v>
      </c>
      <c r="AD2415" t="s">
        <v>43</v>
      </c>
      <c r="AE2415">
        <v>0</v>
      </c>
      <c r="AF2415">
        <v>0</v>
      </c>
    </row>
    <row r="2416" spans="3:32" x14ac:dyDescent="0.35">
      <c r="C2416" s="1">
        <v>44906</v>
      </c>
      <c r="D2416" s="2">
        <v>44896</v>
      </c>
      <c r="E2416">
        <v>1395</v>
      </c>
      <c r="F2416" s="3">
        <v>3536.81</v>
      </c>
      <c r="G2416" s="3">
        <v>2556.6799999999998</v>
      </c>
      <c r="H2416" s="3">
        <v>980.13</v>
      </c>
      <c r="I2416" s="3">
        <v>0.72</v>
      </c>
      <c r="J2416">
        <v>0.26</v>
      </c>
      <c r="K2416">
        <v>2937.86</v>
      </c>
      <c r="L2416" t="s">
        <v>39</v>
      </c>
      <c r="M2416">
        <v>641</v>
      </c>
      <c r="N2416">
        <v>0.28999999999999998</v>
      </c>
      <c r="O2416" s="3">
        <v>845.54</v>
      </c>
      <c r="P2416" s="3">
        <v>0.24</v>
      </c>
      <c r="Q2416" s="3">
        <v>445.26</v>
      </c>
      <c r="R2416" s="3">
        <v>0.13</v>
      </c>
      <c r="S2416">
        <v>8</v>
      </c>
      <c r="T2416">
        <v>1745.01</v>
      </c>
      <c r="U2416">
        <v>68</v>
      </c>
      <c r="V2416">
        <v>0</v>
      </c>
      <c r="W2416">
        <v>304.83</v>
      </c>
      <c r="X2416">
        <v>1357.46</v>
      </c>
      <c r="Y2416" t="s">
        <v>36</v>
      </c>
      <c r="Z2416" s="3">
        <v>1473.56</v>
      </c>
      <c r="AA2416" t="s">
        <v>47</v>
      </c>
      <c r="AB2416" t="s">
        <v>33</v>
      </c>
      <c r="AC2416">
        <v>72.400000000000006</v>
      </c>
      <c r="AD2416" t="s">
        <v>34</v>
      </c>
      <c r="AE2416">
        <v>980.13</v>
      </c>
      <c r="AF2416">
        <v>0</v>
      </c>
    </row>
    <row r="2417" spans="3:32" x14ac:dyDescent="0.35">
      <c r="C2417" s="1">
        <v>44906</v>
      </c>
      <c r="D2417" s="2">
        <v>44896</v>
      </c>
      <c r="E2417">
        <v>1203</v>
      </c>
      <c r="F2417" s="3">
        <v>3502.85</v>
      </c>
      <c r="G2417" s="3">
        <v>3047.54</v>
      </c>
      <c r="H2417" s="3">
        <v>455.31</v>
      </c>
      <c r="I2417" s="3">
        <v>0.87</v>
      </c>
      <c r="J2417">
        <v>0.23</v>
      </c>
      <c r="K2417">
        <v>3270.76</v>
      </c>
      <c r="L2417" t="s">
        <v>30</v>
      </c>
      <c r="M2417">
        <v>638</v>
      </c>
      <c r="N2417">
        <v>0.56999999999999995</v>
      </c>
      <c r="O2417" s="3">
        <v>439.59</v>
      </c>
      <c r="P2417" s="3">
        <v>0.13</v>
      </c>
      <c r="Q2417" s="3">
        <v>538.46</v>
      </c>
      <c r="R2417" s="3">
        <v>0.15</v>
      </c>
      <c r="S2417">
        <v>3</v>
      </c>
      <c r="T2417">
        <v>254.01</v>
      </c>
      <c r="U2417">
        <v>85</v>
      </c>
      <c r="V2417">
        <v>1</v>
      </c>
      <c r="W2417">
        <v>406.01</v>
      </c>
      <c r="X2417">
        <v>1580.54</v>
      </c>
      <c r="Y2417" t="s">
        <v>36</v>
      </c>
      <c r="Z2417" s="3">
        <v>1111.26</v>
      </c>
      <c r="AA2417" t="s">
        <v>41</v>
      </c>
      <c r="AB2417" t="s">
        <v>33</v>
      </c>
      <c r="AC2417">
        <v>58.9</v>
      </c>
      <c r="AD2417" t="s">
        <v>34</v>
      </c>
      <c r="AE2417">
        <v>455.31</v>
      </c>
      <c r="AF2417">
        <v>0</v>
      </c>
    </row>
    <row r="2418" spans="3:32" x14ac:dyDescent="0.35">
      <c r="C2418" s="1">
        <v>44906</v>
      </c>
      <c r="D2418" s="2">
        <v>44896</v>
      </c>
      <c r="E2418">
        <v>1024</v>
      </c>
      <c r="F2418" s="3">
        <v>3469.67</v>
      </c>
      <c r="G2418" s="3">
        <v>3110.26</v>
      </c>
      <c r="H2418" s="3">
        <v>359.41</v>
      </c>
      <c r="I2418" s="3">
        <v>0.9</v>
      </c>
      <c r="J2418">
        <v>0.14000000000000001</v>
      </c>
      <c r="K2418">
        <v>2803.45</v>
      </c>
      <c r="L2418" t="s">
        <v>39</v>
      </c>
      <c r="M2418">
        <v>682</v>
      </c>
      <c r="N2418">
        <v>0.37</v>
      </c>
      <c r="O2418" s="3">
        <v>324.11</v>
      </c>
      <c r="P2418" s="3">
        <v>0.09</v>
      </c>
      <c r="Q2418" s="3">
        <v>411.23</v>
      </c>
      <c r="R2418" s="3">
        <v>0.12</v>
      </c>
      <c r="S2418">
        <v>4</v>
      </c>
      <c r="T2418">
        <v>1141.4000000000001</v>
      </c>
      <c r="U2418">
        <v>79</v>
      </c>
      <c r="V2418">
        <v>0</v>
      </c>
      <c r="W2418">
        <v>140.9</v>
      </c>
      <c r="X2418">
        <v>1609.63</v>
      </c>
      <c r="Y2418" t="s">
        <v>36</v>
      </c>
      <c r="Z2418" s="3">
        <v>311.42</v>
      </c>
      <c r="AA2418" t="s">
        <v>51</v>
      </c>
      <c r="AB2418" t="s">
        <v>33</v>
      </c>
      <c r="AC2418">
        <v>16.7</v>
      </c>
      <c r="AD2418" t="s">
        <v>38</v>
      </c>
      <c r="AE2418">
        <v>359.41</v>
      </c>
      <c r="AF2418">
        <v>0</v>
      </c>
    </row>
    <row r="2419" spans="3:32" x14ac:dyDescent="0.35">
      <c r="C2419" s="1">
        <v>44906</v>
      </c>
      <c r="D2419" s="2">
        <v>44896</v>
      </c>
      <c r="E2419">
        <v>1044</v>
      </c>
      <c r="F2419" s="3">
        <v>2851.45</v>
      </c>
      <c r="G2419" s="3">
        <v>1496.69</v>
      </c>
      <c r="H2419" s="3">
        <v>1354.76</v>
      </c>
      <c r="I2419" s="3">
        <v>0.52</v>
      </c>
      <c r="J2419">
        <v>0.08</v>
      </c>
      <c r="K2419">
        <v>3386.92</v>
      </c>
      <c r="L2419" t="s">
        <v>35</v>
      </c>
      <c r="M2419">
        <v>645</v>
      </c>
      <c r="N2419">
        <v>0.41</v>
      </c>
      <c r="O2419" s="3">
        <v>770.34</v>
      </c>
      <c r="P2419" s="3">
        <v>0.27</v>
      </c>
      <c r="Q2419" s="3">
        <v>727.74</v>
      </c>
      <c r="R2419" s="3">
        <v>0.26</v>
      </c>
      <c r="S2419">
        <v>6</v>
      </c>
      <c r="T2419">
        <v>924.65</v>
      </c>
      <c r="U2419">
        <v>28</v>
      </c>
      <c r="V2419">
        <v>1</v>
      </c>
      <c r="W2419">
        <v>550</v>
      </c>
      <c r="X2419">
        <v>1246.02</v>
      </c>
      <c r="Y2419" t="s">
        <v>36</v>
      </c>
      <c r="Z2419" s="3">
        <v>1138.71</v>
      </c>
      <c r="AA2419" t="s">
        <v>47</v>
      </c>
      <c r="AB2419" t="s">
        <v>33</v>
      </c>
      <c r="AC2419">
        <v>23.2</v>
      </c>
      <c r="AD2419" t="s">
        <v>43</v>
      </c>
      <c r="AE2419">
        <v>1354.76</v>
      </c>
      <c r="AF2419">
        <v>0</v>
      </c>
    </row>
    <row r="2420" spans="3:32" x14ac:dyDescent="0.35">
      <c r="C2420" s="1">
        <v>44906</v>
      </c>
      <c r="D2420" s="2">
        <v>44896</v>
      </c>
      <c r="E2420">
        <v>1664</v>
      </c>
      <c r="F2420" s="3">
        <v>4826.8</v>
      </c>
      <c r="G2420" s="3">
        <v>3189.31</v>
      </c>
      <c r="H2420" s="3">
        <v>1637.49</v>
      </c>
      <c r="I2420" s="3">
        <v>0.66</v>
      </c>
      <c r="J2420">
        <v>0.27</v>
      </c>
      <c r="K2420">
        <v>2901.75</v>
      </c>
      <c r="L2420" t="s">
        <v>35</v>
      </c>
      <c r="M2420">
        <v>656</v>
      </c>
      <c r="N2420">
        <v>0.5</v>
      </c>
      <c r="O2420" s="3">
        <v>458.44</v>
      </c>
      <c r="P2420" s="3">
        <v>0.09</v>
      </c>
      <c r="Q2420" s="3">
        <v>419.12</v>
      </c>
      <c r="R2420" s="3">
        <v>0.09</v>
      </c>
      <c r="S2420">
        <v>6</v>
      </c>
      <c r="T2420">
        <v>1357.43</v>
      </c>
      <c r="U2420">
        <v>50</v>
      </c>
      <c r="V2420">
        <v>0</v>
      </c>
      <c r="W2420">
        <v>289.16000000000003</v>
      </c>
      <c r="X2420">
        <v>3618.23</v>
      </c>
      <c r="Y2420" t="s">
        <v>36</v>
      </c>
      <c r="Z2420" s="3">
        <v>1980.84</v>
      </c>
      <c r="AA2420" t="s">
        <v>37</v>
      </c>
      <c r="AB2420" t="s">
        <v>33</v>
      </c>
      <c r="AC2420">
        <v>23.1</v>
      </c>
      <c r="AD2420" t="s">
        <v>38</v>
      </c>
      <c r="AE2420">
        <v>1637.49</v>
      </c>
      <c r="AF2420">
        <v>0</v>
      </c>
    </row>
    <row r="2421" spans="3:32" x14ac:dyDescent="0.35">
      <c r="C2421" s="1">
        <v>44906</v>
      </c>
      <c r="D2421" s="2">
        <v>44896</v>
      </c>
      <c r="E2421">
        <v>1511</v>
      </c>
      <c r="F2421" s="3">
        <v>5058.46</v>
      </c>
      <c r="G2421" s="3">
        <v>3863.76</v>
      </c>
      <c r="H2421" s="3">
        <v>1194.7</v>
      </c>
      <c r="I2421" s="3">
        <v>0.76</v>
      </c>
      <c r="J2421">
        <v>0.25</v>
      </c>
      <c r="K2421">
        <v>2981.48</v>
      </c>
      <c r="L2421" t="s">
        <v>35</v>
      </c>
      <c r="M2421">
        <v>546</v>
      </c>
      <c r="N2421">
        <v>0.2</v>
      </c>
      <c r="O2421" s="3">
        <v>423.16</v>
      </c>
      <c r="P2421" s="3">
        <v>0.08</v>
      </c>
      <c r="Q2421" s="3">
        <v>726.31</v>
      </c>
      <c r="R2421" s="3">
        <v>0.14000000000000001</v>
      </c>
      <c r="S2421">
        <v>7</v>
      </c>
      <c r="T2421">
        <v>1255.74</v>
      </c>
      <c r="U2421">
        <v>85</v>
      </c>
      <c r="V2421">
        <v>0</v>
      </c>
      <c r="W2421">
        <v>556.03</v>
      </c>
      <c r="X2421">
        <v>1753.13</v>
      </c>
      <c r="Y2421" t="s">
        <v>36</v>
      </c>
      <c r="Z2421" s="3">
        <v>1341.4</v>
      </c>
      <c r="AA2421" t="s">
        <v>41</v>
      </c>
      <c r="AB2421" t="s">
        <v>44</v>
      </c>
      <c r="AC2421">
        <v>67.2</v>
      </c>
      <c r="AD2421" t="s">
        <v>34</v>
      </c>
      <c r="AE2421">
        <v>1194.7</v>
      </c>
      <c r="AF2421">
        <v>0</v>
      </c>
    </row>
    <row r="2422" spans="3:32" x14ac:dyDescent="0.35">
      <c r="C2422" s="1">
        <v>44906</v>
      </c>
      <c r="D2422" s="2">
        <v>44896</v>
      </c>
      <c r="E2422">
        <v>1957</v>
      </c>
      <c r="F2422" s="3">
        <v>4650.45</v>
      </c>
      <c r="G2422" s="3">
        <v>1850.84</v>
      </c>
      <c r="H2422" s="3">
        <v>2799.61</v>
      </c>
      <c r="I2422" s="3">
        <v>0.4</v>
      </c>
      <c r="J2422">
        <v>0.19</v>
      </c>
      <c r="K2422">
        <v>2768.65</v>
      </c>
      <c r="L2422" t="s">
        <v>35</v>
      </c>
      <c r="M2422">
        <v>643</v>
      </c>
      <c r="N2422">
        <v>0.4</v>
      </c>
      <c r="O2422" s="3">
        <v>399.72</v>
      </c>
      <c r="P2422" s="3">
        <v>0.09</v>
      </c>
      <c r="Q2422" s="3">
        <v>81.37</v>
      </c>
      <c r="R2422" s="3">
        <v>0.02</v>
      </c>
      <c r="S2422">
        <v>7</v>
      </c>
      <c r="T2422">
        <v>1013.23</v>
      </c>
      <c r="U2422">
        <v>30</v>
      </c>
      <c r="V2422">
        <v>0</v>
      </c>
      <c r="W2422">
        <v>566.25</v>
      </c>
      <c r="X2422">
        <v>1960.48</v>
      </c>
      <c r="Y2422" t="s">
        <v>36</v>
      </c>
      <c r="Z2422" s="3">
        <v>2026.44</v>
      </c>
      <c r="AA2422" t="s">
        <v>46</v>
      </c>
      <c r="AB2422" t="s">
        <v>42</v>
      </c>
      <c r="AC2422">
        <v>30.9</v>
      </c>
      <c r="AD2422" t="s">
        <v>34</v>
      </c>
      <c r="AE2422">
        <v>2799.61</v>
      </c>
      <c r="AF2422">
        <v>1</v>
      </c>
    </row>
    <row r="2423" spans="3:32" x14ac:dyDescent="0.35">
      <c r="C2423" s="1">
        <v>44906</v>
      </c>
      <c r="D2423" s="2">
        <v>44896</v>
      </c>
      <c r="E2423">
        <v>1116</v>
      </c>
      <c r="F2423" s="3">
        <v>3308.49</v>
      </c>
      <c r="G2423" s="3">
        <v>3599.39</v>
      </c>
      <c r="H2423" s="3">
        <v>-290.89999999999998</v>
      </c>
      <c r="I2423" s="3">
        <v>1.0900000000000001</v>
      </c>
      <c r="J2423">
        <v>0.32</v>
      </c>
      <c r="K2423">
        <v>2512.59</v>
      </c>
      <c r="L2423" t="s">
        <v>35</v>
      </c>
      <c r="M2423">
        <v>726</v>
      </c>
      <c r="N2423">
        <v>0.51</v>
      </c>
      <c r="O2423" s="3">
        <v>599.51</v>
      </c>
      <c r="P2423" s="3">
        <v>0.18</v>
      </c>
      <c r="Q2423" s="3">
        <v>268.22000000000003</v>
      </c>
      <c r="R2423" s="3">
        <v>0.08</v>
      </c>
      <c r="S2423">
        <v>7</v>
      </c>
      <c r="T2423">
        <v>1550.77</v>
      </c>
      <c r="U2423">
        <v>69</v>
      </c>
      <c r="V2423">
        <v>0</v>
      </c>
      <c r="W2423">
        <v>600.84</v>
      </c>
      <c r="X2423">
        <v>1857.74</v>
      </c>
      <c r="Y2423" t="s">
        <v>31</v>
      </c>
      <c r="Z2423" s="3">
        <v>800.99</v>
      </c>
      <c r="AA2423" t="s">
        <v>50</v>
      </c>
      <c r="AB2423" t="s">
        <v>33</v>
      </c>
      <c r="AC2423">
        <v>90.1</v>
      </c>
      <c r="AD2423" t="s">
        <v>34</v>
      </c>
      <c r="AE2423">
        <v>0</v>
      </c>
      <c r="AF2423">
        <v>0</v>
      </c>
    </row>
    <row r="2424" spans="3:32" x14ac:dyDescent="0.35">
      <c r="C2424" s="1">
        <v>44906</v>
      </c>
      <c r="D2424" s="2">
        <v>44896</v>
      </c>
      <c r="E2424">
        <v>1378</v>
      </c>
      <c r="F2424" s="3">
        <v>5215.62</v>
      </c>
      <c r="G2424" s="3">
        <v>3384.18</v>
      </c>
      <c r="H2424" s="3">
        <v>1831.44</v>
      </c>
      <c r="I2424" s="3">
        <v>0.65</v>
      </c>
      <c r="J2424">
        <v>0.05</v>
      </c>
      <c r="K2424">
        <v>2655.32</v>
      </c>
      <c r="L2424" t="s">
        <v>35</v>
      </c>
      <c r="M2424">
        <v>592</v>
      </c>
      <c r="N2424">
        <v>0.21</v>
      </c>
      <c r="O2424" s="3">
        <v>411.32</v>
      </c>
      <c r="P2424" s="3">
        <v>0.08</v>
      </c>
      <c r="Q2424" s="3">
        <v>517.67999999999995</v>
      </c>
      <c r="R2424" s="3">
        <v>0.1</v>
      </c>
      <c r="S2424">
        <v>9</v>
      </c>
      <c r="T2424">
        <v>1486.85</v>
      </c>
      <c r="U2424">
        <v>38</v>
      </c>
      <c r="V2424">
        <v>0</v>
      </c>
      <c r="W2424">
        <v>357.73</v>
      </c>
      <c r="X2424">
        <v>2086.98</v>
      </c>
      <c r="Y2424" t="s">
        <v>36</v>
      </c>
      <c r="Z2424" s="3">
        <v>1733.29</v>
      </c>
      <c r="AA2424" t="s">
        <v>32</v>
      </c>
      <c r="AB2424" t="s">
        <v>33</v>
      </c>
      <c r="AC2424">
        <v>91.1</v>
      </c>
      <c r="AD2424" t="s">
        <v>34</v>
      </c>
      <c r="AE2424">
        <v>1831.44</v>
      </c>
      <c r="AF2424">
        <v>0</v>
      </c>
    </row>
    <row r="2425" spans="3:32" x14ac:dyDescent="0.35">
      <c r="C2425" s="1">
        <v>44906</v>
      </c>
      <c r="D2425" s="2">
        <v>44896</v>
      </c>
      <c r="E2425">
        <v>1446</v>
      </c>
      <c r="F2425" s="3">
        <v>4815.01</v>
      </c>
      <c r="G2425" s="3">
        <v>1977.16</v>
      </c>
      <c r="H2425" s="3">
        <v>2837.85</v>
      </c>
      <c r="I2425" s="3">
        <v>0.41</v>
      </c>
      <c r="J2425">
        <v>0.28999999999999998</v>
      </c>
      <c r="K2425">
        <v>2452.9899999999998</v>
      </c>
      <c r="L2425" t="s">
        <v>35</v>
      </c>
      <c r="M2425">
        <v>662</v>
      </c>
      <c r="N2425">
        <v>0.59</v>
      </c>
      <c r="O2425" s="3">
        <v>521.33000000000004</v>
      </c>
      <c r="P2425" s="3">
        <v>0.11</v>
      </c>
      <c r="Q2425" s="3">
        <v>256.37</v>
      </c>
      <c r="R2425" s="3">
        <v>0.05</v>
      </c>
      <c r="S2425">
        <v>1</v>
      </c>
      <c r="T2425">
        <v>1340.96</v>
      </c>
      <c r="U2425">
        <v>75</v>
      </c>
      <c r="V2425">
        <v>0</v>
      </c>
      <c r="W2425">
        <v>594.44000000000005</v>
      </c>
      <c r="X2425">
        <v>3402.08</v>
      </c>
      <c r="Y2425" t="s">
        <v>36</v>
      </c>
      <c r="Z2425" s="3">
        <v>1883.07</v>
      </c>
      <c r="AA2425" t="s">
        <v>46</v>
      </c>
      <c r="AB2425" t="s">
        <v>33</v>
      </c>
      <c r="AC2425">
        <v>81.8</v>
      </c>
      <c r="AD2425" t="s">
        <v>43</v>
      </c>
      <c r="AE2425">
        <v>2837.85</v>
      </c>
      <c r="AF2425">
        <v>1</v>
      </c>
    </row>
    <row r="2426" spans="3:32" x14ac:dyDescent="0.35">
      <c r="C2426" s="1">
        <v>44906</v>
      </c>
      <c r="D2426" s="2">
        <v>44896</v>
      </c>
      <c r="E2426">
        <v>1912</v>
      </c>
      <c r="F2426" s="3">
        <v>3316.71</v>
      </c>
      <c r="G2426" s="3">
        <v>3070.05</v>
      </c>
      <c r="H2426" s="3">
        <v>246.66</v>
      </c>
      <c r="I2426" s="3">
        <v>0.93</v>
      </c>
      <c r="J2426">
        <v>0.34</v>
      </c>
      <c r="K2426">
        <v>3329.33</v>
      </c>
      <c r="L2426" t="s">
        <v>39</v>
      </c>
      <c r="M2426">
        <v>631</v>
      </c>
      <c r="N2426">
        <v>0.56999999999999995</v>
      </c>
      <c r="O2426" s="3">
        <v>712.89</v>
      </c>
      <c r="P2426" s="3">
        <v>0.21</v>
      </c>
      <c r="Q2426" s="3">
        <v>631.70000000000005</v>
      </c>
      <c r="R2426" s="3">
        <v>0.19</v>
      </c>
      <c r="S2426">
        <v>4</v>
      </c>
      <c r="T2426">
        <v>1392.2</v>
      </c>
      <c r="U2426">
        <v>69</v>
      </c>
      <c r="V2426">
        <v>0</v>
      </c>
      <c r="W2426">
        <v>444.09</v>
      </c>
      <c r="X2426">
        <v>2139.5300000000002</v>
      </c>
      <c r="Y2426" t="s">
        <v>36</v>
      </c>
      <c r="Z2426" s="3">
        <v>1282.22</v>
      </c>
      <c r="AA2426" t="s">
        <v>40</v>
      </c>
      <c r="AB2426" t="s">
        <v>42</v>
      </c>
      <c r="AC2426">
        <v>41.3</v>
      </c>
      <c r="AD2426" t="s">
        <v>34</v>
      </c>
      <c r="AE2426">
        <v>246.66</v>
      </c>
      <c r="AF2426">
        <v>0</v>
      </c>
    </row>
    <row r="2427" spans="3:32" x14ac:dyDescent="0.35">
      <c r="C2427" s="1">
        <v>44906</v>
      </c>
      <c r="D2427" s="2">
        <v>44896</v>
      </c>
      <c r="E2427">
        <v>1227</v>
      </c>
      <c r="F2427" s="3">
        <v>3996.62</v>
      </c>
      <c r="G2427" s="3">
        <v>3481.53</v>
      </c>
      <c r="H2427" s="3">
        <v>515.09</v>
      </c>
      <c r="I2427" s="3">
        <v>0.87</v>
      </c>
      <c r="J2427">
        <v>0.25</v>
      </c>
      <c r="K2427">
        <v>3488.47</v>
      </c>
      <c r="L2427" t="s">
        <v>35</v>
      </c>
      <c r="M2427">
        <v>702</v>
      </c>
      <c r="N2427">
        <v>0.16</v>
      </c>
      <c r="O2427" s="3">
        <v>601.1</v>
      </c>
      <c r="P2427" s="3">
        <v>0.15</v>
      </c>
      <c r="Q2427" s="3">
        <v>370.59</v>
      </c>
      <c r="R2427" s="3">
        <v>0.09</v>
      </c>
      <c r="S2427">
        <v>9</v>
      </c>
      <c r="T2427">
        <v>726.06</v>
      </c>
      <c r="U2427">
        <v>58</v>
      </c>
      <c r="V2427">
        <v>0</v>
      </c>
      <c r="W2427">
        <v>293.25</v>
      </c>
      <c r="X2427">
        <v>2072.35</v>
      </c>
      <c r="Y2427" t="s">
        <v>49</v>
      </c>
      <c r="Z2427" s="3">
        <v>1201.78</v>
      </c>
      <c r="AA2427" t="s">
        <v>48</v>
      </c>
      <c r="AB2427" t="s">
        <v>33</v>
      </c>
      <c r="AC2427">
        <v>53.1</v>
      </c>
      <c r="AD2427" t="s">
        <v>34</v>
      </c>
      <c r="AE2427">
        <v>515.09</v>
      </c>
      <c r="AF2427">
        <v>0</v>
      </c>
    </row>
    <row r="2428" spans="3:32" x14ac:dyDescent="0.35">
      <c r="C2428" s="1">
        <v>44906</v>
      </c>
      <c r="D2428" s="2">
        <v>44896</v>
      </c>
      <c r="E2428">
        <v>1454</v>
      </c>
      <c r="F2428" s="3">
        <v>5597.8</v>
      </c>
      <c r="G2428" s="3">
        <v>3625.7</v>
      </c>
      <c r="H2428" s="3">
        <v>1972.1</v>
      </c>
      <c r="I2428" s="3">
        <v>0.65</v>
      </c>
      <c r="J2428">
        <v>0.15</v>
      </c>
      <c r="K2428">
        <v>2834.22</v>
      </c>
      <c r="L2428" t="s">
        <v>35</v>
      </c>
      <c r="M2428">
        <v>725</v>
      </c>
      <c r="N2428">
        <v>0.41</v>
      </c>
      <c r="O2428" s="3">
        <v>400.79</v>
      </c>
      <c r="P2428" s="3">
        <v>7.0000000000000007E-2</v>
      </c>
      <c r="Q2428" s="3">
        <v>282.10000000000002</v>
      </c>
      <c r="R2428" s="3">
        <v>0.05</v>
      </c>
      <c r="S2428">
        <v>5</v>
      </c>
      <c r="T2428">
        <v>915.93</v>
      </c>
      <c r="U2428">
        <v>72</v>
      </c>
      <c r="V2428">
        <v>0</v>
      </c>
      <c r="W2428">
        <v>636.49</v>
      </c>
      <c r="X2428">
        <v>2955.68</v>
      </c>
      <c r="Y2428" t="s">
        <v>36</v>
      </c>
      <c r="Z2428" s="3">
        <v>1378.87</v>
      </c>
      <c r="AA2428" t="s">
        <v>37</v>
      </c>
      <c r="AB2428" t="s">
        <v>42</v>
      </c>
      <c r="AC2428">
        <v>84.2</v>
      </c>
      <c r="AD2428" t="s">
        <v>34</v>
      </c>
      <c r="AE2428">
        <v>1972.1</v>
      </c>
      <c r="AF2428">
        <v>0</v>
      </c>
    </row>
    <row r="2429" spans="3:32" x14ac:dyDescent="0.35">
      <c r="C2429" s="1">
        <v>44906</v>
      </c>
      <c r="D2429" s="2">
        <v>44896</v>
      </c>
      <c r="E2429">
        <v>1770</v>
      </c>
      <c r="F2429" s="3">
        <v>3817</v>
      </c>
      <c r="G2429" s="3">
        <v>2548.79</v>
      </c>
      <c r="H2429" s="3">
        <v>1268.21</v>
      </c>
      <c r="I2429" s="3">
        <v>0.67</v>
      </c>
      <c r="J2429">
        <v>0.3</v>
      </c>
      <c r="K2429">
        <v>3031.17</v>
      </c>
      <c r="L2429" t="s">
        <v>35</v>
      </c>
      <c r="M2429">
        <v>633</v>
      </c>
      <c r="N2429">
        <v>0.48</v>
      </c>
      <c r="O2429" s="3">
        <v>595.15</v>
      </c>
      <c r="P2429" s="3">
        <v>0.16</v>
      </c>
      <c r="Q2429" s="3">
        <v>479.36</v>
      </c>
      <c r="R2429" s="3">
        <v>0.13</v>
      </c>
      <c r="S2429">
        <v>6</v>
      </c>
      <c r="T2429">
        <v>740.18</v>
      </c>
      <c r="U2429">
        <v>76</v>
      </c>
      <c r="V2429">
        <v>0</v>
      </c>
      <c r="W2429">
        <v>420.69</v>
      </c>
      <c r="X2429">
        <v>2180.73</v>
      </c>
      <c r="Y2429" t="s">
        <v>36</v>
      </c>
      <c r="Z2429" s="3">
        <v>1504.34</v>
      </c>
      <c r="AA2429" t="s">
        <v>32</v>
      </c>
      <c r="AB2429" t="s">
        <v>33</v>
      </c>
      <c r="AC2429">
        <v>76.900000000000006</v>
      </c>
      <c r="AD2429" t="s">
        <v>34</v>
      </c>
      <c r="AE2429">
        <v>1268.21</v>
      </c>
      <c r="AF2429">
        <v>0</v>
      </c>
    </row>
    <row r="2430" spans="3:32" x14ac:dyDescent="0.35">
      <c r="C2430" s="1">
        <v>44906</v>
      </c>
      <c r="D2430" s="2">
        <v>44896</v>
      </c>
      <c r="E2430">
        <v>1955</v>
      </c>
      <c r="F2430" s="3">
        <v>3965.61</v>
      </c>
      <c r="G2430" s="3">
        <v>3553.64</v>
      </c>
      <c r="H2430" s="3">
        <v>411.97</v>
      </c>
      <c r="I2430" s="3">
        <v>0.9</v>
      </c>
      <c r="J2430">
        <v>0.24</v>
      </c>
      <c r="K2430">
        <v>1842.76</v>
      </c>
      <c r="L2430" t="s">
        <v>35</v>
      </c>
      <c r="M2430">
        <v>712</v>
      </c>
      <c r="N2430">
        <v>0.48</v>
      </c>
      <c r="O2430" s="3">
        <v>776.36</v>
      </c>
      <c r="P2430" s="3">
        <v>0.2</v>
      </c>
      <c r="Q2430" s="3">
        <v>348.41</v>
      </c>
      <c r="R2430" s="3">
        <v>0.09</v>
      </c>
      <c r="S2430">
        <v>1</v>
      </c>
      <c r="T2430">
        <v>1315.35</v>
      </c>
      <c r="U2430">
        <v>93</v>
      </c>
      <c r="V2430">
        <v>0</v>
      </c>
      <c r="W2430">
        <v>257.14</v>
      </c>
      <c r="X2430">
        <v>1768.1</v>
      </c>
      <c r="Y2430" t="s">
        <v>36</v>
      </c>
      <c r="Z2430" s="3">
        <v>801.22</v>
      </c>
      <c r="AA2430" t="s">
        <v>50</v>
      </c>
      <c r="AB2430" t="s">
        <v>44</v>
      </c>
      <c r="AC2430">
        <v>99.7</v>
      </c>
      <c r="AD2430" t="s">
        <v>43</v>
      </c>
      <c r="AE2430">
        <v>411.97</v>
      </c>
      <c r="AF2430">
        <v>0</v>
      </c>
    </row>
    <row r="2431" spans="3:32" x14ac:dyDescent="0.35">
      <c r="C2431" s="1">
        <v>44906</v>
      </c>
      <c r="D2431" s="2">
        <v>44896</v>
      </c>
      <c r="E2431">
        <v>1959</v>
      </c>
      <c r="F2431" s="3">
        <v>4272.22</v>
      </c>
      <c r="G2431" s="3">
        <v>3129.66</v>
      </c>
      <c r="H2431" s="3">
        <v>1142.56</v>
      </c>
      <c r="I2431" s="3">
        <v>0.73</v>
      </c>
      <c r="J2431">
        <v>0.09</v>
      </c>
      <c r="K2431">
        <v>2256.9899999999998</v>
      </c>
      <c r="L2431" t="s">
        <v>39</v>
      </c>
      <c r="M2431">
        <v>675</v>
      </c>
      <c r="N2431">
        <v>0.52</v>
      </c>
      <c r="O2431" s="3">
        <v>600.79</v>
      </c>
      <c r="P2431" s="3">
        <v>0.14000000000000001</v>
      </c>
      <c r="Q2431" s="3">
        <v>297.99</v>
      </c>
      <c r="R2431" s="3">
        <v>7.0000000000000007E-2</v>
      </c>
      <c r="S2431">
        <v>7</v>
      </c>
      <c r="T2431">
        <v>588.72</v>
      </c>
      <c r="U2431">
        <v>71</v>
      </c>
      <c r="V2431">
        <v>0</v>
      </c>
      <c r="W2431">
        <v>392.68</v>
      </c>
      <c r="X2431">
        <v>1334.51</v>
      </c>
      <c r="Y2431" t="s">
        <v>36</v>
      </c>
      <c r="Z2431" s="3">
        <v>1050.93</v>
      </c>
      <c r="AA2431" t="s">
        <v>51</v>
      </c>
      <c r="AB2431" t="s">
        <v>33</v>
      </c>
      <c r="AC2431">
        <v>86.9</v>
      </c>
      <c r="AD2431" t="s">
        <v>38</v>
      </c>
      <c r="AE2431">
        <v>1142.56</v>
      </c>
      <c r="AF2431">
        <v>0</v>
      </c>
    </row>
    <row r="2432" spans="3:32" x14ac:dyDescent="0.35">
      <c r="C2432" s="1">
        <v>44906</v>
      </c>
      <c r="D2432" s="2">
        <v>44896</v>
      </c>
      <c r="E2432">
        <v>1877</v>
      </c>
      <c r="F2432" s="3">
        <v>4203.83</v>
      </c>
      <c r="G2432" s="3">
        <v>5119.4799999999996</v>
      </c>
      <c r="H2432" s="3">
        <v>-915.65</v>
      </c>
      <c r="I2432" s="3">
        <v>1.22</v>
      </c>
      <c r="J2432">
        <v>0.34</v>
      </c>
      <c r="K2432">
        <v>3269.85</v>
      </c>
      <c r="L2432" t="s">
        <v>39</v>
      </c>
      <c r="M2432">
        <v>753</v>
      </c>
      <c r="N2432">
        <v>0.56000000000000005</v>
      </c>
      <c r="O2432" s="3">
        <v>434.34</v>
      </c>
      <c r="P2432" s="3">
        <v>0.1</v>
      </c>
      <c r="Q2432" s="3">
        <v>50.09</v>
      </c>
      <c r="R2432" s="3">
        <v>0.01</v>
      </c>
      <c r="S2432">
        <v>3</v>
      </c>
      <c r="T2432">
        <v>467.21</v>
      </c>
      <c r="U2432">
        <v>92</v>
      </c>
      <c r="V2432">
        <v>0</v>
      </c>
      <c r="W2432">
        <v>727.21</v>
      </c>
      <c r="X2432">
        <v>2484.92</v>
      </c>
      <c r="Y2432" t="s">
        <v>36</v>
      </c>
      <c r="Z2432" s="3">
        <v>1721.19</v>
      </c>
      <c r="AA2432" t="s">
        <v>45</v>
      </c>
      <c r="AB2432" t="s">
        <v>33</v>
      </c>
      <c r="AC2432">
        <v>47.9</v>
      </c>
      <c r="AD2432" t="s">
        <v>38</v>
      </c>
      <c r="AE2432">
        <v>0</v>
      </c>
      <c r="AF2432">
        <v>0</v>
      </c>
    </row>
    <row r="2433" spans="3:32" x14ac:dyDescent="0.35">
      <c r="C2433" s="1">
        <v>44906</v>
      </c>
      <c r="D2433" s="2">
        <v>44896</v>
      </c>
      <c r="E2433">
        <v>1638</v>
      </c>
      <c r="F2433" s="3">
        <v>2893.05</v>
      </c>
      <c r="G2433" s="3">
        <v>3359.5</v>
      </c>
      <c r="H2433" s="3">
        <v>-466.45</v>
      </c>
      <c r="I2433" s="3">
        <v>1.1599999999999999</v>
      </c>
      <c r="J2433">
        <v>0.37</v>
      </c>
      <c r="K2433">
        <v>2817.27</v>
      </c>
      <c r="L2433" t="s">
        <v>35</v>
      </c>
      <c r="M2433">
        <v>630</v>
      </c>
      <c r="N2433">
        <v>0.44</v>
      </c>
      <c r="O2433" s="3">
        <v>419.05</v>
      </c>
      <c r="P2433" s="3">
        <v>0.14000000000000001</v>
      </c>
      <c r="Q2433" s="3">
        <v>248.32</v>
      </c>
      <c r="R2433" s="3">
        <v>0.09</v>
      </c>
      <c r="S2433">
        <v>2</v>
      </c>
      <c r="T2433">
        <v>1374.7</v>
      </c>
      <c r="U2433">
        <v>98</v>
      </c>
      <c r="V2433">
        <v>0</v>
      </c>
      <c r="W2433">
        <v>554.53</v>
      </c>
      <c r="X2433">
        <v>1978.6</v>
      </c>
      <c r="Y2433" t="s">
        <v>36</v>
      </c>
      <c r="Z2433" s="3">
        <v>1698.36</v>
      </c>
      <c r="AA2433" t="s">
        <v>45</v>
      </c>
      <c r="AB2433" t="s">
        <v>44</v>
      </c>
      <c r="AC2433">
        <v>93.5</v>
      </c>
      <c r="AD2433" t="s">
        <v>38</v>
      </c>
      <c r="AE2433">
        <v>0</v>
      </c>
      <c r="AF2433">
        <v>0</v>
      </c>
    </row>
    <row r="2434" spans="3:32" x14ac:dyDescent="0.35">
      <c r="C2434" s="1">
        <v>44906</v>
      </c>
      <c r="D2434" s="2">
        <v>44896</v>
      </c>
      <c r="E2434">
        <v>1473</v>
      </c>
      <c r="F2434" s="3">
        <v>4802.07</v>
      </c>
      <c r="G2434" s="3">
        <v>2515.4699999999998</v>
      </c>
      <c r="H2434" s="3">
        <v>2286.6</v>
      </c>
      <c r="I2434" s="3">
        <v>0.52</v>
      </c>
      <c r="J2434">
        <v>0.39</v>
      </c>
      <c r="K2434">
        <v>2934.91</v>
      </c>
      <c r="L2434" t="s">
        <v>35</v>
      </c>
      <c r="M2434">
        <v>658</v>
      </c>
      <c r="N2434">
        <v>0.45</v>
      </c>
      <c r="O2434" s="3">
        <v>381.82</v>
      </c>
      <c r="P2434" s="3">
        <v>0.08</v>
      </c>
      <c r="Q2434" s="3">
        <v>483.27</v>
      </c>
      <c r="R2434" s="3">
        <v>0.1</v>
      </c>
      <c r="S2434">
        <v>9</v>
      </c>
      <c r="T2434">
        <v>1364.88</v>
      </c>
      <c r="U2434">
        <v>50</v>
      </c>
      <c r="V2434">
        <v>0</v>
      </c>
      <c r="W2434">
        <v>797.62</v>
      </c>
      <c r="X2434">
        <v>2228.62</v>
      </c>
      <c r="Y2434" t="s">
        <v>36</v>
      </c>
      <c r="Z2434" s="3">
        <v>2006.15</v>
      </c>
      <c r="AA2434" t="s">
        <v>47</v>
      </c>
      <c r="AB2434" t="s">
        <v>33</v>
      </c>
      <c r="AC2434">
        <v>38.9</v>
      </c>
      <c r="AD2434" t="s">
        <v>34</v>
      </c>
      <c r="AE2434">
        <v>2286.6</v>
      </c>
      <c r="AF2434">
        <v>0</v>
      </c>
    </row>
    <row r="2435" spans="3:32" x14ac:dyDescent="0.35">
      <c r="C2435" s="1">
        <v>44906</v>
      </c>
      <c r="D2435" s="2">
        <v>44896</v>
      </c>
      <c r="E2435">
        <v>1658</v>
      </c>
      <c r="F2435" s="3">
        <v>3920.2</v>
      </c>
      <c r="G2435" s="3">
        <v>3895.1</v>
      </c>
      <c r="H2435" s="3">
        <v>25.1</v>
      </c>
      <c r="I2435" s="3">
        <v>0.99</v>
      </c>
      <c r="J2435">
        <v>0.32</v>
      </c>
      <c r="K2435">
        <v>2050.64</v>
      </c>
      <c r="L2435" t="s">
        <v>35</v>
      </c>
      <c r="M2435">
        <v>643</v>
      </c>
      <c r="N2435">
        <v>0.1</v>
      </c>
      <c r="O2435" s="3">
        <v>396.79</v>
      </c>
      <c r="P2435" s="3">
        <v>0.1</v>
      </c>
      <c r="Q2435" s="3">
        <v>268.89</v>
      </c>
      <c r="R2435" s="3">
        <v>7.0000000000000007E-2</v>
      </c>
      <c r="S2435">
        <v>9</v>
      </c>
      <c r="T2435">
        <v>562.28</v>
      </c>
      <c r="U2435">
        <v>44</v>
      </c>
      <c r="V2435">
        <v>0</v>
      </c>
      <c r="W2435">
        <v>453.98</v>
      </c>
      <c r="X2435">
        <v>2066.7600000000002</v>
      </c>
      <c r="Y2435" t="s">
        <v>36</v>
      </c>
      <c r="Z2435" s="3">
        <v>1147.76</v>
      </c>
      <c r="AA2435" t="s">
        <v>48</v>
      </c>
      <c r="AB2435" t="s">
        <v>33</v>
      </c>
      <c r="AC2435">
        <v>88.6</v>
      </c>
      <c r="AD2435" t="s">
        <v>38</v>
      </c>
      <c r="AE2435">
        <v>25.1</v>
      </c>
      <c r="AF2435">
        <v>0</v>
      </c>
    </row>
    <row r="2436" spans="3:32" x14ac:dyDescent="0.35">
      <c r="C2436" s="1">
        <v>44906</v>
      </c>
      <c r="D2436" s="2">
        <v>44896</v>
      </c>
      <c r="E2436">
        <v>1207</v>
      </c>
      <c r="F2436" s="3">
        <v>4641.13</v>
      </c>
      <c r="G2436" s="3">
        <v>3572.85</v>
      </c>
      <c r="H2436" s="3">
        <v>1068.28</v>
      </c>
      <c r="I2436" s="3">
        <v>0.77</v>
      </c>
      <c r="J2436">
        <v>0.34</v>
      </c>
      <c r="K2436">
        <v>2895.76</v>
      </c>
      <c r="L2436" t="s">
        <v>39</v>
      </c>
      <c r="M2436">
        <v>665</v>
      </c>
      <c r="N2436">
        <v>0.53</v>
      </c>
      <c r="O2436" s="3">
        <v>511.99</v>
      </c>
      <c r="P2436" s="3">
        <v>0.11</v>
      </c>
      <c r="Q2436" s="3">
        <v>621.28</v>
      </c>
      <c r="R2436" s="3">
        <v>0.13</v>
      </c>
      <c r="S2436">
        <v>5</v>
      </c>
      <c r="T2436">
        <v>936.77</v>
      </c>
      <c r="U2436">
        <v>68</v>
      </c>
      <c r="V2436">
        <v>0</v>
      </c>
      <c r="W2436">
        <v>304.52999999999997</v>
      </c>
      <c r="X2436">
        <v>2488.67</v>
      </c>
      <c r="Y2436" t="s">
        <v>36</v>
      </c>
      <c r="Z2436" s="3">
        <v>2040.48</v>
      </c>
      <c r="AA2436" t="s">
        <v>51</v>
      </c>
      <c r="AB2436" t="s">
        <v>42</v>
      </c>
      <c r="AC2436">
        <v>22.4</v>
      </c>
      <c r="AD2436" t="s">
        <v>38</v>
      </c>
      <c r="AE2436">
        <v>1068.28</v>
      </c>
      <c r="AF2436">
        <v>0</v>
      </c>
    </row>
    <row r="2437" spans="3:32" x14ac:dyDescent="0.35">
      <c r="C2437" s="1">
        <v>44906</v>
      </c>
      <c r="D2437" s="2">
        <v>44896</v>
      </c>
      <c r="E2437">
        <v>1375</v>
      </c>
      <c r="F2437" s="3">
        <v>4606.5600000000004</v>
      </c>
      <c r="G2437" s="3">
        <v>2948.86</v>
      </c>
      <c r="H2437" s="3">
        <v>1657.7</v>
      </c>
      <c r="I2437" s="3">
        <v>0.64</v>
      </c>
      <c r="J2437">
        <v>0.23</v>
      </c>
      <c r="K2437">
        <v>2139.64</v>
      </c>
      <c r="L2437" t="s">
        <v>35</v>
      </c>
      <c r="M2437">
        <v>674</v>
      </c>
      <c r="N2437">
        <v>0.16</v>
      </c>
      <c r="O2437" s="3">
        <v>632.13</v>
      </c>
      <c r="P2437" s="3">
        <v>0.14000000000000001</v>
      </c>
      <c r="Q2437" s="3">
        <v>298.58999999999997</v>
      </c>
      <c r="R2437" s="3">
        <v>0.06</v>
      </c>
      <c r="S2437">
        <v>1</v>
      </c>
      <c r="T2437">
        <v>1814.02</v>
      </c>
      <c r="U2437">
        <v>21</v>
      </c>
      <c r="V2437">
        <v>0</v>
      </c>
      <c r="W2437">
        <v>626.58000000000004</v>
      </c>
      <c r="X2437">
        <v>1831.89</v>
      </c>
      <c r="Y2437" t="s">
        <v>36</v>
      </c>
      <c r="Z2437" s="3">
        <v>1274.18</v>
      </c>
      <c r="AA2437" t="s">
        <v>37</v>
      </c>
      <c r="AB2437" t="s">
        <v>33</v>
      </c>
      <c r="AC2437">
        <v>86.8</v>
      </c>
      <c r="AD2437" t="s">
        <v>43</v>
      </c>
      <c r="AE2437">
        <v>1657.7</v>
      </c>
      <c r="AF2437">
        <v>0</v>
      </c>
    </row>
    <row r="2438" spans="3:32" x14ac:dyDescent="0.35">
      <c r="C2438" s="1">
        <v>44906</v>
      </c>
      <c r="D2438" s="2">
        <v>44896</v>
      </c>
      <c r="E2438">
        <v>1578</v>
      </c>
      <c r="F2438" s="3">
        <v>3902.73</v>
      </c>
      <c r="G2438" s="3">
        <v>2532.39</v>
      </c>
      <c r="H2438" s="3">
        <v>1370.34</v>
      </c>
      <c r="I2438" s="3">
        <v>0.65</v>
      </c>
      <c r="J2438">
        <v>0.08</v>
      </c>
      <c r="K2438">
        <v>3769.06</v>
      </c>
      <c r="L2438" t="s">
        <v>35</v>
      </c>
      <c r="M2438">
        <v>655</v>
      </c>
      <c r="N2438">
        <v>0.3</v>
      </c>
      <c r="O2438" s="3">
        <v>673.03</v>
      </c>
      <c r="P2438" s="3">
        <v>0.17</v>
      </c>
      <c r="Q2438" s="3">
        <v>124.09</v>
      </c>
      <c r="R2438" s="3">
        <v>0.03</v>
      </c>
      <c r="S2438">
        <v>7</v>
      </c>
      <c r="T2438">
        <v>902.4</v>
      </c>
      <c r="U2438">
        <v>78</v>
      </c>
      <c r="V2438">
        <v>0</v>
      </c>
      <c r="W2438">
        <v>369.75</v>
      </c>
      <c r="X2438">
        <v>1698.15</v>
      </c>
      <c r="Y2438" t="s">
        <v>36</v>
      </c>
      <c r="Z2438" s="3">
        <v>1003.65</v>
      </c>
      <c r="AA2438" t="s">
        <v>41</v>
      </c>
      <c r="AB2438" t="s">
        <v>33</v>
      </c>
      <c r="AC2438">
        <v>28.3</v>
      </c>
      <c r="AD2438" t="s">
        <v>38</v>
      </c>
      <c r="AE2438">
        <v>1370.34</v>
      </c>
      <c r="AF2438">
        <v>0</v>
      </c>
    </row>
    <row r="2439" spans="3:32" x14ac:dyDescent="0.35">
      <c r="C2439" s="1">
        <v>44906</v>
      </c>
      <c r="D2439" s="2">
        <v>44896</v>
      </c>
      <c r="E2439">
        <v>1467</v>
      </c>
      <c r="F2439" s="3">
        <v>3904.36</v>
      </c>
      <c r="G2439" s="3">
        <v>3337.18</v>
      </c>
      <c r="H2439" s="3">
        <v>567.17999999999995</v>
      </c>
      <c r="I2439" s="3">
        <v>0.85</v>
      </c>
      <c r="J2439">
        <v>0.14000000000000001</v>
      </c>
      <c r="K2439">
        <v>2056.6</v>
      </c>
      <c r="L2439" t="s">
        <v>35</v>
      </c>
      <c r="M2439">
        <v>719</v>
      </c>
      <c r="N2439">
        <v>0.39</v>
      </c>
      <c r="O2439" s="3">
        <v>624.27</v>
      </c>
      <c r="P2439" s="3">
        <v>0.16</v>
      </c>
      <c r="Q2439" s="3">
        <v>84.94</v>
      </c>
      <c r="R2439" s="3">
        <v>0.02</v>
      </c>
      <c r="S2439">
        <v>9</v>
      </c>
      <c r="T2439">
        <v>1070.1199999999999</v>
      </c>
      <c r="U2439">
        <v>86</v>
      </c>
      <c r="V2439">
        <v>0</v>
      </c>
      <c r="W2439">
        <v>330.17</v>
      </c>
      <c r="X2439">
        <v>3057.79</v>
      </c>
      <c r="Y2439" t="s">
        <v>36</v>
      </c>
      <c r="Z2439" s="3">
        <v>1191.83</v>
      </c>
      <c r="AA2439" t="s">
        <v>37</v>
      </c>
      <c r="AB2439" t="s">
        <v>33</v>
      </c>
      <c r="AC2439">
        <v>14.5</v>
      </c>
      <c r="AD2439" t="s">
        <v>43</v>
      </c>
      <c r="AE2439">
        <v>567.17999999999995</v>
      </c>
      <c r="AF2439">
        <v>0</v>
      </c>
    </row>
    <row r="2440" spans="3:32" x14ac:dyDescent="0.35">
      <c r="C2440" s="1">
        <v>44906</v>
      </c>
      <c r="D2440" s="2">
        <v>44896</v>
      </c>
      <c r="E2440">
        <v>1919</v>
      </c>
      <c r="F2440" s="3">
        <v>3638.69</v>
      </c>
      <c r="G2440" s="3">
        <v>2319.25</v>
      </c>
      <c r="H2440" s="3">
        <v>1319.44</v>
      </c>
      <c r="I2440" s="3">
        <v>0.64</v>
      </c>
      <c r="J2440">
        <v>0.28999999999999998</v>
      </c>
      <c r="K2440">
        <v>2692.62</v>
      </c>
      <c r="L2440" t="s">
        <v>30</v>
      </c>
      <c r="M2440">
        <v>683</v>
      </c>
      <c r="N2440">
        <v>0.21</v>
      </c>
      <c r="O2440" s="3">
        <v>537.67999999999995</v>
      </c>
      <c r="P2440" s="3">
        <v>0.15</v>
      </c>
      <c r="Q2440" s="3">
        <v>418.74</v>
      </c>
      <c r="R2440" s="3">
        <v>0.12</v>
      </c>
      <c r="S2440">
        <v>9</v>
      </c>
      <c r="T2440">
        <v>1232.7</v>
      </c>
      <c r="U2440">
        <v>28</v>
      </c>
      <c r="V2440">
        <v>0</v>
      </c>
      <c r="W2440">
        <v>331.36</v>
      </c>
      <c r="X2440">
        <v>2878</v>
      </c>
      <c r="Y2440" t="s">
        <v>36</v>
      </c>
      <c r="Z2440" s="3">
        <v>1168.3699999999999</v>
      </c>
      <c r="AA2440" t="s">
        <v>48</v>
      </c>
      <c r="AB2440" t="s">
        <v>33</v>
      </c>
      <c r="AC2440">
        <v>23.2</v>
      </c>
      <c r="AD2440" t="s">
        <v>38</v>
      </c>
      <c r="AE2440">
        <v>1319.44</v>
      </c>
      <c r="AF2440">
        <v>0</v>
      </c>
    </row>
    <row r="2441" spans="3:32" x14ac:dyDescent="0.35">
      <c r="C2441" s="1">
        <v>44906</v>
      </c>
      <c r="D2441" s="2">
        <v>44896</v>
      </c>
      <c r="E2441">
        <v>1437</v>
      </c>
      <c r="F2441" s="3">
        <v>4735.2</v>
      </c>
      <c r="G2441" s="3">
        <v>4510.7700000000004</v>
      </c>
      <c r="H2441" s="3">
        <v>224.43</v>
      </c>
      <c r="I2441" s="3">
        <v>0.95</v>
      </c>
      <c r="J2441">
        <v>0.2</v>
      </c>
      <c r="K2441">
        <v>2734.84</v>
      </c>
      <c r="L2441" t="s">
        <v>39</v>
      </c>
      <c r="M2441">
        <v>746</v>
      </c>
      <c r="N2441">
        <v>0.35</v>
      </c>
      <c r="O2441" s="3">
        <v>675.37</v>
      </c>
      <c r="P2441" s="3">
        <v>0.14000000000000001</v>
      </c>
      <c r="Q2441" s="3">
        <v>846.17</v>
      </c>
      <c r="R2441" s="3">
        <v>0.18</v>
      </c>
      <c r="S2441">
        <v>4</v>
      </c>
      <c r="T2441">
        <v>796.87</v>
      </c>
      <c r="U2441">
        <v>74</v>
      </c>
      <c r="V2441">
        <v>0</v>
      </c>
      <c r="W2441">
        <v>302.43</v>
      </c>
      <c r="X2441">
        <v>3122.57</v>
      </c>
      <c r="Y2441" t="s">
        <v>36</v>
      </c>
      <c r="Z2441" s="3">
        <v>1542.74</v>
      </c>
      <c r="AA2441" t="s">
        <v>51</v>
      </c>
      <c r="AB2441" t="s">
        <v>33</v>
      </c>
      <c r="AC2441">
        <v>8.9</v>
      </c>
      <c r="AD2441" t="s">
        <v>34</v>
      </c>
      <c r="AE2441">
        <v>224.43</v>
      </c>
      <c r="AF2441">
        <v>0</v>
      </c>
    </row>
    <row r="2442" spans="3:32" x14ac:dyDescent="0.35">
      <c r="C2442" s="1">
        <v>44906</v>
      </c>
      <c r="D2442" s="2">
        <v>44896</v>
      </c>
      <c r="E2442">
        <v>1371</v>
      </c>
      <c r="F2442" s="3">
        <v>4383.74</v>
      </c>
      <c r="G2442" s="3">
        <v>3357.35</v>
      </c>
      <c r="H2442" s="3">
        <v>1026.3900000000001</v>
      </c>
      <c r="I2442" s="3">
        <v>0.77</v>
      </c>
      <c r="J2442">
        <v>0.25</v>
      </c>
      <c r="K2442">
        <v>2613.38</v>
      </c>
      <c r="L2442" t="s">
        <v>35</v>
      </c>
      <c r="M2442">
        <v>634</v>
      </c>
      <c r="N2442">
        <v>0.49</v>
      </c>
      <c r="O2442" s="3">
        <v>547.52</v>
      </c>
      <c r="P2442" s="3">
        <v>0.12</v>
      </c>
      <c r="Q2442" s="3">
        <v>842.03</v>
      </c>
      <c r="R2442" s="3">
        <v>0.19</v>
      </c>
      <c r="S2442">
        <v>8</v>
      </c>
      <c r="T2442">
        <v>587.6</v>
      </c>
      <c r="U2442">
        <v>97</v>
      </c>
      <c r="V2442">
        <v>0</v>
      </c>
      <c r="W2442">
        <v>611.47</v>
      </c>
      <c r="X2442">
        <v>1000</v>
      </c>
      <c r="Y2442" t="s">
        <v>31</v>
      </c>
      <c r="Z2442" s="3">
        <v>1165.56</v>
      </c>
      <c r="AA2442" t="s">
        <v>50</v>
      </c>
      <c r="AB2442" t="s">
        <v>42</v>
      </c>
      <c r="AC2442">
        <v>70.5</v>
      </c>
      <c r="AD2442" t="s">
        <v>34</v>
      </c>
      <c r="AE2442">
        <v>1026.3900000000001</v>
      </c>
      <c r="AF2442">
        <v>0</v>
      </c>
    </row>
    <row r="2443" spans="3:32" x14ac:dyDescent="0.35">
      <c r="C2443" s="1">
        <v>44906</v>
      </c>
      <c r="D2443" s="2">
        <v>44896</v>
      </c>
      <c r="E2443">
        <v>1083</v>
      </c>
      <c r="F2443" s="3">
        <v>3959.45</v>
      </c>
      <c r="G2443" s="3">
        <v>3862.75</v>
      </c>
      <c r="H2443" s="3">
        <v>96.7</v>
      </c>
      <c r="I2443" s="3">
        <v>0.98</v>
      </c>
      <c r="J2443">
        <v>0.24</v>
      </c>
      <c r="K2443">
        <v>3308.23</v>
      </c>
      <c r="L2443" t="s">
        <v>30</v>
      </c>
      <c r="M2443">
        <v>640</v>
      </c>
      <c r="N2443">
        <v>0.54</v>
      </c>
      <c r="O2443" s="3">
        <v>513.92999999999995</v>
      </c>
      <c r="P2443" s="3">
        <v>0.13</v>
      </c>
      <c r="Q2443" s="3">
        <v>537.76</v>
      </c>
      <c r="R2443" s="3">
        <v>0.14000000000000001</v>
      </c>
      <c r="S2443">
        <v>2</v>
      </c>
      <c r="T2443">
        <v>1470.98</v>
      </c>
      <c r="U2443">
        <v>68</v>
      </c>
      <c r="V2443">
        <v>0</v>
      </c>
      <c r="W2443">
        <v>584.46</v>
      </c>
      <c r="X2443">
        <v>3169.27</v>
      </c>
      <c r="Y2443" t="s">
        <v>36</v>
      </c>
      <c r="Z2443" s="3">
        <v>633.29999999999995</v>
      </c>
      <c r="AA2443" t="s">
        <v>40</v>
      </c>
      <c r="AB2443" t="s">
        <v>42</v>
      </c>
      <c r="AC2443">
        <v>39.4</v>
      </c>
      <c r="AD2443" t="s">
        <v>38</v>
      </c>
      <c r="AE2443">
        <v>96.7</v>
      </c>
      <c r="AF2443">
        <v>0</v>
      </c>
    </row>
    <row r="2444" spans="3:32" x14ac:dyDescent="0.35">
      <c r="C2444" s="1">
        <v>44906</v>
      </c>
      <c r="D2444" s="2">
        <v>44896</v>
      </c>
      <c r="E2444">
        <v>1267</v>
      </c>
      <c r="F2444" s="3">
        <v>4901.55</v>
      </c>
      <c r="G2444" s="3">
        <v>3268.16</v>
      </c>
      <c r="H2444" s="3">
        <v>1633.39</v>
      </c>
      <c r="I2444" s="3">
        <v>0.67</v>
      </c>
      <c r="J2444">
        <v>0.14000000000000001</v>
      </c>
      <c r="K2444">
        <v>2718.06</v>
      </c>
      <c r="L2444" t="s">
        <v>35</v>
      </c>
      <c r="M2444">
        <v>678</v>
      </c>
      <c r="N2444">
        <v>0.41</v>
      </c>
      <c r="O2444" s="3">
        <v>391.75</v>
      </c>
      <c r="P2444" s="3">
        <v>0.08</v>
      </c>
      <c r="Q2444" s="3">
        <v>822.76</v>
      </c>
      <c r="R2444" s="3">
        <v>0.17</v>
      </c>
      <c r="S2444">
        <v>7</v>
      </c>
      <c r="T2444">
        <v>1212.51</v>
      </c>
      <c r="U2444">
        <v>88</v>
      </c>
      <c r="V2444">
        <v>0</v>
      </c>
      <c r="W2444">
        <v>382.55</v>
      </c>
      <c r="X2444">
        <v>2243.09</v>
      </c>
      <c r="Y2444" t="s">
        <v>36</v>
      </c>
      <c r="Z2444" s="3">
        <v>685.52</v>
      </c>
      <c r="AA2444" t="s">
        <v>40</v>
      </c>
      <c r="AB2444" t="s">
        <v>33</v>
      </c>
      <c r="AC2444">
        <v>2.4</v>
      </c>
      <c r="AD2444" t="s">
        <v>38</v>
      </c>
      <c r="AE2444">
        <v>1633.39</v>
      </c>
      <c r="AF2444">
        <v>0</v>
      </c>
    </row>
    <row r="2445" spans="3:32" x14ac:dyDescent="0.35">
      <c r="C2445" s="1">
        <v>44906</v>
      </c>
      <c r="D2445" s="2">
        <v>44896</v>
      </c>
      <c r="E2445">
        <v>1173</v>
      </c>
      <c r="F2445" s="3">
        <v>2994.04</v>
      </c>
      <c r="G2445" s="3">
        <v>1795.21</v>
      </c>
      <c r="H2445" s="3">
        <v>1198.83</v>
      </c>
      <c r="I2445" s="3">
        <v>0.6</v>
      </c>
      <c r="J2445">
        <v>0.13</v>
      </c>
      <c r="K2445">
        <v>2499.65</v>
      </c>
      <c r="L2445" t="s">
        <v>39</v>
      </c>
      <c r="M2445">
        <v>648</v>
      </c>
      <c r="N2445">
        <v>0.12</v>
      </c>
      <c r="O2445" s="3">
        <v>465.18</v>
      </c>
      <c r="P2445" s="3">
        <v>0.16</v>
      </c>
      <c r="Q2445" s="3">
        <v>283.97000000000003</v>
      </c>
      <c r="R2445" s="3">
        <v>0.09</v>
      </c>
      <c r="S2445">
        <v>3</v>
      </c>
      <c r="T2445">
        <v>2025.24</v>
      </c>
      <c r="U2445">
        <v>37</v>
      </c>
      <c r="V2445">
        <v>0</v>
      </c>
      <c r="W2445">
        <v>467.5</v>
      </c>
      <c r="X2445">
        <v>2854.72</v>
      </c>
      <c r="Y2445" t="s">
        <v>36</v>
      </c>
      <c r="Z2445" s="3">
        <v>1254.25</v>
      </c>
      <c r="AA2445" t="s">
        <v>37</v>
      </c>
      <c r="AB2445" t="s">
        <v>33</v>
      </c>
      <c r="AC2445">
        <v>2.1</v>
      </c>
      <c r="AD2445" t="s">
        <v>34</v>
      </c>
      <c r="AE2445">
        <v>1198.83</v>
      </c>
      <c r="AF2445">
        <v>0</v>
      </c>
    </row>
    <row r="2446" spans="3:32" x14ac:dyDescent="0.35">
      <c r="C2446" s="1">
        <v>44906</v>
      </c>
      <c r="D2446" s="2">
        <v>44896</v>
      </c>
      <c r="E2446">
        <v>1486</v>
      </c>
      <c r="F2446" s="3">
        <v>3266.72</v>
      </c>
      <c r="G2446" s="3">
        <v>3395.78</v>
      </c>
      <c r="H2446" s="3">
        <v>-129.06</v>
      </c>
      <c r="I2446" s="3">
        <v>1.04</v>
      </c>
      <c r="J2446">
        <v>0.21</v>
      </c>
      <c r="K2446">
        <v>3100.91</v>
      </c>
      <c r="L2446" t="s">
        <v>35</v>
      </c>
      <c r="M2446">
        <v>669</v>
      </c>
      <c r="N2446">
        <v>0.31</v>
      </c>
      <c r="O2446" s="3">
        <v>709.76</v>
      </c>
      <c r="P2446" s="3">
        <v>0.22</v>
      </c>
      <c r="Q2446" s="3">
        <v>512.30999999999995</v>
      </c>
      <c r="R2446" s="3">
        <v>0.16</v>
      </c>
      <c r="S2446">
        <v>9</v>
      </c>
      <c r="T2446">
        <v>1056.49</v>
      </c>
      <c r="U2446">
        <v>26</v>
      </c>
      <c r="V2446">
        <v>0</v>
      </c>
      <c r="W2446">
        <v>606.47</v>
      </c>
      <c r="X2446">
        <v>2557.35</v>
      </c>
      <c r="Y2446" t="s">
        <v>36</v>
      </c>
      <c r="Z2446" s="3">
        <v>1738.28</v>
      </c>
      <c r="AA2446" t="s">
        <v>46</v>
      </c>
      <c r="AB2446" t="s">
        <v>42</v>
      </c>
      <c r="AC2446">
        <v>39</v>
      </c>
      <c r="AD2446" t="s">
        <v>34</v>
      </c>
      <c r="AE2446">
        <v>0</v>
      </c>
      <c r="AF2446">
        <v>0</v>
      </c>
    </row>
    <row r="2447" spans="3:32" x14ac:dyDescent="0.35">
      <c r="C2447" s="1">
        <v>44906</v>
      </c>
      <c r="D2447" s="2">
        <v>44896</v>
      </c>
      <c r="E2447">
        <v>1252</v>
      </c>
      <c r="F2447" s="3">
        <v>4000.02</v>
      </c>
      <c r="G2447" s="3">
        <v>2328.58</v>
      </c>
      <c r="H2447" s="3">
        <v>1671.44</v>
      </c>
      <c r="I2447" s="3">
        <v>0.57999999999999996</v>
      </c>
      <c r="J2447">
        <v>0.15</v>
      </c>
      <c r="K2447">
        <v>2220.19</v>
      </c>
      <c r="L2447" t="s">
        <v>39</v>
      </c>
      <c r="M2447">
        <v>649</v>
      </c>
      <c r="N2447">
        <v>0.27</v>
      </c>
      <c r="O2447" s="3">
        <v>847.92</v>
      </c>
      <c r="P2447" s="3">
        <v>0.21</v>
      </c>
      <c r="Q2447" s="3">
        <v>437.01</v>
      </c>
      <c r="R2447" s="3">
        <v>0.11</v>
      </c>
      <c r="S2447">
        <v>4</v>
      </c>
      <c r="T2447">
        <v>595.55999999999995</v>
      </c>
      <c r="U2447">
        <v>81</v>
      </c>
      <c r="V2447">
        <v>0</v>
      </c>
      <c r="W2447">
        <v>1056.8699999999999</v>
      </c>
      <c r="X2447">
        <v>1689.55</v>
      </c>
      <c r="Y2447" t="s">
        <v>36</v>
      </c>
      <c r="Z2447" s="3">
        <v>663.87</v>
      </c>
      <c r="AA2447" t="s">
        <v>40</v>
      </c>
      <c r="AB2447" t="s">
        <v>33</v>
      </c>
      <c r="AC2447">
        <v>73.400000000000006</v>
      </c>
      <c r="AD2447" t="s">
        <v>34</v>
      </c>
      <c r="AE2447">
        <v>1671.44</v>
      </c>
      <c r="AF2447">
        <v>0</v>
      </c>
    </row>
    <row r="2448" spans="3:32" x14ac:dyDescent="0.35">
      <c r="C2448" s="1">
        <v>44906</v>
      </c>
      <c r="D2448" s="2">
        <v>44896</v>
      </c>
      <c r="E2448">
        <v>1578</v>
      </c>
      <c r="F2448" s="3">
        <v>3968.41</v>
      </c>
      <c r="G2448" s="3">
        <v>5095.1899999999996</v>
      </c>
      <c r="H2448" s="3">
        <v>-1126.78</v>
      </c>
      <c r="I2448" s="3">
        <v>1.28</v>
      </c>
      <c r="J2448">
        <v>7.0000000000000007E-2</v>
      </c>
      <c r="K2448">
        <v>3064.73</v>
      </c>
      <c r="L2448" t="s">
        <v>35</v>
      </c>
      <c r="M2448">
        <v>748</v>
      </c>
      <c r="N2448">
        <v>0.24</v>
      </c>
      <c r="O2448" s="3">
        <v>442.87</v>
      </c>
      <c r="P2448" s="3">
        <v>0.11</v>
      </c>
      <c r="Q2448" s="3">
        <v>449.18</v>
      </c>
      <c r="R2448" s="3">
        <v>0.11</v>
      </c>
      <c r="S2448">
        <v>3</v>
      </c>
      <c r="T2448">
        <v>882.17</v>
      </c>
      <c r="U2448">
        <v>93</v>
      </c>
      <c r="V2448">
        <v>0</v>
      </c>
      <c r="W2448">
        <v>177.64</v>
      </c>
      <c r="X2448">
        <v>1439.32</v>
      </c>
      <c r="Y2448" t="s">
        <v>31</v>
      </c>
      <c r="Z2448" s="3">
        <v>838.76</v>
      </c>
      <c r="AA2448" t="s">
        <v>41</v>
      </c>
      <c r="AB2448" t="s">
        <v>42</v>
      </c>
      <c r="AC2448">
        <v>75.7</v>
      </c>
      <c r="AD2448" t="s">
        <v>38</v>
      </c>
      <c r="AE2448">
        <v>0</v>
      </c>
      <c r="AF2448">
        <v>0</v>
      </c>
    </row>
    <row r="2449" spans="3:32" x14ac:dyDescent="0.35">
      <c r="C2449" s="1">
        <v>44906</v>
      </c>
      <c r="D2449" s="2">
        <v>44896</v>
      </c>
      <c r="E2449">
        <v>1835</v>
      </c>
      <c r="F2449" s="3">
        <v>4595.71</v>
      </c>
      <c r="G2449" s="3">
        <v>159.21</v>
      </c>
      <c r="H2449" s="3">
        <v>4436.5</v>
      </c>
      <c r="I2449" s="3">
        <v>0.03</v>
      </c>
      <c r="J2449">
        <v>0.25</v>
      </c>
      <c r="K2449">
        <v>2779.17</v>
      </c>
      <c r="L2449" t="s">
        <v>35</v>
      </c>
      <c r="M2449">
        <v>615</v>
      </c>
      <c r="N2449">
        <v>0.12</v>
      </c>
      <c r="O2449" s="3">
        <v>105.1</v>
      </c>
      <c r="P2449" s="3">
        <v>0.02</v>
      </c>
      <c r="Q2449" s="3">
        <v>842.22</v>
      </c>
      <c r="R2449" s="3">
        <v>0.18</v>
      </c>
      <c r="S2449">
        <v>6</v>
      </c>
      <c r="T2449">
        <v>851.32</v>
      </c>
      <c r="U2449">
        <v>41</v>
      </c>
      <c r="V2449">
        <v>0</v>
      </c>
      <c r="W2449">
        <v>406.52</v>
      </c>
      <c r="X2449">
        <v>3019.44</v>
      </c>
      <c r="Y2449" t="s">
        <v>36</v>
      </c>
      <c r="Z2449" s="3">
        <v>890.54</v>
      </c>
      <c r="AA2449" t="s">
        <v>51</v>
      </c>
      <c r="AB2449" t="s">
        <v>33</v>
      </c>
      <c r="AC2449">
        <v>62.5</v>
      </c>
      <c r="AD2449" t="s">
        <v>34</v>
      </c>
      <c r="AE2449">
        <v>4436.5</v>
      </c>
      <c r="AF2449">
        <v>1</v>
      </c>
    </row>
    <row r="2450" spans="3:32" x14ac:dyDescent="0.35">
      <c r="C2450" s="1">
        <v>44906</v>
      </c>
      <c r="D2450" s="2">
        <v>44896</v>
      </c>
      <c r="E2450">
        <v>1857</v>
      </c>
      <c r="F2450" s="3">
        <v>3849.63</v>
      </c>
      <c r="G2450" s="3">
        <v>3572.89</v>
      </c>
      <c r="H2450" s="3">
        <v>276.74</v>
      </c>
      <c r="I2450" s="3">
        <v>0.93</v>
      </c>
      <c r="J2450">
        <v>0.32</v>
      </c>
      <c r="K2450">
        <v>1451.79</v>
      </c>
      <c r="L2450" t="s">
        <v>35</v>
      </c>
      <c r="M2450">
        <v>706</v>
      </c>
      <c r="N2450">
        <v>0.12</v>
      </c>
      <c r="O2450" s="3">
        <v>603.6</v>
      </c>
      <c r="P2450" s="3">
        <v>0.16</v>
      </c>
      <c r="Q2450" s="3">
        <v>601.70000000000005</v>
      </c>
      <c r="R2450" s="3">
        <v>0.16</v>
      </c>
      <c r="S2450">
        <v>5</v>
      </c>
      <c r="T2450">
        <v>887.18</v>
      </c>
      <c r="U2450">
        <v>28</v>
      </c>
      <c r="V2450">
        <v>0</v>
      </c>
      <c r="W2450">
        <v>722.86</v>
      </c>
      <c r="X2450">
        <v>1000</v>
      </c>
      <c r="Y2450" t="s">
        <v>49</v>
      </c>
      <c r="Z2450" s="3">
        <v>587.13</v>
      </c>
      <c r="AA2450" t="s">
        <v>40</v>
      </c>
      <c r="AB2450" t="s">
        <v>44</v>
      </c>
      <c r="AC2450">
        <v>62.5</v>
      </c>
      <c r="AD2450" t="s">
        <v>34</v>
      </c>
      <c r="AE2450">
        <v>276.74</v>
      </c>
      <c r="AF2450">
        <v>0</v>
      </c>
    </row>
    <row r="2451" spans="3:32" x14ac:dyDescent="0.35">
      <c r="C2451" s="1">
        <v>44906</v>
      </c>
      <c r="D2451" s="2">
        <v>44896</v>
      </c>
      <c r="E2451">
        <v>1030</v>
      </c>
      <c r="F2451" s="3">
        <v>4067.94</v>
      </c>
      <c r="G2451" s="3">
        <v>3821.36</v>
      </c>
      <c r="H2451" s="3">
        <v>246.58</v>
      </c>
      <c r="I2451" s="3">
        <v>0.94</v>
      </c>
      <c r="J2451">
        <v>0.34</v>
      </c>
      <c r="K2451">
        <v>2963.75</v>
      </c>
      <c r="L2451" t="s">
        <v>30</v>
      </c>
      <c r="M2451">
        <v>679</v>
      </c>
      <c r="N2451">
        <v>0.36</v>
      </c>
      <c r="O2451" s="3">
        <v>709.64</v>
      </c>
      <c r="P2451" s="3">
        <v>0.17</v>
      </c>
      <c r="Q2451" s="3">
        <v>43.22</v>
      </c>
      <c r="R2451" s="3">
        <v>0.01</v>
      </c>
      <c r="S2451">
        <v>8</v>
      </c>
      <c r="T2451">
        <v>1087.31</v>
      </c>
      <c r="U2451">
        <v>78</v>
      </c>
      <c r="V2451">
        <v>0</v>
      </c>
      <c r="W2451">
        <v>65.61</v>
      </c>
      <c r="X2451">
        <v>2868.43</v>
      </c>
      <c r="Y2451" t="s">
        <v>31</v>
      </c>
      <c r="Z2451" s="3">
        <v>1054.49</v>
      </c>
      <c r="AA2451" t="s">
        <v>48</v>
      </c>
      <c r="AB2451" t="s">
        <v>44</v>
      </c>
      <c r="AC2451">
        <v>38.9</v>
      </c>
      <c r="AD2451" t="s">
        <v>34</v>
      </c>
      <c r="AE2451">
        <v>246.58</v>
      </c>
      <c r="AF2451">
        <v>0</v>
      </c>
    </row>
    <row r="2452" spans="3:32" x14ac:dyDescent="0.35">
      <c r="C2452" s="1">
        <v>44936</v>
      </c>
      <c r="D2452" s="2">
        <v>44927</v>
      </c>
      <c r="E2452">
        <v>1984</v>
      </c>
      <c r="F2452" s="3">
        <v>4722.51</v>
      </c>
      <c r="G2452" s="3">
        <v>3075.01</v>
      </c>
      <c r="H2452" s="3">
        <v>1647.5</v>
      </c>
      <c r="I2452" s="3">
        <v>0.65</v>
      </c>
      <c r="J2452">
        <v>0.34</v>
      </c>
      <c r="K2452">
        <v>2922.43</v>
      </c>
      <c r="L2452" t="s">
        <v>35</v>
      </c>
      <c r="M2452">
        <v>655</v>
      </c>
      <c r="N2452">
        <v>0.33</v>
      </c>
      <c r="O2452" s="3">
        <v>632.85</v>
      </c>
      <c r="P2452" s="3">
        <v>0.13</v>
      </c>
      <c r="Q2452" s="3">
        <v>130.94</v>
      </c>
      <c r="R2452" s="3">
        <v>0.03</v>
      </c>
      <c r="S2452">
        <v>3</v>
      </c>
      <c r="T2452">
        <v>662.47</v>
      </c>
      <c r="U2452">
        <v>82</v>
      </c>
      <c r="V2452">
        <v>0</v>
      </c>
      <c r="W2452">
        <v>738.87</v>
      </c>
      <c r="X2452">
        <v>1951.17</v>
      </c>
      <c r="Y2452" t="s">
        <v>36</v>
      </c>
      <c r="Z2452" s="3">
        <v>936.35</v>
      </c>
      <c r="AA2452" t="s">
        <v>47</v>
      </c>
      <c r="AB2452" t="s">
        <v>33</v>
      </c>
      <c r="AC2452">
        <v>32.4</v>
      </c>
      <c r="AD2452" t="s">
        <v>38</v>
      </c>
      <c r="AE2452">
        <v>1647.5</v>
      </c>
      <c r="AF2452">
        <v>0</v>
      </c>
    </row>
    <row r="2453" spans="3:32" x14ac:dyDescent="0.35">
      <c r="C2453" s="1">
        <v>44936</v>
      </c>
      <c r="D2453" s="2">
        <v>44927</v>
      </c>
      <c r="E2453">
        <v>1807</v>
      </c>
      <c r="F2453" s="3">
        <v>4385.93</v>
      </c>
      <c r="G2453" s="3">
        <v>2446.52</v>
      </c>
      <c r="H2453" s="3">
        <v>1939.41</v>
      </c>
      <c r="I2453" s="3">
        <v>0.56000000000000005</v>
      </c>
      <c r="J2453">
        <v>0.37</v>
      </c>
      <c r="K2453">
        <v>2618.46</v>
      </c>
      <c r="L2453" t="s">
        <v>35</v>
      </c>
      <c r="M2453">
        <v>718</v>
      </c>
      <c r="N2453">
        <v>0.19</v>
      </c>
      <c r="O2453" s="3">
        <v>608.79999999999995</v>
      </c>
      <c r="P2453" s="3">
        <v>0.14000000000000001</v>
      </c>
      <c r="Q2453" s="3">
        <v>249.26</v>
      </c>
      <c r="R2453" s="3">
        <v>0.06</v>
      </c>
      <c r="S2453">
        <v>9</v>
      </c>
      <c r="T2453">
        <v>1121.99</v>
      </c>
      <c r="U2453">
        <v>31</v>
      </c>
      <c r="V2453">
        <v>0</v>
      </c>
      <c r="W2453">
        <v>389.61</v>
      </c>
      <c r="X2453">
        <v>2473.4499999999998</v>
      </c>
      <c r="Y2453" t="s">
        <v>36</v>
      </c>
      <c r="Z2453" s="3">
        <v>1307.07</v>
      </c>
      <c r="AA2453" t="s">
        <v>46</v>
      </c>
      <c r="AB2453" t="s">
        <v>33</v>
      </c>
      <c r="AC2453">
        <v>50</v>
      </c>
      <c r="AD2453" t="s">
        <v>38</v>
      </c>
      <c r="AE2453">
        <v>1939.41</v>
      </c>
      <c r="AF2453">
        <v>0</v>
      </c>
    </row>
    <row r="2454" spans="3:32" x14ac:dyDescent="0.35">
      <c r="C2454" s="1">
        <v>44936</v>
      </c>
      <c r="D2454" s="2">
        <v>44927</v>
      </c>
      <c r="E2454">
        <v>1760</v>
      </c>
      <c r="F2454" s="3">
        <v>2349.1</v>
      </c>
      <c r="G2454" s="3">
        <v>3478.14</v>
      </c>
      <c r="H2454" s="3">
        <v>-1129.04</v>
      </c>
      <c r="I2454" s="3">
        <v>1.48</v>
      </c>
      <c r="J2454">
        <v>0.24</v>
      </c>
      <c r="K2454">
        <v>3023.22</v>
      </c>
      <c r="L2454" t="s">
        <v>35</v>
      </c>
      <c r="M2454">
        <v>741</v>
      </c>
      <c r="N2454">
        <v>0.6</v>
      </c>
      <c r="O2454" s="3">
        <v>547.97</v>
      </c>
      <c r="P2454" s="3">
        <v>0.23</v>
      </c>
      <c r="Q2454" s="3">
        <v>478.93</v>
      </c>
      <c r="R2454" s="3">
        <v>0.2</v>
      </c>
      <c r="S2454">
        <v>1</v>
      </c>
      <c r="T2454">
        <v>1723.6</v>
      </c>
      <c r="U2454">
        <v>88</v>
      </c>
      <c r="V2454">
        <v>0</v>
      </c>
      <c r="W2454">
        <v>797.64</v>
      </c>
      <c r="X2454">
        <v>2166.48</v>
      </c>
      <c r="Y2454" t="s">
        <v>36</v>
      </c>
      <c r="Z2454" s="3">
        <v>1041.19</v>
      </c>
      <c r="AA2454" t="s">
        <v>50</v>
      </c>
      <c r="AB2454" t="s">
        <v>42</v>
      </c>
      <c r="AC2454">
        <v>34.4</v>
      </c>
      <c r="AD2454" t="s">
        <v>43</v>
      </c>
      <c r="AE2454">
        <v>0</v>
      </c>
      <c r="AF2454">
        <v>0</v>
      </c>
    </row>
    <row r="2455" spans="3:32" x14ac:dyDescent="0.35">
      <c r="C2455" s="1">
        <v>44936</v>
      </c>
      <c r="D2455" s="2">
        <v>44927</v>
      </c>
      <c r="E2455">
        <v>1578</v>
      </c>
      <c r="F2455" s="3">
        <v>4151.5200000000004</v>
      </c>
      <c r="G2455" s="3">
        <v>3116.6</v>
      </c>
      <c r="H2455" s="3">
        <v>1034.92</v>
      </c>
      <c r="I2455" s="3">
        <v>0.75</v>
      </c>
      <c r="J2455">
        <v>0.22</v>
      </c>
      <c r="K2455">
        <v>2889.56</v>
      </c>
      <c r="L2455" t="s">
        <v>30</v>
      </c>
      <c r="M2455">
        <v>623</v>
      </c>
      <c r="N2455">
        <v>0.55000000000000004</v>
      </c>
      <c r="O2455" s="3">
        <v>589.79</v>
      </c>
      <c r="P2455" s="3">
        <v>0.14000000000000001</v>
      </c>
      <c r="Q2455" s="3">
        <v>442.22</v>
      </c>
      <c r="R2455" s="3">
        <v>0.11</v>
      </c>
      <c r="S2455">
        <v>4</v>
      </c>
      <c r="T2455">
        <v>754.9</v>
      </c>
      <c r="U2455">
        <v>21</v>
      </c>
      <c r="V2455">
        <v>0</v>
      </c>
      <c r="W2455">
        <v>124.82</v>
      </c>
      <c r="X2455">
        <v>1781.24</v>
      </c>
      <c r="Y2455" t="s">
        <v>36</v>
      </c>
      <c r="Z2455" s="3">
        <v>529.5</v>
      </c>
      <c r="AA2455" t="s">
        <v>46</v>
      </c>
      <c r="AB2455" t="s">
        <v>33</v>
      </c>
      <c r="AC2455">
        <v>23.2</v>
      </c>
      <c r="AD2455" t="s">
        <v>43</v>
      </c>
      <c r="AE2455">
        <v>1034.92</v>
      </c>
      <c r="AF2455">
        <v>0</v>
      </c>
    </row>
    <row r="2456" spans="3:32" x14ac:dyDescent="0.35">
      <c r="C2456" s="1">
        <v>44936</v>
      </c>
      <c r="D2456" s="2">
        <v>44927</v>
      </c>
      <c r="E2456">
        <v>1932</v>
      </c>
      <c r="F2456" s="3">
        <v>4633.53</v>
      </c>
      <c r="G2456" s="3">
        <v>2293.2600000000002</v>
      </c>
      <c r="H2456" s="3">
        <v>2340.27</v>
      </c>
      <c r="I2456" s="3">
        <v>0.49</v>
      </c>
      <c r="J2456">
        <v>0.19</v>
      </c>
      <c r="K2456">
        <v>3413.65</v>
      </c>
      <c r="L2456" t="s">
        <v>30</v>
      </c>
      <c r="M2456">
        <v>609</v>
      </c>
      <c r="N2456">
        <v>0.41</v>
      </c>
      <c r="O2456" s="3">
        <v>367.22</v>
      </c>
      <c r="P2456" s="3">
        <v>0.08</v>
      </c>
      <c r="Q2456" s="3">
        <v>358.86</v>
      </c>
      <c r="R2456" s="3">
        <v>0.08</v>
      </c>
      <c r="S2456">
        <v>5</v>
      </c>
      <c r="T2456">
        <v>468.73</v>
      </c>
      <c r="U2456">
        <v>63</v>
      </c>
      <c r="V2456">
        <v>0</v>
      </c>
      <c r="W2456">
        <v>477.22</v>
      </c>
      <c r="X2456">
        <v>1365.3</v>
      </c>
      <c r="Y2456" t="s">
        <v>36</v>
      </c>
      <c r="Z2456" s="3">
        <v>1071.79</v>
      </c>
      <c r="AA2456" t="s">
        <v>48</v>
      </c>
      <c r="AB2456" t="s">
        <v>33</v>
      </c>
      <c r="AC2456">
        <v>86.7</v>
      </c>
      <c r="AD2456" t="s">
        <v>34</v>
      </c>
      <c r="AE2456">
        <v>2340.27</v>
      </c>
      <c r="AF2456">
        <v>0</v>
      </c>
    </row>
    <row r="2457" spans="3:32" x14ac:dyDescent="0.35">
      <c r="C2457" s="1">
        <v>44936</v>
      </c>
      <c r="D2457" s="2">
        <v>44927</v>
      </c>
      <c r="E2457">
        <v>1399</v>
      </c>
      <c r="F2457" s="3">
        <v>4150.2700000000004</v>
      </c>
      <c r="G2457" s="3">
        <v>2021.29</v>
      </c>
      <c r="H2457" s="3">
        <v>2128.98</v>
      </c>
      <c r="I2457" s="3">
        <v>0.49</v>
      </c>
      <c r="J2457">
        <v>0.17</v>
      </c>
      <c r="K2457">
        <v>2959.33</v>
      </c>
      <c r="L2457" t="s">
        <v>35</v>
      </c>
      <c r="M2457">
        <v>681</v>
      </c>
      <c r="N2457">
        <v>0.31</v>
      </c>
      <c r="O2457" s="3">
        <v>462.13</v>
      </c>
      <c r="P2457" s="3">
        <v>0.11</v>
      </c>
      <c r="Q2457" s="3">
        <v>735.88</v>
      </c>
      <c r="R2457" s="3">
        <v>0.18</v>
      </c>
      <c r="S2457">
        <v>7</v>
      </c>
      <c r="T2457">
        <v>663.14</v>
      </c>
      <c r="U2457">
        <v>97</v>
      </c>
      <c r="V2457">
        <v>0</v>
      </c>
      <c r="W2457">
        <v>388.36</v>
      </c>
      <c r="X2457">
        <v>2497.52</v>
      </c>
      <c r="Y2457" t="s">
        <v>36</v>
      </c>
      <c r="Z2457" s="3">
        <v>955.2</v>
      </c>
      <c r="AA2457" t="s">
        <v>45</v>
      </c>
      <c r="AB2457" t="s">
        <v>44</v>
      </c>
      <c r="AC2457">
        <v>2.5</v>
      </c>
      <c r="AD2457" t="s">
        <v>34</v>
      </c>
      <c r="AE2457">
        <v>2128.98</v>
      </c>
      <c r="AF2457">
        <v>0</v>
      </c>
    </row>
    <row r="2458" spans="3:32" x14ac:dyDescent="0.35">
      <c r="C2458" s="1">
        <v>44936</v>
      </c>
      <c r="D2458" s="2">
        <v>44927</v>
      </c>
      <c r="E2458">
        <v>1264</v>
      </c>
      <c r="F2458" s="3">
        <v>2382.08</v>
      </c>
      <c r="G2458" s="3">
        <v>1619.76</v>
      </c>
      <c r="H2458" s="3">
        <v>762.32</v>
      </c>
      <c r="I2458" s="3">
        <v>0.68</v>
      </c>
      <c r="J2458">
        <v>0.16</v>
      </c>
      <c r="K2458">
        <v>2308.48</v>
      </c>
      <c r="L2458" t="s">
        <v>39</v>
      </c>
      <c r="M2458">
        <v>679</v>
      </c>
      <c r="N2458">
        <v>0.37</v>
      </c>
      <c r="O2458" s="3">
        <v>445.71</v>
      </c>
      <c r="P2458" s="3">
        <v>0.19</v>
      </c>
      <c r="Q2458" s="3">
        <v>891.36</v>
      </c>
      <c r="R2458" s="3">
        <v>0.37</v>
      </c>
      <c r="S2458">
        <v>9</v>
      </c>
      <c r="T2458">
        <v>530.5</v>
      </c>
      <c r="U2458">
        <v>59</v>
      </c>
      <c r="V2458">
        <v>0</v>
      </c>
      <c r="W2458">
        <v>183.1</v>
      </c>
      <c r="X2458">
        <v>1968.53</v>
      </c>
      <c r="Y2458" t="s">
        <v>49</v>
      </c>
      <c r="Z2458" s="3">
        <v>1192.18</v>
      </c>
      <c r="AA2458" t="s">
        <v>45</v>
      </c>
      <c r="AB2458" t="s">
        <v>44</v>
      </c>
      <c r="AC2458">
        <v>70.599999999999994</v>
      </c>
      <c r="AD2458" t="s">
        <v>34</v>
      </c>
      <c r="AE2458">
        <v>762.32</v>
      </c>
      <c r="AF2458">
        <v>0</v>
      </c>
    </row>
    <row r="2459" spans="3:32" x14ac:dyDescent="0.35">
      <c r="C2459" s="1">
        <v>44936</v>
      </c>
      <c r="D2459" s="2">
        <v>44927</v>
      </c>
      <c r="E2459">
        <v>1138</v>
      </c>
      <c r="F2459" s="3">
        <v>2402.06</v>
      </c>
      <c r="G2459" s="3">
        <v>3653.49</v>
      </c>
      <c r="H2459" s="3">
        <v>-1251.43</v>
      </c>
      <c r="I2459" s="3">
        <v>1.52</v>
      </c>
      <c r="J2459">
        <v>0.12</v>
      </c>
      <c r="K2459">
        <v>3262.63</v>
      </c>
      <c r="L2459" t="s">
        <v>35</v>
      </c>
      <c r="M2459">
        <v>635</v>
      </c>
      <c r="N2459">
        <v>0.38</v>
      </c>
      <c r="O2459" s="3">
        <v>476.82</v>
      </c>
      <c r="P2459" s="3">
        <v>0.2</v>
      </c>
      <c r="Q2459" s="3">
        <v>460.14</v>
      </c>
      <c r="R2459" s="3">
        <v>0.19</v>
      </c>
      <c r="S2459">
        <v>1</v>
      </c>
      <c r="T2459">
        <v>505.43</v>
      </c>
      <c r="U2459">
        <v>23</v>
      </c>
      <c r="V2459">
        <v>0</v>
      </c>
      <c r="W2459">
        <v>440.69</v>
      </c>
      <c r="X2459">
        <v>2339.13</v>
      </c>
      <c r="Y2459" t="s">
        <v>36</v>
      </c>
      <c r="Z2459" s="3">
        <v>964.5</v>
      </c>
      <c r="AA2459" t="s">
        <v>48</v>
      </c>
      <c r="AB2459" t="s">
        <v>42</v>
      </c>
      <c r="AC2459">
        <v>32.9</v>
      </c>
      <c r="AD2459" t="s">
        <v>38</v>
      </c>
      <c r="AE2459">
        <v>0</v>
      </c>
      <c r="AF2459">
        <v>0</v>
      </c>
    </row>
    <row r="2460" spans="3:32" x14ac:dyDescent="0.35">
      <c r="C2460" s="1">
        <v>44936</v>
      </c>
      <c r="D2460" s="2">
        <v>44927</v>
      </c>
      <c r="E2460">
        <v>1336</v>
      </c>
      <c r="F2460" s="3">
        <v>2766.09</v>
      </c>
      <c r="G2460" s="3">
        <v>2554.59</v>
      </c>
      <c r="H2460" s="3">
        <v>211.5</v>
      </c>
      <c r="I2460" s="3">
        <v>0.92</v>
      </c>
      <c r="J2460">
        <v>0.18</v>
      </c>
      <c r="K2460">
        <v>2507.59</v>
      </c>
      <c r="L2460" t="s">
        <v>35</v>
      </c>
      <c r="M2460">
        <v>708</v>
      </c>
      <c r="N2460">
        <v>0.31</v>
      </c>
      <c r="O2460" s="3">
        <v>530.28</v>
      </c>
      <c r="P2460" s="3">
        <v>0.19</v>
      </c>
      <c r="Q2460" s="3">
        <v>919.65</v>
      </c>
      <c r="R2460" s="3">
        <v>0.33</v>
      </c>
      <c r="S2460">
        <v>7</v>
      </c>
      <c r="T2460">
        <v>385.57</v>
      </c>
      <c r="U2460">
        <v>25</v>
      </c>
      <c r="V2460">
        <v>0</v>
      </c>
      <c r="W2460">
        <v>653.55999999999995</v>
      </c>
      <c r="X2460">
        <v>1904.82</v>
      </c>
      <c r="Y2460" t="s">
        <v>49</v>
      </c>
      <c r="Z2460" s="3">
        <v>1770.95</v>
      </c>
      <c r="AA2460" t="s">
        <v>46</v>
      </c>
      <c r="AB2460" t="s">
        <v>33</v>
      </c>
      <c r="AC2460">
        <v>77.099999999999994</v>
      </c>
      <c r="AD2460" t="s">
        <v>43</v>
      </c>
      <c r="AE2460">
        <v>211.5</v>
      </c>
      <c r="AF2460">
        <v>0</v>
      </c>
    </row>
    <row r="2461" spans="3:32" x14ac:dyDescent="0.35">
      <c r="C2461" s="1">
        <v>44936</v>
      </c>
      <c r="D2461" s="2">
        <v>44927</v>
      </c>
      <c r="E2461">
        <v>1828</v>
      </c>
      <c r="F2461" s="3">
        <v>3571.8</v>
      </c>
      <c r="G2461" s="3">
        <v>3406.58</v>
      </c>
      <c r="H2461" s="3">
        <v>165.22</v>
      </c>
      <c r="I2461" s="3">
        <v>0.95</v>
      </c>
      <c r="J2461">
        <v>0.28000000000000003</v>
      </c>
      <c r="K2461">
        <v>2684.68</v>
      </c>
      <c r="L2461" t="s">
        <v>30</v>
      </c>
      <c r="M2461">
        <v>645</v>
      </c>
      <c r="N2461">
        <v>0.14000000000000001</v>
      </c>
      <c r="O2461" s="3">
        <v>416.4</v>
      </c>
      <c r="P2461" s="3">
        <v>0.12</v>
      </c>
      <c r="Q2461" s="3">
        <v>344</v>
      </c>
      <c r="R2461" s="3">
        <v>0.1</v>
      </c>
      <c r="S2461">
        <v>5</v>
      </c>
      <c r="T2461">
        <v>1502.44</v>
      </c>
      <c r="U2461">
        <v>59</v>
      </c>
      <c r="V2461">
        <v>0</v>
      </c>
      <c r="W2461">
        <v>460.92</v>
      </c>
      <c r="X2461">
        <v>2859.01</v>
      </c>
      <c r="Y2461" t="s">
        <v>49</v>
      </c>
      <c r="Z2461" s="3">
        <v>1101.31</v>
      </c>
      <c r="AA2461" t="s">
        <v>45</v>
      </c>
      <c r="AB2461" t="s">
        <v>44</v>
      </c>
      <c r="AC2461">
        <v>85.7</v>
      </c>
      <c r="AD2461" t="s">
        <v>43</v>
      </c>
      <c r="AE2461">
        <v>165.22</v>
      </c>
      <c r="AF2461">
        <v>0</v>
      </c>
    </row>
    <row r="2462" spans="3:32" x14ac:dyDescent="0.35">
      <c r="C2462" s="1">
        <v>44936</v>
      </c>
      <c r="D2462" s="2">
        <v>44927</v>
      </c>
      <c r="E2462">
        <v>1277</v>
      </c>
      <c r="F2462" s="3">
        <v>4198.33</v>
      </c>
      <c r="G2462" s="3">
        <v>2684.49</v>
      </c>
      <c r="H2462" s="3">
        <v>1513.84</v>
      </c>
      <c r="I2462" s="3">
        <v>0.64</v>
      </c>
      <c r="J2462">
        <v>0.16</v>
      </c>
      <c r="K2462">
        <v>2874.44</v>
      </c>
      <c r="L2462" t="s">
        <v>30</v>
      </c>
      <c r="M2462">
        <v>712</v>
      </c>
      <c r="N2462">
        <v>0.21</v>
      </c>
      <c r="O2462" s="3">
        <v>478.66</v>
      </c>
      <c r="P2462" s="3">
        <v>0.11</v>
      </c>
      <c r="Q2462" s="3">
        <v>695.56</v>
      </c>
      <c r="R2462" s="3">
        <v>0.17</v>
      </c>
      <c r="S2462">
        <v>9</v>
      </c>
      <c r="T2462">
        <v>1047.97</v>
      </c>
      <c r="U2462">
        <v>47</v>
      </c>
      <c r="V2462">
        <v>0</v>
      </c>
      <c r="W2462">
        <v>333.39</v>
      </c>
      <c r="X2462">
        <v>1839.38</v>
      </c>
      <c r="Y2462" t="s">
        <v>36</v>
      </c>
      <c r="Z2462" s="3">
        <v>1293.3</v>
      </c>
      <c r="AA2462" t="s">
        <v>47</v>
      </c>
      <c r="AB2462" t="s">
        <v>42</v>
      </c>
      <c r="AC2462">
        <v>78</v>
      </c>
      <c r="AD2462" t="s">
        <v>34</v>
      </c>
      <c r="AE2462">
        <v>1513.84</v>
      </c>
      <c r="AF2462">
        <v>0</v>
      </c>
    </row>
    <row r="2463" spans="3:32" x14ac:dyDescent="0.35">
      <c r="C2463" s="1">
        <v>44936</v>
      </c>
      <c r="D2463" s="2">
        <v>44927</v>
      </c>
      <c r="E2463">
        <v>1583</v>
      </c>
      <c r="F2463" s="3">
        <v>5606.25</v>
      </c>
      <c r="G2463" s="3">
        <v>3395.15</v>
      </c>
      <c r="H2463" s="3">
        <v>2211.1</v>
      </c>
      <c r="I2463" s="3">
        <v>0.61</v>
      </c>
      <c r="J2463">
        <v>0.35</v>
      </c>
      <c r="K2463">
        <v>2878.46</v>
      </c>
      <c r="L2463" t="s">
        <v>39</v>
      </c>
      <c r="M2463">
        <v>666</v>
      </c>
      <c r="N2463">
        <v>0.11</v>
      </c>
      <c r="O2463" s="3">
        <v>571.38</v>
      </c>
      <c r="P2463" s="3">
        <v>0.1</v>
      </c>
      <c r="Q2463" s="3">
        <v>601.51</v>
      </c>
      <c r="R2463" s="3">
        <v>0.11</v>
      </c>
      <c r="S2463">
        <v>9</v>
      </c>
      <c r="T2463">
        <v>570.19000000000005</v>
      </c>
      <c r="U2463">
        <v>54</v>
      </c>
      <c r="V2463">
        <v>0</v>
      </c>
      <c r="W2463">
        <v>884.29</v>
      </c>
      <c r="X2463">
        <v>1612.32</v>
      </c>
      <c r="Y2463" t="s">
        <v>36</v>
      </c>
      <c r="Z2463" s="3">
        <v>690.7</v>
      </c>
      <c r="AA2463" t="s">
        <v>32</v>
      </c>
      <c r="AB2463" t="s">
        <v>44</v>
      </c>
      <c r="AC2463">
        <v>83.2</v>
      </c>
      <c r="AD2463" t="s">
        <v>34</v>
      </c>
      <c r="AE2463">
        <v>2211.1</v>
      </c>
      <c r="AF2463">
        <v>0</v>
      </c>
    </row>
    <row r="2464" spans="3:32" x14ac:dyDescent="0.35">
      <c r="C2464" s="1">
        <v>44936</v>
      </c>
      <c r="D2464" s="2">
        <v>44927</v>
      </c>
      <c r="E2464">
        <v>1425</v>
      </c>
      <c r="F2464" s="3">
        <v>3570.91</v>
      </c>
      <c r="G2464" s="3">
        <v>3990.86</v>
      </c>
      <c r="H2464" s="3">
        <v>-419.95</v>
      </c>
      <c r="I2464" s="3">
        <v>1.1200000000000001</v>
      </c>
      <c r="J2464">
        <v>0.28000000000000003</v>
      </c>
      <c r="K2464">
        <v>2738.91</v>
      </c>
      <c r="L2464" t="s">
        <v>30</v>
      </c>
      <c r="M2464">
        <v>659</v>
      </c>
      <c r="N2464">
        <v>0.44</v>
      </c>
      <c r="O2464" s="3">
        <v>455.32</v>
      </c>
      <c r="P2464" s="3">
        <v>0.13</v>
      </c>
      <c r="Q2464" s="3">
        <v>632.74</v>
      </c>
      <c r="R2464" s="3">
        <v>0.18</v>
      </c>
      <c r="S2464">
        <v>8</v>
      </c>
      <c r="T2464">
        <v>975.57</v>
      </c>
      <c r="U2464">
        <v>59</v>
      </c>
      <c r="V2464">
        <v>0</v>
      </c>
      <c r="W2464">
        <v>453.96</v>
      </c>
      <c r="X2464">
        <v>3183.33</v>
      </c>
      <c r="Y2464" t="s">
        <v>36</v>
      </c>
      <c r="Z2464" s="3">
        <v>841.4</v>
      </c>
      <c r="AA2464" t="s">
        <v>40</v>
      </c>
      <c r="AB2464" t="s">
        <v>44</v>
      </c>
      <c r="AC2464">
        <v>4.2</v>
      </c>
      <c r="AD2464" t="s">
        <v>34</v>
      </c>
      <c r="AE2464">
        <v>0</v>
      </c>
      <c r="AF2464">
        <v>0</v>
      </c>
    </row>
    <row r="2465" spans="3:32" x14ac:dyDescent="0.35">
      <c r="C2465" s="1">
        <v>44936</v>
      </c>
      <c r="D2465" s="2">
        <v>44927</v>
      </c>
      <c r="E2465">
        <v>1074</v>
      </c>
      <c r="F2465" s="3">
        <v>4349.9799999999996</v>
      </c>
      <c r="G2465" s="3">
        <v>2583.13</v>
      </c>
      <c r="H2465" s="3">
        <v>1766.85</v>
      </c>
      <c r="I2465" s="3">
        <v>0.59</v>
      </c>
      <c r="J2465">
        <v>0.21</v>
      </c>
      <c r="K2465">
        <v>2382.33</v>
      </c>
      <c r="L2465" t="s">
        <v>39</v>
      </c>
      <c r="M2465">
        <v>742</v>
      </c>
      <c r="N2465">
        <v>0.3</v>
      </c>
      <c r="O2465" s="3">
        <v>307.02</v>
      </c>
      <c r="P2465" s="3">
        <v>7.0000000000000007E-2</v>
      </c>
      <c r="Q2465" s="3">
        <v>293.14999999999998</v>
      </c>
      <c r="R2465" s="3">
        <v>7.0000000000000007E-2</v>
      </c>
      <c r="S2465">
        <v>9</v>
      </c>
      <c r="T2465">
        <v>1993.79</v>
      </c>
      <c r="U2465">
        <v>53</v>
      </c>
      <c r="V2465">
        <v>0</v>
      </c>
      <c r="W2465">
        <v>644.54999999999995</v>
      </c>
      <c r="X2465">
        <v>2523.04</v>
      </c>
      <c r="Y2465" t="s">
        <v>31</v>
      </c>
      <c r="Z2465" s="3">
        <v>443.65</v>
      </c>
      <c r="AA2465" t="s">
        <v>47</v>
      </c>
      <c r="AB2465" t="s">
        <v>33</v>
      </c>
      <c r="AC2465">
        <v>73.2</v>
      </c>
      <c r="AD2465" t="s">
        <v>34</v>
      </c>
      <c r="AE2465">
        <v>1766.85</v>
      </c>
      <c r="AF2465">
        <v>0</v>
      </c>
    </row>
    <row r="2466" spans="3:32" x14ac:dyDescent="0.35">
      <c r="C2466" s="1">
        <v>44936</v>
      </c>
      <c r="D2466" s="2">
        <v>44927</v>
      </c>
      <c r="E2466">
        <v>1880</v>
      </c>
      <c r="F2466" s="3">
        <v>4996.59</v>
      </c>
      <c r="G2466" s="3">
        <v>3278.59</v>
      </c>
      <c r="H2466" s="3">
        <v>1718</v>
      </c>
      <c r="I2466" s="3">
        <v>0.66</v>
      </c>
      <c r="J2466">
        <v>0.27</v>
      </c>
      <c r="K2466">
        <v>2408.9299999999998</v>
      </c>
      <c r="L2466" t="s">
        <v>35</v>
      </c>
      <c r="M2466">
        <v>696</v>
      </c>
      <c r="N2466">
        <v>0.25</v>
      </c>
      <c r="O2466" s="3">
        <v>717.69</v>
      </c>
      <c r="P2466" s="3">
        <v>0.14000000000000001</v>
      </c>
      <c r="Q2466" s="3">
        <v>685.89</v>
      </c>
      <c r="R2466" s="3">
        <v>0.14000000000000001</v>
      </c>
      <c r="S2466">
        <v>4</v>
      </c>
      <c r="T2466">
        <v>1560.59</v>
      </c>
      <c r="U2466">
        <v>61</v>
      </c>
      <c r="V2466">
        <v>0</v>
      </c>
      <c r="W2466">
        <v>307.77</v>
      </c>
      <c r="X2466">
        <v>1942.17</v>
      </c>
      <c r="Y2466" t="s">
        <v>36</v>
      </c>
      <c r="Z2466" s="3">
        <v>1198.57</v>
      </c>
      <c r="AA2466" t="s">
        <v>47</v>
      </c>
      <c r="AB2466" t="s">
        <v>33</v>
      </c>
      <c r="AC2466">
        <v>2.2999999999999998</v>
      </c>
      <c r="AD2466" t="s">
        <v>34</v>
      </c>
      <c r="AE2466">
        <v>1718</v>
      </c>
      <c r="AF2466">
        <v>0</v>
      </c>
    </row>
    <row r="2467" spans="3:32" x14ac:dyDescent="0.35">
      <c r="C2467" s="1">
        <v>44936</v>
      </c>
      <c r="D2467" s="2">
        <v>44927</v>
      </c>
      <c r="E2467">
        <v>1177</v>
      </c>
      <c r="F2467" s="3">
        <v>3249.9</v>
      </c>
      <c r="G2467" s="3">
        <v>3808.7</v>
      </c>
      <c r="H2467" s="3">
        <v>-558.79999999999995</v>
      </c>
      <c r="I2467" s="3">
        <v>1.17</v>
      </c>
      <c r="J2467">
        <v>0.1</v>
      </c>
      <c r="K2467">
        <v>2342</v>
      </c>
      <c r="L2467" t="s">
        <v>39</v>
      </c>
      <c r="M2467">
        <v>813</v>
      </c>
      <c r="N2467">
        <v>0.38</v>
      </c>
      <c r="O2467" s="3">
        <v>762.35</v>
      </c>
      <c r="P2467" s="3">
        <v>0.23</v>
      </c>
      <c r="Q2467" s="3">
        <v>258.92</v>
      </c>
      <c r="R2467" s="3">
        <v>0.08</v>
      </c>
      <c r="S2467">
        <v>7</v>
      </c>
      <c r="T2467">
        <v>958.25</v>
      </c>
      <c r="U2467">
        <v>82</v>
      </c>
      <c r="V2467">
        <v>0</v>
      </c>
      <c r="W2467">
        <v>971.66</v>
      </c>
      <c r="X2467">
        <v>2355.5</v>
      </c>
      <c r="Y2467" t="s">
        <v>36</v>
      </c>
      <c r="Z2467" s="3">
        <v>1432.23</v>
      </c>
      <c r="AA2467" t="s">
        <v>32</v>
      </c>
      <c r="AB2467" t="s">
        <v>33</v>
      </c>
      <c r="AC2467">
        <v>91.3</v>
      </c>
      <c r="AD2467" t="s">
        <v>38</v>
      </c>
      <c r="AE2467">
        <v>0</v>
      </c>
      <c r="AF2467">
        <v>0</v>
      </c>
    </row>
    <row r="2468" spans="3:32" x14ac:dyDescent="0.35">
      <c r="C2468" s="1">
        <v>44936</v>
      </c>
      <c r="D2468" s="2">
        <v>44927</v>
      </c>
      <c r="E2468">
        <v>1734</v>
      </c>
      <c r="F2468" s="3">
        <v>5461.23</v>
      </c>
      <c r="G2468" s="3">
        <v>2857.86</v>
      </c>
      <c r="H2468" s="3">
        <v>2603.37</v>
      </c>
      <c r="I2468" s="3">
        <v>0.52</v>
      </c>
      <c r="J2468">
        <v>0.06</v>
      </c>
      <c r="K2468">
        <v>3539.62</v>
      </c>
      <c r="L2468" t="s">
        <v>30</v>
      </c>
      <c r="M2468">
        <v>773</v>
      </c>
      <c r="N2468">
        <v>0.3</v>
      </c>
      <c r="O2468" s="3">
        <v>470.75</v>
      </c>
      <c r="P2468" s="3">
        <v>0.09</v>
      </c>
      <c r="Q2468" s="3">
        <v>480.29</v>
      </c>
      <c r="R2468" s="3">
        <v>0.09</v>
      </c>
      <c r="S2468">
        <v>9</v>
      </c>
      <c r="T2468">
        <v>353.31</v>
      </c>
      <c r="U2468">
        <v>91</v>
      </c>
      <c r="V2468">
        <v>0</v>
      </c>
      <c r="W2468">
        <v>599.11</v>
      </c>
      <c r="X2468">
        <v>2285.2800000000002</v>
      </c>
      <c r="Y2468" t="s">
        <v>36</v>
      </c>
      <c r="Z2468" s="3">
        <v>1804.51</v>
      </c>
      <c r="AA2468" t="s">
        <v>47</v>
      </c>
      <c r="AB2468" t="s">
        <v>44</v>
      </c>
      <c r="AC2468">
        <v>64.5</v>
      </c>
      <c r="AD2468" t="s">
        <v>38</v>
      </c>
      <c r="AE2468">
        <v>2603.37</v>
      </c>
      <c r="AF2468">
        <v>0</v>
      </c>
    </row>
    <row r="2469" spans="3:32" x14ac:dyDescent="0.35">
      <c r="C2469" s="1">
        <v>44936</v>
      </c>
      <c r="D2469" s="2">
        <v>44927</v>
      </c>
      <c r="E2469">
        <v>1453</v>
      </c>
      <c r="F2469" s="3">
        <v>3697.69</v>
      </c>
      <c r="G2469" s="3">
        <v>1940.3</v>
      </c>
      <c r="H2469" s="3">
        <v>1757.39</v>
      </c>
      <c r="I2469" s="3">
        <v>0.52</v>
      </c>
      <c r="J2469">
        <v>0.2</v>
      </c>
      <c r="K2469">
        <v>2451.8000000000002</v>
      </c>
      <c r="L2469" t="s">
        <v>39</v>
      </c>
      <c r="M2469">
        <v>738</v>
      </c>
      <c r="N2469">
        <v>0.47</v>
      </c>
      <c r="O2469" s="3">
        <v>363.1</v>
      </c>
      <c r="P2469" s="3">
        <v>0.1</v>
      </c>
      <c r="Q2469" s="3">
        <v>522.41999999999996</v>
      </c>
      <c r="R2469" s="3">
        <v>0.14000000000000001</v>
      </c>
      <c r="S2469">
        <v>3</v>
      </c>
      <c r="T2469">
        <v>2179.66</v>
      </c>
      <c r="U2469">
        <v>86</v>
      </c>
      <c r="V2469">
        <v>0</v>
      </c>
      <c r="W2469">
        <v>493.48</v>
      </c>
      <c r="X2469">
        <v>2305.3000000000002</v>
      </c>
      <c r="Y2469" t="s">
        <v>36</v>
      </c>
      <c r="Z2469" s="3">
        <v>808.21</v>
      </c>
      <c r="AA2469" t="s">
        <v>45</v>
      </c>
      <c r="AB2469" t="s">
        <v>33</v>
      </c>
      <c r="AC2469">
        <v>19.5</v>
      </c>
      <c r="AD2469" t="s">
        <v>38</v>
      </c>
      <c r="AE2469">
        <v>1757.39</v>
      </c>
      <c r="AF2469">
        <v>0</v>
      </c>
    </row>
    <row r="2470" spans="3:32" x14ac:dyDescent="0.35">
      <c r="C2470" s="1">
        <v>44936</v>
      </c>
      <c r="D2470" s="2">
        <v>44927</v>
      </c>
      <c r="E2470">
        <v>1543</v>
      </c>
      <c r="F2470" s="3">
        <v>4103.1899999999996</v>
      </c>
      <c r="G2470" s="3">
        <v>4148.24</v>
      </c>
      <c r="H2470" s="3">
        <v>-45.05</v>
      </c>
      <c r="I2470" s="3">
        <v>1.01</v>
      </c>
      <c r="J2470">
        <v>0.18</v>
      </c>
      <c r="K2470">
        <v>2828.83</v>
      </c>
      <c r="L2470" t="s">
        <v>35</v>
      </c>
      <c r="M2470">
        <v>705</v>
      </c>
      <c r="N2470">
        <v>0.23</v>
      </c>
      <c r="O2470" s="3">
        <v>356.06</v>
      </c>
      <c r="P2470" s="3">
        <v>0.09</v>
      </c>
      <c r="Q2470" s="3">
        <v>179.31</v>
      </c>
      <c r="R2470" s="3">
        <v>0.04</v>
      </c>
      <c r="S2470">
        <v>4</v>
      </c>
      <c r="T2470">
        <v>631.65</v>
      </c>
      <c r="U2470">
        <v>97</v>
      </c>
      <c r="V2470">
        <v>0</v>
      </c>
      <c r="W2470">
        <v>673.15</v>
      </c>
      <c r="X2470">
        <v>1724.77</v>
      </c>
      <c r="Y2470" t="s">
        <v>31</v>
      </c>
      <c r="Z2470" s="3">
        <v>943.08</v>
      </c>
      <c r="AA2470" t="s">
        <v>37</v>
      </c>
      <c r="AB2470" t="s">
        <v>33</v>
      </c>
      <c r="AC2470">
        <v>27.4</v>
      </c>
      <c r="AD2470" t="s">
        <v>43</v>
      </c>
      <c r="AE2470">
        <v>0</v>
      </c>
      <c r="AF2470">
        <v>0</v>
      </c>
    </row>
    <row r="2471" spans="3:32" x14ac:dyDescent="0.35">
      <c r="C2471" s="1">
        <v>44936</v>
      </c>
      <c r="D2471" s="2">
        <v>44927</v>
      </c>
      <c r="E2471">
        <v>1158</v>
      </c>
      <c r="F2471" s="3">
        <v>2992.75</v>
      </c>
      <c r="G2471" s="3">
        <v>3377.14</v>
      </c>
      <c r="H2471" s="3">
        <v>-384.39</v>
      </c>
      <c r="I2471" s="3">
        <v>1.1299999999999999</v>
      </c>
      <c r="J2471">
        <v>0.17</v>
      </c>
      <c r="K2471">
        <v>2919.13</v>
      </c>
      <c r="L2471" t="s">
        <v>39</v>
      </c>
      <c r="M2471">
        <v>635</v>
      </c>
      <c r="N2471">
        <v>0.14000000000000001</v>
      </c>
      <c r="O2471" s="3">
        <v>685.28</v>
      </c>
      <c r="P2471" s="3">
        <v>0.23</v>
      </c>
      <c r="Q2471" s="3">
        <v>905.14</v>
      </c>
      <c r="R2471" s="3">
        <v>0.3</v>
      </c>
      <c r="S2471">
        <v>7</v>
      </c>
      <c r="T2471">
        <v>811.18</v>
      </c>
      <c r="U2471">
        <v>26</v>
      </c>
      <c r="V2471">
        <v>0</v>
      </c>
      <c r="W2471">
        <v>828.32</v>
      </c>
      <c r="X2471">
        <v>2769.19</v>
      </c>
      <c r="Y2471" t="s">
        <v>36</v>
      </c>
      <c r="Z2471" s="3">
        <v>1260.19</v>
      </c>
      <c r="AA2471" t="s">
        <v>47</v>
      </c>
      <c r="AB2471" t="s">
        <v>33</v>
      </c>
      <c r="AC2471">
        <v>49.3</v>
      </c>
      <c r="AD2471" t="s">
        <v>43</v>
      </c>
      <c r="AE2471">
        <v>0</v>
      </c>
      <c r="AF2471">
        <v>0</v>
      </c>
    </row>
    <row r="2472" spans="3:32" x14ac:dyDescent="0.35">
      <c r="C2472" s="1">
        <v>44936</v>
      </c>
      <c r="D2472" s="2">
        <v>44927</v>
      </c>
      <c r="E2472">
        <v>1189</v>
      </c>
      <c r="F2472" s="3">
        <v>3817.12</v>
      </c>
      <c r="G2472" s="3">
        <v>2275.46</v>
      </c>
      <c r="H2472" s="3">
        <v>1541.66</v>
      </c>
      <c r="I2472" s="3">
        <v>0.6</v>
      </c>
      <c r="J2472">
        <v>0.3</v>
      </c>
      <c r="K2472">
        <v>3407.94</v>
      </c>
      <c r="L2472" t="s">
        <v>39</v>
      </c>
      <c r="M2472">
        <v>663</v>
      </c>
      <c r="N2472">
        <v>0.31</v>
      </c>
      <c r="O2472" s="3">
        <v>663.54</v>
      </c>
      <c r="P2472" s="3">
        <v>0.17</v>
      </c>
      <c r="Q2472" s="3">
        <v>753.28</v>
      </c>
      <c r="R2472" s="3">
        <v>0.2</v>
      </c>
      <c r="S2472">
        <v>4</v>
      </c>
      <c r="T2472">
        <v>1090.75</v>
      </c>
      <c r="U2472">
        <v>36</v>
      </c>
      <c r="V2472">
        <v>0</v>
      </c>
      <c r="W2472">
        <v>373.78</v>
      </c>
      <c r="X2472">
        <v>1668.66</v>
      </c>
      <c r="Y2472" t="s">
        <v>36</v>
      </c>
      <c r="Z2472" s="3">
        <v>330.13</v>
      </c>
      <c r="AA2472" t="s">
        <v>47</v>
      </c>
      <c r="AB2472" t="s">
        <v>42</v>
      </c>
      <c r="AC2472">
        <v>27.3</v>
      </c>
      <c r="AD2472" t="s">
        <v>34</v>
      </c>
      <c r="AE2472">
        <v>1541.66</v>
      </c>
      <c r="AF2472">
        <v>0</v>
      </c>
    </row>
    <row r="2473" spans="3:32" x14ac:dyDescent="0.35">
      <c r="C2473" s="1">
        <v>44936</v>
      </c>
      <c r="D2473" s="2">
        <v>44927</v>
      </c>
      <c r="E2473">
        <v>1462</v>
      </c>
      <c r="F2473" s="3">
        <v>3452.89</v>
      </c>
      <c r="G2473" s="3">
        <v>3373.56</v>
      </c>
      <c r="H2473" s="3">
        <v>79.33</v>
      </c>
      <c r="I2473" s="3">
        <v>0.98</v>
      </c>
      <c r="J2473">
        <v>0.34</v>
      </c>
      <c r="K2473">
        <v>3376.34</v>
      </c>
      <c r="L2473" t="s">
        <v>30</v>
      </c>
      <c r="M2473">
        <v>698</v>
      </c>
      <c r="N2473">
        <v>0.14000000000000001</v>
      </c>
      <c r="O2473" s="3">
        <v>209.68</v>
      </c>
      <c r="P2473" s="3">
        <v>0.06</v>
      </c>
      <c r="Q2473" s="3">
        <v>420.43</v>
      </c>
      <c r="R2473" s="3">
        <v>0.12</v>
      </c>
      <c r="S2473">
        <v>4</v>
      </c>
      <c r="T2473">
        <v>724.7</v>
      </c>
      <c r="U2473">
        <v>50</v>
      </c>
      <c r="V2473">
        <v>0</v>
      </c>
      <c r="W2473">
        <v>560.5</v>
      </c>
      <c r="X2473">
        <v>1408.65</v>
      </c>
      <c r="Y2473" t="s">
        <v>36</v>
      </c>
      <c r="Z2473" s="3">
        <v>1602.26</v>
      </c>
      <c r="AA2473" t="s">
        <v>46</v>
      </c>
      <c r="AB2473" t="s">
        <v>42</v>
      </c>
      <c r="AC2473">
        <v>85.3</v>
      </c>
      <c r="AD2473" t="s">
        <v>34</v>
      </c>
      <c r="AE2473">
        <v>79.33</v>
      </c>
      <c r="AF2473">
        <v>0</v>
      </c>
    </row>
    <row r="2474" spans="3:32" x14ac:dyDescent="0.35">
      <c r="C2474" s="1">
        <v>44936</v>
      </c>
      <c r="D2474" s="2">
        <v>44927</v>
      </c>
      <c r="E2474">
        <v>1932</v>
      </c>
      <c r="F2474" s="3">
        <v>2996.84</v>
      </c>
      <c r="G2474" s="3">
        <v>3492.35</v>
      </c>
      <c r="H2474" s="3">
        <v>-495.51</v>
      </c>
      <c r="I2474" s="3">
        <v>1.17</v>
      </c>
      <c r="J2474">
        <v>0.18</v>
      </c>
      <c r="K2474">
        <v>2169.1</v>
      </c>
      <c r="L2474" t="s">
        <v>35</v>
      </c>
      <c r="M2474">
        <v>680</v>
      </c>
      <c r="N2474">
        <v>0.43</v>
      </c>
      <c r="O2474" s="3">
        <v>398.09</v>
      </c>
      <c r="P2474" s="3">
        <v>0.13</v>
      </c>
      <c r="Q2474" s="3">
        <v>79.33</v>
      </c>
      <c r="R2474" s="3">
        <v>0.03</v>
      </c>
      <c r="S2474">
        <v>8</v>
      </c>
      <c r="T2474">
        <v>1524.37</v>
      </c>
      <c r="U2474">
        <v>27</v>
      </c>
      <c r="V2474">
        <v>0</v>
      </c>
      <c r="W2474">
        <v>438.15</v>
      </c>
      <c r="X2474">
        <v>2052.0500000000002</v>
      </c>
      <c r="Y2474" t="s">
        <v>36</v>
      </c>
      <c r="Z2474" s="3">
        <v>637.14</v>
      </c>
      <c r="AA2474" t="s">
        <v>41</v>
      </c>
      <c r="AB2474" t="s">
        <v>42</v>
      </c>
      <c r="AC2474">
        <v>39.200000000000003</v>
      </c>
      <c r="AD2474" t="s">
        <v>34</v>
      </c>
      <c r="AE2474">
        <v>0</v>
      </c>
      <c r="AF2474">
        <v>0</v>
      </c>
    </row>
    <row r="2475" spans="3:32" x14ac:dyDescent="0.35">
      <c r="C2475" s="1">
        <v>44936</v>
      </c>
      <c r="D2475" s="2">
        <v>44927</v>
      </c>
      <c r="E2475">
        <v>1228</v>
      </c>
      <c r="F2475" s="3">
        <v>2486.1999999999998</v>
      </c>
      <c r="G2475" s="3">
        <v>1480.99</v>
      </c>
      <c r="H2475" s="3">
        <v>1005.21</v>
      </c>
      <c r="I2475" s="3">
        <v>0.6</v>
      </c>
      <c r="J2475">
        <v>0.11</v>
      </c>
      <c r="K2475">
        <v>2960.54</v>
      </c>
      <c r="L2475" t="s">
        <v>39</v>
      </c>
      <c r="M2475">
        <v>634</v>
      </c>
      <c r="N2475">
        <v>0.53</v>
      </c>
      <c r="O2475" s="3">
        <v>575.75</v>
      </c>
      <c r="P2475" s="3">
        <v>0.23</v>
      </c>
      <c r="Q2475" s="3">
        <v>339.05</v>
      </c>
      <c r="R2475" s="3">
        <v>0.14000000000000001</v>
      </c>
      <c r="S2475">
        <v>1</v>
      </c>
      <c r="T2475">
        <v>692.32</v>
      </c>
      <c r="U2475">
        <v>53</v>
      </c>
      <c r="V2475">
        <v>0</v>
      </c>
      <c r="W2475">
        <v>501.54</v>
      </c>
      <c r="X2475">
        <v>3283.08</v>
      </c>
      <c r="Y2475" t="s">
        <v>36</v>
      </c>
      <c r="Z2475" s="3">
        <v>300</v>
      </c>
      <c r="AA2475" t="s">
        <v>47</v>
      </c>
      <c r="AB2475" t="s">
        <v>44</v>
      </c>
      <c r="AC2475">
        <v>25.1</v>
      </c>
      <c r="AD2475" t="s">
        <v>38</v>
      </c>
      <c r="AE2475">
        <v>1005.21</v>
      </c>
      <c r="AF2475">
        <v>0</v>
      </c>
    </row>
    <row r="2476" spans="3:32" x14ac:dyDescent="0.35">
      <c r="C2476" s="1">
        <v>44936</v>
      </c>
      <c r="D2476" s="2">
        <v>44927</v>
      </c>
      <c r="E2476">
        <v>1572</v>
      </c>
      <c r="F2476" s="3">
        <v>3404.43</v>
      </c>
      <c r="G2476" s="3">
        <v>3111.33</v>
      </c>
      <c r="H2476" s="3">
        <v>293.10000000000002</v>
      </c>
      <c r="I2476" s="3">
        <v>0.91</v>
      </c>
      <c r="J2476">
        <v>0.12</v>
      </c>
      <c r="K2476">
        <v>3031.91</v>
      </c>
      <c r="L2476" t="s">
        <v>35</v>
      </c>
      <c r="M2476">
        <v>634</v>
      </c>
      <c r="N2476">
        <v>0.33</v>
      </c>
      <c r="O2476" s="3">
        <v>199.86</v>
      </c>
      <c r="P2476" s="3">
        <v>0.06</v>
      </c>
      <c r="Q2476" s="3">
        <v>669.09</v>
      </c>
      <c r="R2476" s="3">
        <v>0.2</v>
      </c>
      <c r="S2476">
        <v>9</v>
      </c>
      <c r="T2476">
        <v>2142.4499999999998</v>
      </c>
      <c r="U2476">
        <v>67</v>
      </c>
      <c r="V2476">
        <v>0</v>
      </c>
      <c r="W2476">
        <v>877.83</v>
      </c>
      <c r="X2476">
        <v>2253.44</v>
      </c>
      <c r="Y2476" t="s">
        <v>36</v>
      </c>
      <c r="Z2476" s="3">
        <v>1136.6500000000001</v>
      </c>
      <c r="AA2476" t="s">
        <v>45</v>
      </c>
      <c r="AB2476" t="s">
        <v>33</v>
      </c>
      <c r="AC2476">
        <v>53</v>
      </c>
      <c r="AD2476" t="s">
        <v>43</v>
      </c>
      <c r="AE2476">
        <v>293.10000000000002</v>
      </c>
      <c r="AF2476">
        <v>0</v>
      </c>
    </row>
    <row r="2477" spans="3:32" x14ac:dyDescent="0.35">
      <c r="C2477" s="1">
        <v>44936</v>
      </c>
      <c r="D2477" s="2">
        <v>44927</v>
      </c>
      <c r="E2477">
        <v>1959</v>
      </c>
      <c r="F2477" s="3">
        <v>4965.45</v>
      </c>
      <c r="G2477" s="3">
        <v>2158.98</v>
      </c>
      <c r="H2477" s="3">
        <v>2806.47</v>
      </c>
      <c r="I2477" s="3">
        <v>0.43</v>
      </c>
      <c r="J2477">
        <v>0.28999999999999998</v>
      </c>
      <c r="K2477">
        <v>3643.43</v>
      </c>
      <c r="L2477" t="s">
        <v>30</v>
      </c>
      <c r="M2477">
        <v>743</v>
      </c>
      <c r="N2477">
        <v>0.22</v>
      </c>
      <c r="O2477" s="3">
        <v>424.54</v>
      </c>
      <c r="P2477" s="3">
        <v>0.09</v>
      </c>
      <c r="Q2477" s="3">
        <v>632.01</v>
      </c>
      <c r="R2477" s="3">
        <v>0.13</v>
      </c>
      <c r="S2477">
        <v>3</v>
      </c>
      <c r="T2477">
        <v>1024.02</v>
      </c>
      <c r="U2477">
        <v>33</v>
      </c>
      <c r="V2477">
        <v>0</v>
      </c>
      <c r="W2477">
        <v>404.35</v>
      </c>
      <c r="X2477">
        <v>1720.8</v>
      </c>
      <c r="Y2477" t="s">
        <v>36</v>
      </c>
      <c r="Z2477" s="3">
        <v>1513.19</v>
      </c>
      <c r="AA2477" t="s">
        <v>46</v>
      </c>
      <c r="AB2477" t="s">
        <v>44</v>
      </c>
      <c r="AC2477">
        <v>7.2</v>
      </c>
      <c r="AD2477" t="s">
        <v>43</v>
      </c>
      <c r="AE2477">
        <v>2806.47</v>
      </c>
      <c r="AF2477">
        <v>0</v>
      </c>
    </row>
    <row r="2478" spans="3:32" x14ac:dyDescent="0.35">
      <c r="C2478" s="1">
        <v>44936</v>
      </c>
      <c r="D2478" s="2">
        <v>44927</v>
      </c>
      <c r="E2478">
        <v>1521</v>
      </c>
      <c r="F2478" s="3">
        <v>4284.37</v>
      </c>
      <c r="G2478" s="3">
        <v>1642.13</v>
      </c>
      <c r="H2478" s="3">
        <v>2642.24</v>
      </c>
      <c r="I2478" s="3">
        <v>0.38</v>
      </c>
      <c r="J2478">
        <v>0.37</v>
      </c>
      <c r="K2478">
        <v>3856.76</v>
      </c>
      <c r="L2478" t="s">
        <v>35</v>
      </c>
      <c r="M2478">
        <v>657</v>
      </c>
      <c r="N2478">
        <v>0.57999999999999996</v>
      </c>
      <c r="O2478" s="3">
        <v>396.85</v>
      </c>
      <c r="P2478" s="3">
        <v>0.09</v>
      </c>
      <c r="Q2478" s="3">
        <v>601.29</v>
      </c>
      <c r="R2478" s="3">
        <v>0.14000000000000001</v>
      </c>
      <c r="S2478">
        <v>1</v>
      </c>
      <c r="T2478">
        <v>262.08</v>
      </c>
      <c r="U2478">
        <v>76</v>
      </c>
      <c r="V2478">
        <v>0</v>
      </c>
      <c r="W2478">
        <v>565.6</v>
      </c>
      <c r="X2478">
        <v>2690.95</v>
      </c>
      <c r="Y2478" t="s">
        <v>36</v>
      </c>
      <c r="Z2478" s="3">
        <v>1123.5999999999999</v>
      </c>
      <c r="AA2478" t="s">
        <v>46</v>
      </c>
      <c r="AB2478" t="s">
        <v>42</v>
      </c>
      <c r="AC2478">
        <v>79</v>
      </c>
      <c r="AD2478" t="s">
        <v>38</v>
      </c>
      <c r="AE2478">
        <v>2642.24</v>
      </c>
      <c r="AF2478">
        <v>0</v>
      </c>
    </row>
    <row r="2479" spans="3:32" x14ac:dyDescent="0.35">
      <c r="C2479" s="1">
        <v>44936</v>
      </c>
      <c r="D2479" s="2">
        <v>44927</v>
      </c>
      <c r="E2479">
        <v>1165</v>
      </c>
      <c r="F2479" s="3">
        <v>3229.95</v>
      </c>
      <c r="G2479" s="3">
        <v>2785.75</v>
      </c>
      <c r="H2479" s="3">
        <v>444.2</v>
      </c>
      <c r="I2479" s="3">
        <v>0.86</v>
      </c>
      <c r="J2479">
        <v>0.25</v>
      </c>
      <c r="K2479">
        <v>2757.98</v>
      </c>
      <c r="L2479" t="s">
        <v>30</v>
      </c>
      <c r="M2479">
        <v>628</v>
      </c>
      <c r="N2479">
        <v>0.56000000000000005</v>
      </c>
      <c r="O2479" s="3">
        <v>259.25</v>
      </c>
      <c r="P2479" s="3">
        <v>0.08</v>
      </c>
      <c r="Q2479" s="3">
        <v>449.76</v>
      </c>
      <c r="R2479" s="3">
        <v>0.14000000000000001</v>
      </c>
      <c r="S2479">
        <v>4</v>
      </c>
      <c r="T2479">
        <v>934.02</v>
      </c>
      <c r="U2479">
        <v>26</v>
      </c>
      <c r="V2479">
        <v>0</v>
      </c>
      <c r="W2479">
        <v>647.72</v>
      </c>
      <c r="X2479">
        <v>1184.3599999999999</v>
      </c>
      <c r="Y2479" t="s">
        <v>36</v>
      </c>
      <c r="Z2479" s="3">
        <v>1162.68</v>
      </c>
      <c r="AA2479" t="s">
        <v>47</v>
      </c>
      <c r="AB2479" t="s">
        <v>33</v>
      </c>
      <c r="AC2479">
        <v>88.8</v>
      </c>
      <c r="AD2479" t="s">
        <v>43</v>
      </c>
      <c r="AE2479">
        <v>444.2</v>
      </c>
      <c r="AF2479">
        <v>0</v>
      </c>
    </row>
    <row r="2480" spans="3:32" x14ac:dyDescent="0.35">
      <c r="C2480" s="1">
        <v>44936</v>
      </c>
      <c r="D2480" s="2">
        <v>44927</v>
      </c>
      <c r="E2480">
        <v>1125</v>
      </c>
      <c r="F2480" s="3">
        <v>2571.1999999999998</v>
      </c>
      <c r="G2480" s="3">
        <v>1668.93</v>
      </c>
      <c r="H2480" s="3">
        <v>902.27</v>
      </c>
      <c r="I2480" s="3">
        <v>0.65</v>
      </c>
      <c r="J2480">
        <v>0.13</v>
      </c>
      <c r="K2480">
        <v>2859.96</v>
      </c>
      <c r="L2480" t="s">
        <v>35</v>
      </c>
      <c r="M2480">
        <v>701</v>
      </c>
      <c r="N2480">
        <v>0.15</v>
      </c>
      <c r="O2480" s="3">
        <v>158.47</v>
      </c>
      <c r="P2480" s="3">
        <v>0.06</v>
      </c>
      <c r="Q2480" s="3">
        <v>531.78</v>
      </c>
      <c r="R2480" s="3">
        <v>0.21</v>
      </c>
      <c r="S2480">
        <v>2</v>
      </c>
      <c r="T2480">
        <v>1756.77</v>
      </c>
      <c r="U2480">
        <v>92</v>
      </c>
      <c r="V2480">
        <v>0</v>
      </c>
      <c r="W2480">
        <v>729.18</v>
      </c>
      <c r="X2480">
        <v>1638.63</v>
      </c>
      <c r="Y2480" t="s">
        <v>31</v>
      </c>
      <c r="Z2480" s="3">
        <v>1284.45</v>
      </c>
      <c r="AA2480" t="s">
        <v>41</v>
      </c>
      <c r="AB2480" t="s">
        <v>44</v>
      </c>
      <c r="AC2480">
        <v>19.899999999999999</v>
      </c>
      <c r="AD2480" t="s">
        <v>38</v>
      </c>
      <c r="AE2480">
        <v>902.27</v>
      </c>
      <c r="AF2480">
        <v>0</v>
      </c>
    </row>
    <row r="2481" spans="3:32" x14ac:dyDescent="0.35">
      <c r="C2481" s="1">
        <v>44936</v>
      </c>
      <c r="D2481" s="2">
        <v>44927</v>
      </c>
      <c r="E2481">
        <v>1374</v>
      </c>
      <c r="F2481" s="3">
        <v>5191.3900000000003</v>
      </c>
      <c r="G2481" s="3">
        <v>3030.33</v>
      </c>
      <c r="H2481" s="3">
        <v>2161.06</v>
      </c>
      <c r="I2481" s="3">
        <v>0.57999999999999996</v>
      </c>
      <c r="J2481">
        <v>0.19</v>
      </c>
      <c r="K2481">
        <v>3547.59</v>
      </c>
      <c r="L2481" t="s">
        <v>30</v>
      </c>
      <c r="M2481">
        <v>716</v>
      </c>
      <c r="N2481">
        <v>0.56000000000000005</v>
      </c>
      <c r="O2481" s="3">
        <v>537.83000000000004</v>
      </c>
      <c r="P2481" s="3">
        <v>0.1</v>
      </c>
      <c r="Q2481" s="3">
        <v>406.48</v>
      </c>
      <c r="R2481" s="3">
        <v>0.08</v>
      </c>
      <c r="S2481">
        <v>7</v>
      </c>
      <c r="T2481">
        <v>813.43</v>
      </c>
      <c r="U2481">
        <v>24</v>
      </c>
      <c r="V2481">
        <v>0</v>
      </c>
      <c r="W2481">
        <v>625.61</v>
      </c>
      <c r="X2481">
        <v>1980.08</v>
      </c>
      <c r="Y2481" t="s">
        <v>36</v>
      </c>
      <c r="Z2481" s="3">
        <v>1178.6300000000001</v>
      </c>
      <c r="AA2481" t="s">
        <v>45</v>
      </c>
      <c r="AB2481" t="s">
        <v>33</v>
      </c>
      <c r="AC2481">
        <v>43.3</v>
      </c>
      <c r="AD2481" t="s">
        <v>38</v>
      </c>
      <c r="AE2481">
        <v>2161.06</v>
      </c>
      <c r="AF2481">
        <v>0</v>
      </c>
    </row>
    <row r="2482" spans="3:32" x14ac:dyDescent="0.35">
      <c r="C2482" s="1">
        <v>44936</v>
      </c>
      <c r="D2482" s="2">
        <v>44927</v>
      </c>
      <c r="E2482">
        <v>1740</v>
      </c>
      <c r="F2482" s="3">
        <v>3719.17</v>
      </c>
      <c r="G2482" s="3">
        <v>3885.53</v>
      </c>
      <c r="H2482" s="3">
        <v>-166.36</v>
      </c>
      <c r="I2482" s="3">
        <v>1.04</v>
      </c>
      <c r="J2482">
        <v>0.06</v>
      </c>
      <c r="K2482">
        <v>3311.15</v>
      </c>
      <c r="L2482" t="s">
        <v>30</v>
      </c>
      <c r="M2482">
        <v>681</v>
      </c>
      <c r="N2482">
        <v>0.13</v>
      </c>
      <c r="O2482" s="3">
        <v>914.02</v>
      </c>
      <c r="P2482" s="3">
        <v>0.25</v>
      </c>
      <c r="Q2482" s="3">
        <v>537.04999999999995</v>
      </c>
      <c r="R2482" s="3">
        <v>0.14000000000000001</v>
      </c>
      <c r="S2482">
        <v>4</v>
      </c>
      <c r="T2482">
        <v>1815.34</v>
      </c>
      <c r="U2482">
        <v>79</v>
      </c>
      <c r="V2482">
        <v>0</v>
      </c>
      <c r="W2482">
        <v>533.55999999999995</v>
      </c>
      <c r="X2482">
        <v>2493.5100000000002</v>
      </c>
      <c r="Y2482" t="s">
        <v>36</v>
      </c>
      <c r="Z2482" s="3">
        <v>803.54</v>
      </c>
      <c r="AA2482" t="s">
        <v>32</v>
      </c>
      <c r="AB2482" t="s">
        <v>44</v>
      </c>
      <c r="AC2482">
        <v>66</v>
      </c>
      <c r="AD2482" t="s">
        <v>43</v>
      </c>
      <c r="AE2482">
        <v>0</v>
      </c>
      <c r="AF2482">
        <v>0</v>
      </c>
    </row>
    <row r="2483" spans="3:32" x14ac:dyDescent="0.35">
      <c r="C2483" s="1">
        <v>44936</v>
      </c>
      <c r="D2483" s="2">
        <v>44927</v>
      </c>
      <c r="E2483">
        <v>1459</v>
      </c>
      <c r="F2483" s="3">
        <v>2375.83</v>
      </c>
      <c r="G2483" s="3">
        <v>3830.76</v>
      </c>
      <c r="H2483" s="3">
        <v>-1454.93</v>
      </c>
      <c r="I2483" s="3">
        <v>1.61</v>
      </c>
      <c r="J2483">
        <v>0.16</v>
      </c>
      <c r="K2483">
        <v>2702.52</v>
      </c>
      <c r="L2483" t="s">
        <v>39</v>
      </c>
      <c r="M2483">
        <v>770</v>
      </c>
      <c r="N2483">
        <v>0.56000000000000005</v>
      </c>
      <c r="O2483" s="3">
        <v>377.91</v>
      </c>
      <c r="P2483" s="3">
        <v>0.16</v>
      </c>
      <c r="Q2483" s="3">
        <v>113.83</v>
      </c>
      <c r="R2483" s="3">
        <v>0.05</v>
      </c>
      <c r="S2483">
        <v>9</v>
      </c>
      <c r="T2483">
        <v>1837.28</v>
      </c>
      <c r="U2483">
        <v>96</v>
      </c>
      <c r="V2483">
        <v>0</v>
      </c>
      <c r="W2483">
        <v>602.28</v>
      </c>
      <c r="X2483">
        <v>2283.85</v>
      </c>
      <c r="Y2483" t="s">
        <v>31</v>
      </c>
      <c r="Z2483" s="3">
        <v>1840.75</v>
      </c>
      <c r="AA2483" t="s">
        <v>37</v>
      </c>
      <c r="AB2483" t="s">
        <v>33</v>
      </c>
      <c r="AC2483">
        <v>47.2</v>
      </c>
      <c r="AD2483" t="s">
        <v>43</v>
      </c>
      <c r="AE2483">
        <v>0</v>
      </c>
      <c r="AF2483">
        <v>0</v>
      </c>
    </row>
    <row r="2484" spans="3:32" x14ac:dyDescent="0.35">
      <c r="C2484" s="1">
        <v>44936</v>
      </c>
      <c r="D2484" s="2">
        <v>44927</v>
      </c>
      <c r="E2484">
        <v>1358</v>
      </c>
      <c r="F2484" s="3">
        <v>3267.69</v>
      </c>
      <c r="G2484" s="3">
        <v>2765.28</v>
      </c>
      <c r="H2484" s="3">
        <v>502.41</v>
      </c>
      <c r="I2484" s="3">
        <v>0.85</v>
      </c>
      <c r="J2484">
        <v>0.35</v>
      </c>
      <c r="K2484">
        <v>2498.62</v>
      </c>
      <c r="L2484" t="s">
        <v>35</v>
      </c>
      <c r="M2484">
        <v>637</v>
      </c>
      <c r="N2484">
        <v>0.53</v>
      </c>
      <c r="O2484" s="3">
        <v>237.34</v>
      </c>
      <c r="P2484" s="3">
        <v>7.0000000000000007E-2</v>
      </c>
      <c r="Q2484" s="3">
        <v>395.18</v>
      </c>
      <c r="R2484" s="3">
        <v>0.12</v>
      </c>
      <c r="S2484">
        <v>1</v>
      </c>
      <c r="T2484">
        <v>710.11</v>
      </c>
      <c r="U2484">
        <v>66</v>
      </c>
      <c r="V2484">
        <v>0</v>
      </c>
      <c r="W2484">
        <v>628.27</v>
      </c>
      <c r="X2484">
        <v>1497.04</v>
      </c>
      <c r="Y2484" t="s">
        <v>31</v>
      </c>
      <c r="Z2484" s="3">
        <v>1177.72</v>
      </c>
      <c r="AA2484" t="s">
        <v>40</v>
      </c>
      <c r="AB2484" t="s">
        <v>33</v>
      </c>
      <c r="AC2484">
        <v>19.600000000000001</v>
      </c>
      <c r="AD2484" t="s">
        <v>38</v>
      </c>
      <c r="AE2484">
        <v>502.41</v>
      </c>
      <c r="AF2484">
        <v>0</v>
      </c>
    </row>
    <row r="2485" spans="3:32" x14ac:dyDescent="0.35">
      <c r="C2485" s="1">
        <v>44936</v>
      </c>
      <c r="D2485" s="2">
        <v>44927</v>
      </c>
      <c r="E2485">
        <v>1361</v>
      </c>
      <c r="F2485" s="3">
        <v>4079.33</v>
      </c>
      <c r="G2485" s="3">
        <v>3367.59</v>
      </c>
      <c r="H2485" s="3">
        <v>711.74</v>
      </c>
      <c r="I2485" s="3">
        <v>0.83</v>
      </c>
      <c r="J2485">
        <v>0.06</v>
      </c>
      <c r="K2485">
        <v>2544.73</v>
      </c>
      <c r="L2485" t="s">
        <v>35</v>
      </c>
      <c r="M2485">
        <v>655</v>
      </c>
      <c r="N2485">
        <v>0.1</v>
      </c>
      <c r="O2485" s="3">
        <v>614.24</v>
      </c>
      <c r="P2485" s="3">
        <v>0.15</v>
      </c>
      <c r="Q2485" s="3">
        <v>23.08</v>
      </c>
      <c r="R2485" s="3">
        <v>0.01</v>
      </c>
      <c r="S2485">
        <v>2</v>
      </c>
      <c r="T2485">
        <v>887.29</v>
      </c>
      <c r="U2485">
        <v>20</v>
      </c>
      <c r="V2485">
        <v>0</v>
      </c>
      <c r="W2485">
        <v>527.88</v>
      </c>
      <c r="X2485">
        <v>2898.22</v>
      </c>
      <c r="Y2485" t="s">
        <v>36</v>
      </c>
      <c r="Z2485" s="3">
        <v>1441.11</v>
      </c>
      <c r="AA2485" t="s">
        <v>51</v>
      </c>
      <c r="AB2485" t="s">
        <v>33</v>
      </c>
      <c r="AC2485">
        <v>45.8</v>
      </c>
      <c r="AD2485" t="s">
        <v>34</v>
      </c>
      <c r="AE2485">
        <v>711.74</v>
      </c>
      <c r="AF2485">
        <v>0</v>
      </c>
    </row>
    <row r="2486" spans="3:32" x14ac:dyDescent="0.35">
      <c r="C2486" s="1">
        <v>44936</v>
      </c>
      <c r="D2486" s="2">
        <v>44927</v>
      </c>
      <c r="E2486">
        <v>1760</v>
      </c>
      <c r="F2486" s="3">
        <v>2692.53</v>
      </c>
      <c r="G2486" s="3">
        <v>3729.62</v>
      </c>
      <c r="H2486" s="3">
        <v>-1037.0899999999999</v>
      </c>
      <c r="I2486" s="3">
        <v>1.39</v>
      </c>
      <c r="J2486">
        <v>0.13</v>
      </c>
      <c r="K2486">
        <v>2423.16</v>
      </c>
      <c r="L2486" t="s">
        <v>35</v>
      </c>
      <c r="M2486">
        <v>609</v>
      </c>
      <c r="N2486">
        <v>0.51</v>
      </c>
      <c r="O2486" s="3">
        <v>289.64999999999998</v>
      </c>
      <c r="P2486" s="3">
        <v>0.11</v>
      </c>
      <c r="Q2486" s="3">
        <v>771.71</v>
      </c>
      <c r="R2486" s="3">
        <v>0.28999999999999998</v>
      </c>
      <c r="S2486">
        <v>4</v>
      </c>
      <c r="T2486">
        <v>224.75</v>
      </c>
      <c r="U2486">
        <v>38</v>
      </c>
      <c r="V2486">
        <v>0</v>
      </c>
      <c r="W2486">
        <v>463.1</v>
      </c>
      <c r="X2486">
        <v>1417.58</v>
      </c>
      <c r="Y2486" t="s">
        <v>36</v>
      </c>
      <c r="Z2486" s="3">
        <v>779.85</v>
      </c>
      <c r="AA2486" t="s">
        <v>37</v>
      </c>
      <c r="AB2486" t="s">
        <v>33</v>
      </c>
      <c r="AC2486">
        <v>59.1</v>
      </c>
      <c r="AD2486" t="s">
        <v>34</v>
      </c>
      <c r="AE2486">
        <v>0</v>
      </c>
      <c r="AF2486">
        <v>0</v>
      </c>
    </row>
    <row r="2487" spans="3:32" x14ac:dyDescent="0.35">
      <c r="C2487" s="1">
        <v>44936</v>
      </c>
      <c r="D2487" s="2">
        <v>44927</v>
      </c>
      <c r="E2487">
        <v>1379</v>
      </c>
      <c r="F2487" s="3">
        <v>4695.16</v>
      </c>
      <c r="G2487" s="3">
        <v>2560.41</v>
      </c>
      <c r="H2487" s="3">
        <v>2134.75</v>
      </c>
      <c r="I2487" s="3">
        <v>0.55000000000000004</v>
      </c>
      <c r="J2487">
        <v>0.22</v>
      </c>
      <c r="K2487">
        <v>2371.98</v>
      </c>
      <c r="L2487" t="s">
        <v>35</v>
      </c>
      <c r="M2487">
        <v>653</v>
      </c>
      <c r="N2487">
        <v>0.11</v>
      </c>
      <c r="O2487" s="3">
        <v>389.78</v>
      </c>
      <c r="P2487" s="3">
        <v>0.08</v>
      </c>
      <c r="Q2487" s="3">
        <v>374.1</v>
      </c>
      <c r="R2487" s="3">
        <v>0.08</v>
      </c>
      <c r="S2487">
        <v>4</v>
      </c>
      <c r="T2487">
        <v>958.05</v>
      </c>
      <c r="U2487">
        <v>34</v>
      </c>
      <c r="V2487">
        <v>0</v>
      </c>
      <c r="W2487">
        <v>0</v>
      </c>
      <c r="X2487">
        <v>2604.25</v>
      </c>
      <c r="Y2487" t="s">
        <v>49</v>
      </c>
      <c r="Z2487" s="3">
        <v>1876.51</v>
      </c>
      <c r="AA2487" t="s">
        <v>51</v>
      </c>
      <c r="AB2487" t="s">
        <v>44</v>
      </c>
      <c r="AC2487">
        <v>51.1</v>
      </c>
      <c r="AD2487" t="s">
        <v>43</v>
      </c>
      <c r="AE2487">
        <v>2134.75</v>
      </c>
      <c r="AF2487">
        <v>0</v>
      </c>
    </row>
    <row r="2488" spans="3:32" x14ac:dyDescent="0.35">
      <c r="C2488" s="1">
        <v>44936</v>
      </c>
      <c r="D2488" s="2">
        <v>44927</v>
      </c>
      <c r="E2488">
        <v>1728</v>
      </c>
      <c r="F2488" s="3">
        <v>4895.09</v>
      </c>
      <c r="G2488" s="3">
        <v>1339.63</v>
      </c>
      <c r="H2488" s="3">
        <v>3555.46</v>
      </c>
      <c r="I2488" s="3">
        <v>0.27</v>
      </c>
      <c r="J2488">
        <v>0.19</v>
      </c>
      <c r="K2488">
        <v>2589.16</v>
      </c>
      <c r="L2488" t="s">
        <v>35</v>
      </c>
      <c r="M2488">
        <v>714</v>
      </c>
      <c r="N2488">
        <v>0.56999999999999995</v>
      </c>
      <c r="O2488" s="3">
        <v>891.08</v>
      </c>
      <c r="P2488" s="3">
        <v>0.18</v>
      </c>
      <c r="Q2488" s="3">
        <v>447.1</v>
      </c>
      <c r="R2488" s="3">
        <v>0.09</v>
      </c>
      <c r="S2488">
        <v>6</v>
      </c>
      <c r="T2488">
        <v>552.08000000000004</v>
      </c>
      <c r="U2488">
        <v>94</v>
      </c>
      <c r="V2488">
        <v>0</v>
      </c>
      <c r="W2488">
        <v>450.26</v>
      </c>
      <c r="X2488">
        <v>1693.9</v>
      </c>
      <c r="Y2488" t="s">
        <v>36</v>
      </c>
      <c r="Z2488" s="3">
        <v>459.63</v>
      </c>
      <c r="AA2488" t="s">
        <v>50</v>
      </c>
      <c r="AB2488" t="s">
        <v>33</v>
      </c>
      <c r="AC2488">
        <v>14</v>
      </c>
      <c r="AD2488" t="s">
        <v>34</v>
      </c>
      <c r="AE2488">
        <v>3555.46</v>
      </c>
      <c r="AF2488">
        <v>1</v>
      </c>
    </row>
    <row r="2489" spans="3:32" x14ac:dyDescent="0.35">
      <c r="C2489" s="1">
        <v>44936</v>
      </c>
      <c r="D2489" s="2">
        <v>44927</v>
      </c>
      <c r="E2489">
        <v>1834</v>
      </c>
      <c r="F2489" s="3">
        <v>4357.92</v>
      </c>
      <c r="G2489" s="3">
        <v>3324.14</v>
      </c>
      <c r="H2489" s="3">
        <v>1033.78</v>
      </c>
      <c r="I2489" s="3">
        <v>0.76</v>
      </c>
      <c r="J2489">
        <v>0.32</v>
      </c>
      <c r="K2489">
        <v>2326.4899999999998</v>
      </c>
      <c r="L2489" t="s">
        <v>30</v>
      </c>
      <c r="M2489">
        <v>692</v>
      </c>
      <c r="N2489">
        <v>0.22</v>
      </c>
      <c r="O2489" s="3">
        <v>772.48</v>
      </c>
      <c r="P2489" s="3">
        <v>0.18</v>
      </c>
      <c r="Q2489" s="3">
        <v>88.59</v>
      </c>
      <c r="R2489" s="3">
        <v>0.02</v>
      </c>
      <c r="S2489">
        <v>3</v>
      </c>
      <c r="T2489">
        <v>1359.23</v>
      </c>
      <c r="U2489">
        <v>23</v>
      </c>
      <c r="V2489">
        <v>0</v>
      </c>
      <c r="W2489">
        <v>518.99</v>
      </c>
      <c r="X2489">
        <v>1840.62</v>
      </c>
      <c r="Y2489" t="s">
        <v>36</v>
      </c>
      <c r="Z2489" s="3">
        <v>1483.76</v>
      </c>
      <c r="AA2489" t="s">
        <v>32</v>
      </c>
      <c r="AB2489" t="s">
        <v>44</v>
      </c>
      <c r="AC2489">
        <v>26</v>
      </c>
      <c r="AD2489" t="s">
        <v>43</v>
      </c>
      <c r="AE2489">
        <v>1033.78</v>
      </c>
      <c r="AF2489">
        <v>0</v>
      </c>
    </row>
    <row r="2490" spans="3:32" x14ac:dyDescent="0.35">
      <c r="C2490" s="1">
        <v>44936</v>
      </c>
      <c r="D2490" s="2">
        <v>44927</v>
      </c>
      <c r="E2490">
        <v>1228</v>
      </c>
      <c r="F2490" s="3">
        <v>5214.4799999999996</v>
      </c>
      <c r="G2490" s="3">
        <v>2769.89</v>
      </c>
      <c r="H2490" s="3">
        <v>2444.59</v>
      </c>
      <c r="I2490" s="3">
        <v>0.53</v>
      </c>
      <c r="J2490">
        <v>0.15</v>
      </c>
      <c r="K2490">
        <v>2702.97</v>
      </c>
      <c r="L2490" t="s">
        <v>35</v>
      </c>
      <c r="M2490">
        <v>689</v>
      </c>
      <c r="N2490">
        <v>0.24</v>
      </c>
      <c r="O2490" s="3">
        <v>651.11</v>
      </c>
      <c r="P2490" s="3">
        <v>0.12</v>
      </c>
      <c r="Q2490" s="3">
        <v>173.09</v>
      </c>
      <c r="R2490" s="3">
        <v>0.03</v>
      </c>
      <c r="S2490">
        <v>8</v>
      </c>
      <c r="T2490">
        <v>1542.01</v>
      </c>
      <c r="U2490">
        <v>53</v>
      </c>
      <c r="V2490">
        <v>0</v>
      </c>
      <c r="W2490">
        <v>361.45</v>
      </c>
      <c r="X2490">
        <v>2010.9</v>
      </c>
      <c r="Y2490" t="s">
        <v>36</v>
      </c>
      <c r="Z2490" s="3">
        <v>890.51</v>
      </c>
      <c r="AA2490" t="s">
        <v>45</v>
      </c>
      <c r="AB2490" t="s">
        <v>33</v>
      </c>
      <c r="AC2490">
        <v>89.2</v>
      </c>
      <c r="AD2490" t="s">
        <v>34</v>
      </c>
      <c r="AE2490">
        <v>2444.59</v>
      </c>
      <c r="AF2490">
        <v>0</v>
      </c>
    </row>
    <row r="2491" spans="3:32" x14ac:dyDescent="0.35">
      <c r="C2491" s="1">
        <v>44936</v>
      </c>
      <c r="D2491" s="2">
        <v>44927</v>
      </c>
      <c r="E2491">
        <v>1127</v>
      </c>
      <c r="F2491" s="3">
        <v>5027.58</v>
      </c>
      <c r="G2491" s="3">
        <v>3752.07</v>
      </c>
      <c r="H2491" s="3">
        <v>1275.51</v>
      </c>
      <c r="I2491" s="3">
        <v>0.75</v>
      </c>
      <c r="J2491">
        <v>0.33</v>
      </c>
      <c r="K2491">
        <v>3211.06</v>
      </c>
      <c r="L2491" t="s">
        <v>35</v>
      </c>
      <c r="M2491">
        <v>680</v>
      </c>
      <c r="N2491">
        <v>0.45</v>
      </c>
      <c r="O2491" s="3">
        <v>332.74</v>
      </c>
      <c r="P2491" s="3">
        <v>7.0000000000000007E-2</v>
      </c>
      <c r="Q2491" s="3">
        <v>438.56</v>
      </c>
      <c r="R2491" s="3">
        <v>0.09</v>
      </c>
      <c r="S2491">
        <v>4</v>
      </c>
      <c r="T2491">
        <v>959.24</v>
      </c>
      <c r="U2491">
        <v>84</v>
      </c>
      <c r="V2491">
        <v>0</v>
      </c>
      <c r="W2491">
        <v>647.66999999999996</v>
      </c>
      <c r="X2491">
        <v>1632.29</v>
      </c>
      <c r="Y2491" t="s">
        <v>31</v>
      </c>
      <c r="Z2491" s="3">
        <v>1374.14</v>
      </c>
      <c r="AA2491" t="s">
        <v>32</v>
      </c>
      <c r="AB2491" t="s">
        <v>44</v>
      </c>
      <c r="AC2491">
        <v>27.5</v>
      </c>
      <c r="AD2491" t="s">
        <v>34</v>
      </c>
      <c r="AE2491">
        <v>1275.51</v>
      </c>
      <c r="AF2491">
        <v>0</v>
      </c>
    </row>
    <row r="2492" spans="3:32" x14ac:dyDescent="0.35">
      <c r="C2492" s="1">
        <v>44936</v>
      </c>
      <c r="D2492" s="2">
        <v>44927</v>
      </c>
      <c r="E2492">
        <v>1581</v>
      </c>
      <c r="F2492" s="3">
        <v>4778.43</v>
      </c>
      <c r="G2492" s="3">
        <v>1018.42</v>
      </c>
      <c r="H2492" s="3">
        <v>3760.01</v>
      </c>
      <c r="I2492" s="3">
        <v>0.21</v>
      </c>
      <c r="J2492">
        <v>0.35</v>
      </c>
      <c r="K2492">
        <v>2133.7199999999998</v>
      </c>
      <c r="L2492" t="s">
        <v>35</v>
      </c>
      <c r="M2492">
        <v>696</v>
      </c>
      <c r="N2492">
        <v>0.32</v>
      </c>
      <c r="O2492" s="3">
        <v>206.7</v>
      </c>
      <c r="P2492" s="3">
        <v>0.04</v>
      </c>
      <c r="Q2492" s="3">
        <v>311.57</v>
      </c>
      <c r="R2492" s="3">
        <v>7.0000000000000007E-2</v>
      </c>
      <c r="S2492">
        <v>3</v>
      </c>
      <c r="T2492">
        <v>759.6</v>
      </c>
      <c r="U2492">
        <v>26</v>
      </c>
      <c r="V2492">
        <v>0</v>
      </c>
      <c r="W2492">
        <v>561.15</v>
      </c>
      <c r="X2492">
        <v>2206.7800000000002</v>
      </c>
      <c r="Y2492" t="s">
        <v>31</v>
      </c>
      <c r="Z2492" s="3">
        <v>725.97</v>
      </c>
      <c r="AA2492" t="s">
        <v>47</v>
      </c>
      <c r="AB2492" t="s">
        <v>42</v>
      </c>
      <c r="AC2492">
        <v>58.9</v>
      </c>
      <c r="AD2492" t="s">
        <v>43</v>
      </c>
      <c r="AE2492">
        <v>3760.01</v>
      </c>
      <c r="AF2492">
        <v>1</v>
      </c>
    </row>
    <row r="2493" spans="3:32" x14ac:dyDescent="0.35">
      <c r="C2493" s="1">
        <v>44936</v>
      </c>
      <c r="D2493" s="2">
        <v>44927</v>
      </c>
      <c r="E2493">
        <v>1044</v>
      </c>
      <c r="F2493" s="3">
        <v>4077.02</v>
      </c>
      <c r="G2493" s="3">
        <v>3147.04</v>
      </c>
      <c r="H2493" s="3">
        <v>929.98</v>
      </c>
      <c r="I2493" s="3">
        <v>0.77</v>
      </c>
      <c r="J2493">
        <v>0.12</v>
      </c>
      <c r="K2493">
        <v>2490.08</v>
      </c>
      <c r="L2493" t="s">
        <v>35</v>
      </c>
      <c r="M2493">
        <v>696</v>
      </c>
      <c r="N2493">
        <v>0.3</v>
      </c>
      <c r="O2493" s="3">
        <v>415.54</v>
      </c>
      <c r="P2493" s="3">
        <v>0.1</v>
      </c>
      <c r="Q2493" s="3">
        <v>337.85</v>
      </c>
      <c r="R2493" s="3">
        <v>0.08</v>
      </c>
      <c r="S2493">
        <v>4</v>
      </c>
      <c r="T2493">
        <v>1728.57</v>
      </c>
      <c r="U2493">
        <v>49</v>
      </c>
      <c r="V2493">
        <v>0</v>
      </c>
      <c r="W2493">
        <v>463.44</v>
      </c>
      <c r="X2493">
        <v>3050.77</v>
      </c>
      <c r="Y2493" t="s">
        <v>36</v>
      </c>
      <c r="Z2493" s="3">
        <v>1045.68</v>
      </c>
      <c r="AA2493" t="s">
        <v>40</v>
      </c>
      <c r="AB2493" t="s">
        <v>44</v>
      </c>
      <c r="AC2493">
        <v>86.1</v>
      </c>
      <c r="AD2493" t="s">
        <v>38</v>
      </c>
      <c r="AE2493">
        <v>929.98</v>
      </c>
      <c r="AF2493">
        <v>0</v>
      </c>
    </row>
    <row r="2494" spans="3:32" x14ac:dyDescent="0.35">
      <c r="C2494" s="1">
        <v>44936</v>
      </c>
      <c r="D2494" s="2">
        <v>44927</v>
      </c>
      <c r="E2494">
        <v>1751</v>
      </c>
      <c r="F2494" s="3">
        <v>4544.82</v>
      </c>
      <c r="G2494" s="3">
        <v>2127.35</v>
      </c>
      <c r="H2494" s="3">
        <v>2417.4699999999998</v>
      </c>
      <c r="I2494" s="3">
        <v>0.47</v>
      </c>
      <c r="J2494">
        <v>0.3</v>
      </c>
      <c r="K2494">
        <v>2503.12</v>
      </c>
      <c r="L2494" t="s">
        <v>35</v>
      </c>
      <c r="M2494">
        <v>709</v>
      </c>
      <c r="N2494">
        <v>0.28999999999999998</v>
      </c>
      <c r="O2494" s="3">
        <v>427.59</v>
      </c>
      <c r="P2494" s="3">
        <v>0.09</v>
      </c>
      <c r="Q2494" s="3">
        <v>161</v>
      </c>
      <c r="R2494" s="3">
        <v>0.04</v>
      </c>
      <c r="S2494">
        <v>6</v>
      </c>
      <c r="T2494">
        <v>863.8</v>
      </c>
      <c r="U2494">
        <v>82</v>
      </c>
      <c r="V2494">
        <v>0</v>
      </c>
      <c r="W2494">
        <v>521.71</v>
      </c>
      <c r="X2494">
        <v>2642.95</v>
      </c>
      <c r="Y2494" t="s">
        <v>36</v>
      </c>
      <c r="Z2494" s="3">
        <v>1527.09</v>
      </c>
      <c r="AA2494" t="s">
        <v>37</v>
      </c>
      <c r="AB2494" t="s">
        <v>44</v>
      </c>
      <c r="AC2494">
        <v>69.5</v>
      </c>
      <c r="AD2494" t="s">
        <v>34</v>
      </c>
      <c r="AE2494">
        <v>2417.4699999999998</v>
      </c>
      <c r="AF2494">
        <v>0</v>
      </c>
    </row>
    <row r="2495" spans="3:32" x14ac:dyDescent="0.35">
      <c r="C2495" s="1">
        <v>44936</v>
      </c>
      <c r="D2495" s="2">
        <v>44927</v>
      </c>
      <c r="E2495">
        <v>1886</v>
      </c>
      <c r="F2495" s="3">
        <v>3558.81</v>
      </c>
      <c r="G2495" s="3">
        <v>3637.59</v>
      </c>
      <c r="H2495" s="3">
        <v>-78.78</v>
      </c>
      <c r="I2495" s="3">
        <v>1.02</v>
      </c>
      <c r="J2495">
        <v>0.23</v>
      </c>
      <c r="K2495">
        <v>2868.84</v>
      </c>
      <c r="L2495" t="s">
        <v>39</v>
      </c>
      <c r="M2495">
        <v>666</v>
      </c>
      <c r="N2495">
        <v>0.21</v>
      </c>
      <c r="O2495" s="3">
        <v>751.13</v>
      </c>
      <c r="P2495" s="3">
        <v>0.21</v>
      </c>
      <c r="Q2495" s="3">
        <v>563.36</v>
      </c>
      <c r="R2495" s="3">
        <v>0.16</v>
      </c>
      <c r="S2495">
        <v>4</v>
      </c>
      <c r="T2495">
        <v>1006.25</v>
      </c>
      <c r="U2495">
        <v>34</v>
      </c>
      <c r="V2495">
        <v>0</v>
      </c>
      <c r="W2495">
        <v>321.25</v>
      </c>
      <c r="X2495">
        <v>2834.57</v>
      </c>
      <c r="Y2495" t="s">
        <v>36</v>
      </c>
      <c r="Z2495" s="3">
        <v>950.39</v>
      </c>
      <c r="AA2495" t="s">
        <v>41</v>
      </c>
      <c r="AB2495" t="s">
        <v>33</v>
      </c>
      <c r="AC2495">
        <v>52.9</v>
      </c>
      <c r="AD2495" t="s">
        <v>34</v>
      </c>
      <c r="AE2495">
        <v>0</v>
      </c>
      <c r="AF2495">
        <v>0</v>
      </c>
    </row>
    <row r="2496" spans="3:32" x14ac:dyDescent="0.35">
      <c r="C2496" s="1">
        <v>44936</v>
      </c>
      <c r="D2496" s="2">
        <v>44927</v>
      </c>
      <c r="E2496">
        <v>1737</v>
      </c>
      <c r="F2496" s="3">
        <v>2651.03</v>
      </c>
      <c r="G2496" s="3">
        <v>2755.19</v>
      </c>
      <c r="H2496" s="3">
        <v>-104.16</v>
      </c>
      <c r="I2496" s="3">
        <v>1.04</v>
      </c>
      <c r="J2496">
        <v>0.37</v>
      </c>
      <c r="K2496">
        <v>3017.2</v>
      </c>
      <c r="L2496" t="s">
        <v>35</v>
      </c>
      <c r="M2496">
        <v>702</v>
      </c>
      <c r="N2496">
        <v>0.13</v>
      </c>
      <c r="O2496" s="3">
        <v>612.44000000000005</v>
      </c>
      <c r="P2496" s="3">
        <v>0.23</v>
      </c>
      <c r="Q2496" s="3">
        <v>380.8</v>
      </c>
      <c r="R2496" s="3">
        <v>0.14000000000000001</v>
      </c>
      <c r="S2496">
        <v>2</v>
      </c>
      <c r="T2496">
        <v>739.54</v>
      </c>
      <c r="U2496">
        <v>67</v>
      </c>
      <c r="V2496">
        <v>0</v>
      </c>
      <c r="W2496">
        <v>953.53</v>
      </c>
      <c r="X2496">
        <v>1631.6</v>
      </c>
      <c r="Y2496" t="s">
        <v>36</v>
      </c>
      <c r="Z2496" s="3">
        <v>1249.3399999999999</v>
      </c>
      <c r="AA2496" t="s">
        <v>47</v>
      </c>
      <c r="AB2496" t="s">
        <v>33</v>
      </c>
      <c r="AC2496">
        <v>15.3</v>
      </c>
      <c r="AD2496" t="s">
        <v>38</v>
      </c>
      <c r="AE2496">
        <v>0</v>
      </c>
      <c r="AF2496">
        <v>0</v>
      </c>
    </row>
    <row r="2497" spans="3:32" x14ac:dyDescent="0.35">
      <c r="C2497" s="1">
        <v>44936</v>
      </c>
      <c r="D2497" s="2">
        <v>44927</v>
      </c>
      <c r="E2497">
        <v>1224</v>
      </c>
      <c r="F2497" s="3">
        <v>2223.4</v>
      </c>
      <c r="G2497" s="3">
        <v>4052.87</v>
      </c>
      <c r="H2497" s="3">
        <v>-1829.47</v>
      </c>
      <c r="I2497" s="3">
        <v>1.82</v>
      </c>
      <c r="J2497">
        <v>0.24</v>
      </c>
      <c r="K2497">
        <v>1666.71</v>
      </c>
      <c r="L2497" t="s">
        <v>35</v>
      </c>
      <c r="M2497">
        <v>748</v>
      </c>
      <c r="N2497">
        <v>0.23</v>
      </c>
      <c r="O2497" s="3">
        <v>302.07</v>
      </c>
      <c r="P2497" s="3">
        <v>0.14000000000000001</v>
      </c>
      <c r="Q2497" s="3">
        <v>125.3</v>
      </c>
      <c r="R2497" s="3">
        <v>0.06</v>
      </c>
      <c r="S2497">
        <v>7</v>
      </c>
      <c r="T2497">
        <v>0</v>
      </c>
      <c r="U2497">
        <v>27</v>
      </c>
      <c r="V2497">
        <v>0</v>
      </c>
      <c r="W2497">
        <v>462.78</v>
      </c>
      <c r="X2497">
        <v>2958.2</v>
      </c>
      <c r="Y2497" t="s">
        <v>31</v>
      </c>
      <c r="Z2497" s="3">
        <v>885.91</v>
      </c>
      <c r="AA2497" t="s">
        <v>45</v>
      </c>
      <c r="AB2497" t="s">
        <v>33</v>
      </c>
      <c r="AC2497">
        <v>49.7</v>
      </c>
      <c r="AD2497" t="s">
        <v>34</v>
      </c>
      <c r="AE2497">
        <v>0</v>
      </c>
      <c r="AF2497">
        <v>0</v>
      </c>
    </row>
    <row r="2498" spans="3:32" x14ac:dyDescent="0.35">
      <c r="C2498" s="1">
        <v>44936</v>
      </c>
      <c r="D2498" s="2">
        <v>44927</v>
      </c>
      <c r="E2498">
        <v>1221</v>
      </c>
      <c r="F2498" s="3">
        <v>3299.78</v>
      </c>
      <c r="G2498" s="3">
        <v>3499.48</v>
      </c>
      <c r="H2498" s="3">
        <v>-199.7</v>
      </c>
      <c r="I2498" s="3">
        <v>1.06</v>
      </c>
      <c r="J2498">
        <v>0.27</v>
      </c>
      <c r="K2498">
        <v>3246.7</v>
      </c>
      <c r="L2498" t="s">
        <v>30</v>
      </c>
      <c r="M2498">
        <v>693</v>
      </c>
      <c r="N2498">
        <v>0.3</v>
      </c>
      <c r="O2498" s="3">
        <v>428.05</v>
      </c>
      <c r="P2498" s="3">
        <v>0.13</v>
      </c>
      <c r="Q2498" s="3">
        <v>0</v>
      </c>
      <c r="R2498" s="3">
        <v>0</v>
      </c>
      <c r="S2498">
        <v>1</v>
      </c>
      <c r="T2498">
        <v>1253.8699999999999</v>
      </c>
      <c r="U2498">
        <v>28</v>
      </c>
      <c r="V2498">
        <v>0</v>
      </c>
      <c r="W2498">
        <v>530.65</v>
      </c>
      <c r="X2498">
        <v>2714.9</v>
      </c>
      <c r="Y2498" t="s">
        <v>36</v>
      </c>
      <c r="Z2498" s="3">
        <v>1964.7</v>
      </c>
      <c r="AA2498" t="s">
        <v>50</v>
      </c>
      <c r="AB2498" t="s">
        <v>33</v>
      </c>
      <c r="AC2498">
        <v>95.2</v>
      </c>
      <c r="AD2498" t="s">
        <v>34</v>
      </c>
      <c r="AE2498">
        <v>0</v>
      </c>
      <c r="AF2498">
        <v>0</v>
      </c>
    </row>
    <row r="2499" spans="3:32" x14ac:dyDescent="0.35">
      <c r="C2499" s="1">
        <v>44936</v>
      </c>
      <c r="D2499" s="2">
        <v>44927</v>
      </c>
      <c r="E2499">
        <v>1260</v>
      </c>
      <c r="F2499" s="3">
        <v>3710.47</v>
      </c>
      <c r="G2499" s="3">
        <v>3382.21</v>
      </c>
      <c r="H2499" s="3">
        <v>328.26</v>
      </c>
      <c r="I2499" s="3">
        <v>0.91</v>
      </c>
      <c r="J2499">
        <v>0.28999999999999998</v>
      </c>
      <c r="K2499">
        <v>2221.0500000000002</v>
      </c>
      <c r="L2499" t="s">
        <v>30</v>
      </c>
      <c r="M2499">
        <v>676</v>
      </c>
      <c r="N2499">
        <v>0.4</v>
      </c>
      <c r="O2499" s="3">
        <v>458.11</v>
      </c>
      <c r="P2499" s="3">
        <v>0.12</v>
      </c>
      <c r="Q2499" s="3">
        <v>461.35</v>
      </c>
      <c r="R2499" s="3">
        <v>0.12</v>
      </c>
      <c r="S2499">
        <v>5</v>
      </c>
      <c r="T2499">
        <v>998.14</v>
      </c>
      <c r="U2499">
        <v>31</v>
      </c>
      <c r="V2499">
        <v>0</v>
      </c>
      <c r="W2499">
        <v>668.39</v>
      </c>
      <c r="X2499">
        <v>1000</v>
      </c>
      <c r="Y2499" t="s">
        <v>36</v>
      </c>
      <c r="Z2499" s="3">
        <v>638.79</v>
      </c>
      <c r="AA2499" t="s">
        <v>50</v>
      </c>
      <c r="AB2499" t="s">
        <v>33</v>
      </c>
      <c r="AC2499">
        <v>82.3</v>
      </c>
      <c r="AD2499" t="s">
        <v>38</v>
      </c>
      <c r="AE2499">
        <v>328.26</v>
      </c>
      <c r="AF2499">
        <v>0</v>
      </c>
    </row>
    <row r="2500" spans="3:32" x14ac:dyDescent="0.35">
      <c r="C2500" s="1">
        <v>44936</v>
      </c>
      <c r="D2500" s="2">
        <v>44927</v>
      </c>
      <c r="E2500">
        <v>1378</v>
      </c>
      <c r="F2500" s="3">
        <v>4781.6400000000003</v>
      </c>
      <c r="G2500" s="3">
        <v>5030.97</v>
      </c>
      <c r="H2500" s="3">
        <v>-249.33</v>
      </c>
      <c r="I2500" s="3">
        <v>1.05</v>
      </c>
      <c r="J2500">
        <v>0.3</v>
      </c>
      <c r="K2500">
        <v>3117.82</v>
      </c>
      <c r="L2500" t="s">
        <v>35</v>
      </c>
      <c r="M2500">
        <v>715</v>
      </c>
      <c r="N2500">
        <v>0.11</v>
      </c>
      <c r="O2500" s="3">
        <v>435.78</v>
      </c>
      <c r="P2500" s="3">
        <v>0.09</v>
      </c>
      <c r="Q2500" s="3">
        <v>81.400000000000006</v>
      </c>
      <c r="R2500" s="3">
        <v>0.02</v>
      </c>
      <c r="S2500">
        <v>7</v>
      </c>
      <c r="T2500">
        <v>690.1</v>
      </c>
      <c r="U2500">
        <v>59</v>
      </c>
      <c r="V2500">
        <v>0</v>
      </c>
      <c r="W2500">
        <v>668.84</v>
      </c>
      <c r="X2500">
        <v>2504.0700000000002</v>
      </c>
      <c r="Y2500" t="s">
        <v>36</v>
      </c>
      <c r="Z2500" s="3">
        <v>1622.36</v>
      </c>
      <c r="AA2500" t="s">
        <v>47</v>
      </c>
      <c r="AB2500" t="s">
        <v>42</v>
      </c>
      <c r="AC2500">
        <v>19.5</v>
      </c>
      <c r="AD2500" t="s">
        <v>38</v>
      </c>
      <c r="AE2500">
        <v>0</v>
      </c>
      <c r="AF2500">
        <v>0</v>
      </c>
    </row>
    <row r="2501" spans="3:32" x14ac:dyDescent="0.35">
      <c r="C2501" s="1">
        <v>44936</v>
      </c>
      <c r="D2501" s="2">
        <v>44927</v>
      </c>
      <c r="E2501">
        <v>1044</v>
      </c>
      <c r="F2501" s="3">
        <v>4501.42</v>
      </c>
      <c r="G2501" s="3">
        <v>2668.71</v>
      </c>
      <c r="H2501" s="3">
        <v>1832.71</v>
      </c>
      <c r="I2501" s="3">
        <v>0.59</v>
      </c>
      <c r="J2501">
        <v>0.28999999999999998</v>
      </c>
      <c r="K2501">
        <v>2276.92</v>
      </c>
      <c r="L2501" t="s">
        <v>39</v>
      </c>
      <c r="M2501">
        <v>716</v>
      </c>
      <c r="N2501">
        <v>0.25</v>
      </c>
      <c r="O2501" s="3">
        <v>707.37</v>
      </c>
      <c r="P2501" s="3">
        <v>0.16</v>
      </c>
      <c r="Q2501" s="3">
        <v>221.72</v>
      </c>
      <c r="R2501" s="3">
        <v>0.05</v>
      </c>
      <c r="S2501">
        <v>6</v>
      </c>
      <c r="T2501">
        <v>1765.13</v>
      </c>
      <c r="U2501">
        <v>67</v>
      </c>
      <c r="V2501">
        <v>0</v>
      </c>
      <c r="W2501">
        <v>525.57000000000005</v>
      </c>
      <c r="X2501">
        <v>2174.65</v>
      </c>
      <c r="Y2501" t="s">
        <v>49</v>
      </c>
      <c r="Z2501" s="3">
        <v>934.37</v>
      </c>
      <c r="AA2501" t="s">
        <v>45</v>
      </c>
      <c r="AB2501" t="s">
        <v>44</v>
      </c>
      <c r="AC2501">
        <v>11.9</v>
      </c>
      <c r="AD2501" t="s">
        <v>43</v>
      </c>
      <c r="AE2501">
        <v>1832.71</v>
      </c>
      <c r="AF2501">
        <v>0</v>
      </c>
    </row>
    <row r="2502" spans="3:32" x14ac:dyDescent="0.35">
      <c r="C2502" s="1">
        <v>44966</v>
      </c>
      <c r="D2502" s="2">
        <v>44958</v>
      </c>
      <c r="E2502">
        <v>1368</v>
      </c>
      <c r="F2502" s="3">
        <v>3393.56</v>
      </c>
      <c r="G2502" s="3">
        <v>3409.64</v>
      </c>
      <c r="H2502" s="3">
        <v>-16.079999999999998</v>
      </c>
      <c r="I2502" s="3">
        <v>1</v>
      </c>
      <c r="J2502">
        <v>0.4</v>
      </c>
      <c r="K2502">
        <v>3043.73</v>
      </c>
      <c r="L2502" t="s">
        <v>35</v>
      </c>
      <c r="M2502">
        <v>614</v>
      </c>
      <c r="N2502">
        <v>0.19</v>
      </c>
      <c r="O2502" s="3">
        <v>415.4</v>
      </c>
      <c r="P2502" s="3">
        <v>0.12</v>
      </c>
      <c r="Q2502" s="3">
        <v>249.76</v>
      </c>
      <c r="R2502" s="3">
        <v>7.0000000000000007E-2</v>
      </c>
      <c r="S2502">
        <v>4</v>
      </c>
      <c r="T2502">
        <v>1264.5999999999999</v>
      </c>
      <c r="U2502">
        <v>96</v>
      </c>
      <c r="V2502">
        <v>0</v>
      </c>
      <c r="W2502">
        <v>626.21</v>
      </c>
      <c r="X2502">
        <v>3048.68</v>
      </c>
      <c r="Y2502" t="s">
        <v>49</v>
      </c>
      <c r="Z2502" s="3">
        <v>920.01</v>
      </c>
      <c r="AA2502" t="s">
        <v>46</v>
      </c>
      <c r="AB2502" t="s">
        <v>42</v>
      </c>
      <c r="AC2502">
        <v>41.1</v>
      </c>
      <c r="AD2502" t="s">
        <v>34</v>
      </c>
      <c r="AE2502">
        <v>0</v>
      </c>
      <c r="AF2502">
        <v>0</v>
      </c>
    </row>
    <row r="2503" spans="3:32" x14ac:dyDescent="0.35">
      <c r="C2503" s="1">
        <v>44966</v>
      </c>
      <c r="D2503" s="2">
        <v>44958</v>
      </c>
      <c r="E2503">
        <v>1214</v>
      </c>
      <c r="F2503" s="3">
        <v>3365.37</v>
      </c>
      <c r="G2503" s="3">
        <v>4409.87</v>
      </c>
      <c r="H2503" s="3">
        <v>-1044.5</v>
      </c>
      <c r="I2503" s="3">
        <v>1.31</v>
      </c>
      <c r="J2503">
        <v>0.28000000000000003</v>
      </c>
      <c r="K2503">
        <v>2178.54</v>
      </c>
      <c r="L2503" t="s">
        <v>35</v>
      </c>
      <c r="M2503">
        <v>683</v>
      </c>
      <c r="N2503">
        <v>0.22</v>
      </c>
      <c r="O2503" s="3">
        <v>626.78</v>
      </c>
      <c r="P2503" s="3">
        <v>0.19</v>
      </c>
      <c r="Q2503" s="3">
        <v>706.14</v>
      </c>
      <c r="R2503" s="3">
        <v>0.21</v>
      </c>
      <c r="S2503">
        <v>7</v>
      </c>
      <c r="T2503">
        <v>1014.1</v>
      </c>
      <c r="U2503">
        <v>54</v>
      </c>
      <c r="V2503">
        <v>0</v>
      </c>
      <c r="W2503">
        <v>315.23</v>
      </c>
      <c r="X2503">
        <v>2725.96</v>
      </c>
      <c r="Y2503" t="s">
        <v>49</v>
      </c>
      <c r="Z2503" s="3">
        <v>1455.59</v>
      </c>
      <c r="AA2503" t="s">
        <v>51</v>
      </c>
      <c r="AB2503" t="s">
        <v>44</v>
      </c>
      <c r="AC2503">
        <v>52.2</v>
      </c>
      <c r="AD2503" t="s">
        <v>34</v>
      </c>
      <c r="AE2503">
        <v>0</v>
      </c>
      <c r="AF2503">
        <v>0</v>
      </c>
    </row>
    <row r="2504" spans="3:32" x14ac:dyDescent="0.35">
      <c r="C2504" s="1">
        <v>44966</v>
      </c>
      <c r="D2504" s="2">
        <v>44958</v>
      </c>
      <c r="E2504">
        <v>1845</v>
      </c>
      <c r="F2504" s="3">
        <v>3384.49</v>
      </c>
      <c r="G2504" s="3">
        <v>3124.1</v>
      </c>
      <c r="H2504" s="3">
        <v>260.39</v>
      </c>
      <c r="I2504" s="3">
        <v>0.92</v>
      </c>
      <c r="J2504">
        <v>0.08</v>
      </c>
      <c r="K2504">
        <v>2997.07</v>
      </c>
      <c r="L2504" t="s">
        <v>35</v>
      </c>
      <c r="M2504">
        <v>611</v>
      </c>
      <c r="N2504">
        <v>0.19</v>
      </c>
      <c r="O2504" s="3">
        <v>297.27999999999997</v>
      </c>
      <c r="P2504" s="3">
        <v>0.09</v>
      </c>
      <c r="Q2504" s="3">
        <v>279.95</v>
      </c>
      <c r="R2504" s="3">
        <v>0.08</v>
      </c>
      <c r="S2504">
        <v>3</v>
      </c>
      <c r="T2504">
        <v>625.08000000000004</v>
      </c>
      <c r="U2504">
        <v>66</v>
      </c>
      <c r="V2504">
        <v>1</v>
      </c>
      <c r="W2504">
        <v>525.95000000000005</v>
      </c>
      <c r="X2504">
        <v>1865.02</v>
      </c>
      <c r="Y2504" t="s">
        <v>36</v>
      </c>
      <c r="Z2504" s="3">
        <v>1226.57</v>
      </c>
      <c r="AA2504" t="s">
        <v>41</v>
      </c>
      <c r="AB2504" t="s">
        <v>44</v>
      </c>
      <c r="AC2504">
        <v>36.4</v>
      </c>
      <c r="AD2504" t="s">
        <v>34</v>
      </c>
      <c r="AE2504">
        <v>260.39</v>
      </c>
      <c r="AF2504">
        <v>0</v>
      </c>
    </row>
    <row r="2505" spans="3:32" x14ac:dyDescent="0.35">
      <c r="C2505" s="1">
        <v>44966</v>
      </c>
      <c r="D2505" s="2">
        <v>44958</v>
      </c>
      <c r="E2505">
        <v>1026</v>
      </c>
      <c r="F2505" s="3">
        <v>4517.63</v>
      </c>
      <c r="G2505" s="3">
        <v>2694.5</v>
      </c>
      <c r="H2505" s="3">
        <v>1823.13</v>
      </c>
      <c r="I2505" s="3">
        <v>0.6</v>
      </c>
      <c r="J2505">
        <v>0.2</v>
      </c>
      <c r="K2505">
        <v>2979.15</v>
      </c>
      <c r="L2505" t="s">
        <v>39</v>
      </c>
      <c r="M2505">
        <v>648</v>
      </c>
      <c r="N2505">
        <v>0.59</v>
      </c>
      <c r="O2505" s="3">
        <v>752.08</v>
      </c>
      <c r="P2505" s="3">
        <v>0.17</v>
      </c>
      <c r="Q2505" s="3">
        <v>592.76</v>
      </c>
      <c r="R2505" s="3">
        <v>0.13</v>
      </c>
      <c r="S2505">
        <v>7</v>
      </c>
      <c r="T2505">
        <v>88.41</v>
      </c>
      <c r="U2505">
        <v>95</v>
      </c>
      <c r="V2505">
        <v>0</v>
      </c>
      <c r="W2505">
        <v>680.79</v>
      </c>
      <c r="X2505">
        <v>1599.26</v>
      </c>
      <c r="Y2505" t="s">
        <v>36</v>
      </c>
      <c r="Z2505" s="3">
        <v>540.69000000000005</v>
      </c>
      <c r="AA2505" t="s">
        <v>41</v>
      </c>
      <c r="AB2505" t="s">
        <v>33</v>
      </c>
      <c r="AC2505">
        <v>30.3</v>
      </c>
      <c r="AD2505" t="s">
        <v>34</v>
      </c>
      <c r="AE2505">
        <v>1823.13</v>
      </c>
      <c r="AF2505">
        <v>0</v>
      </c>
    </row>
    <row r="2506" spans="3:32" x14ac:dyDescent="0.35">
      <c r="C2506" s="1">
        <v>44966</v>
      </c>
      <c r="D2506" s="2">
        <v>44958</v>
      </c>
      <c r="E2506">
        <v>1192</v>
      </c>
      <c r="F2506" s="3">
        <v>4343.46</v>
      </c>
      <c r="G2506" s="3">
        <v>3503.16</v>
      </c>
      <c r="H2506" s="3">
        <v>840.3</v>
      </c>
      <c r="I2506" s="3">
        <v>0.81</v>
      </c>
      <c r="J2506">
        <v>0.28000000000000003</v>
      </c>
      <c r="K2506">
        <v>2243.33</v>
      </c>
      <c r="L2506" t="s">
        <v>35</v>
      </c>
      <c r="M2506">
        <v>699</v>
      </c>
      <c r="N2506">
        <v>0.55000000000000004</v>
      </c>
      <c r="O2506" s="3">
        <v>641.11</v>
      </c>
      <c r="P2506" s="3">
        <v>0.15</v>
      </c>
      <c r="Q2506" s="3">
        <v>850.99</v>
      </c>
      <c r="R2506" s="3">
        <v>0.2</v>
      </c>
      <c r="S2506">
        <v>3</v>
      </c>
      <c r="T2506">
        <v>344.29</v>
      </c>
      <c r="U2506">
        <v>70</v>
      </c>
      <c r="V2506">
        <v>0</v>
      </c>
      <c r="W2506">
        <v>749.1</v>
      </c>
      <c r="X2506">
        <v>2624.58</v>
      </c>
      <c r="Y2506" t="s">
        <v>36</v>
      </c>
      <c r="Z2506" s="3">
        <v>1627.27</v>
      </c>
      <c r="AA2506" t="s">
        <v>32</v>
      </c>
      <c r="AB2506" t="s">
        <v>44</v>
      </c>
      <c r="AC2506">
        <v>96.6</v>
      </c>
      <c r="AD2506" t="s">
        <v>43</v>
      </c>
      <c r="AE2506">
        <v>840.3</v>
      </c>
      <c r="AF2506">
        <v>0</v>
      </c>
    </row>
    <row r="2507" spans="3:32" x14ac:dyDescent="0.35">
      <c r="C2507" s="1">
        <v>44966</v>
      </c>
      <c r="D2507" s="2">
        <v>44958</v>
      </c>
      <c r="E2507">
        <v>1134</v>
      </c>
      <c r="F2507" s="3">
        <v>3501.21</v>
      </c>
      <c r="G2507" s="3">
        <v>4399.76</v>
      </c>
      <c r="H2507" s="3">
        <v>-898.55</v>
      </c>
      <c r="I2507" s="3">
        <v>1.26</v>
      </c>
      <c r="J2507">
        <v>0.28999999999999998</v>
      </c>
      <c r="K2507">
        <v>2832.87</v>
      </c>
      <c r="L2507" t="s">
        <v>30</v>
      </c>
      <c r="M2507">
        <v>724</v>
      </c>
      <c r="N2507">
        <v>0.19</v>
      </c>
      <c r="O2507" s="3">
        <v>568.29999999999995</v>
      </c>
      <c r="P2507" s="3">
        <v>0.16</v>
      </c>
      <c r="Q2507" s="3">
        <v>0</v>
      </c>
      <c r="R2507" s="3">
        <v>0</v>
      </c>
      <c r="S2507">
        <v>8</v>
      </c>
      <c r="T2507">
        <v>1413.48</v>
      </c>
      <c r="U2507">
        <v>87</v>
      </c>
      <c r="V2507">
        <v>0</v>
      </c>
      <c r="W2507">
        <v>645.79</v>
      </c>
      <c r="X2507">
        <v>2467.31</v>
      </c>
      <c r="Y2507" t="s">
        <v>36</v>
      </c>
      <c r="Z2507" s="3">
        <v>1431.49</v>
      </c>
      <c r="AA2507" t="s">
        <v>45</v>
      </c>
      <c r="AB2507" t="s">
        <v>42</v>
      </c>
      <c r="AC2507">
        <v>79.099999999999994</v>
      </c>
      <c r="AD2507" t="s">
        <v>43</v>
      </c>
      <c r="AE2507">
        <v>0</v>
      </c>
      <c r="AF2507">
        <v>0</v>
      </c>
    </row>
    <row r="2508" spans="3:32" x14ac:dyDescent="0.35">
      <c r="C2508" s="1">
        <v>44966</v>
      </c>
      <c r="D2508" s="2">
        <v>44958</v>
      </c>
      <c r="E2508">
        <v>1209</v>
      </c>
      <c r="F2508" s="3">
        <v>2672.05</v>
      </c>
      <c r="G2508" s="3">
        <v>3614.9</v>
      </c>
      <c r="H2508" s="3">
        <v>-942.85</v>
      </c>
      <c r="I2508" s="3">
        <v>1.35</v>
      </c>
      <c r="J2508">
        <v>0.35</v>
      </c>
      <c r="K2508">
        <v>2327.6799999999998</v>
      </c>
      <c r="L2508" t="s">
        <v>35</v>
      </c>
      <c r="M2508">
        <v>623</v>
      </c>
      <c r="N2508">
        <v>0.25</v>
      </c>
      <c r="O2508" s="3">
        <v>446.73</v>
      </c>
      <c r="P2508" s="3">
        <v>0.17</v>
      </c>
      <c r="Q2508" s="3">
        <v>3.07</v>
      </c>
      <c r="R2508" s="3">
        <v>0</v>
      </c>
      <c r="S2508">
        <v>5</v>
      </c>
      <c r="T2508">
        <v>1736.19</v>
      </c>
      <c r="U2508">
        <v>86</v>
      </c>
      <c r="V2508">
        <v>0</v>
      </c>
      <c r="W2508">
        <v>408.37</v>
      </c>
      <c r="X2508">
        <v>2467.85</v>
      </c>
      <c r="Y2508" t="s">
        <v>36</v>
      </c>
      <c r="Z2508" s="3">
        <v>1399.77</v>
      </c>
      <c r="AA2508" t="s">
        <v>37</v>
      </c>
      <c r="AB2508" t="s">
        <v>33</v>
      </c>
      <c r="AC2508">
        <v>50</v>
      </c>
      <c r="AD2508" t="s">
        <v>43</v>
      </c>
      <c r="AE2508">
        <v>0</v>
      </c>
      <c r="AF2508">
        <v>0</v>
      </c>
    </row>
    <row r="2509" spans="3:32" x14ac:dyDescent="0.35">
      <c r="C2509" s="1">
        <v>44966</v>
      </c>
      <c r="D2509" s="2">
        <v>44958</v>
      </c>
      <c r="E2509">
        <v>1416</v>
      </c>
      <c r="F2509" s="3">
        <v>2543</v>
      </c>
      <c r="G2509" s="3">
        <v>2195.33</v>
      </c>
      <c r="H2509" s="3">
        <v>347.67</v>
      </c>
      <c r="I2509" s="3">
        <v>0.86</v>
      </c>
      <c r="J2509">
        <v>0.27</v>
      </c>
      <c r="K2509">
        <v>2712.94</v>
      </c>
      <c r="L2509" t="s">
        <v>30</v>
      </c>
      <c r="M2509">
        <v>655</v>
      </c>
      <c r="N2509">
        <v>0.51</v>
      </c>
      <c r="O2509" s="3">
        <v>263.08999999999997</v>
      </c>
      <c r="P2509" s="3">
        <v>0.1</v>
      </c>
      <c r="Q2509" s="3">
        <v>384.93</v>
      </c>
      <c r="R2509" s="3">
        <v>0.15</v>
      </c>
      <c r="S2509">
        <v>4</v>
      </c>
      <c r="T2509">
        <v>1070.6300000000001</v>
      </c>
      <c r="U2509">
        <v>98</v>
      </c>
      <c r="V2509">
        <v>0</v>
      </c>
      <c r="W2509">
        <v>601.16</v>
      </c>
      <c r="X2509">
        <v>1955.68</v>
      </c>
      <c r="Y2509" t="s">
        <v>36</v>
      </c>
      <c r="Z2509" s="3">
        <v>1461.54</v>
      </c>
      <c r="AA2509" t="s">
        <v>37</v>
      </c>
      <c r="AB2509" t="s">
        <v>42</v>
      </c>
      <c r="AC2509">
        <v>2.6</v>
      </c>
      <c r="AD2509" t="s">
        <v>34</v>
      </c>
      <c r="AE2509">
        <v>347.67</v>
      </c>
      <c r="AF2509">
        <v>0</v>
      </c>
    </row>
    <row r="2510" spans="3:32" x14ac:dyDescent="0.35">
      <c r="C2510" s="1">
        <v>44966</v>
      </c>
      <c r="D2510" s="2">
        <v>44958</v>
      </c>
      <c r="E2510">
        <v>1003</v>
      </c>
      <c r="F2510" s="3">
        <v>4031.86</v>
      </c>
      <c r="G2510" s="3">
        <v>2988.7</v>
      </c>
      <c r="H2510" s="3">
        <v>1043.1600000000001</v>
      </c>
      <c r="I2510" s="3">
        <v>0.74</v>
      </c>
      <c r="J2510">
        <v>0.38</v>
      </c>
      <c r="K2510">
        <v>2297.4</v>
      </c>
      <c r="L2510" t="s">
        <v>30</v>
      </c>
      <c r="M2510">
        <v>724</v>
      </c>
      <c r="N2510">
        <v>0.47</v>
      </c>
      <c r="O2510" s="3">
        <v>841.49</v>
      </c>
      <c r="P2510" s="3">
        <v>0.21</v>
      </c>
      <c r="Q2510" s="3">
        <v>361.1</v>
      </c>
      <c r="R2510" s="3">
        <v>0.09</v>
      </c>
      <c r="S2510">
        <v>6</v>
      </c>
      <c r="T2510">
        <v>1267.3800000000001</v>
      </c>
      <c r="U2510">
        <v>48</v>
      </c>
      <c r="V2510">
        <v>0</v>
      </c>
      <c r="W2510">
        <v>452.69</v>
      </c>
      <c r="X2510">
        <v>2539.89</v>
      </c>
      <c r="Y2510" t="s">
        <v>31</v>
      </c>
      <c r="Z2510" s="3">
        <v>1670.69</v>
      </c>
      <c r="AA2510" t="s">
        <v>37</v>
      </c>
      <c r="AB2510" t="s">
        <v>33</v>
      </c>
      <c r="AC2510">
        <v>51.7</v>
      </c>
      <c r="AD2510" t="s">
        <v>34</v>
      </c>
      <c r="AE2510">
        <v>1043.1600000000001</v>
      </c>
      <c r="AF2510">
        <v>0</v>
      </c>
    </row>
    <row r="2511" spans="3:32" x14ac:dyDescent="0.35">
      <c r="C2511" s="1">
        <v>44966</v>
      </c>
      <c r="D2511" s="2">
        <v>44958</v>
      </c>
      <c r="E2511">
        <v>1906</v>
      </c>
      <c r="F2511" s="3">
        <v>4413.76</v>
      </c>
      <c r="G2511" s="3">
        <v>2904.68</v>
      </c>
      <c r="H2511" s="3">
        <v>1509.08</v>
      </c>
      <c r="I2511" s="3">
        <v>0.66</v>
      </c>
      <c r="J2511">
        <v>0.2</v>
      </c>
      <c r="K2511">
        <v>3752.35</v>
      </c>
      <c r="L2511" t="s">
        <v>35</v>
      </c>
      <c r="M2511">
        <v>684</v>
      </c>
      <c r="N2511">
        <v>0.37</v>
      </c>
      <c r="O2511" s="3">
        <v>484.13</v>
      </c>
      <c r="P2511" s="3">
        <v>0.11</v>
      </c>
      <c r="Q2511" s="3">
        <v>37.07</v>
      </c>
      <c r="R2511" s="3">
        <v>0.01</v>
      </c>
      <c r="S2511">
        <v>3</v>
      </c>
      <c r="T2511">
        <v>456.7</v>
      </c>
      <c r="U2511">
        <v>64</v>
      </c>
      <c r="V2511">
        <v>0</v>
      </c>
      <c r="W2511">
        <v>182.29</v>
      </c>
      <c r="X2511">
        <v>2332.14</v>
      </c>
      <c r="Y2511" t="s">
        <v>36</v>
      </c>
      <c r="Z2511" s="3">
        <v>561.08000000000004</v>
      </c>
      <c r="AA2511" t="s">
        <v>47</v>
      </c>
      <c r="AB2511" t="s">
        <v>33</v>
      </c>
      <c r="AC2511">
        <v>6.5</v>
      </c>
      <c r="AD2511" t="s">
        <v>43</v>
      </c>
      <c r="AE2511">
        <v>1509.08</v>
      </c>
      <c r="AF2511">
        <v>0</v>
      </c>
    </row>
    <row r="2512" spans="3:32" x14ac:dyDescent="0.35">
      <c r="C2512" s="1">
        <v>44966</v>
      </c>
      <c r="D2512" s="2">
        <v>44958</v>
      </c>
      <c r="E2512">
        <v>1643</v>
      </c>
      <c r="F2512" s="3">
        <v>3932.59</v>
      </c>
      <c r="G2512" s="3">
        <v>2636.22</v>
      </c>
      <c r="H2512" s="3">
        <v>1296.3699999999999</v>
      </c>
      <c r="I2512" s="3">
        <v>0.67</v>
      </c>
      <c r="J2512">
        <v>0.23</v>
      </c>
      <c r="K2512">
        <v>2747.25</v>
      </c>
      <c r="L2512" t="s">
        <v>30</v>
      </c>
      <c r="M2512">
        <v>768</v>
      </c>
      <c r="N2512">
        <v>0.57999999999999996</v>
      </c>
      <c r="O2512" s="3">
        <v>226.21</v>
      </c>
      <c r="P2512" s="3">
        <v>0.06</v>
      </c>
      <c r="Q2512" s="3">
        <v>0</v>
      </c>
      <c r="R2512" s="3">
        <v>0</v>
      </c>
      <c r="S2512">
        <v>7</v>
      </c>
      <c r="T2512">
        <v>1349.69</v>
      </c>
      <c r="U2512">
        <v>46</v>
      </c>
      <c r="V2512">
        <v>0</v>
      </c>
      <c r="W2512">
        <v>311.75</v>
      </c>
      <c r="X2512">
        <v>1811.79</v>
      </c>
      <c r="Y2512" t="s">
        <v>49</v>
      </c>
      <c r="Z2512" s="3">
        <v>1135.94</v>
      </c>
      <c r="AA2512" t="s">
        <v>50</v>
      </c>
      <c r="AB2512" t="s">
        <v>33</v>
      </c>
      <c r="AC2512">
        <v>13.9</v>
      </c>
      <c r="AD2512" t="s">
        <v>34</v>
      </c>
      <c r="AE2512">
        <v>1296.3699999999999</v>
      </c>
      <c r="AF2512">
        <v>0</v>
      </c>
    </row>
    <row r="2513" spans="3:32" x14ac:dyDescent="0.35">
      <c r="C2513" s="1">
        <v>44966</v>
      </c>
      <c r="D2513" s="2">
        <v>44958</v>
      </c>
      <c r="E2513">
        <v>1039</v>
      </c>
      <c r="F2513" s="3">
        <v>4274.42</v>
      </c>
      <c r="G2513" s="3">
        <v>2488.3200000000002</v>
      </c>
      <c r="H2513" s="3">
        <v>1786.1</v>
      </c>
      <c r="I2513" s="3">
        <v>0.57999999999999996</v>
      </c>
      <c r="J2513">
        <v>0.14000000000000001</v>
      </c>
      <c r="K2513">
        <v>3345.62</v>
      </c>
      <c r="L2513" t="s">
        <v>35</v>
      </c>
      <c r="M2513">
        <v>545</v>
      </c>
      <c r="N2513">
        <v>0.57999999999999996</v>
      </c>
      <c r="O2513" s="3">
        <v>373.1</v>
      </c>
      <c r="P2513" s="3">
        <v>0.09</v>
      </c>
      <c r="Q2513" s="3">
        <v>320.55</v>
      </c>
      <c r="R2513" s="3">
        <v>7.0000000000000007E-2</v>
      </c>
      <c r="S2513">
        <v>7</v>
      </c>
      <c r="T2513">
        <v>1143.49</v>
      </c>
      <c r="U2513">
        <v>92</v>
      </c>
      <c r="V2513">
        <v>0</v>
      </c>
      <c r="W2513">
        <v>888.8</v>
      </c>
      <c r="X2513">
        <v>2699.16</v>
      </c>
      <c r="Y2513" t="s">
        <v>36</v>
      </c>
      <c r="Z2513" s="3">
        <v>645.61</v>
      </c>
      <c r="AA2513" t="s">
        <v>46</v>
      </c>
      <c r="AB2513" t="s">
        <v>33</v>
      </c>
      <c r="AC2513">
        <v>0.3</v>
      </c>
      <c r="AD2513" t="s">
        <v>38</v>
      </c>
      <c r="AE2513">
        <v>1786.1</v>
      </c>
      <c r="AF2513">
        <v>0</v>
      </c>
    </row>
    <row r="2514" spans="3:32" x14ac:dyDescent="0.35">
      <c r="C2514" s="1">
        <v>44966</v>
      </c>
      <c r="D2514" s="2">
        <v>44958</v>
      </c>
      <c r="E2514">
        <v>1153</v>
      </c>
      <c r="F2514" s="3">
        <v>4090.67</v>
      </c>
      <c r="G2514" s="3">
        <v>2894.02</v>
      </c>
      <c r="H2514" s="3">
        <v>1196.6500000000001</v>
      </c>
      <c r="I2514" s="3">
        <v>0.71</v>
      </c>
      <c r="J2514">
        <v>0.34</v>
      </c>
      <c r="K2514">
        <v>2781.05</v>
      </c>
      <c r="L2514" t="s">
        <v>39</v>
      </c>
      <c r="M2514">
        <v>706</v>
      </c>
      <c r="N2514">
        <v>0.49</v>
      </c>
      <c r="O2514" s="3">
        <v>469.22</v>
      </c>
      <c r="P2514" s="3">
        <v>0.11</v>
      </c>
      <c r="Q2514" s="3">
        <v>362.57</v>
      </c>
      <c r="R2514" s="3">
        <v>0.09</v>
      </c>
      <c r="S2514">
        <v>5</v>
      </c>
      <c r="T2514">
        <v>1927.09</v>
      </c>
      <c r="U2514">
        <v>26</v>
      </c>
      <c r="V2514">
        <v>0</v>
      </c>
      <c r="W2514">
        <v>310.06</v>
      </c>
      <c r="X2514">
        <v>2675.79</v>
      </c>
      <c r="Y2514" t="s">
        <v>36</v>
      </c>
      <c r="Z2514" s="3">
        <v>1659.98</v>
      </c>
      <c r="AA2514" t="s">
        <v>37</v>
      </c>
      <c r="AB2514" t="s">
        <v>33</v>
      </c>
      <c r="AC2514">
        <v>17.2</v>
      </c>
      <c r="AD2514" t="s">
        <v>38</v>
      </c>
      <c r="AE2514">
        <v>1196.6500000000001</v>
      </c>
      <c r="AF2514">
        <v>0</v>
      </c>
    </row>
    <row r="2515" spans="3:32" x14ac:dyDescent="0.35">
      <c r="C2515" s="1">
        <v>44966</v>
      </c>
      <c r="D2515" s="2">
        <v>44958</v>
      </c>
      <c r="E2515">
        <v>1893</v>
      </c>
      <c r="F2515" s="3">
        <v>4700.7</v>
      </c>
      <c r="G2515" s="3">
        <v>2729.88</v>
      </c>
      <c r="H2515" s="3">
        <v>1970.82</v>
      </c>
      <c r="I2515" s="3">
        <v>0.57999999999999996</v>
      </c>
      <c r="J2515">
        <v>0.15</v>
      </c>
      <c r="K2515">
        <v>1580.11</v>
      </c>
      <c r="L2515" t="s">
        <v>30</v>
      </c>
      <c r="M2515">
        <v>706</v>
      </c>
      <c r="N2515">
        <v>0.49</v>
      </c>
      <c r="O2515" s="3">
        <v>130.68</v>
      </c>
      <c r="P2515" s="3">
        <v>0.03</v>
      </c>
      <c r="Q2515" s="3">
        <v>821.31</v>
      </c>
      <c r="R2515" s="3">
        <v>0.17</v>
      </c>
      <c r="S2515">
        <v>4</v>
      </c>
      <c r="T2515">
        <v>355.97</v>
      </c>
      <c r="U2515">
        <v>89</v>
      </c>
      <c r="V2515">
        <v>0</v>
      </c>
      <c r="W2515">
        <v>303.31</v>
      </c>
      <c r="X2515">
        <v>2025.05</v>
      </c>
      <c r="Y2515" t="s">
        <v>31</v>
      </c>
      <c r="Z2515" s="3">
        <v>1666.02</v>
      </c>
      <c r="AA2515" t="s">
        <v>45</v>
      </c>
      <c r="AB2515" t="s">
        <v>44</v>
      </c>
      <c r="AC2515">
        <v>51.6</v>
      </c>
      <c r="AD2515" t="s">
        <v>34</v>
      </c>
      <c r="AE2515">
        <v>1970.82</v>
      </c>
      <c r="AF2515">
        <v>1</v>
      </c>
    </row>
    <row r="2516" spans="3:32" x14ac:dyDescent="0.35">
      <c r="C2516" s="1">
        <v>44966</v>
      </c>
      <c r="D2516" s="2">
        <v>44958</v>
      </c>
      <c r="E2516">
        <v>1165</v>
      </c>
      <c r="F2516" s="3">
        <v>4130.8</v>
      </c>
      <c r="G2516" s="3">
        <v>3446.5</v>
      </c>
      <c r="H2516" s="3">
        <v>684.3</v>
      </c>
      <c r="I2516" s="3">
        <v>0.83</v>
      </c>
      <c r="J2516">
        <v>0.25</v>
      </c>
      <c r="K2516">
        <v>3385.99</v>
      </c>
      <c r="L2516" t="s">
        <v>30</v>
      </c>
      <c r="M2516">
        <v>734</v>
      </c>
      <c r="N2516">
        <v>0.49</v>
      </c>
      <c r="O2516" s="3">
        <v>496.29</v>
      </c>
      <c r="P2516" s="3">
        <v>0.12</v>
      </c>
      <c r="Q2516" s="3">
        <v>0</v>
      </c>
      <c r="R2516" s="3">
        <v>0</v>
      </c>
      <c r="S2516">
        <v>2</v>
      </c>
      <c r="T2516">
        <v>1092.1500000000001</v>
      </c>
      <c r="U2516">
        <v>47</v>
      </c>
      <c r="V2516">
        <v>0</v>
      </c>
      <c r="W2516">
        <v>610.35</v>
      </c>
      <c r="X2516">
        <v>1434.69</v>
      </c>
      <c r="Y2516" t="s">
        <v>31</v>
      </c>
      <c r="Z2516" s="3">
        <v>925.43</v>
      </c>
      <c r="AA2516" t="s">
        <v>47</v>
      </c>
      <c r="AB2516" t="s">
        <v>33</v>
      </c>
      <c r="AC2516">
        <v>32.6</v>
      </c>
      <c r="AD2516" t="s">
        <v>43</v>
      </c>
      <c r="AE2516">
        <v>684.3</v>
      </c>
      <c r="AF2516">
        <v>0</v>
      </c>
    </row>
    <row r="2517" spans="3:32" x14ac:dyDescent="0.35">
      <c r="C2517" s="1">
        <v>44966</v>
      </c>
      <c r="D2517" s="2">
        <v>44958</v>
      </c>
      <c r="E2517">
        <v>1978</v>
      </c>
      <c r="F2517" s="3">
        <v>2840.37</v>
      </c>
      <c r="G2517" s="3">
        <v>2709.15</v>
      </c>
      <c r="H2517" s="3">
        <v>131.22</v>
      </c>
      <c r="I2517" s="3">
        <v>0.95</v>
      </c>
      <c r="J2517">
        <v>0.26</v>
      </c>
      <c r="K2517">
        <v>2871.77</v>
      </c>
      <c r="L2517" t="s">
        <v>35</v>
      </c>
      <c r="M2517">
        <v>697</v>
      </c>
      <c r="N2517">
        <v>0.26</v>
      </c>
      <c r="O2517" s="3">
        <v>433.33</v>
      </c>
      <c r="P2517" s="3">
        <v>0.15</v>
      </c>
      <c r="Q2517" s="3">
        <v>442.68</v>
      </c>
      <c r="R2517" s="3">
        <v>0.16</v>
      </c>
      <c r="S2517">
        <v>4</v>
      </c>
      <c r="T2517">
        <v>791.6</v>
      </c>
      <c r="U2517">
        <v>60</v>
      </c>
      <c r="V2517">
        <v>0</v>
      </c>
      <c r="W2517">
        <v>601.37</v>
      </c>
      <c r="X2517">
        <v>1823.14</v>
      </c>
      <c r="Y2517" t="s">
        <v>36</v>
      </c>
      <c r="Z2517" s="3">
        <v>300</v>
      </c>
      <c r="AA2517" t="s">
        <v>41</v>
      </c>
      <c r="AB2517" t="s">
        <v>33</v>
      </c>
      <c r="AC2517">
        <v>52.6</v>
      </c>
      <c r="AD2517" t="s">
        <v>34</v>
      </c>
      <c r="AE2517">
        <v>131.22</v>
      </c>
      <c r="AF2517">
        <v>0</v>
      </c>
    </row>
    <row r="2518" spans="3:32" x14ac:dyDescent="0.35">
      <c r="C2518" s="1">
        <v>44966</v>
      </c>
      <c r="D2518" s="2">
        <v>44958</v>
      </c>
      <c r="E2518">
        <v>1534</v>
      </c>
      <c r="F2518" s="3">
        <v>3066.2</v>
      </c>
      <c r="G2518" s="3">
        <v>2719.13</v>
      </c>
      <c r="H2518" s="3">
        <v>347.07</v>
      </c>
      <c r="I2518" s="3">
        <v>0.89</v>
      </c>
      <c r="J2518">
        <v>0.22</v>
      </c>
      <c r="K2518">
        <v>2107.1</v>
      </c>
      <c r="L2518" t="s">
        <v>35</v>
      </c>
      <c r="M2518">
        <v>737</v>
      </c>
      <c r="N2518">
        <v>0.49</v>
      </c>
      <c r="O2518" s="3">
        <v>441.31</v>
      </c>
      <c r="P2518" s="3">
        <v>0.14000000000000001</v>
      </c>
      <c r="Q2518" s="3">
        <v>89.63</v>
      </c>
      <c r="R2518" s="3">
        <v>0.03</v>
      </c>
      <c r="S2518">
        <v>5</v>
      </c>
      <c r="T2518">
        <v>357.35</v>
      </c>
      <c r="U2518">
        <v>69</v>
      </c>
      <c r="V2518">
        <v>0</v>
      </c>
      <c r="W2518">
        <v>395.3</v>
      </c>
      <c r="X2518">
        <v>2390.33</v>
      </c>
      <c r="Y2518" t="s">
        <v>31</v>
      </c>
      <c r="Z2518" s="3">
        <v>877.17</v>
      </c>
      <c r="AA2518" t="s">
        <v>45</v>
      </c>
      <c r="AB2518" t="s">
        <v>42</v>
      </c>
      <c r="AC2518">
        <v>67.099999999999994</v>
      </c>
      <c r="AD2518" t="s">
        <v>34</v>
      </c>
      <c r="AE2518">
        <v>347.07</v>
      </c>
      <c r="AF2518">
        <v>0</v>
      </c>
    </row>
    <row r="2519" spans="3:32" x14ac:dyDescent="0.35">
      <c r="C2519" s="1">
        <v>44966</v>
      </c>
      <c r="D2519" s="2">
        <v>44958</v>
      </c>
      <c r="E2519">
        <v>1156</v>
      </c>
      <c r="F2519" s="3">
        <v>3337.46</v>
      </c>
      <c r="G2519" s="3">
        <v>3217.08</v>
      </c>
      <c r="H2519" s="3">
        <v>120.38</v>
      </c>
      <c r="I2519" s="3">
        <v>0.96</v>
      </c>
      <c r="J2519">
        <v>0.11</v>
      </c>
      <c r="K2519">
        <v>3114.39</v>
      </c>
      <c r="L2519" t="s">
        <v>39</v>
      </c>
      <c r="M2519">
        <v>655</v>
      </c>
      <c r="N2519">
        <v>0.11</v>
      </c>
      <c r="O2519" s="3">
        <v>409.77</v>
      </c>
      <c r="P2519" s="3">
        <v>0.12</v>
      </c>
      <c r="Q2519" s="3">
        <v>619.21</v>
      </c>
      <c r="R2519" s="3">
        <v>0.19</v>
      </c>
      <c r="S2519">
        <v>5</v>
      </c>
      <c r="T2519">
        <v>538.28</v>
      </c>
      <c r="U2519">
        <v>90</v>
      </c>
      <c r="V2519">
        <v>0</v>
      </c>
      <c r="W2519">
        <v>893.65</v>
      </c>
      <c r="X2519">
        <v>2662.82</v>
      </c>
      <c r="Y2519" t="s">
        <v>36</v>
      </c>
      <c r="Z2519" s="3">
        <v>704.5</v>
      </c>
      <c r="AA2519" t="s">
        <v>50</v>
      </c>
      <c r="AB2519" t="s">
        <v>42</v>
      </c>
      <c r="AC2519">
        <v>86.9</v>
      </c>
      <c r="AD2519" t="s">
        <v>43</v>
      </c>
      <c r="AE2519">
        <v>120.38</v>
      </c>
      <c r="AF2519">
        <v>0</v>
      </c>
    </row>
    <row r="2520" spans="3:32" x14ac:dyDescent="0.35">
      <c r="C2520" s="1">
        <v>44966</v>
      </c>
      <c r="D2520" s="2">
        <v>44958</v>
      </c>
      <c r="E2520">
        <v>1494</v>
      </c>
      <c r="F2520" s="3">
        <v>2663.92</v>
      </c>
      <c r="G2520" s="3">
        <v>4313.45</v>
      </c>
      <c r="H2520" s="3">
        <v>-1649.53</v>
      </c>
      <c r="I2520" s="3">
        <v>1.62</v>
      </c>
      <c r="J2520">
        <v>0.16</v>
      </c>
      <c r="K2520">
        <v>2761.14</v>
      </c>
      <c r="L2520" t="s">
        <v>35</v>
      </c>
      <c r="M2520">
        <v>583</v>
      </c>
      <c r="N2520">
        <v>0.12</v>
      </c>
      <c r="O2520" s="3">
        <v>687.23</v>
      </c>
      <c r="P2520" s="3">
        <v>0.26</v>
      </c>
      <c r="Q2520" s="3">
        <v>78.430000000000007</v>
      </c>
      <c r="R2520" s="3">
        <v>0.03</v>
      </c>
      <c r="S2520">
        <v>2</v>
      </c>
      <c r="T2520">
        <v>761.67</v>
      </c>
      <c r="U2520">
        <v>90</v>
      </c>
      <c r="V2520">
        <v>0</v>
      </c>
      <c r="W2520">
        <v>852.41</v>
      </c>
      <c r="X2520">
        <v>2615.4299999999998</v>
      </c>
      <c r="Y2520" t="s">
        <v>36</v>
      </c>
      <c r="Z2520" s="3">
        <v>1393.81</v>
      </c>
      <c r="AA2520" t="s">
        <v>45</v>
      </c>
      <c r="AB2520" t="s">
        <v>42</v>
      </c>
      <c r="AC2520">
        <v>83.3</v>
      </c>
      <c r="AD2520" t="s">
        <v>34</v>
      </c>
      <c r="AE2520">
        <v>0</v>
      </c>
      <c r="AF2520">
        <v>0</v>
      </c>
    </row>
    <row r="2521" spans="3:32" x14ac:dyDescent="0.35">
      <c r="C2521" s="1">
        <v>44966</v>
      </c>
      <c r="D2521" s="2">
        <v>44958</v>
      </c>
      <c r="E2521">
        <v>1213</v>
      </c>
      <c r="F2521" s="3">
        <v>4506.97</v>
      </c>
      <c r="G2521" s="3">
        <v>2815.09</v>
      </c>
      <c r="H2521" s="3">
        <v>1691.88</v>
      </c>
      <c r="I2521" s="3">
        <v>0.62</v>
      </c>
      <c r="J2521">
        <v>0.21</v>
      </c>
      <c r="K2521">
        <v>3386.98</v>
      </c>
      <c r="L2521" t="s">
        <v>35</v>
      </c>
      <c r="M2521">
        <v>710</v>
      </c>
      <c r="N2521">
        <v>0.38</v>
      </c>
      <c r="O2521" s="3">
        <v>629.09</v>
      </c>
      <c r="P2521" s="3">
        <v>0.14000000000000001</v>
      </c>
      <c r="Q2521" s="3">
        <v>122.77</v>
      </c>
      <c r="R2521" s="3">
        <v>0.03</v>
      </c>
      <c r="S2521">
        <v>4</v>
      </c>
      <c r="T2521">
        <v>1093.22</v>
      </c>
      <c r="U2521">
        <v>96</v>
      </c>
      <c r="V2521">
        <v>0</v>
      </c>
      <c r="W2521">
        <v>918.27</v>
      </c>
      <c r="X2521">
        <v>2437.89</v>
      </c>
      <c r="Y2521" t="s">
        <v>49</v>
      </c>
      <c r="Z2521" s="3">
        <v>1135.24</v>
      </c>
      <c r="AA2521" t="s">
        <v>41</v>
      </c>
      <c r="AB2521" t="s">
        <v>33</v>
      </c>
      <c r="AC2521">
        <v>92.6</v>
      </c>
      <c r="AD2521" t="s">
        <v>34</v>
      </c>
      <c r="AE2521">
        <v>1691.88</v>
      </c>
      <c r="AF2521">
        <v>0</v>
      </c>
    </row>
    <row r="2522" spans="3:32" x14ac:dyDescent="0.35">
      <c r="C2522" s="1">
        <v>44966</v>
      </c>
      <c r="D2522" s="2">
        <v>44958</v>
      </c>
      <c r="E2522">
        <v>1945</v>
      </c>
      <c r="F2522" s="3">
        <v>5730.31</v>
      </c>
      <c r="G2522" s="3">
        <v>3437.21</v>
      </c>
      <c r="H2522" s="3">
        <v>2293.1</v>
      </c>
      <c r="I2522" s="3">
        <v>0.6</v>
      </c>
      <c r="J2522">
        <v>0.24</v>
      </c>
      <c r="K2522">
        <v>2697.35</v>
      </c>
      <c r="L2522" t="s">
        <v>35</v>
      </c>
      <c r="M2522">
        <v>593</v>
      </c>
      <c r="N2522">
        <v>0.31</v>
      </c>
      <c r="O2522" s="3">
        <v>850.62</v>
      </c>
      <c r="P2522" s="3">
        <v>0.15</v>
      </c>
      <c r="Q2522" s="3">
        <v>240.89</v>
      </c>
      <c r="R2522" s="3">
        <v>0.04</v>
      </c>
      <c r="S2522">
        <v>4</v>
      </c>
      <c r="T2522">
        <v>1387.44</v>
      </c>
      <c r="U2522">
        <v>29</v>
      </c>
      <c r="V2522">
        <v>0</v>
      </c>
      <c r="W2522">
        <v>803.36</v>
      </c>
      <c r="X2522">
        <v>2110.17</v>
      </c>
      <c r="Y2522" t="s">
        <v>36</v>
      </c>
      <c r="Z2522" s="3">
        <v>788.5</v>
      </c>
      <c r="AA2522" t="s">
        <v>45</v>
      </c>
      <c r="AB2522" t="s">
        <v>33</v>
      </c>
      <c r="AC2522">
        <v>96.1</v>
      </c>
      <c r="AD2522" t="s">
        <v>38</v>
      </c>
      <c r="AE2522">
        <v>2293.1</v>
      </c>
      <c r="AF2522">
        <v>0</v>
      </c>
    </row>
    <row r="2523" spans="3:32" x14ac:dyDescent="0.35">
      <c r="C2523" s="1">
        <v>44966</v>
      </c>
      <c r="D2523" s="2">
        <v>44958</v>
      </c>
      <c r="E2523">
        <v>1746</v>
      </c>
      <c r="F2523" s="3">
        <v>3689.48</v>
      </c>
      <c r="G2523" s="3">
        <v>1854.24</v>
      </c>
      <c r="H2523" s="3">
        <v>1835.24</v>
      </c>
      <c r="I2523" s="3">
        <v>0.5</v>
      </c>
      <c r="J2523">
        <v>0.17</v>
      </c>
      <c r="K2523">
        <v>2498.4499999999998</v>
      </c>
      <c r="L2523" t="s">
        <v>35</v>
      </c>
      <c r="M2523">
        <v>692</v>
      </c>
      <c r="N2523">
        <v>0.49</v>
      </c>
      <c r="O2523" s="3">
        <v>881.18</v>
      </c>
      <c r="P2523" s="3">
        <v>0.24</v>
      </c>
      <c r="Q2523" s="3">
        <v>39.200000000000003</v>
      </c>
      <c r="R2523" s="3">
        <v>0.01</v>
      </c>
      <c r="S2523">
        <v>1</v>
      </c>
      <c r="T2523">
        <v>1530.03</v>
      </c>
      <c r="U2523">
        <v>30</v>
      </c>
      <c r="V2523">
        <v>0</v>
      </c>
      <c r="W2523">
        <v>570.88</v>
      </c>
      <c r="X2523">
        <v>1826.67</v>
      </c>
      <c r="Y2523" t="s">
        <v>49</v>
      </c>
      <c r="Z2523" s="3">
        <v>1709.34</v>
      </c>
      <c r="AA2523" t="s">
        <v>48</v>
      </c>
      <c r="AB2523" t="s">
        <v>44</v>
      </c>
      <c r="AC2523">
        <v>27.1</v>
      </c>
      <c r="AD2523" t="s">
        <v>34</v>
      </c>
      <c r="AE2523">
        <v>1835.24</v>
      </c>
      <c r="AF2523">
        <v>0</v>
      </c>
    </row>
    <row r="2524" spans="3:32" x14ac:dyDescent="0.35">
      <c r="C2524" s="1">
        <v>44966</v>
      </c>
      <c r="D2524" s="2">
        <v>44958</v>
      </c>
      <c r="E2524">
        <v>1048</v>
      </c>
      <c r="F2524" s="3">
        <v>4316.9399999999996</v>
      </c>
      <c r="G2524" s="3">
        <v>2404.6</v>
      </c>
      <c r="H2524" s="3">
        <v>1912.34</v>
      </c>
      <c r="I2524" s="3">
        <v>0.56000000000000005</v>
      </c>
      <c r="J2524">
        <v>0.3</v>
      </c>
      <c r="K2524">
        <v>2023.14</v>
      </c>
      <c r="L2524" t="s">
        <v>39</v>
      </c>
      <c r="M2524">
        <v>636</v>
      </c>
      <c r="N2524">
        <v>0.3</v>
      </c>
      <c r="O2524" s="3">
        <v>537.15</v>
      </c>
      <c r="P2524" s="3">
        <v>0.12</v>
      </c>
      <c r="Q2524" s="3">
        <v>345.74</v>
      </c>
      <c r="R2524" s="3">
        <v>0.08</v>
      </c>
      <c r="S2524">
        <v>1</v>
      </c>
      <c r="T2524">
        <v>449.23</v>
      </c>
      <c r="U2524">
        <v>84</v>
      </c>
      <c r="V2524">
        <v>0</v>
      </c>
      <c r="W2524">
        <v>438.11</v>
      </c>
      <c r="X2524">
        <v>1522.12</v>
      </c>
      <c r="Y2524" t="s">
        <v>36</v>
      </c>
      <c r="Z2524" s="3">
        <v>1013.1</v>
      </c>
      <c r="AA2524" t="s">
        <v>45</v>
      </c>
      <c r="AB2524" t="s">
        <v>33</v>
      </c>
      <c r="AC2524">
        <v>45.1</v>
      </c>
      <c r="AD2524" t="s">
        <v>34</v>
      </c>
      <c r="AE2524">
        <v>1912.34</v>
      </c>
      <c r="AF2524">
        <v>0</v>
      </c>
    </row>
    <row r="2525" spans="3:32" x14ac:dyDescent="0.35">
      <c r="C2525" s="1">
        <v>44966</v>
      </c>
      <c r="D2525" s="2">
        <v>44958</v>
      </c>
      <c r="E2525">
        <v>1768</v>
      </c>
      <c r="F2525" s="3">
        <v>2639.7</v>
      </c>
      <c r="G2525" s="3">
        <v>1116.79</v>
      </c>
      <c r="H2525" s="3">
        <v>1522.91</v>
      </c>
      <c r="I2525" s="3">
        <v>0.42</v>
      </c>
      <c r="J2525">
        <v>0.25</v>
      </c>
      <c r="K2525">
        <v>3016.33</v>
      </c>
      <c r="L2525" t="s">
        <v>30</v>
      </c>
      <c r="M2525">
        <v>724</v>
      </c>
      <c r="N2525">
        <v>0.18</v>
      </c>
      <c r="O2525" s="3">
        <v>368.42</v>
      </c>
      <c r="P2525" s="3">
        <v>0.14000000000000001</v>
      </c>
      <c r="Q2525" s="3">
        <v>671.49</v>
      </c>
      <c r="R2525" s="3">
        <v>0.25</v>
      </c>
      <c r="S2525">
        <v>7</v>
      </c>
      <c r="T2525">
        <v>310.81</v>
      </c>
      <c r="U2525">
        <v>61</v>
      </c>
      <c r="V2525">
        <v>0</v>
      </c>
      <c r="W2525">
        <v>235.87</v>
      </c>
      <c r="X2525">
        <v>1821.95</v>
      </c>
      <c r="Y2525" t="s">
        <v>36</v>
      </c>
      <c r="Z2525" s="3">
        <v>1301.22</v>
      </c>
      <c r="AA2525" t="s">
        <v>45</v>
      </c>
      <c r="AB2525" t="s">
        <v>42</v>
      </c>
      <c r="AC2525">
        <v>16.2</v>
      </c>
      <c r="AD2525" t="s">
        <v>34</v>
      </c>
      <c r="AE2525">
        <v>1522.91</v>
      </c>
      <c r="AF2525">
        <v>0</v>
      </c>
    </row>
    <row r="2526" spans="3:32" x14ac:dyDescent="0.35">
      <c r="C2526" s="1">
        <v>44966</v>
      </c>
      <c r="D2526" s="2">
        <v>44958</v>
      </c>
      <c r="E2526">
        <v>1388</v>
      </c>
      <c r="F2526" s="3">
        <v>5959.45</v>
      </c>
      <c r="G2526" s="3">
        <v>2881.89</v>
      </c>
      <c r="H2526" s="3">
        <v>3077.56</v>
      </c>
      <c r="I2526" s="3">
        <v>0.48</v>
      </c>
      <c r="J2526">
        <v>0.25</v>
      </c>
      <c r="K2526">
        <v>3656.96</v>
      </c>
      <c r="L2526" t="s">
        <v>30</v>
      </c>
      <c r="M2526">
        <v>628</v>
      </c>
      <c r="N2526">
        <v>0.45</v>
      </c>
      <c r="O2526" s="3">
        <v>496.4</v>
      </c>
      <c r="P2526" s="3">
        <v>0.08</v>
      </c>
      <c r="Q2526" s="3">
        <v>126.85</v>
      </c>
      <c r="R2526" s="3">
        <v>0.02</v>
      </c>
      <c r="S2526">
        <v>6</v>
      </c>
      <c r="T2526">
        <v>1194.73</v>
      </c>
      <c r="U2526">
        <v>51</v>
      </c>
      <c r="V2526">
        <v>0</v>
      </c>
      <c r="W2526">
        <v>684.76</v>
      </c>
      <c r="X2526">
        <v>1717.86</v>
      </c>
      <c r="Y2526" t="s">
        <v>31</v>
      </c>
      <c r="Z2526" s="3">
        <v>965.94</v>
      </c>
      <c r="AA2526" t="s">
        <v>50</v>
      </c>
      <c r="AB2526" t="s">
        <v>42</v>
      </c>
      <c r="AC2526">
        <v>42</v>
      </c>
      <c r="AD2526" t="s">
        <v>43</v>
      </c>
      <c r="AE2526">
        <v>3077.56</v>
      </c>
      <c r="AF2526">
        <v>0</v>
      </c>
    </row>
    <row r="2527" spans="3:32" x14ac:dyDescent="0.35">
      <c r="C2527" s="1">
        <v>44966</v>
      </c>
      <c r="D2527" s="2">
        <v>44958</v>
      </c>
      <c r="E2527">
        <v>1428</v>
      </c>
      <c r="F2527" s="3">
        <v>3053.5</v>
      </c>
      <c r="G2527" s="3">
        <v>3055.04</v>
      </c>
      <c r="H2527" s="3">
        <v>-1.54</v>
      </c>
      <c r="I2527" s="3">
        <v>1</v>
      </c>
      <c r="J2527">
        <v>0.28999999999999998</v>
      </c>
      <c r="K2527">
        <v>3860.91</v>
      </c>
      <c r="L2527" t="s">
        <v>39</v>
      </c>
      <c r="M2527">
        <v>675</v>
      </c>
      <c r="N2527">
        <v>0.13</v>
      </c>
      <c r="O2527" s="3">
        <v>865.53</v>
      </c>
      <c r="P2527" s="3">
        <v>0.28000000000000003</v>
      </c>
      <c r="Q2527" s="3">
        <v>938.03</v>
      </c>
      <c r="R2527" s="3">
        <v>0.31</v>
      </c>
      <c r="S2527">
        <v>2</v>
      </c>
      <c r="T2527">
        <v>966.04</v>
      </c>
      <c r="U2527">
        <v>98</v>
      </c>
      <c r="V2527">
        <v>0</v>
      </c>
      <c r="W2527">
        <v>69.569999999999993</v>
      </c>
      <c r="X2527">
        <v>3514.52</v>
      </c>
      <c r="Y2527" t="s">
        <v>36</v>
      </c>
      <c r="Z2527" s="3">
        <v>1256</v>
      </c>
      <c r="AA2527" t="s">
        <v>40</v>
      </c>
      <c r="AB2527" t="s">
        <v>42</v>
      </c>
      <c r="AC2527">
        <v>49.7</v>
      </c>
      <c r="AD2527" t="s">
        <v>34</v>
      </c>
      <c r="AE2527">
        <v>0</v>
      </c>
      <c r="AF2527">
        <v>0</v>
      </c>
    </row>
    <row r="2528" spans="3:32" x14ac:dyDescent="0.35">
      <c r="C2528" s="1">
        <v>44966</v>
      </c>
      <c r="D2528" s="2">
        <v>44958</v>
      </c>
      <c r="E2528">
        <v>1551</v>
      </c>
      <c r="F2528" s="3">
        <v>3877.85</v>
      </c>
      <c r="G2528" s="3">
        <v>3525.77</v>
      </c>
      <c r="H2528" s="3">
        <v>352.08</v>
      </c>
      <c r="I2528" s="3">
        <v>0.91</v>
      </c>
      <c r="J2528">
        <v>0.31</v>
      </c>
      <c r="K2528">
        <v>2382.5500000000002</v>
      </c>
      <c r="L2528" t="s">
        <v>30</v>
      </c>
      <c r="M2528">
        <v>738</v>
      </c>
      <c r="N2528">
        <v>0.57999999999999996</v>
      </c>
      <c r="O2528" s="3">
        <v>575.95000000000005</v>
      </c>
      <c r="P2528" s="3">
        <v>0.15</v>
      </c>
      <c r="Q2528" s="3">
        <v>0</v>
      </c>
      <c r="R2528" s="3">
        <v>0</v>
      </c>
      <c r="S2528">
        <v>9</v>
      </c>
      <c r="T2528">
        <v>1515.87</v>
      </c>
      <c r="U2528">
        <v>75</v>
      </c>
      <c r="V2528">
        <v>0</v>
      </c>
      <c r="W2528">
        <v>603.99</v>
      </c>
      <c r="X2528">
        <v>2056.89</v>
      </c>
      <c r="Y2528" t="s">
        <v>36</v>
      </c>
      <c r="Z2528" s="3">
        <v>1202.74</v>
      </c>
      <c r="AA2528" t="s">
        <v>47</v>
      </c>
      <c r="AB2528" t="s">
        <v>42</v>
      </c>
      <c r="AC2528">
        <v>75.3</v>
      </c>
      <c r="AD2528" t="s">
        <v>34</v>
      </c>
      <c r="AE2528">
        <v>352.08</v>
      </c>
      <c r="AF2528">
        <v>0</v>
      </c>
    </row>
    <row r="2529" spans="3:32" x14ac:dyDescent="0.35">
      <c r="C2529" s="1">
        <v>44966</v>
      </c>
      <c r="D2529" s="2">
        <v>44958</v>
      </c>
      <c r="E2529">
        <v>1495</v>
      </c>
      <c r="F2529" s="3">
        <v>4443.4399999999996</v>
      </c>
      <c r="G2529" s="3">
        <v>2473.52</v>
      </c>
      <c r="H2529" s="3">
        <v>1969.92</v>
      </c>
      <c r="I2529" s="3">
        <v>0.56000000000000005</v>
      </c>
      <c r="J2529">
        <v>0.11</v>
      </c>
      <c r="K2529">
        <v>2736.95</v>
      </c>
      <c r="L2529" t="s">
        <v>35</v>
      </c>
      <c r="M2529">
        <v>745</v>
      </c>
      <c r="N2529">
        <v>0.25</v>
      </c>
      <c r="O2529" s="3">
        <v>517.91999999999996</v>
      </c>
      <c r="P2529" s="3">
        <v>0.12</v>
      </c>
      <c r="Q2529" s="3">
        <v>250.67</v>
      </c>
      <c r="R2529" s="3">
        <v>0.06</v>
      </c>
      <c r="S2529">
        <v>1</v>
      </c>
      <c r="T2529">
        <v>1105.1199999999999</v>
      </c>
      <c r="U2529">
        <v>46</v>
      </c>
      <c r="V2529">
        <v>0</v>
      </c>
      <c r="W2529">
        <v>467.96</v>
      </c>
      <c r="X2529">
        <v>3215.62</v>
      </c>
      <c r="Y2529" t="s">
        <v>31</v>
      </c>
      <c r="Z2529" s="3">
        <v>1309.8699999999999</v>
      </c>
      <c r="AA2529" t="s">
        <v>46</v>
      </c>
      <c r="AB2529" t="s">
        <v>33</v>
      </c>
      <c r="AC2529">
        <v>51</v>
      </c>
      <c r="AD2529" t="s">
        <v>34</v>
      </c>
      <c r="AE2529">
        <v>1969.92</v>
      </c>
      <c r="AF2529">
        <v>0</v>
      </c>
    </row>
    <row r="2530" spans="3:32" x14ac:dyDescent="0.35">
      <c r="C2530" s="1">
        <v>44966</v>
      </c>
      <c r="D2530" s="2">
        <v>44958</v>
      </c>
      <c r="E2530">
        <v>1267</v>
      </c>
      <c r="F2530" s="3">
        <v>5355.14</v>
      </c>
      <c r="G2530" s="3">
        <v>3941.51</v>
      </c>
      <c r="H2530" s="3">
        <v>1413.63</v>
      </c>
      <c r="I2530" s="3">
        <v>0.74</v>
      </c>
      <c r="J2530">
        <v>0.19</v>
      </c>
      <c r="K2530">
        <v>2383.42</v>
      </c>
      <c r="L2530" t="s">
        <v>30</v>
      </c>
      <c r="M2530">
        <v>617</v>
      </c>
      <c r="N2530">
        <v>0.53</v>
      </c>
      <c r="O2530" s="3">
        <v>569.28</v>
      </c>
      <c r="P2530" s="3">
        <v>0.11</v>
      </c>
      <c r="Q2530" s="3">
        <v>186.87</v>
      </c>
      <c r="R2530" s="3">
        <v>0.03</v>
      </c>
      <c r="S2530">
        <v>1</v>
      </c>
      <c r="T2530">
        <v>953.52</v>
      </c>
      <c r="U2530">
        <v>27</v>
      </c>
      <c r="V2530">
        <v>0</v>
      </c>
      <c r="W2530">
        <v>311.56</v>
      </c>
      <c r="X2530">
        <v>2267.19</v>
      </c>
      <c r="Y2530" t="s">
        <v>36</v>
      </c>
      <c r="Z2530" s="3">
        <v>1172.0899999999999</v>
      </c>
      <c r="AA2530" t="s">
        <v>41</v>
      </c>
      <c r="AB2530" t="s">
        <v>42</v>
      </c>
      <c r="AC2530">
        <v>17.399999999999999</v>
      </c>
      <c r="AD2530" t="s">
        <v>34</v>
      </c>
      <c r="AE2530">
        <v>1413.63</v>
      </c>
      <c r="AF2530">
        <v>0</v>
      </c>
    </row>
    <row r="2531" spans="3:32" x14ac:dyDescent="0.35">
      <c r="C2531" s="1">
        <v>44966</v>
      </c>
      <c r="D2531" s="2">
        <v>44958</v>
      </c>
      <c r="E2531">
        <v>1349</v>
      </c>
      <c r="F2531" s="3">
        <v>4223.84</v>
      </c>
      <c r="G2531" s="3">
        <v>2744.66</v>
      </c>
      <c r="H2531" s="3">
        <v>1479.18</v>
      </c>
      <c r="I2531" s="3">
        <v>0.65</v>
      </c>
      <c r="J2531">
        <v>0.33</v>
      </c>
      <c r="K2531">
        <v>3794.28</v>
      </c>
      <c r="L2531" t="s">
        <v>35</v>
      </c>
      <c r="M2531">
        <v>663</v>
      </c>
      <c r="N2531">
        <v>0.28000000000000003</v>
      </c>
      <c r="O2531" s="3">
        <v>300.12</v>
      </c>
      <c r="P2531" s="3">
        <v>7.0000000000000007E-2</v>
      </c>
      <c r="Q2531" s="3">
        <v>560.42999999999995</v>
      </c>
      <c r="R2531" s="3">
        <v>0.13</v>
      </c>
      <c r="S2531">
        <v>6</v>
      </c>
      <c r="T2531">
        <v>774.4</v>
      </c>
      <c r="U2531">
        <v>25</v>
      </c>
      <c r="V2531">
        <v>0</v>
      </c>
      <c r="W2531">
        <v>290.58999999999997</v>
      </c>
      <c r="X2531">
        <v>2450.63</v>
      </c>
      <c r="Y2531" t="s">
        <v>31</v>
      </c>
      <c r="Z2531" s="3">
        <v>1194.29</v>
      </c>
      <c r="AA2531" t="s">
        <v>47</v>
      </c>
      <c r="AB2531" t="s">
        <v>33</v>
      </c>
      <c r="AC2531">
        <v>21.8</v>
      </c>
      <c r="AD2531" t="s">
        <v>43</v>
      </c>
      <c r="AE2531">
        <v>1479.18</v>
      </c>
      <c r="AF2531">
        <v>0</v>
      </c>
    </row>
    <row r="2532" spans="3:32" x14ac:dyDescent="0.35">
      <c r="C2532" s="1">
        <v>44966</v>
      </c>
      <c r="D2532" s="2">
        <v>44958</v>
      </c>
      <c r="E2532">
        <v>1992</v>
      </c>
      <c r="F2532" s="3">
        <v>5121.67</v>
      </c>
      <c r="G2532" s="3">
        <v>2289.38</v>
      </c>
      <c r="H2532" s="3">
        <v>2832.29</v>
      </c>
      <c r="I2532" s="3">
        <v>0.45</v>
      </c>
      <c r="J2532">
        <v>0.22</v>
      </c>
      <c r="K2532">
        <v>2152.84</v>
      </c>
      <c r="L2532" t="s">
        <v>30</v>
      </c>
      <c r="M2532">
        <v>619</v>
      </c>
      <c r="N2532">
        <v>0.55000000000000004</v>
      </c>
      <c r="O2532" s="3">
        <v>601.15</v>
      </c>
      <c r="P2532" s="3">
        <v>0.12</v>
      </c>
      <c r="Q2532" s="3">
        <v>257.01</v>
      </c>
      <c r="R2532" s="3">
        <v>0.05</v>
      </c>
      <c r="S2532">
        <v>4</v>
      </c>
      <c r="T2532">
        <v>1111.54</v>
      </c>
      <c r="U2532">
        <v>82</v>
      </c>
      <c r="V2532">
        <v>0</v>
      </c>
      <c r="W2532">
        <v>621.54999999999995</v>
      </c>
      <c r="X2532">
        <v>1861.58</v>
      </c>
      <c r="Y2532" t="s">
        <v>36</v>
      </c>
      <c r="Z2532" s="3">
        <v>1201.7</v>
      </c>
      <c r="AA2532" t="s">
        <v>45</v>
      </c>
      <c r="AB2532" t="s">
        <v>33</v>
      </c>
      <c r="AC2532">
        <v>91.7</v>
      </c>
      <c r="AD2532" t="s">
        <v>34</v>
      </c>
      <c r="AE2532">
        <v>2832.29</v>
      </c>
      <c r="AF2532">
        <v>1</v>
      </c>
    </row>
    <row r="2533" spans="3:32" x14ac:dyDescent="0.35">
      <c r="C2533" s="1">
        <v>44966</v>
      </c>
      <c r="D2533" s="2">
        <v>44958</v>
      </c>
      <c r="E2533">
        <v>1101</v>
      </c>
      <c r="F2533" s="3">
        <v>3990.26</v>
      </c>
      <c r="G2533" s="3">
        <v>3417.6</v>
      </c>
      <c r="H2533" s="3">
        <v>572.66</v>
      </c>
      <c r="I2533" s="3">
        <v>0.86</v>
      </c>
      <c r="J2533">
        <v>0.28999999999999998</v>
      </c>
      <c r="K2533">
        <v>2366.65</v>
      </c>
      <c r="L2533" t="s">
        <v>35</v>
      </c>
      <c r="M2533">
        <v>729</v>
      </c>
      <c r="N2533">
        <v>0.48</v>
      </c>
      <c r="O2533" s="3">
        <v>750.97</v>
      </c>
      <c r="P2533" s="3">
        <v>0.19</v>
      </c>
      <c r="Q2533" s="3">
        <v>32.31</v>
      </c>
      <c r="R2533" s="3">
        <v>0.01</v>
      </c>
      <c r="S2533">
        <v>6</v>
      </c>
      <c r="T2533">
        <v>884.79</v>
      </c>
      <c r="U2533">
        <v>35</v>
      </c>
      <c r="V2533">
        <v>0</v>
      </c>
      <c r="W2533">
        <v>645.85</v>
      </c>
      <c r="X2533">
        <v>1000</v>
      </c>
      <c r="Y2533" t="s">
        <v>36</v>
      </c>
      <c r="Z2533" s="3">
        <v>1462.86</v>
      </c>
      <c r="AA2533" t="s">
        <v>37</v>
      </c>
      <c r="AB2533" t="s">
        <v>44</v>
      </c>
      <c r="AC2533">
        <v>97.9</v>
      </c>
      <c r="AD2533" t="s">
        <v>34</v>
      </c>
      <c r="AE2533">
        <v>572.66</v>
      </c>
      <c r="AF2533">
        <v>0</v>
      </c>
    </row>
    <row r="2534" spans="3:32" x14ac:dyDescent="0.35">
      <c r="C2534" s="1">
        <v>44966</v>
      </c>
      <c r="D2534" s="2">
        <v>44958</v>
      </c>
      <c r="E2534">
        <v>1207</v>
      </c>
      <c r="F2534" s="3">
        <v>4227.92</v>
      </c>
      <c r="G2534" s="3">
        <v>3598.62</v>
      </c>
      <c r="H2534" s="3">
        <v>629.29999999999995</v>
      </c>
      <c r="I2534" s="3">
        <v>0.85</v>
      </c>
      <c r="J2534">
        <v>0.26</v>
      </c>
      <c r="K2534">
        <v>3124.86</v>
      </c>
      <c r="L2534" t="s">
        <v>30</v>
      </c>
      <c r="M2534">
        <v>663</v>
      </c>
      <c r="N2534">
        <v>0.45</v>
      </c>
      <c r="O2534" s="3">
        <v>508.15</v>
      </c>
      <c r="P2534" s="3">
        <v>0.12</v>
      </c>
      <c r="Q2534" s="3">
        <v>137.85</v>
      </c>
      <c r="R2534" s="3">
        <v>0.03</v>
      </c>
      <c r="S2534">
        <v>1</v>
      </c>
      <c r="T2534">
        <v>44.07</v>
      </c>
      <c r="U2534">
        <v>23</v>
      </c>
      <c r="V2534">
        <v>0</v>
      </c>
      <c r="W2534">
        <v>342.23</v>
      </c>
      <c r="X2534">
        <v>2495.0700000000002</v>
      </c>
      <c r="Y2534" t="s">
        <v>36</v>
      </c>
      <c r="Z2534" s="3">
        <v>1443.93</v>
      </c>
      <c r="AA2534" t="s">
        <v>47</v>
      </c>
      <c r="AB2534" t="s">
        <v>33</v>
      </c>
      <c r="AC2534">
        <v>51.5</v>
      </c>
      <c r="AD2534" t="s">
        <v>43</v>
      </c>
      <c r="AE2534">
        <v>629.29999999999995</v>
      </c>
      <c r="AF2534">
        <v>0</v>
      </c>
    </row>
    <row r="2535" spans="3:32" x14ac:dyDescent="0.35">
      <c r="C2535" s="1">
        <v>44966</v>
      </c>
      <c r="D2535" s="2">
        <v>44958</v>
      </c>
      <c r="E2535">
        <v>1599</v>
      </c>
      <c r="F2535" s="3">
        <v>3499.44</v>
      </c>
      <c r="G2535" s="3">
        <v>2556.23</v>
      </c>
      <c r="H2535" s="3">
        <v>943.21</v>
      </c>
      <c r="I2535" s="3">
        <v>0.73</v>
      </c>
      <c r="J2535">
        <v>0.2</v>
      </c>
      <c r="K2535">
        <v>3279.54</v>
      </c>
      <c r="L2535" t="s">
        <v>35</v>
      </c>
      <c r="M2535">
        <v>742</v>
      </c>
      <c r="N2535">
        <v>0.51</v>
      </c>
      <c r="O2535" s="3">
        <v>556.04</v>
      </c>
      <c r="P2535" s="3">
        <v>0.16</v>
      </c>
      <c r="Q2535" s="3">
        <v>398.46</v>
      </c>
      <c r="R2535" s="3">
        <v>0.11</v>
      </c>
      <c r="S2535">
        <v>9</v>
      </c>
      <c r="T2535">
        <v>484.9</v>
      </c>
      <c r="U2535">
        <v>89</v>
      </c>
      <c r="V2535">
        <v>0</v>
      </c>
      <c r="W2535">
        <v>387.72</v>
      </c>
      <c r="X2535">
        <v>2905.27</v>
      </c>
      <c r="Y2535" t="s">
        <v>36</v>
      </c>
      <c r="Z2535" s="3">
        <v>1167.49</v>
      </c>
      <c r="AA2535" t="s">
        <v>45</v>
      </c>
      <c r="AB2535" t="s">
        <v>33</v>
      </c>
      <c r="AC2535">
        <v>14.2</v>
      </c>
      <c r="AD2535" t="s">
        <v>38</v>
      </c>
      <c r="AE2535">
        <v>943.21</v>
      </c>
      <c r="AF2535">
        <v>0</v>
      </c>
    </row>
    <row r="2536" spans="3:32" x14ac:dyDescent="0.35">
      <c r="C2536" s="1">
        <v>44966</v>
      </c>
      <c r="D2536" s="2">
        <v>44958</v>
      </c>
      <c r="E2536">
        <v>1606</v>
      </c>
      <c r="F2536" s="3">
        <v>4088.02</v>
      </c>
      <c r="G2536" s="3">
        <v>2301.65</v>
      </c>
      <c r="H2536" s="3">
        <v>1786.37</v>
      </c>
      <c r="I2536" s="3">
        <v>0.56000000000000005</v>
      </c>
      <c r="J2536">
        <v>0.25</v>
      </c>
      <c r="K2536">
        <v>3198.78</v>
      </c>
      <c r="L2536" t="s">
        <v>39</v>
      </c>
      <c r="M2536">
        <v>714</v>
      </c>
      <c r="N2536">
        <v>0.11</v>
      </c>
      <c r="O2536" s="3">
        <v>508.04</v>
      </c>
      <c r="P2536" s="3">
        <v>0.12</v>
      </c>
      <c r="Q2536" s="3">
        <v>438.73</v>
      </c>
      <c r="R2536" s="3">
        <v>0.11</v>
      </c>
      <c r="S2536">
        <v>2</v>
      </c>
      <c r="T2536">
        <v>1835.38</v>
      </c>
      <c r="U2536">
        <v>98</v>
      </c>
      <c r="V2536">
        <v>0</v>
      </c>
      <c r="W2536">
        <v>502.41</v>
      </c>
      <c r="X2536">
        <v>2165.85</v>
      </c>
      <c r="Y2536" t="s">
        <v>36</v>
      </c>
      <c r="Z2536" s="3">
        <v>1806.6</v>
      </c>
      <c r="AA2536" t="s">
        <v>46</v>
      </c>
      <c r="AB2536" t="s">
        <v>33</v>
      </c>
      <c r="AC2536">
        <v>82.8</v>
      </c>
      <c r="AD2536" t="s">
        <v>43</v>
      </c>
      <c r="AE2536">
        <v>1786.37</v>
      </c>
      <c r="AF2536">
        <v>0</v>
      </c>
    </row>
    <row r="2537" spans="3:32" x14ac:dyDescent="0.35">
      <c r="C2537" s="1">
        <v>44966</v>
      </c>
      <c r="D2537" s="2">
        <v>44958</v>
      </c>
      <c r="E2537">
        <v>1652</v>
      </c>
      <c r="F2537" s="3">
        <v>3652.14</v>
      </c>
      <c r="G2537" s="3">
        <v>3576.35</v>
      </c>
      <c r="H2537" s="3">
        <v>75.790000000000006</v>
      </c>
      <c r="I2537" s="3">
        <v>0.98</v>
      </c>
      <c r="J2537">
        <v>0.37</v>
      </c>
      <c r="K2537">
        <v>2269.9</v>
      </c>
      <c r="L2537" t="s">
        <v>35</v>
      </c>
      <c r="M2537">
        <v>684</v>
      </c>
      <c r="N2537">
        <v>0.52</v>
      </c>
      <c r="O2537" s="3">
        <v>534.07000000000005</v>
      </c>
      <c r="P2537" s="3">
        <v>0.15</v>
      </c>
      <c r="Q2537" s="3">
        <v>607.91999999999996</v>
      </c>
      <c r="R2537" s="3">
        <v>0.17</v>
      </c>
      <c r="S2537">
        <v>1</v>
      </c>
      <c r="T2537">
        <v>554.87</v>
      </c>
      <c r="U2537">
        <v>45</v>
      </c>
      <c r="V2537">
        <v>0</v>
      </c>
      <c r="W2537">
        <v>792.86</v>
      </c>
      <c r="X2537">
        <v>3244.5</v>
      </c>
      <c r="Y2537" t="s">
        <v>36</v>
      </c>
      <c r="Z2537" s="3">
        <v>952.61</v>
      </c>
      <c r="AA2537" t="s">
        <v>51</v>
      </c>
      <c r="AB2537" t="s">
        <v>33</v>
      </c>
      <c r="AC2537">
        <v>63.1</v>
      </c>
      <c r="AD2537" t="s">
        <v>43</v>
      </c>
      <c r="AE2537">
        <v>75.790000000000006</v>
      </c>
      <c r="AF2537">
        <v>0</v>
      </c>
    </row>
    <row r="2538" spans="3:32" x14ac:dyDescent="0.35">
      <c r="C2538" s="1">
        <v>44966</v>
      </c>
      <c r="D2538" s="2">
        <v>44958</v>
      </c>
      <c r="E2538">
        <v>1459</v>
      </c>
      <c r="F2538" s="3">
        <v>4061.25</v>
      </c>
      <c r="G2538" s="3">
        <v>4247.8100000000004</v>
      </c>
      <c r="H2538" s="3">
        <v>-186.56</v>
      </c>
      <c r="I2538" s="3">
        <v>1.05</v>
      </c>
      <c r="J2538">
        <v>0.38</v>
      </c>
      <c r="K2538">
        <v>3379.84</v>
      </c>
      <c r="L2538" t="s">
        <v>30</v>
      </c>
      <c r="M2538">
        <v>673</v>
      </c>
      <c r="N2538">
        <v>0.46</v>
      </c>
      <c r="O2538" s="3">
        <v>554.54999999999995</v>
      </c>
      <c r="P2538" s="3">
        <v>0.14000000000000001</v>
      </c>
      <c r="Q2538" s="3">
        <v>345.47</v>
      </c>
      <c r="R2538" s="3">
        <v>0.09</v>
      </c>
      <c r="S2538">
        <v>3</v>
      </c>
      <c r="T2538">
        <v>177.22</v>
      </c>
      <c r="U2538">
        <v>94</v>
      </c>
      <c r="V2538">
        <v>0</v>
      </c>
      <c r="W2538">
        <v>375.48</v>
      </c>
      <c r="X2538">
        <v>2866.68</v>
      </c>
      <c r="Y2538" t="s">
        <v>36</v>
      </c>
      <c r="Z2538" s="3">
        <v>490.45</v>
      </c>
      <c r="AA2538" t="s">
        <v>46</v>
      </c>
      <c r="AB2538" t="s">
        <v>33</v>
      </c>
      <c r="AC2538">
        <v>68.7</v>
      </c>
      <c r="AD2538" t="s">
        <v>34</v>
      </c>
      <c r="AE2538">
        <v>0</v>
      </c>
      <c r="AF2538">
        <v>0</v>
      </c>
    </row>
    <row r="2539" spans="3:32" x14ac:dyDescent="0.35">
      <c r="C2539" s="1">
        <v>44966</v>
      </c>
      <c r="D2539" s="2">
        <v>44958</v>
      </c>
      <c r="E2539">
        <v>1296</v>
      </c>
      <c r="F2539" s="3">
        <v>3498.12</v>
      </c>
      <c r="G2539" s="3">
        <v>2721.36</v>
      </c>
      <c r="H2539" s="3">
        <v>776.76</v>
      </c>
      <c r="I2539" s="3">
        <v>0.78</v>
      </c>
      <c r="J2539">
        <v>0.16</v>
      </c>
      <c r="K2539">
        <v>3446.86</v>
      </c>
      <c r="L2539" t="s">
        <v>39</v>
      </c>
      <c r="M2539">
        <v>745</v>
      </c>
      <c r="N2539">
        <v>0.44</v>
      </c>
      <c r="O2539" s="3">
        <v>793.11</v>
      </c>
      <c r="P2539" s="3">
        <v>0.23</v>
      </c>
      <c r="Q2539" s="3">
        <v>424.08</v>
      </c>
      <c r="R2539" s="3">
        <v>0.12</v>
      </c>
      <c r="S2539">
        <v>5</v>
      </c>
      <c r="T2539">
        <v>975.63</v>
      </c>
      <c r="U2539">
        <v>86</v>
      </c>
      <c r="V2539">
        <v>0</v>
      </c>
      <c r="W2539">
        <v>641.96</v>
      </c>
      <c r="X2539">
        <v>2528.08</v>
      </c>
      <c r="Y2539" t="s">
        <v>36</v>
      </c>
      <c r="Z2539" s="3">
        <v>1303.82</v>
      </c>
      <c r="AA2539" t="s">
        <v>40</v>
      </c>
      <c r="AB2539" t="s">
        <v>33</v>
      </c>
      <c r="AC2539">
        <v>63.1</v>
      </c>
      <c r="AD2539" t="s">
        <v>34</v>
      </c>
      <c r="AE2539">
        <v>776.76</v>
      </c>
      <c r="AF2539">
        <v>0</v>
      </c>
    </row>
    <row r="2540" spans="3:32" x14ac:dyDescent="0.35">
      <c r="C2540" s="1">
        <v>44966</v>
      </c>
      <c r="D2540" s="2">
        <v>44958</v>
      </c>
      <c r="E2540">
        <v>1488</v>
      </c>
      <c r="F2540" s="3">
        <v>4522.9399999999996</v>
      </c>
      <c r="G2540" s="3">
        <v>3201.18</v>
      </c>
      <c r="H2540" s="3">
        <v>1321.76</v>
      </c>
      <c r="I2540" s="3">
        <v>0.71</v>
      </c>
      <c r="J2540">
        <v>0.34</v>
      </c>
      <c r="K2540">
        <v>2109.84</v>
      </c>
      <c r="L2540" t="s">
        <v>35</v>
      </c>
      <c r="M2540">
        <v>716</v>
      </c>
      <c r="N2540">
        <v>0.56999999999999995</v>
      </c>
      <c r="O2540" s="3">
        <v>726.36</v>
      </c>
      <c r="P2540" s="3">
        <v>0.16</v>
      </c>
      <c r="Q2540" s="3">
        <v>393.16</v>
      </c>
      <c r="R2540" s="3">
        <v>0.09</v>
      </c>
      <c r="S2540">
        <v>7</v>
      </c>
      <c r="T2540">
        <v>1469.32</v>
      </c>
      <c r="U2540">
        <v>33</v>
      </c>
      <c r="V2540">
        <v>0</v>
      </c>
      <c r="W2540">
        <v>612.70000000000005</v>
      </c>
      <c r="X2540">
        <v>1953.95</v>
      </c>
      <c r="Y2540" t="s">
        <v>36</v>
      </c>
      <c r="Z2540" s="3">
        <v>1226.24</v>
      </c>
      <c r="AA2540" t="s">
        <v>48</v>
      </c>
      <c r="AB2540" t="s">
        <v>33</v>
      </c>
      <c r="AC2540">
        <v>58.6</v>
      </c>
      <c r="AD2540" t="s">
        <v>34</v>
      </c>
      <c r="AE2540">
        <v>1321.76</v>
      </c>
      <c r="AF2540">
        <v>0</v>
      </c>
    </row>
    <row r="2541" spans="3:32" x14ac:dyDescent="0.35">
      <c r="C2541" s="1">
        <v>44966</v>
      </c>
      <c r="D2541" s="2">
        <v>44958</v>
      </c>
      <c r="E2541">
        <v>1465</v>
      </c>
      <c r="F2541" s="3">
        <v>4164.6000000000004</v>
      </c>
      <c r="G2541" s="3">
        <v>3162.5</v>
      </c>
      <c r="H2541" s="3">
        <v>1002.1</v>
      </c>
      <c r="I2541" s="3">
        <v>0.76</v>
      </c>
      <c r="J2541">
        <v>0.27</v>
      </c>
      <c r="K2541">
        <v>1969.59</v>
      </c>
      <c r="L2541" t="s">
        <v>35</v>
      </c>
      <c r="M2541">
        <v>771</v>
      </c>
      <c r="N2541">
        <v>0.56000000000000005</v>
      </c>
      <c r="O2541" s="3">
        <v>407.26</v>
      </c>
      <c r="P2541" s="3">
        <v>0.1</v>
      </c>
      <c r="Q2541" s="3">
        <v>578.75</v>
      </c>
      <c r="R2541" s="3">
        <v>0.14000000000000001</v>
      </c>
      <c r="S2541">
        <v>2</v>
      </c>
      <c r="T2541">
        <v>349.99</v>
      </c>
      <c r="U2541">
        <v>68</v>
      </c>
      <c r="V2541">
        <v>0</v>
      </c>
      <c r="W2541">
        <v>377.36</v>
      </c>
      <c r="X2541">
        <v>3212.89</v>
      </c>
      <c r="Y2541" t="s">
        <v>36</v>
      </c>
      <c r="Z2541" s="3">
        <v>367.31</v>
      </c>
      <c r="AA2541" t="s">
        <v>45</v>
      </c>
      <c r="AB2541" t="s">
        <v>44</v>
      </c>
      <c r="AC2541">
        <v>50.6</v>
      </c>
      <c r="AD2541" t="s">
        <v>34</v>
      </c>
      <c r="AE2541">
        <v>1002.1</v>
      </c>
      <c r="AF2541">
        <v>0</v>
      </c>
    </row>
    <row r="2542" spans="3:32" x14ac:dyDescent="0.35">
      <c r="C2542" s="1">
        <v>44966</v>
      </c>
      <c r="D2542" s="2">
        <v>44958</v>
      </c>
      <c r="E2542">
        <v>1875</v>
      </c>
      <c r="F2542" s="3">
        <v>3083.29</v>
      </c>
      <c r="G2542" s="3">
        <v>1030.32</v>
      </c>
      <c r="H2542" s="3">
        <v>2052.9699999999998</v>
      </c>
      <c r="I2542" s="3">
        <v>0.33</v>
      </c>
      <c r="J2542">
        <v>0.3</v>
      </c>
      <c r="K2542">
        <v>2081.86</v>
      </c>
      <c r="L2542" t="s">
        <v>30</v>
      </c>
      <c r="M2542">
        <v>703</v>
      </c>
      <c r="N2542">
        <v>0.48</v>
      </c>
      <c r="O2542" s="3">
        <v>29.32</v>
      </c>
      <c r="P2542" s="3">
        <v>0.01</v>
      </c>
      <c r="Q2542" s="3">
        <v>206.94</v>
      </c>
      <c r="R2542" s="3">
        <v>7.0000000000000007E-2</v>
      </c>
      <c r="S2542">
        <v>2</v>
      </c>
      <c r="T2542">
        <v>1646.81</v>
      </c>
      <c r="U2542">
        <v>28</v>
      </c>
      <c r="V2542">
        <v>0</v>
      </c>
      <c r="W2542">
        <v>380.16</v>
      </c>
      <c r="X2542">
        <v>1930.69</v>
      </c>
      <c r="Y2542" t="s">
        <v>36</v>
      </c>
      <c r="Z2542" s="3">
        <v>876.66</v>
      </c>
      <c r="AA2542" t="s">
        <v>37</v>
      </c>
      <c r="AB2542" t="s">
        <v>33</v>
      </c>
      <c r="AC2542">
        <v>94.4</v>
      </c>
      <c r="AD2542" t="s">
        <v>43</v>
      </c>
      <c r="AE2542">
        <v>2052.9699999999998</v>
      </c>
      <c r="AF2542">
        <v>0</v>
      </c>
    </row>
    <row r="2543" spans="3:32" x14ac:dyDescent="0.35">
      <c r="C2543" s="1">
        <v>44966</v>
      </c>
      <c r="D2543" s="2">
        <v>44958</v>
      </c>
      <c r="E2543">
        <v>1075</v>
      </c>
      <c r="F2543" s="3">
        <v>4692.43</v>
      </c>
      <c r="G2543" s="3">
        <v>3028.96</v>
      </c>
      <c r="H2543" s="3">
        <v>1663.47</v>
      </c>
      <c r="I2543" s="3">
        <v>0.65</v>
      </c>
      <c r="J2543">
        <v>0.32</v>
      </c>
      <c r="K2543">
        <v>3522.17</v>
      </c>
      <c r="L2543" t="s">
        <v>39</v>
      </c>
      <c r="M2543">
        <v>744</v>
      </c>
      <c r="N2543">
        <v>0.47</v>
      </c>
      <c r="O2543" s="3">
        <v>897.37</v>
      </c>
      <c r="P2543" s="3">
        <v>0.19</v>
      </c>
      <c r="Q2543" s="3">
        <v>52.22</v>
      </c>
      <c r="R2543" s="3">
        <v>0.01</v>
      </c>
      <c r="S2543">
        <v>9</v>
      </c>
      <c r="T2543">
        <v>1449.24</v>
      </c>
      <c r="U2543">
        <v>59</v>
      </c>
      <c r="V2543">
        <v>0</v>
      </c>
      <c r="W2543">
        <v>389.68</v>
      </c>
      <c r="X2543">
        <v>2521.52</v>
      </c>
      <c r="Y2543" t="s">
        <v>36</v>
      </c>
      <c r="Z2543" s="3">
        <v>1811.31</v>
      </c>
      <c r="AA2543" t="s">
        <v>51</v>
      </c>
      <c r="AB2543" t="s">
        <v>42</v>
      </c>
      <c r="AC2543">
        <v>72.900000000000006</v>
      </c>
      <c r="AD2543" t="s">
        <v>43</v>
      </c>
      <c r="AE2543">
        <v>1663.47</v>
      </c>
      <c r="AF2543">
        <v>0</v>
      </c>
    </row>
    <row r="2544" spans="3:32" x14ac:dyDescent="0.35">
      <c r="C2544" s="1">
        <v>44966</v>
      </c>
      <c r="D2544" s="2">
        <v>44958</v>
      </c>
      <c r="E2544">
        <v>1637</v>
      </c>
      <c r="F2544" s="3">
        <v>3612.34</v>
      </c>
      <c r="G2544" s="3">
        <v>3638.4</v>
      </c>
      <c r="H2544" s="3">
        <v>-26.06</v>
      </c>
      <c r="I2544" s="3">
        <v>1.01</v>
      </c>
      <c r="J2544">
        <v>0.18</v>
      </c>
      <c r="K2544">
        <v>2382.27</v>
      </c>
      <c r="L2544" t="s">
        <v>30</v>
      </c>
      <c r="M2544">
        <v>770</v>
      </c>
      <c r="N2544">
        <v>0.32</v>
      </c>
      <c r="O2544" s="3">
        <v>430.79</v>
      </c>
      <c r="P2544" s="3">
        <v>0.12</v>
      </c>
      <c r="Q2544" s="3">
        <v>610.12</v>
      </c>
      <c r="R2544" s="3">
        <v>0.17</v>
      </c>
      <c r="S2544">
        <v>5</v>
      </c>
      <c r="T2544">
        <v>705.17</v>
      </c>
      <c r="U2544">
        <v>69</v>
      </c>
      <c r="V2544">
        <v>0</v>
      </c>
      <c r="W2544">
        <v>508</v>
      </c>
      <c r="X2544">
        <v>1471.98</v>
      </c>
      <c r="Y2544" t="s">
        <v>31</v>
      </c>
      <c r="Z2544" s="3">
        <v>593.5</v>
      </c>
      <c r="AA2544" t="s">
        <v>47</v>
      </c>
      <c r="AB2544" t="s">
        <v>44</v>
      </c>
      <c r="AC2544">
        <v>72.400000000000006</v>
      </c>
      <c r="AD2544" t="s">
        <v>34</v>
      </c>
      <c r="AE2544">
        <v>0</v>
      </c>
      <c r="AF2544">
        <v>0</v>
      </c>
    </row>
    <row r="2545" spans="3:32" x14ac:dyDescent="0.35">
      <c r="C2545" s="1">
        <v>44966</v>
      </c>
      <c r="D2545" s="2">
        <v>44958</v>
      </c>
      <c r="E2545">
        <v>1824</v>
      </c>
      <c r="F2545" s="3">
        <v>4633.24</v>
      </c>
      <c r="G2545" s="3">
        <v>3468.96</v>
      </c>
      <c r="H2545" s="3">
        <v>1164.28</v>
      </c>
      <c r="I2545" s="3">
        <v>0.75</v>
      </c>
      <c r="J2545">
        <v>0.19</v>
      </c>
      <c r="K2545">
        <v>3173</v>
      </c>
      <c r="L2545" t="s">
        <v>35</v>
      </c>
      <c r="M2545">
        <v>686</v>
      </c>
      <c r="N2545">
        <v>0.45</v>
      </c>
      <c r="O2545" s="3">
        <v>500.51</v>
      </c>
      <c r="P2545" s="3">
        <v>0.11</v>
      </c>
      <c r="Q2545" s="3">
        <v>392.36</v>
      </c>
      <c r="R2545" s="3">
        <v>0.08</v>
      </c>
      <c r="S2545">
        <v>8</v>
      </c>
      <c r="T2545">
        <v>214.48</v>
      </c>
      <c r="U2545">
        <v>25</v>
      </c>
      <c r="V2545">
        <v>0</v>
      </c>
      <c r="W2545">
        <v>292.74</v>
      </c>
      <c r="X2545">
        <v>2400.2199999999998</v>
      </c>
      <c r="Y2545" t="s">
        <v>36</v>
      </c>
      <c r="Z2545" s="3">
        <v>1283.99</v>
      </c>
      <c r="AA2545" t="s">
        <v>47</v>
      </c>
      <c r="AB2545" t="s">
        <v>33</v>
      </c>
      <c r="AC2545">
        <v>20.7</v>
      </c>
      <c r="AD2545" t="s">
        <v>34</v>
      </c>
      <c r="AE2545">
        <v>1164.28</v>
      </c>
      <c r="AF2545">
        <v>0</v>
      </c>
    </row>
    <row r="2546" spans="3:32" x14ac:dyDescent="0.35">
      <c r="C2546" s="1">
        <v>44966</v>
      </c>
      <c r="D2546" s="2">
        <v>44958</v>
      </c>
      <c r="E2546">
        <v>1754</v>
      </c>
      <c r="F2546" s="3">
        <v>4400.66</v>
      </c>
      <c r="G2546" s="3">
        <v>3384.67</v>
      </c>
      <c r="H2546" s="3">
        <v>1015.99</v>
      </c>
      <c r="I2546" s="3">
        <v>0.77</v>
      </c>
      <c r="J2546">
        <v>0.12</v>
      </c>
      <c r="K2546">
        <v>2831.23</v>
      </c>
      <c r="L2546" t="s">
        <v>35</v>
      </c>
      <c r="M2546">
        <v>631</v>
      </c>
      <c r="N2546">
        <v>0.41</v>
      </c>
      <c r="O2546" s="3">
        <v>343.2</v>
      </c>
      <c r="P2546" s="3">
        <v>0.08</v>
      </c>
      <c r="Q2546" s="3">
        <v>297.95</v>
      </c>
      <c r="R2546" s="3">
        <v>7.0000000000000007E-2</v>
      </c>
      <c r="S2546">
        <v>7</v>
      </c>
      <c r="T2546">
        <v>1448.24</v>
      </c>
      <c r="U2546">
        <v>63</v>
      </c>
      <c r="V2546">
        <v>0</v>
      </c>
      <c r="W2546">
        <v>217.4</v>
      </c>
      <c r="X2546">
        <v>2504.75</v>
      </c>
      <c r="Y2546" t="s">
        <v>36</v>
      </c>
      <c r="Z2546" s="3">
        <v>738.7</v>
      </c>
      <c r="AA2546" t="s">
        <v>37</v>
      </c>
      <c r="AB2546" t="s">
        <v>33</v>
      </c>
      <c r="AC2546">
        <v>46.3</v>
      </c>
      <c r="AD2546" t="s">
        <v>34</v>
      </c>
      <c r="AE2546">
        <v>1015.99</v>
      </c>
      <c r="AF2546">
        <v>0</v>
      </c>
    </row>
    <row r="2547" spans="3:32" x14ac:dyDescent="0.35">
      <c r="C2547" s="1">
        <v>44966</v>
      </c>
      <c r="D2547" s="2">
        <v>44958</v>
      </c>
      <c r="E2547">
        <v>1525</v>
      </c>
      <c r="F2547" s="3">
        <v>3317.96</v>
      </c>
      <c r="G2547" s="3">
        <v>2244.96</v>
      </c>
      <c r="H2547" s="3">
        <v>1073</v>
      </c>
      <c r="I2547" s="3">
        <v>0.68</v>
      </c>
      <c r="J2547">
        <v>0.16</v>
      </c>
      <c r="K2547">
        <v>2676.84</v>
      </c>
      <c r="L2547" t="s">
        <v>35</v>
      </c>
      <c r="M2547">
        <v>676</v>
      </c>
      <c r="N2547">
        <v>0.28999999999999998</v>
      </c>
      <c r="O2547" s="3">
        <v>564.75</v>
      </c>
      <c r="P2547" s="3">
        <v>0.17</v>
      </c>
      <c r="Q2547" s="3">
        <v>240.94</v>
      </c>
      <c r="R2547" s="3">
        <v>7.0000000000000007E-2</v>
      </c>
      <c r="S2547">
        <v>9</v>
      </c>
      <c r="T2547">
        <v>616.13</v>
      </c>
      <c r="U2547">
        <v>87</v>
      </c>
      <c r="V2547">
        <v>0</v>
      </c>
      <c r="W2547">
        <v>771.54</v>
      </c>
      <c r="X2547">
        <v>1482.21</v>
      </c>
      <c r="Y2547" t="s">
        <v>36</v>
      </c>
      <c r="Z2547" s="3">
        <v>675.18</v>
      </c>
      <c r="AA2547" t="s">
        <v>41</v>
      </c>
      <c r="AB2547" t="s">
        <v>33</v>
      </c>
      <c r="AC2547">
        <v>17.5</v>
      </c>
      <c r="AD2547" t="s">
        <v>38</v>
      </c>
      <c r="AE2547">
        <v>1073</v>
      </c>
      <c r="AF2547">
        <v>0</v>
      </c>
    </row>
    <row r="2548" spans="3:32" x14ac:dyDescent="0.35">
      <c r="C2548" s="1">
        <v>44966</v>
      </c>
      <c r="D2548" s="2">
        <v>44958</v>
      </c>
      <c r="E2548">
        <v>1297</v>
      </c>
      <c r="F2548" s="3">
        <v>4091.62</v>
      </c>
      <c r="G2548" s="3">
        <v>3365.25</v>
      </c>
      <c r="H2548" s="3">
        <v>726.37</v>
      </c>
      <c r="I2548" s="3">
        <v>0.82</v>
      </c>
      <c r="J2548">
        <v>0.06</v>
      </c>
      <c r="K2548">
        <v>2451.36</v>
      </c>
      <c r="L2548" t="s">
        <v>39</v>
      </c>
      <c r="M2548">
        <v>681</v>
      </c>
      <c r="N2548">
        <v>0.41</v>
      </c>
      <c r="O2548" s="3">
        <v>390.24</v>
      </c>
      <c r="P2548" s="3">
        <v>0.1</v>
      </c>
      <c r="Q2548" s="3">
        <v>17.75</v>
      </c>
      <c r="R2548" s="3">
        <v>0</v>
      </c>
      <c r="S2548">
        <v>2</v>
      </c>
      <c r="T2548">
        <v>904.48</v>
      </c>
      <c r="U2548">
        <v>30</v>
      </c>
      <c r="V2548">
        <v>0</v>
      </c>
      <c r="W2548">
        <v>533.97</v>
      </c>
      <c r="X2548">
        <v>2025.72</v>
      </c>
      <c r="Y2548" t="s">
        <v>31</v>
      </c>
      <c r="Z2548" s="3">
        <v>1106.8800000000001</v>
      </c>
      <c r="AA2548" t="s">
        <v>40</v>
      </c>
      <c r="AB2548" t="s">
        <v>44</v>
      </c>
      <c r="AC2548">
        <v>35.200000000000003</v>
      </c>
      <c r="AD2548" t="s">
        <v>38</v>
      </c>
      <c r="AE2548">
        <v>726.37</v>
      </c>
      <c r="AF2548">
        <v>0</v>
      </c>
    </row>
    <row r="2549" spans="3:32" x14ac:dyDescent="0.35">
      <c r="C2549" s="1">
        <v>44966</v>
      </c>
      <c r="D2549" s="2">
        <v>44958</v>
      </c>
      <c r="E2549">
        <v>1783</v>
      </c>
      <c r="F2549" s="3">
        <v>4493.7</v>
      </c>
      <c r="G2549" s="3">
        <v>3541.55</v>
      </c>
      <c r="H2549" s="3">
        <v>952.15</v>
      </c>
      <c r="I2549" s="3">
        <v>0.79</v>
      </c>
      <c r="J2549">
        <v>0.23</v>
      </c>
      <c r="K2549">
        <v>3067.35</v>
      </c>
      <c r="L2549" t="s">
        <v>35</v>
      </c>
      <c r="M2549">
        <v>688</v>
      </c>
      <c r="N2549">
        <v>0.13</v>
      </c>
      <c r="O2549" s="3">
        <v>468.64</v>
      </c>
      <c r="P2549" s="3">
        <v>0.1</v>
      </c>
      <c r="Q2549" s="3">
        <v>424.69</v>
      </c>
      <c r="R2549" s="3">
        <v>0.09</v>
      </c>
      <c r="S2549">
        <v>9</v>
      </c>
      <c r="T2549">
        <v>1027.44</v>
      </c>
      <c r="U2549">
        <v>27</v>
      </c>
      <c r="V2549">
        <v>0</v>
      </c>
      <c r="W2549">
        <v>448.09</v>
      </c>
      <c r="X2549">
        <v>2408.5</v>
      </c>
      <c r="Y2549" t="s">
        <v>36</v>
      </c>
      <c r="Z2549" s="3">
        <v>654.83000000000004</v>
      </c>
      <c r="AA2549" t="s">
        <v>45</v>
      </c>
      <c r="AB2549" t="s">
        <v>33</v>
      </c>
      <c r="AC2549">
        <v>13.6</v>
      </c>
      <c r="AD2549" t="s">
        <v>34</v>
      </c>
      <c r="AE2549">
        <v>952.15</v>
      </c>
      <c r="AF2549">
        <v>0</v>
      </c>
    </row>
    <row r="2550" spans="3:32" x14ac:dyDescent="0.35">
      <c r="C2550" s="1">
        <v>44966</v>
      </c>
      <c r="D2550" s="2">
        <v>44958</v>
      </c>
      <c r="E2550">
        <v>1303</v>
      </c>
      <c r="F2550" s="3">
        <v>1794.54</v>
      </c>
      <c r="G2550" s="3">
        <v>2157.2600000000002</v>
      </c>
      <c r="H2550" s="3">
        <v>-362.72</v>
      </c>
      <c r="I2550" s="3">
        <v>1.2</v>
      </c>
      <c r="J2550">
        <v>0.28999999999999998</v>
      </c>
      <c r="K2550">
        <v>2882.37</v>
      </c>
      <c r="L2550" t="s">
        <v>35</v>
      </c>
      <c r="M2550">
        <v>731</v>
      </c>
      <c r="N2550">
        <v>0.55000000000000004</v>
      </c>
      <c r="O2550" s="3">
        <v>773.54</v>
      </c>
      <c r="P2550" s="3">
        <v>0.43</v>
      </c>
      <c r="Q2550" s="3">
        <v>79.930000000000007</v>
      </c>
      <c r="R2550" s="3">
        <v>0.04</v>
      </c>
      <c r="S2550">
        <v>9</v>
      </c>
      <c r="T2550">
        <v>1547.32</v>
      </c>
      <c r="U2550">
        <v>86</v>
      </c>
      <c r="V2550">
        <v>0</v>
      </c>
      <c r="W2550">
        <v>612.85</v>
      </c>
      <c r="X2550">
        <v>2219.94</v>
      </c>
      <c r="Y2550" t="s">
        <v>36</v>
      </c>
      <c r="Z2550" s="3">
        <v>2382.0500000000002</v>
      </c>
      <c r="AA2550" t="s">
        <v>45</v>
      </c>
      <c r="AB2550" t="s">
        <v>44</v>
      </c>
      <c r="AC2550">
        <v>2.5</v>
      </c>
      <c r="AD2550" t="s">
        <v>43</v>
      </c>
      <c r="AE2550">
        <v>0</v>
      </c>
      <c r="AF2550">
        <v>0</v>
      </c>
    </row>
    <row r="2551" spans="3:32" x14ac:dyDescent="0.35">
      <c r="C2551" s="1">
        <v>44966</v>
      </c>
      <c r="D2551" s="2">
        <v>44958</v>
      </c>
      <c r="E2551">
        <v>1046</v>
      </c>
      <c r="F2551" s="3">
        <v>5713.73</v>
      </c>
      <c r="G2551" s="3">
        <v>2937.3</v>
      </c>
      <c r="H2551" s="3">
        <v>2776.43</v>
      </c>
      <c r="I2551" s="3">
        <v>0.51</v>
      </c>
      <c r="J2551">
        <v>0.1</v>
      </c>
      <c r="K2551">
        <v>2445.77</v>
      </c>
      <c r="L2551" t="s">
        <v>30</v>
      </c>
      <c r="M2551">
        <v>571</v>
      </c>
      <c r="N2551">
        <v>0.43</v>
      </c>
      <c r="O2551" s="3">
        <v>425.91</v>
      </c>
      <c r="P2551" s="3">
        <v>7.0000000000000007E-2</v>
      </c>
      <c r="Q2551" s="3">
        <v>537.91</v>
      </c>
      <c r="R2551" s="3">
        <v>0.09</v>
      </c>
      <c r="S2551">
        <v>7</v>
      </c>
      <c r="T2551">
        <v>899.39</v>
      </c>
      <c r="U2551">
        <v>44</v>
      </c>
      <c r="V2551">
        <v>0</v>
      </c>
      <c r="W2551">
        <v>178.65</v>
      </c>
      <c r="X2551">
        <v>1000</v>
      </c>
      <c r="Y2551" t="s">
        <v>36</v>
      </c>
      <c r="Z2551" s="3">
        <v>2037.21</v>
      </c>
      <c r="AA2551" t="s">
        <v>32</v>
      </c>
      <c r="AB2551" t="s">
        <v>33</v>
      </c>
      <c r="AC2551">
        <v>89</v>
      </c>
      <c r="AD2551" t="s">
        <v>43</v>
      </c>
      <c r="AE2551">
        <v>2776.43</v>
      </c>
      <c r="AF2551">
        <v>1</v>
      </c>
    </row>
    <row r="2552" spans="3:32" x14ac:dyDescent="0.35">
      <c r="C2552" s="1">
        <v>44996</v>
      </c>
      <c r="D2552" s="2">
        <v>44986</v>
      </c>
      <c r="E2552">
        <v>1443</v>
      </c>
      <c r="F2552" s="3">
        <v>4264.95</v>
      </c>
      <c r="G2552" s="3">
        <v>1818.65</v>
      </c>
      <c r="H2552" s="3">
        <v>2446.3000000000002</v>
      </c>
      <c r="I2552" s="3">
        <v>0.43</v>
      </c>
      <c r="J2552">
        <v>0.09</v>
      </c>
      <c r="K2552">
        <v>2964.82</v>
      </c>
      <c r="L2552" t="s">
        <v>35</v>
      </c>
      <c r="M2552">
        <v>561</v>
      </c>
      <c r="N2552">
        <v>0.27</v>
      </c>
      <c r="O2552" s="3">
        <v>153.88</v>
      </c>
      <c r="P2552" s="3">
        <v>0.04</v>
      </c>
      <c r="Q2552" s="3">
        <v>30.37</v>
      </c>
      <c r="R2552" s="3">
        <v>0.01</v>
      </c>
      <c r="S2552">
        <v>8</v>
      </c>
      <c r="T2552">
        <v>1429.66</v>
      </c>
      <c r="U2552">
        <v>35</v>
      </c>
      <c r="V2552">
        <v>0</v>
      </c>
      <c r="W2552">
        <v>466.6</v>
      </c>
      <c r="X2552">
        <v>3184.95</v>
      </c>
      <c r="Y2552" t="s">
        <v>36</v>
      </c>
      <c r="Z2552" s="3">
        <v>1485.3</v>
      </c>
      <c r="AA2552" t="s">
        <v>51</v>
      </c>
      <c r="AB2552" t="s">
        <v>44</v>
      </c>
      <c r="AC2552">
        <v>27.8</v>
      </c>
      <c r="AD2552" t="s">
        <v>43</v>
      </c>
      <c r="AE2552">
        <v>2446.3000000000002</v>
      </c>
      <c r="AF2552">
        <v>0</v>
      </c>
    </row>
    <row r="2553" spans="3:32" x14ac:dyDescent="0.35">
      <c r="C2553" s="1">
        <v>44996</v>
      </c>
      <c r="D2553" s="2">
        <v>44986</v>
      </c>
      <c r="E2553">
        <v>1128</v>
      </c>
      <c r="F2553" s="3">
        <v>4797.9799999999996</v>
      </c>
      <c r="G2553" s="3">
        <v>3844.56</v>
      </c>
      <c r="H2553" s="3">
        <v>953.42</v>
      </c>
      <c r="I2553" s="3">
        <v>0.8</v>
      </c>
      <c r="J2553">
        <v>0.3</v>
      </c>
      <c r="K2553">
        <v>3441.53</v>
      </c>
      <c r="L2553" t="s">
        <v>35</v>
      </c>
      <c r="M2553">
        <v>685</v>
      </c>
      <c r="N2553">
        <v>0.18</v>
      </c>
      <c r="O2553" s="3">
        <v>615.87</v>
      </c>
      <c r="P2553" s="3">
        <v>0.13</v>
      </c>
      <c r="Q2553" s="3">
        <v>331.69</v>
      </c>
      <c r="R2553" s="3">
        <v>7.0000000000000007E-2</v>
      </c>
      <c r="S2553">
        <v>6</v>
      </c>
      <c r="T2553">
        <v>665.9</v>
      </c>
      <c r="U2553">
        <v>83</v>
      </c>
      <c r="V2553">
        <v>0</v>
      </c>
      <c r="W2553">
        <v>783.88</v>
      </c>
      <c r="X2553">
        <v>2484.1999999999998</v>
      </c>
      <c r="Y2553" t="s">
        <v>36</v>
      </c>
      <c r="Z2553" s="3">
        <v>1231.69</v>
      </c>
      <c r="AA2553" t="s">
        <v>40</v>
      </c>
      <c r="AB2553" t="s">
        <v>33</v>
      </c>
      <c r="AC2553">
        <v>89.1</v>
      </c>
      <c r="AD2553" t="s">
        <v>34</v>
      </c>
      <c r="AE2553">
        <v>953.42</v>
      </c>
      <c r="AF2553">
        <v>0</v>
      </c>
    </row>
    <row r="2554" spans="3:32" x14ac:dyDescent="0.35">
      <c r="C2554" s="1">
        <v>44996</v>
      </c>
      <c r="D2554" s="2">
        <v>44986</v>
      </c>
      <c r="E2554">
        <v>1300</v>
      </c>
      <c r="F2554" s="3">
        <v>2772.8</v>
      </c>
      <c r="G2554" s="3">
        <v>3557.14</v>
      </c>
      <c r="H2554" s="3">
        <v>-784.34</v>
      </c>
      <c r="I2554" s="3">
        <v>1.28</v>
      </c>
      <c r="J2554">
        <v>0.36</v>
      </c>
      <c r="K2554">
        <v>3356.31</v>
      </c>
      <c r="L2554" t="s">
        <v>35</v>
      </c>
      <c r="M2554">
        <v>640</v>
      </c>
      <c r="N2554">
        <v>0.47</v>
      </c>
      <c r="O2554" s="3">
        <v>363.99</v>
      </c>
      <c r="P2554" s="3">
        <v>0.13</v>
      </c>
      <c r="Q2554" s="3">
        <v>420.95</v>
      </c>
      <c r="R2554" s="3">
        <v>0.15</v>
      </c>
      <c r="S2554">
        <v>7</v>
      </c>
      <c r="T2554">
        <v>1376.08</v>
      </c>
      <c r="U2554">
        <v>28</v>
      </c>
      <c r="V2554">
        <v>0</v>
      </c>
      <c r="W2554">
        <v>423.83</v>
      </c>
      <c r="X2554">
        <v>1419.48</v>
      </c>
      <c r="Y2554" t="s">
        <v>36</v>
      </c>
      <c r="Z2554" s="3">
        <v>1254.4000000000001</v>
      </c>
      <c r="AA2554" t="s">
        <v>32</v>
      </c>
      <c r="AB2554" t="s">
        <v>33</v>
      </c>
      <c r="AC2554">
        <v>12.9</v>
      </c>
      <c r="AD2554" t="s">
        <v>34</v>
      </c>
      <c r="AE2554">
        <v>0</v>
      </c>
      <c r="AF2554">
        <v>0</v>
      </c>
    </row>
    <row r="2555" spans="3:32" x14ac:dyDescent="0.35">
      <c r="C2555" s="1">
        <v>44996</v>
      </c>
      <c r="D2555" s="2">
        <v>44986</v>
      </c>
      <c r="E2555">
        <v>1329</v>
      </c>
      <c r="F2555" s="3">
        <v>3282.64</v>
      </c>
      <c r="G2555" s="3">
        <v>3340.16</v>
      </c>
      <c r="H2555" s="3">
        <v>-57.52</v>
      </c>
      <c r="I2555" s="3">
        <v>1.02</v>
      </c>
      <c r="J2555">
        <v>0.15</v>
      </c>
      <c r="K2555">
        <v>3883.44</v>
      </c>
      <c r="L2555" t="s">
        <v>35</v>
      </c>
      <c r="M2555">
        <v>737</v>
      </c>
      <c r="N2555">
        <v>0.6</v>
      </c>
      <c r="O2555" s="3">
        <v>307.81</v>
      </c>
      <c r="P2555" s="3">
        <v>0.09</v>
      </c>
      <c r="Q2555" s="3">
        <v>300.92</v>
      </c>
      <c r="R2555" s="3">
        <v>0.09</v>
      </c>
      <c r="S2555">
        <v>5</v>
      </c>
      <c r="T2555">
        <v>719.85</v>
      </c>
      <c r="U2555">
        <v>25</v>
      </c>
      <c r="V2555">
        <v>0</v>
      </c>
      <c r="W2555">
        <v>523.37</v>
      </c>
      <c r="X2555">
        <v>2411.4699999999998</v>
      </c>
      <c r="Y2555" t="s">
        <v>36</v>
      </c>
      <c r="Z2555" s="3">
        <v>1614.83</v>
      </c>
      <c r="AA2555" t="s">
        <v>51</v>
      </c>
      <c r="AB2555" t="s">
        <v>33</v>
      </c>
      <c r="AC2555">
        <v>84.7</v>
      </c>
      <c r="AD2555" t="s">
        <v>43</v>
      </c>
      <c r="AE2555">
        <v>0</v>
      </c>
      <c r="AF2555">
        <v>0</v>
      </c>
    </row>
    <row r="2556" spans="3:32" x14ac:dyDescent="0.35">
      <c r="C2556" s="1">
        <v>44996</v>
      </c>
      <c r="D2556" s="2">
        <v>44986</v>
      </c>
      <c r="E2556">
        <v>1776</v>
      </c>
      <c r="F2556" s="3">
        <v>3214.42</v>
      </c>
      <c r="G2556" s="3">
        <v>3378.15</v>
      </c>
      <c r="H2556" s="3">
        <v>-163.72999999999999</v>
      </c>
      <c r="I2556" s="3">
        <v>1.05</v>
      </c>
      <c r="J2556">
        <v>0.11</v>
      </c>
      <c r="K2556">
        <v>2470.65</v>
      </c>
      <c r="L2556" t="s">
        <v>30</v>
      </c>
      <c r="M2556">
        <v>748</v>
      </c>
      <c r="N2556">
        <v>0.45</v>
      </c>
      <c r="O2556" s="3">
        <v>577.77</v>
      </c>
      <c r="P2556" s="3">
        <v>0.18</v>
      </c>
      <c r="Q2556" s="3">
        <v>161.16999999999999</v>
      </c>
      <c r="R2556" s="3">
        <v>0.05</v>
      </c>
      <c r="S2556">
        <v>3</v>
      </c>
      <c r="T2556">
        <v>1091.3599999999999</v>
      </c>
      <c r="U2556">
        <v>35</v>
      </c>
      <c r="V2556">
        <v>1</v>
      </c>
      <c r="W2556">
        <v>525.25</v>
      </c>
      <c r="X2556">
        <v>2113.39</v>
      </c>
      <c r="Y2556" t="s">
        <v>31</v>
      </c>
      <c r="Z2556" s="3">
        <v>873.93</v>
      </c>
      <c r="AA2556" t="s">
        <v>37</v>
      </c>
      <c r="AB2556" t="s">
        <v>44</v>
      </c>
      <c r="AC2556">
        <v>84.8</v>
      </c>
      <c r="AD2556" t="s">
        <v>34</v>
      </c>
      <c r="AE2556">
        <v>0</v>
      </c>
      <c r="AF2556">
        <v>0</v>
      </c>
    </row>
    <row r="2557" spans="3:32" x14ac:dyDescent="0.35">
      <c r="C2557" s="1">
        <v>44996</v>
      </c>
      <c r="D2557" s="2">
        <v>44986</v>
      </c>
      <c r="E2557">
        <v>1121</v>
      </c>
      <c r="F2557" s="3">
        <v>4145.43</v>
      </c>
      <c r="G2557" s="3">
        <v>2592.7399999999998</v>
      </c>
      <c r="H2557" s="3">
        <v>1552.69</v>
      </c>
      <c r="I2557" s="3">
        <v>0.63</v>
      </c>
      <c r="J2557">
        <v>0.19</v>
      </c>
      <c r="K2557">
        <v>2467.64</v>
      </c>
      <c r="L2557" t="s">
        <v>30</v>
      </c>
      <c r="M2557">
        <v>635</v>
      </c>
      <c r="N2557">
        <v>0.28000000000000003</v>
      </c>
      <c r="O2557" s="3">
        <v>444.85</v>
      </c>
      <c r="P2557" s="3">
        <v>0.11</v>
      </c>
      <c r="Q2557" s="3">
        <v>336.49</v>
      </c>
      <c r="R2557" s="3">
        <v>0.08</v>
      </c>
      <c r="S2557">
        <v>7</v>
      </c>
      <c r="T2557">
        <v>1062.42</v>
      </c>
      <c r="U2557">
        <v>78</v>
      </c>
      <c r="V2557">
        <v>0</v>
      </c>
      <c r="W2557">
        <v>190.05</v>
      </c>
      <c r="X2557">
        <v>1709.29</v>
      </c>
      <c r="Y2557" t="s">
        <v>36</v>
      </c>
      <c r="Z2557" s="3">
        <v>300</v>
      </c>
      <c r="AA2557" t="s">
        <v>37</v>
      </c>
      <c r="AB2557" t="s">
        <v>44</v>
      </c>
      <c r="AC2557">
        <v>83.2</v>
      </c>
      <c r="AD2557" t="s">
        <v>34</v>
      </c>
      <c r="AE2557">
        <v>1552.69</v>
      </c>
      <c r="AF2557">
        <v>0</v>
      </c>
    </row>
    <row r="2558" spans="3:32" x14ac:dyDescent="0.35">
      <c r="C2558" s="1">
        <v>44996</v>
      </c>
      <c r="D2558" s="2">
        <v>44986</v>
      </c>
      <c r="E2558">
        <v>1176</v>
      </c>
      <c r="F2558" s="3">
        <v>2968.03</v>
      </c>
      <c r="G2558" s="3">
        <v>2454.77</v>
      </c>
      <c r="H2558" s="3">
        <v>513.26</v>
      </c>
      <c r="I2558" s="3">
        <v>0.83</v>
      </c>
      <c r="J2558">
        <v>0.1</v>
      </c>
      <c r="K2558">
        <v>2936.19</v>
      </c>
      <c r="L2558" t="s">
        <v>35</v>
      </c>
      <c r="M2558">
        <v>653</v>
      </c>
      <c r="N2558">
        <v>0.49</v>
      </c>
      <c r="O2558" s="3">
        <v>524.08000000000004</v>
      </c>
      <c r="P2558" s="3">
        <v>0.18</v>
      </c>
      <c r="Q2558" s="3">
        <v>492.8</v>
      </c>
      <c r="R2558" s="3">
        <v>0.17</v>
      </c>
      <c r="S2558">
        <v>5</v>
      </c>
      <c r="T2558">
        <v>0</v>
      </c>
      <c r="U2558">
        <v>75</v>
      </c>
      <c r="V2558">
        <v>0</v>
      </c>
      <c r="W2558">
        <v>549.79</v>
      </c>
      <c r="X2558">
        <v>2341.66</v>
      </c>
      <c r="Y2558" t="s">
        <v>31</v>
      </c>
      <c r="Z2558" s="3">
        <v>1464.48</v>
      </c>
      <c r="AA2558" t="s">
        <v>46</v>
      </c>
      <c r="AB2558" t="s">
        <v>42</v>
      </c>
      <c r="AC2558">
        <v>60.5</v>
      </c>
      <c r="AD2558" t="s">
        <v>38</v>
      </c>
      <c r="AE2558">
        <v>513.26</v>
      </c>
      <c r="AF2558">
        <v>0</v>
      </c>
    </row>
    <row r="2559" spans="3:32" x14ac:dyDescent="0.35">
      <c r="C2559" s="1">
        <v>44996</v>
      </c>
      <c r="D2559" s="2">
        <v>44986</v>
      </c>
      <c r="E2559">
        <v>1331</v>
      </c>
      <c r="F2559" s="3">
        <v>4780.41</v>
      </c>
      <c r="G2559" s="3">
        <v>3678.12</v>
      </c>
      <c r="H2559" s="3">
        <v>1102.29</v>
      </c>
      <c r="I2559" s="3">
        <v>0.77</v>
      </c>
      <c r="J2559">
        <v>0.4</v>
      </c>
      <c r="K2559">
        <v>3063.31</v>
      </c>
      <c r="L2559" t="s">
        <v>35</v>
      </c>
      <c r="M2559">
        <v>651</v>
      </c>
      <c r="N2559">
        <v>0.11</v>
      </c>
      <c r="O2559" s="3">
        <v>400.64</v>
      </c>
      <c r="P2559" s="3">
        <v>0.08</v>
      </c>
      <c r="Q2559" s="3">
        <v>773.7</v>
      </c>
      <c r="R2559" s="3">
        <v>0.16</v>
      </c>
      <c r="S2559">
        <v>1</v>
      </c>
      <c r="T2559">
        <v>1502.69</v>
      </c>
      <c r="U2559">
        <v>58</v>
      </c>
      <c r="V2559">
        <v>0</v>
      </c>
      <c r="W2559">
        <v>149.29</v>
      </c>
      <c r="X2559">
        <v>2805.74</v>
      </c>
      <c r="Y2559" t="s">
        <v>36</v>
      </c>
      <c r="Z2559" s="3">
        <v>886.67</v>
      </c>
      <c r="AA2559" t="s">
        <v>48</v>
      </c>
      <c r="AB2559" t="s">
        <v>33</v>
      </c>
      <c r="AC2559">
        <v>23.6</v>
      </c>
      <c r="AD2559" t="s">
        <v>38</v>
      </c>
      <c r="AE2559">
        <v>1102.29</v>
      </c>
      <c r="AF2559">
        <v>0</v>
      </c>
    </row>
    <row r="2560" spans="3:32" x14ac:dyDescent="0.35">
      <c r="C2560" s="1">
        <v>44996</v>
      </c>
      <c r="D2560" s="2">
        <v>44986</v>
      </c>
      <c r="E2560">
        <v>1666</v>
      </c>
      <c r="F2560" s="3">
        <v>4800.99</v>
      </c>
      <c r="G2560" s="3">
        <v>3518.49</v>
      </c>
      <c r="H2560" s="3">
        <v>1282.5</v>
      </c>
      <c r="I2560" s="3">
        <v>0.73</v>
      </c>
      <c r="J2560">
        <v>0.32</v>
      </c>
      <c r="K2560">
        <v>2657.7</v>
      </c>
      <c r="L2560" t="s">
        <v>35</v>
      </c>
      <c r="M2560">
        <v>724</v>
      </c>
      <c r="N2560">
        <v>0.33</v>
      </c>
      <c r="O2560" s="3">
        <v>506.87</v>
      </c>
      <c r="P2560" s="3">
        <v>0.11</v>
      </c>
      <c r="Q2560" s="3">
        <v>522.94000000000005</v>
      </c>
      <c r="R2560" s="3">
        <v>0.11</v>
      </c>
      <c r="S2560">
        <v>1</v>
      </c>
      <c r="T2560">
        <v>819.72</v>
      </c>
      <c r="U2560">
        <v>67</v>
      </c>
      <c r="V2560">
        <v>0</v>
      </c>
      <c r="W2560">
        <v>727.52</v>
      </c>
      <c r="X2560">
        <v>2434.4699999999998</v>
      </c>
      <c r="Y2560" t="s">
        <v>36</v>
      </c>
      <c r="Z2560" s="3">
        <v>1435.2</v>
      </c>
      <c r="AA2560" t="s">
        <v>48</v>
      </c>
      <c r="AB2560" t="s">
        <v>33</v>
      </c>
      <c r="AC2560">
        <v>0.3</v>
      </c>
      <c r="AD2560" t="s">
        <v>43</v>
      </c>
      <c r="AE2560">
        <v>1282.5</v>
      </c>
      <c r="AF2560">
        <v>0</v>
      </c>
    </row>
    <row r="2561" spans="3:32" x14ac:dyDescent="0.35">
      <c r="C2561" s="1">
        <v>44996</v>
      </c>
      <c r="D2561" s="2">
        <v>44986</v>
      </c>
      <c r="E2561">
        <v>1754</v>
      </c>
      <c r="F2561" s="3">
        <v>3111.42</v>
      </c>
      <c r="G2561" s="3">
        <v>2461.65</v>
      </c>
      <c r="H2561" s="3">
        <v>649.77</v>
      </c>
      <c r="I2561" s="3">
        <v>0.79</v>
      </c>
      <c r="J2561">
        <v>0.1</v>
      </c>
      <c r="K2561">
        <v>3154.35</v>
      </c>
      <c r="L2561" t="s">
        <v>35</v>
      </c>
      <c r="M2561">
        <v>671</v>
      </c>
      <c r="N2561">
        <v>0.56999999999999995</v>
      </c>
      <c r="O2561" s="3">
        <v>552.91</v>
      </c>
      <c r="P2561" s="3">
        <v>0.18</v>
      </c>
      <c r="Q2561" s="3">
        <v>399.7</v>
      </c>
      <c r="R2561" s="3">
        <v>0.13</v>
      </c>
      <c r="S2561">
        <v>3</v>
      </c>
      <c r="T2561">
        <v>1434.6</v>
      </c>
      <c r="U2561">
        <v>31</v>
      </c>
      <c r="V2561">
        <v>0</v>
      </c>
      <c r="W2561">
        <v>680.23</v>
      </c>
      <c r="X2561">
        <v>2031.14</v>
      </c>
      <c r="Y2561" t="s">
        <v>36</v>
      </c>
      <c r="Z2561" s="3">
        <v>1154.6300000000001</v>
      </c>
      <c r="AA2561" t="s">
        <v>50</v>
      </c>
      <c r="AB2561" t="s">
        <v>33</v>
      </c>
      <c r="AC2561">
        <v>45.9</v>
      </c>
      <c r="AD2561" t="s">
        <v>43</v>
      </c>
      <c r="AE2561">
        <v>649.77</v>
      </c>
      <c r="AF2561">
        <v>0</v>
      </c>
    </row>
    <row r="2562" spans="3:32" x14ac:dyDescent="0.35">
      <c r="C2562" s="1">
        <v>44996</v>
      </c>
      <c r="D2562" s="2">
        <v>44986</v>
      </c>
      <c r="E2562">
        <v>1428</v>
      </c>
      <c r="F2562" s="3">
        <v>2212.12</v>
      </c>
      <c r="G2562" s="3">
        <v>2869.52</v>
      </c>
      <c r="H2562" s="3">
        <v>-657.4</v>
      </c>
      <c r="I2562" s="3">
        <v>1.3</v>
      </c>
      <c r="J2562">
        <v>0.19</v>
      </c>
      <c r="K2562">
        <v>2128.04</v>
      </c>
      <c r="L2562" t="s">
        <v>30</v>
      </c>
      <c r="M2562">
        <v>648</v>
      </c>
      <c r="N2562">
        <v>0.35</v>
      </c>
      <c r="O2562" s="3">
        <v>522.04</v>
      </c>
      <c r="P2562" s="3">
        <v>0.24</v>
      </c>
      <c r="Q2562" s="3">
        <v>351.64</v>
      </c>
      <c r="R2562" s="3">
        <v>0.16</v>
      </c>
      <c r="S2562">
        <v>6</v>
      </c>
      <c r="T2562">
        <v>1270.42</v>
      </c>
      <c r="U2562">
        <v>36</v>
      </c>
      <c r="V2562">
        <v>0</v>
      </c>
      <c r="W2562">
        <v>620.52</v>
      </c>
      <c r="X2562">
        <v>2492.2199999999998</v>
      </c>
      <c r="Y2562" t="s">
        <v>36</v>
      </c>
      <c r="Z2562" s="3">
        <v>1145.58</v>
      </c>
      <c r="AA2562" t="s">
        <v>51</v>
      </c>
      <c r="AB2562" t="s">
        <v>42</v>
      </c>
      <c r="AC2562">
        <v>91.9</v>
      </c>
      <c r="AD2562" t="s">
        <v>43</v>
      </c>
      <c r="AE2562">
        <v>0</v>
      </c>
      <c r="AF2562">
        <v>0</v>
      </c>
    </row>
    <row r="2563" spans="3:32" x14ac:dyDescent="0.35">
      <c r="C2563" s="1">
        <v>44996</v>
      </c>
      <c r="D2563" s="2">
        <v>44986</v>
      </c>
      <c r="E2563">
        <v>1782</v>
      </c>
      <c r="F2563" s="3">
        <v>2718.7</v>
      </c>
      <c r="G2563" s="3">
        <v>3333.79</v>
      </c>
      <c r="H2563" s="3">
        <v>-615.09</v>
      </c>
      <c r="I2563" s="3">
        <v>1.23</v>
      </c>
      <c r="J2563">
        <v>0.21</v>
      </c>
      <c r="K2563">
        <v>3635.04</v>
      </c>
      <c r="L2563" t="s">
        <v>35</v>
      </c>
      <c r="M2563">
        <v>708</v>
      </c>
      <c r="N2563">
        <v>0.38</v>
      </c>
      <c r="O2563" s="3">
        <v>867.41</v>
      </c>
      <c r="P2563" s="3">
        <v>0.32</v>
      </c>
      <c r="Q2563" s="3">
        <v>606.57000000000005</v>
      </c>
      <c r="R2563" s="3">
        <v>0.22</v>
      </c>
      <c r="S2563">
        <v>4</v>
      </c>
      <c r="T2563">
        <v>819.28</v>
      </c>
      <c r="U2563">
        <v>23</v>
      </c>
      <c r="V2563">
        <v>0</v>
      </c>
      <c r="W2563">
        <v>121.73</v>
      </c>
      <c r="X2563">
        <v>3399.29</v>
      </c>
      <c r="Y2563" t="s">
        <v>31</v>
      </c>
      <c r="Z2563" s="3">
        <v>1578.59</v>
      </c>
      <c r="AA2563" t="s">
        <v>48</v>
      </c>
      <c r="AB2563" t="s">
        <v>42</v>
      </c>
      <c r="AC2563">
        <v>19.8</v>
      </c>
      <c r="AD2563" t="s">
        <v>38</v>
      </c>
      <c r="AE2563">
        <v>0</v>
      </c>
      <c r="AF2563">
        <v>0</v>
      </c>
    </row>
    <row r="2564" spans="3:32" x14ac:dyDescent="0.35">
      <c r="C2564" s="1">
        <v>44996</v>
      </c>
      <c r="D2564" s="2">
        <v>44986</v>
      </c>
      <c r="E2564">
        <v>1495</v>
      </c>
      <c r="F2564" s="3">
        <v>4902.38</v>
      </c>
      <c r="G2564" s="3">
        <v>2061.59</v>
      </c>
      <c r="H2564" s="3">
        <v>2840.79</v>
      </c>
      <c r="I2564" s="3">
        <v>0.42</v>
      </c>
      <c r="J2564">
        <v>0.33</v>
      </c>
      <c r="K2564">
        <v>2456.2199999999998</v>
      </c>
      <c r="L2564" t="s">
        <v>35</v>
      </c>
      <c r="M2564">
        <v>670</v>
      </c>
      <c r="N2564">
        <v>0.18</v>
      </c>
      <c r="O2564" s="3">
        <v>764.97</v>
      </c>
      <c r="P2564" s="3">
        <v>0.16</v>
      </c>
      <c r="Q2564" s="3">
        <v>778.64</v>
      </c>
      <c r="R2564" s="3">
        <v>0.16</v>
      </c>
      <c r="S2564">
        <v>3</v>
      </c>
      <c r="T2564">
        <v>144.86000000000001</v>
      </c>
      <c r="U2564">
        <v>20</v>
      </c>
      <c r="V2564">
        <v>0</v>
      </c>
      <c r="W2564">
        <v>284.91000000000003</v>
      </c>
      <c r="X2564">
        <v>3094.83</v>
      </c>
      <c r="Y2564" t="s">
        <v>31</v>
      </c>
      <c r="Z2564" s="3">
        <v>1657.5</v>
      </c>
      <c r="AA2564" t="s">
        <v>51</v>
      </c>
      <c r="AB2564" t="s">
        <v>42</v>
      </c>
      <c r="AC2564">
        <v>27.2</v>
      </c>
      <c r="AD2564" t="s">
        <v>43</v>
      </c>
      <c r="AE2564">
        <v>2840.79</v>
      </c>
      <c r="AF2564">
        <v>1</v>
      </c>
    </row>
    <row r="2565" spans="3:32" x14ac:dyDescent="0.35">
      <c r="C2565" s="1">
        <v>44996</v>
      </c>
      <c r="D2565" s="2">
        <v>44986</v>
      </c>
      <c r="E2565">
        <v>1357</v>
      </c>
      <c r="F2565" s="3">
        <v>3687.5</v>
      </c>
      <c r="G2565" s="3">
        <v>4385.3599999999997</v>
      </c>
      <c r="H2565" s="3">
        <v>-697.86</v>
      </c>
      <c r="I2565" s="3">
        <v>1.19</v>
      </c>
      <c r="J2565">
        <v>0.25</v>
      </c>
      <c r="K2565">
        <v>3160.27</v>
      </c>
      <c r="L2565" t="s">
        <v>39</v>
      </c>
      <c r="M2565">
        <v>642</v>
      </c>
      <c r="N2565">
        <v>0.34</v>
      </c>
      <c r="O2565" s="3">
        <v>566.28</v>
      </c>
      <c r="P2565" s="3">
        <v>0.15</v>
      </c>
      <c r="Q2565" s="3">
        <v>72.11</v>
      </c>
      <c r="R2565" s="3">
        <v>0.02</v>
      </c>
      <c r="S2565">
        <v>8</v>
      </c>
      <c r="T2565">
        <v>1370.12</v>
      </c>
      <c r="U2565">
        <v>79</v>
      </c>
      <c r="V2565">
        <v>0</v>
      </c>
      <c r="W2565">
        <v>386.97</v>
      </c>
      <c r="X2565">
        <v>2649.46</v>
      </c>
      <c r="Y2565" t="s">
        <v>36</v>
      </c>
      <c r="Z2565" s="3">
        <v>1568.05</v>
      </c>
      <c r="AA2565" t="s">
        <v>37</v>
      </c>
      <c r="AB2565" t="s">
        <v>33</v>
      </c>
      <c r="AC2565">
        <v>62.4</v>
      </c>
      <c r="AD2565" t="s">
        <v>34</v>
      </c>
      <c r="AE2565">
        <v>0</v>
      </c>
      <c r="AF2565">
        <v>0</v>
      </c>
    </row>
    <row r="2566" spans="3:32" x14ac:dyDescent="0.35">
      <c r="C2566" s="1">
        <v>44996</v>
      </c>
      <c r="D2566" s="2">
        <v>44986</v>
      </c>
      <c r="E2566">
        <v>1944</v>
      </c>
      <c r="F2566" s="3">
        <v>5428.34</v>
      </c>
      <c r="G2566" s="3">
        <v>2846.96</v>
      </c>
      <c r="H2566" s="3">
        <v>2581.38</v>
      </c>
      <c r="I2566" s="3">
        <v>0.52</v>
      </c>
      <c r="J2566">
        <v>0.28999999999999998</v>
      </c>
      <c r="K2566">
        <v>3623.76</v>
      </c>
      <c r="L2566" t="s">
        <v>30</v>
      </c>
      <c r="M2566">
        <v>647</v>
      </c>
      <c r="N2566">
        <v>0.35</v>
      </c>
      <c r="O2566" s="3">
        <v>250.59</v>
      </c>
      <c r="P2566" s="3">
        <v>0.05</v>
      </c>
      <c r="Q2566" s="3">
        <v>290.18</v>
      </c>
      <c r="R2566" s="3">
        <v>0.05</v>
      </c>
      <c r="S2566">
        <v>9</v>
      </c>
      <c r="T2566">
        <v>592.38</v>
      </c>
      <c r="U2566">
        <v>61</v>
      </c>
      <c r="V2566">
        <v>0</v>
      </c>
      <c r="W2566">
        <v>354.18</v>
      </c>
      <c r="X2566">
        <v>3864.58</v>
      </c>
      <c r="Y2566" t="s">
        <v>36</v>
      </c>
      <c r="Z2566" s="3">
        <v>1708.13</v>
      </c>
      <c r="AA2566" t="s">
        <v>46</v>
      </c>
      <c r="AB2566" t="s">
        <v>33</v>
      </c>
      <c r="AC2566">
        <v>76.7</v>
      </c>
      <c r="AD2566" t="s">
        <v>34</v>
      </c>
      <c r="AE2566">
        <v>2581.38</v>
      </c>
      <c r="AF2566">
        <v>0</v>
      </c>
    </row>
    <row r="2567" spans="3:32" x14ac:dyDescent="0.35">
      <c r="C2567" s="1">
        <v>44996</v>
      </c>
      <c r="D2567" s="2">
        <v>44986</v>
      </c>
      <c r="E2567">
        <v>1157</v>
      </c>
      <c r="F2567" s="3">
        <v>3233.77</v>
      </c>
      <c r="G2567" s="3">
        <v>1646.82</v>
      </c>
      <c r="H2567" s="3">
        <v>1586.95</v>
      </c>
      <c r="I2567" s="3">
        <v>0.51</v>
      </c>
      <c r="J2567">
        <v>0.17</v>
      </c>
      <c r="K2567">
        <v>2648.6</v>
      </c>
      <c r="L2567" t="s">
        <v>30</v>
      </c>
      <c r="M2567">
        <v>705</v>
      </c>
      <c r="N2567">
        <v>0.22</v>
      </c>
      <c r="O2567" s="3">
        <v>878.54</v>
      </c>
      <c r="P2567" s="3">
        <v>0.27</v>
      </c>
      <c r="Q2567" s="3">
        <v>154.61000000000001</v>
      </c>
      <c r="R2567" s="3">
        <v>0.05</v>
      </c>
      <c r="S2567">
        <v>1</v>
      </c>
      <c r="T2567">
        <v>0</v>
      </c>
      <c r="U2567">
        <v>22</v>
      </c>
      <c r="V2567">
        <v>0</v>
      </c>
      <c r="W2567">
        <v>431.99</v>
      </c>
      <c r="X2567">
        <v>2880.62</v>
      </c>
      <c r="Y2567" t="s">
        <v>49</v>
      </c>
      <c r="Z2567" s="3">
        <v>750.21</v>
      </c>
      <c r="AA2567" t="s">
        <v>46</v>
      </c>
      <c r="AB2567" t="s">
        <v>42</v>
      </c>
      <c r="AC2567">
        <v>74.8</v>
      </c>
      <c r="AD2567" t="s">
        <v>43</v>
      </c>
      <c r="AE2567">
        <v>1586.95</v>
      </c>
      <c r="AF2567">
        <v>0</v>
      </c>
    </row>
    <row r="2568" spans="3:32" x14ac:dyDescent="0.35">
      <c r="C2568" s="1">
        <v>44996</v>
      </c>
      <c r="D2568" s="2">
        <v>44986</v>
      </c>
      <c r="E2568">
        <v>1238</v>
      </c>
      <c r="F2568" s="3">
        <v>5312.24</v>
      </c>
      <c r="G2568" s="3">
        <v>3109.78</v>
      </c>
      <c r="H2568" s="3">
        <v>2202.46</v>
      </c>
      <c r="I2568" s="3">
        <v>0.59</v>
      </c>
      <c r="J2568">
        <v>0.06</v>
      </c>
      <c r="K2568">
        <v>2554.91</v>
      </c>
      <c r="L2568" t="s">
        <v>30</v>
      </c>
      <c r="M2568">
        <v>741</v>
      </c>
      <c r="N2568">
        <v>0.6</v>
      </c>
      <c r="O2568" s="3">
        <v>326.68</v>
      </c>
      <c r="P2568" s="3">
        <v>0.06</v>
      </c>
      <c r="Q2568" s="3">
        <v>326.3</v>
      </c>
      <c r="R2568" s="3">
        <v>0.06</v>
      </c>
      <c r="S2568">
        <v>9</v>
      </c>
      <c r="T2568">
        <v>1320.11</v>
      </c>
      <c r="U2568">
        <v>58</v>
      </c>
      <c r="V2568">
        <v>0</v>
      </c>
      <c r="W2568">
        <v>684.86</v>
      </c>
      <c r="X2568">
        <v>2557.7800000000002</v>
      </c>
      <c r="Y2568" t="s">
        <v>36</v>
      </c>
      <c r="Z2568" s="3">
        <v>1004.41</v>
      </c>
      <c r="AA2568" t="s">
        <v>51</v>
      </c>
      <c r="AB2568" t="s">
        <v>44</v>
      </c>
      <c r="AC2568">
        <v>70.900000000000006</v>
      </c>
      <c r="AD2568" t="s">
        <v>38</v>
      </c>
      <c r="AE2568">
        <v>2202.46</v>
      </c>
      <c r="AF2568">
        <v>0</v>
      </c>
    </row>
    <row r="2569" spans="3:32" x14ac:dyDescent="0.35">
      <c r="C2569" s="1">
        <v>44996</v>
      </c>
      <c r="D2569" s="2">
        <v>44986</v>
      </c>
      <c r="E2569">
        <v>1490</v>
      </c>
      <c r="F2569" s="3">
        <v>4633.3900000000003</v>
      </c>
      <c r="G2569" s="3">
        <v>2550.73</v>
      </c>
      <c r="H2569" s="3">
        <v>2082.66</v>
      </c>
      <c r="I2569" s="3">
        <v>0.55000000000000004</v>
      </c>
      <c r="J2569">
        <v>0.4</v>
      </c>
      <c r="K2569">
        <v>2841.49</v>
      </c>
      <c r="L2569" t="s">
        <v>35</v>
      </c>
      <c r="M2569">
        <v>658</v>
      </c>
      <c r="N2569">
        <v>0.45</v>
      </c>
      <c r="O2569" s="3">
        <v>712.69</v>
      </c>
      <c r="P2569" s="3">
        <v>0.15</v>
      </c>
      <c r="Q2569" s="3">
        <v>338.74</v>
      </c>
      <c r="R2569" s="3">
        <v>7.0000000000000007E-2</v>
      </c>
      <c r="S2569">
        <v>4</v>
      </c>
      <c r="T2569">
        <v>798.63</v>
      </c>
      <c r="U2569">
        <v>37</v>
      </c>
      <c r="V2569">
        <v>0</v>
      </c>
      <c r="W2569">
        <v>844.85</v>
      </c>
      <c r="X2569">
        <v>1887.72</v>
      </c>
      <c r="Y2569" t="s">
        <v>36</v>
      </c>
      <c r="Z2569" s="3">
        <v>1721.65</v>
      </c>
      <c r="AA2569" t="s">
        <v>51</v>
      </c>
      <c r="AB2569" t="s">
        <v>33</v>
      </c>
      <c r="AC2569">
        <v>85</v>
      </c>
      <c r="AD2569" t="s">
        <v>34</v>
      </c>
      <c r="AE2569">
        <v>2082.66</v>
      </c>
      <c r="AF2569">
        <v>0</v>
      </c>
    </row>
    <row r="2570" spans="3:32" x14ac:dyDescent="0.35">
      <c r="C2570" s="1">
        <v>44996</v>
      </c>
      <c r="D2570" s="2">
        <v>44986</v>
      </c>
      <c r="E2570">
        <v>1987</v>
      </c>
      <c r="F2570" s="3">
        <v>4800.0600000000004</v>
      </c>
      <c r="G2570" s="3">
        <v>1963.21</v>
      </c>
      <c r="H2570" s="3">
        <v>2836.85</v>
      </c>
      <c r="I2570" s="3">
        <v>0.41</v>
      </c>
      <c r="J2570">
        <v>0.18</v>
      </c>
      <c r="K2570">
        <v>2162.12</v>
      </c>
      <c r="L2570" t="s">
        <v>39</v>
      </c>
      <c r="M2570">
        <v>687</v>
      </c>
      <c r="N2570">
        <v>0.4</v>
      </c>
      <c r="O2570" s="3">
        <v>718.61</v>
      </c>
      <c r="P2570" s="3">
        <v>0.15</v>
      </c>
      <c r="Q2570" s="3">
        <v>379.88</v>
      </c>
      <c r="R2570" s="3">
        <v>0.08</v>
      </c>
      <c r="S2570">
        <v>9</v>
      </c>
      <c r="T2570">
        <v>1871.68</v>
      </c>
      <c r="U2570">
        <v>34</v>
      </c>
      <c r="V2570">
        <v>0</v>
      </c>
      <c r="W2570">
        <v>666.42</v>
      </c>
      <c r="X2570">
        <v>2345.66</v>
      </c>
      <c r="Y2570" t="s">
        <v>36</v>
      </c>
      <c r="Z2570" s="3">
        <v>1529.69</v>
      </c>
      <c r="AA2570" t="s">
        <v>37</v>
      </c>
      <c r="AB2570" t="s">
        <v>33</v>
      </c>
      <c r="AC2570">
        <v>98.3</v>
      </c>
      <c r="AD2570" t="s">
        <v>34</v>
      </c>
      <c r="AE2570">
        <v>2836.85</v>
      </c>
      <c r="AF2570">
        <v>1</v>
      </c>
    </row>
    <row r="2571" spans="3:32" x14ac:dyDescent="0.35">
      <c r="C2571" s="1">
        <v>44996</v>
      </c>
      <c r="D2571" s="2">
        <v>44986</v>
      </c>
      <c r="E2571">
        <v>1304</v>
      </c>
      <c r="F2571" s="3">
        <v>4174.95</v>
      </c>
      <c r="G2571" s="3">
        <v>3191.07</v>
      </c>
      <c r="H2571" s="3">
        <v>983.88</v>
      </c>
      <c r="I2571" s="3">
        <v>0.76</v>
      </c>
      <c r="J2571">
        <v>0.2</v>
      </c>
      <c r="K2571">
        <v>2580.12</v>
      </c>
      <c r="L2571" t="s">
        <v>35</v>
      </c>
      <c r="M2571">
        <v>635</v>
      </c>
      <c r="N2571">
        <v>0.46</v>
      </c>
      <c r="O2571" s="3">
        <v>376.82</v>
      </c>
      <c r="P2571" s="3">
        <v>0.09</v>
      </c>
      <c r="Q2571" s="3">
        <v>387.09</v>
      </c>
      <c r="R2571" s="3">
        <v>0.09</v>
      </c>
      <c r="S2571">
        <v>6</v>
      </c>
      <c r="T2571">
        <v>1081.32</v>
      </c>
      <c r="U2571">
        <v>95</v>
      </c>
      <c r="V2571">
        <v>0</v>
      </c>
      <c r="W2571">
        <v>493</v>
      </c>
      <c r="X2571">
        <v>2892.7</v>
      </c>
      <c r="Y2571" t="s">
        <v>49</v>
      </c>
      <c r="Z2571" s="3">
        <v>887.72</v>
      </c>
      <c r="AA2571" t="s">
        <v>45</v>
      </c>
      <c r="AB2571" t="s">
        <v>33</v>
      </c>
      <c r="AC2571">
        <v>50.6</v>
      </c>
      <c r="AD2571" t="s">
        <v>43</v>
      </c>
      <c r="AE2571">
        <v>983.88</v>
      </c>
      <c r="AF2571">
        <v>0</v>
      </c>
    </row>
    <row r="2572" spans="3:32" x14ac:dyDescent="0.35">
      <c r="C2572" s="1">
        <v>44996</v>
      </c>
      <c r="D2572" s="2">
        <v>44986</v>
      </c>
      <c r="E2572">
        <v>1481</v>
      </c>
      <c r="F2572" s="3">
        <v>4295.32</v>
      </c>
      <c r="G2572" s="3">
        <v>3401.28</v>
      </c>
      <c r="H2572" s="3">
        <v>894.04</v>
      </c>
      <c r="I2572" s="3">
        <v>0.79</v>
      </c>
      <c r="J2572">
        <v>0.21</v>
      </c>
      <c r="K2572">
        <v>2518.62</v>
      </c>
      <c r="L2572" t="s">
        <v>35</v>
      </c>
      <c r="M2572">
        <v>748</v>
      </c>
      <c r="N2572">
        <v>0.53</v>
      </c>
      <c r="O2572" s="3">
        <v>485.04</v>
      </c>
      <c r="P2572" s="3">
        <v>0.11</v>
      </c>
      <c r="Q2572" s="3">
        <v>970.95</v>
      </c>
      <c r="R2572" s="3">
        <v>0.23</v>
      </c>
      <c r="S2572">
        <v>6</v>
      </c>
      <c r="T2572">
        <v>1725.13</v>
      </c>
      <c r="U2572">
        <v>54</v>
      </c>
      <c r="V2572">
        <v>0</v>
      </c>
      <c r="W2572">
        <v>284.27999999999997</v>
      </c>
      <c r="X2572">
        <v>2830.87</v>
      </c>
      <c r="Y2572" t="s">
        <v>49</v>
      </c>
      <c r="Z2572" s="3">
        <v>1066.23</v>
      </c>
      <c r="AA2572" t="s">
        <v>41</v>
      </c>
      <c r="AB2572" t="s">
        <v>44</v>
      </c>
      <c r="AC2572">
        <v>80.8</v>
      </c>
      <c r="AD2572" t="s">
        <v>43</v>
      </c>
      <c r="AE2572">
        <v>894.04</v>
      </c>
      <c r="AF2572">
        <v>0</v>
      </c>
    </row>
    <row r="2573" spans="3:32" x14ac:dyDescent="0.35">
      <c r="C2573" s="1">
        <v>44996</v>
      </c>
      <c r="D2573" s="2">
        <v>44986</v>
      </c>
      <c r="E2573">
        <v>1092</v>
      </c>
      <c r="F2573" s="3">
        <v>4016.66</v>
      </c>
      <c r="G2573" s="3">
        <v>2798.32</v>
      </c>
      <c r="H2573" s="3">
        <v>1218.3399999999999</v>
      </c>
      <c r="I2573" s="3">
        <v>0.7</v>
      </c>
      <c r="J2573">
        <v>0.23</v>
      </c>
      <c r="K2573">
        <v>2812.22</v>
      </c>
      <c r="L2573" t="s">
        <v>35</v>
      </c>
      <c r="M2573">
        <v>738</v>
      </c>
      <c r="N2573">
        <v>0.19</v>
      </c>
      <c r="O2573" s="3">
        <v>687.45</v>
      </c>
      <c r="P2573" s="3">
        <v>0.17</v>
      </c>
      <c r="Q2573" s="3">
        <v>518.16</v>
      </c>
      <c r="R2573" s="3">
        <v>0.13</v>
      </c>
      <c r="S2573">
        <v>2</v>
      </c>
      <c r="T2573">
        <v>0</v>
      </c>
      <c r="U2573">
        <v>46</v>
      </c>
      <c r="V2573">
        <v>0</v>
      </c>
      <c r="W2573">
        <v>632.63</v>
      </c>
      <c r="X2573">
        <v>1340.23</v>
      </c>
      <c r="Y2573" t="s">
        <v>36</v>
      </c>
      <c r="Z2573" s="3">
        <v>1597.87</v>
      </c>
      <c r="AA2573" t="s">
        <v>40</v>
      </c>
      <c r="AB2573" t="s">
        <v>42</v>
      </c>
      <c r="AC2573">
        <v>78.400000000000006</v>
      </c>
      <c r="AD2573" t="s">
        <v>38</v>
      </c>
      <c r="AE2573">
        <v>1218.3399999999999</v>
      </c>
      <c r="AF2573">
        <v>0</v>
      </c>
    </row>
    <row r="2574" spans="3:32" x14ac:dyDescent="0.35">
      <c r="C2574" s="1">
        <v>44996</v>
      </c>
      <c r="D2574" s="2">
        <v>44986</v>
      </c>
      <c r="E2574">
        <v>1087</v>
      </c>
      <c r="F2574" s="3">
        <v>4386.95</v>
      </c>
      <c r="G2574" s="3">
        <v>3176.59</v>
      </c>
      <c r="H2574" s="3">
        <v>1210.3599999999999</v>
      </c>
      <c r="I2574" s="3">
        <v>0.72</v>
      </c>
      <c r="J2574">
        <v>0.13</v>
      </c>
      <c r="K2574">
        <v>2304.3000000000002</v>
      </c>
      <c r="L2574" t="s">
        <v>30</v>
      </c>
      <c r="M2574">
        <v>601</v>
      </c>
      <c r="N2574">
        <v>0.31</v>
      </c>
      <c r="O2574" s="3">
        <v>40.630000000000003</v>
      </c>
      <c r="P2574" s="3">
        <v>0.01</v>
      </c>
      <c r="Q2574" s="3">
        <v>626.57000000000005</v>
      </c>
      <c r="R2574" s="3">
        <v>0.14000000000000001</v>
      </c>
      <c r="S2574">
        <v>3</v>
      </c>
      <c r="T2574">
        <v>1470.85</v>
      </c>
      <c r="U2574">
        <v>62</v>
      </c>
      <c r="V2574">
        <v>0</v>
      </c>
      <c r="W2574">
        <v>851.41</v>
      </c>
      <c r="X2574">
        <v>2679.71</v>
      </c>
      <c r="Y2574" t="s">
        <v>31</v>
      </c>
      <c r="Z2574" s="3">
        <v>778.69</v>
      </c>
      <c r="AA2574" t="s">
        <v>47</v>
      </c>
      <c r="AB2574" t="s">
        <v>42</v>
      </c>
      <c r="AC2574">
        <v>92.4</v>
      </c>
      <c r="AD2574" t="s">
        <v>43</v>
      </c>
      <c r="AE2574">
        <v>1210.3599999999999</v>
      </c>
      <c r="AF2574">
        <v>0</v>
      </c>
    </row>
    <row r="2575" spans="3:32" x14ac:dyDescent="0.35">
      <c r="C2575" s="1">
        <v>44996</v>
      </c>
      <c r="D2575" s="2">
        <v>44986</v>
      </c>
      <c r="E2575">
        <v>1113</v>
      </c>
      <c r="F2575" s="3">
        <v>4309.59</v>
      </c>
      <c r="G2575" s="3">
        <v>3037.69</v>
      </c>
      <c r="H2575" s="3">
        <v>1271.9000000000001</v>
      </c>
      <c r="I2575" s="3">
        <v>0.7</v>
      </c>
      <c r="J2575">
        <v>0.36</v>
      </c>
      <c r="K2575">
        <v>2164.2399999999998</v>
      </c>
      <c r="L2575" t="s">
        <v>39</v>
      </c>
      <c r="M2575">
        <v>738</v>
      </c>
      <c r="N2575">
        <v>0.12</v>
      </c>
      <c r="O2575" s="3">
        <v>538.70000000000005</v>
      </c>
      <c r="P2575" s="3">
        <v>0.13</v>
      </c>
      <c r="Q2575" s="3">
        <v>1069.28</v>
      </c>
      <c r="R2575" s="3">
        <v>0.25</v>
      </c>
      <c r="S2575">
        <v>3</v>
      </c>
      <c r="T2575">
        <v>1312.39</v>
      </c>
      <c r="U2575">
        <v>58</v>
      </c>
      <c r="V2575">
        <v>0</v>
      </c>
      <c r="W2575">
        <v>811.17</v>
      </c>
      <c r="X2575">
        <v>2009.16</v>
      </c>
      <c r="Y2575" t="s">
        <v>36</v>
      </c>
      <c r="Z2575" s="3">
        <v>910.32</v>
      </c>
      <c r="AA2575" t="s">
        <v>40</v>
      </c>
      <c r="AB2575" t="s">
        <v>33</v>
      </c>
      <c r="AC2575">
        <v>29.5</v>
      </c>
      <c r="AD2575" t="s">
        <v>43</v>
      </c>
      <c r="AE2575">
        <v>1271.9000000000001</v>
      </c>
      <c r="AF2575">
        <v>0</v>
      </c>
    </row>
    <row r="2576" spans="3:32" x14ac:dyDescent="0.35">
      <c r="C2576" s="1">
        <v>44996</v>
      </c>
      <c r="D2576" s="2">
        <v>44986</v>
      </c>
      <c r="E2576">
        <v>1353</v>
      </c>
      <c r="F2576" s="3">
        <v>6076.12</v>
      </c>
      <c r="G2576" s="3">
        <v>3879.48</v>
      </c>
      <c r="H2576" s="3">
        <v>2196.64</v>
      </c>
      <c r="I2576" s="3">
        <v>0.64</v>
      </c>
      <c r="J2576">
        <v>0.31</v>
      </c>
      <c r="K2576">
        <v>2970.84</v>
      </c>
      <c r="L2576" t="s">
        <v>35</v>
      </c>
      <c r="M2576">
        <v>732</v>
      </c>
      <c r="N2576">
        <v>0.22</v>
      </c>
      <c r="O2576" s="3">
        <v>498.1</v>
      </c>
      <c r="P2576" s="3">
        <v>0.08</v>
      </c>
      <c r="Q2576" s="3">
        <v>300.89999999999998</v>
      </c>
      <c r="R2576" s="3">
        <v>0.05</v>
      </c>
      <c r="S2576">
        <v>3</v>
      </c>
      <c r="T2576">
        <v>1275.1500000000001</v>
      </c>
      <c r="U2576">
        <v>82</v>
      </c>
      <c r="V2576">
        <v>0</v>
      </c>
      <c r="W2576">
        <v>392.15</v>
      </c>
      <c r="X2576">
        <v>2101.56</v>
      </c>
      <c r="Y2576" t="s">
        <v>36</v>
      </c>
      <c r="Z2576" s="3">
        <v>1154.83</v>
      </c>
      <c r="AA2576" t="s">
        <v>45</v>
      </c>
      <c r="AB2576" t="s">
        <v>42</v>
      </c>
      <c r="AC2576">
        <v>13</v>
      </c>
      <c r="AD2576" t="s">
        <v>34</v>
      </c>
      <c r="AE2576">
        <v>2196.64</v>
      </c>
      <c r="AF2576">
        <v>0</v>
      </c>
    </row>
    <row r="2577" spans="3:32" x14ac:dyDescent="0.35">
      <c r="C2577" s="1">
        <v>44996</v>
      </c>
      <c r="D2577" s="2">
        <v>44986</v>
      </c>
      <c r="E2577">
        <v>1266</v>
      </c>
      <c r="F2577" s="3">
        <v>4921.78</v>
      </c>
      <c r="G2577" s="3">
        <v>2417.36</v>
      </c>
      <c r="H2577" s="3">
        <v>2504.42</v>
      </c>
      <c r="I2577" s="3">
        <v>0.49</v>
      </c>
      <c r="J2577">
        <v>0.12</v>
      </c>
      <c r="K2577">
        <v>2767.36</v>
      </c>
      <c r="L2577" t="s">
        <v>39</v>
      </c>
      <c r="M2577">
        <v>684</v>
      </c>
      <c r="N2577">
        <v>0.39</v>
      </c>
      <c r="O2577" s="3">
        <v>510.84</v>
      </c>
      <c r="P2577" s="3">
        <v>0.1</v>
      </c>
      <c r="Q2577" s="3">
        <v>204.06</v>
      </c>
      <c r="R2577" s="3">
        <v>0.04</v>
      </c>
      <c r="S2577">
        <v>6</v>
      </c>
      <c r="T2577">
        <v>519.09</v>
      </c>
      <c r="U2577">
        <v>99</v>
      </c>
      <c r="V2577">
        <v>0</v>
      </c>
      <c r="W2577">
        <v>352.17</v>
      </c>
      <c r="X2577">
        <v>2599.17</v>
      </c>
      <c r="Y2577" t="s">
        <v>36</v>
      </c>
      <c r="Z2577" s="3">
        <v>1894.87</v>
      </c>
      <c r="AA2577" t="s">
        <v>50</v>
      </c>
      <c r="AB2577" t="s">
        <v>33</v>
      </c>
      <c r="AC2577">
        <v>27.6</v>
      </c>
      <c r="AD2577" t="s">
        <v>43</v>
      </c>
      <c r="AE2577">
        <v>2504.42</v>
      </c>
      <c r="AF2577">
        <v>0</v>
      </c>
    </row>
    <row r="2578" spans="3:32" x14ac:dyDescent="0.35">
      <c r="C2578" s="1">
        <v>44996</v>
      </c>
      <c r="D2578" s="2">
        <v>44986</v>
      </c>
      <c r="E2578">
        <v>1540</v>
      </c>
      <c r="F2578" s="3">
        <v>1569.56</v>
      </c>
      <c r="G2578" s="3">
        <v>2793.71</v>
      </c>
      <c r="H2578" s="3">
        <v>-1224.1500000000001</v>
      </c>
      <c r="I2578" s="3">
        <v>1.78</v>
      </c>
      <c r="J2578">
        <v>0.21</v>
      </c>
      <c r="K2578">
        <v>3603.11</v>
      </c>
      <c r="L2578" t="s">
        <v>35</v>
      </c>
      <c r="M2578">
        <v>642</v>
      </c>
      <c r="N2578">
        <v>0.13</v>
      </c>
      <c r="O2578" s="3">
        <v>718.77</v>
      </c>
      <c r="P2578" s="3">
        <v>0.46</v>
      </c>
      <c r="Q2578" s="3">
        <v>595.35</v>
      </c>
      <c r="R2578" s="3">
        <v>0.38</v>
      </c>
      <c r="S2578">
        <v>2</v>
      </c>
      <c r="T2578">
        <v>773.68</v>
      </c>
      <c r="U2578">
        <v>31</v>
      </c>
      <c r="V2578">
        <v>0</v>
      </c>
      <c r="W2578">
        <v>372.71</v>
      </c>
      <c r="X2578">
        <v>2317.02</v>
      </c>
      <c r="Y2578" t="s">
        <v>36</v>
      </c>
      <c r="Z2578" s="3">
        <v>1540.51</v>
      </c>
      <c r="AA2578" t="s">
        <v>32</v>
      </c>
      <c r="AB2578" t="s">
        <v>44</v>
      </c>
      <c r="AC2578">
        <v>45.4</v>
      </c>
      <c r="AD2578" t="s">
        <v>34</v>
      </c>
      <c r="AE2578">
        <v>0</v>
      </c>
      <c r="AF2578">
        <v>0</v>
      </c>
    </row>
    <row r="2579" spans="3:32" x14ac:dyDescent="0.35">
      <c r="C2579" s="1">
        <v>44996</v>
      </c>
      <c r="D2579" s="2">
        <v>44986</v>
      </c>
      <c r="E2579">
        <v>1631</v>
      </c>
      <c r="F2579" s="3">
        <v>3368.23</v>
      </c>
      <c r="G2579" s="3">
        <v>1973.33</v>
      </c>
      <c r="H2579" s="3">
        <v>1394.9</v>
      </c>
      <c r="I2579" s="3">
        <v>0.59</v>
      </c>
      <c r="J2579">
        <v>0.37</v>
      </c>
      <c r="K2579">
        <v>3275.73</v>
      </c>
      <c r="L2579" t="s">
        <v>30</v>
      </c>
      <c r="M2579">
        <v>687</v>
      </c>
      <c r="N2579">
        <v>0.32</v>
      </c>
      <c r="O2579" s="3">
        <v>601.02</v>
      </c>
      <c r="P2579" s="3">
        <v>0.18</v>
      </c>
      <c r="Q2579" s="3">
        <v>430.47</v>
      </c>
      <c r="R2579" s="3">
        <v>0.13</v>
      </c>
      <c r="S2579">
        <v>6</v>
      </c>
      <c r="T2579">
        <v>564.42999999999995</v>
      </c>
      <c r="U2579">
        <v>84</v>
      </c>
      <c r="V2579">
        <v>0</v>
      </c>
      <c r="W2579">
        <v>588.08000000000004</v>
      </c>
      <c r="X2579">
        <v>2288.13</v>
      </c>
      <c r="Y2579" t="s">
        <v>36</v>
      </c>
      <c r="Z2579" s="3">
        <v>727.86</v>
      </c>
      <c r="AA2579" t="s">
        <v>46</v>
      </c>
      <c r="AB2579" t="s">
        <v>33</v>
      </c>
      <c r="AC2579">
        <v>51.3</v>
      </c>
      <c r="AD2579" t="s">
        <v>34</v>
      </c>
      <c r="AE2579">
        <v>1394.9</v>
      </c>
      <c r="AF2579">
        <v>0</v>
      </c>
    </row>
    <row r="2580" spans="3:32" x14ac:dyDescent="0.35">
      <c r="C2580" s="1">
        <v>44996</v>
      </c>
      <c r="D2580" s="2">
        <v>44986</v>
      </c>
      <c r="E2580">
        <v>1355</v>
      </c>
      <c r="F2580" s="3">
        <v>3672.37</v>
      </c>
      <c r="G2580" s="3">
        <v>2695.32</v>
      </c>
      <c r="H2580" s="3">
        <v>977.05</v>
      </c>
      <c r="I2580" s="3">
        <v>0.73</v>
      </c>
      <c r="J2580">
        <v>0.32</v>
      </c>
      <c r="K2580">
        <v>2128.41</v>
      </c>
      <c r="L2580" t="s">
        <v>35</v>
      </c>
      <c r="M2580">
        <v>676</v>
      </c>
      <c r="N2580">
        <v>0.49</v>
      </c>
      <c r="O2580" s="3">
        <v>602.53</v>
      </c>
      <c r="P2580" s="3">
        <v>0.16</v>
      </c>
      <c r="Q2580" s="3">
        <v>765.09</v>
      </c>
      <c r="R2580" s="3">
        <v>0.21</v>
      </c>
      <c r="S2580">
        <v>4</v>
      </c>
      <c r="T2580">
        <v>720.51</v>
      </c>
      <c r="U2580">
        <v>61</v>
      </c>
      <c r="V2580">
        <v>0</v>
      </c>
      <c r="W2580">
        <v>550.74</v>
      </c>
      <c r="X2580">
        <v>1000</v>
      </c>
      <c r="Y2580" t="s">
        <v>36</v>
      </c>
      <c r="Z2580" s="3">
        <v>1653.78</v>
      </c>
      <c r="AA2580" t="s">
        <v>45</v>
      </c>
      <c r="AB2580" t="s">
        <v>33</v>
      </c>
      <c r="AC2580">
        <v>5.8</v>
      </c>
      <c r="AD2580" t="s">
        <v>43</v>
      </c>
      <c r="AE2580">
        <v>977.05</v>
      </c>
      <c r="AF2580">
        <v>0</v>
      </c>
    </row>
    <row r="2581" spans="3:32" x14ac:dyDescent="0.35">
      <c r="C2581" s="1">
        <v>44996</v>
      </c>
      <c r="D2581" s="2">
        <v>44986</v>
      </c>
      <c r="E2581">
        <v>1420</v>
      </c>
      <c r="F2581" s="3">
        <v>3415.3</v>
      </c>
      <c r="G2581" s="3">
        <v>4704.47</v>
      </c>
      <c r="H2581" s="3">
        <v>-1289.17</v>
      </c>
      <c r="I2581" s="3">
        <v>1.38</v>
      </c>
      <c r="J2581">
        <v>0.37</v>
      </c>
      <c r="K2581">
        <v>2505.83</v>
      </c>
      <c r="L2581" t="s">
        <v>35</v>
      </c>
      <c r="M2581">
        <v>623</v>
      </c>
      <c r="N2581">
        <v>0.37</v>
      </c>
      <c r="O2581" s="3">
        <v>369.4</v>
      </c>
      <c r="P2581" s="3">
        <v>0.11</v>
      </c>
      <c r="Q2581" s="3">
        <v>201.78</v>
      </c>
      <c r="R2581" s="3">
        <v>0.06</v>
      </c>
      <c r="S2581">
        <v>7</v>
      </c>
      <c r="T2581">
        <v>1271.04</v>
      </c>
      <c r="U2581">
        <v>87</v>
      </c>
      <c r="V2581">
        <v>0</v>
      </c>
      <c r="W2581">
        <v>435.12</v>
      </c>
      <c r="X2581">
        <v>1906.64</v>
      </c>
      <c r="Y2581" t="s">
        <v>31</v>
      </c>
      <c r="Z2581" s="3">
        <v>1671.98</v>
      </c>
      <c r="AA2581" t="s">
        <v>41</v>
      </c>
      <c r="AB2581" t="s">
        <v>44</v>
      </c>
      <c r="AC2581">
        <v>77.5</v>
      </c>
      <c r="AD2581" t="s">
        <v>43</v>
      </c>
      <c r="AE2581">
        <v>0</v>
      </c>
      <c r="AF2581">
        <v>0</v>
      </c>
    </row>
    <row r="2582" spans="3:32" x14ac:dyDescent="0.35">
      <c r="C2582" s="1">
        <v>44996</v>
      </c>
      <c r="D2582" s="2">
        <v>44986</v>
      </c>
      <c r="E2582">
        <v>1314</v>
      </c>
      <c r="F2582" s="3">
        <v>3214.75</v>
      </c>
      <c r="G2582" s="3">
        <v>2125.73</v>
      </c>
      <c r="H2582" s="3">
        <v>1089.02</v>
      </c>
      <c r="I2582" s="3">
        <v>0.66</v>
      </c>
      <c r="J2582">
        <v>0.3</v>
      </c>
      <c r="K2582">
        <v>2138.63</v>
      </c>
      <c r="L2582" t="s">
        <v>35</v>
      </c>
      <c r="M2582">
        <v>722</v>
      </c>
      <c r="N2582">
        <v>0.33</v>
      </c>
      <c r="O2582" s="3">
        <v>454.97</v>
      </c>
      <c r="P2582" s="3">
        <v>0.14000000000000001</v>
      </c>
      <c r="Q2582" s="3">
        <v>222.94</v>
      </c>
      <c r="R2582" s="3">
        <v>7.0000000000000007E-2</v>
      </c>
      <c r="S2582">
        <v>3</v>
      </c>
      <c r="T2582">
        <v>1320.38</v>
      </c>
      <c r="U2582">
        <v>66</v>
      </c>
      <c r="V2582">
        <v>0</v>
      </c>
      <c r="W2582">
        <v>352.64</v>
      </c>
      <c r="X2582">
        <v>2105.87</v>
      </c>
      <c r="Y2582" t="s">
        <v>36</v>
      </c>
      <c r="Z2582" s="3">
        <v>1353.34</v>
      </c>
      <c r="AA2582" t="s">
        <v>45</v>
      </c>
      <c r="AB2582" t="s">
        <v>42</v>
      </c>
      <c r="AC2582">
        <v>19.600000000000001</v>
      </c>
      <c r="AD2582" t="s">
        <v>34</v>
      </c>
      <c r="AE2582">
        <v>1089.02</v>
      </c>
      <c r="AF2582">
        <v>0</v>
      </c>
    </row>
    <row r="2583" spans="3:32" x14ac:dyDescent="0.35">
      <c r="C2583" s="1">
        <v>44996</v>
      </c>
      <c r="D2583" s="2">
        <v>44986</v>
      </c>
      <c r="E2583">
        <v>1539</v>
      </c>
      <c r="F2583" s="3">
        <v>3284.09</v>
      </c>
      <c r="G2583" s="3">
        <v>4333.5</v>
      </c>
      <c r="H2583" s="3">
        <v>-1049.4100000000001</v>
      </c>
      <c r="I2583" s="3">
        <v>1.32</v>
      </c>
      <c r="J2583">
        <v>0.28000000000000003</v>
      </c>
      <c r="K2583">
        <v>3483.4</v>
      </c>
      <c r="L2583" t="s">
        <v>35</v>
      </c>
      <c r="M2583">
        <v>736</v>
      </c>
      <c r="N2583">
        <v>0.5</v>
      </c>
      <c r="O2583" s="3">
        <v>1097.54</v>
      </c>
      <c r="P2583" s="3">
        <v>0.33</v>
      </c>
      <c r="Q2583" s="3">
        <v>0</v>
      </c>
      <c r="R2583" s="3">
        <v>0</v>
      </c>
      <c r="S2583">
        <v>5</v>
      </c>
      <c r="T2583">
        <v>872.36</v>
      </c>
      <c r="U2583">
        <v>71</v>
      </c>
      <c r="V2583">
        <v>0</v>
      </c>
      <c r="W2583">
        <v>850.61</v>
      </c>
      <c r="X2583">
        <v>3370.79</v>
      </c>
      <c r="Y2583" t="s">
        <v>36</v>
      </c>
      <c r="Z2583" s="3">
        <v>1373.45</v>
      </c>
      <c r="AA2583" t="s">
        <v>47</v>
      </c>
      <c r="AB2583" t="s">
        <v>44</v>
      </c>
      <c r="AC2583">
        <v>97.3</v>
      </c>
      <c r="AD2583" t="s">
        <v>43</v>
      </c>
      <c r="AE2583">
        <v>0</v>
      </c>
      <c r="AF2583">
        <v>0</v>
      </c>
    </row>
    <row r="2584" spans="3:32" x14ac:dyDescent="0.35">
      <c r="C2584" s="1">
        <v>44996</v>
      </c>
      <c r="D2584" s="2">
        <v>44986</v>
      </c>
      <c r="E2584">
        <v>1333</v>
      </c>
      <c r="F2584" s="3">
        <v>3838.57</v>
      </c>
      <c r="G2584" s="3">
        <v>3460.7</v>
      </c>
      <c r="H2584" s="3">
        <v>377.87</v>
      </c>
      <c r="I2584" s="3">
        <v>0.9</v>
      </c>
      <c r="J2584">
        <v>0.24</v>
      </c>
      <c r="K2584">
        <v>2920.09</v>
      </c>
      <c r="L2584" t="s">
        <v>30</v>
      </c>
      <c r="M2584">
        <v>694</v>
      </c>
      <c r="N2584">
        <v>0.24</v>
      </c>
      <c r="O2584" s="3">
        <v>340.26</v>
      </c>
      <c r="P2584" s="3">
        <v>0.09</v>
      </c>
      <c r="Q2584" s="3">
        <v>276.33</v>
      </c>
      <c r="R2584" s="3">
        <v>7.0000000000000007E-2</v>
      </c>
      <c r="S2584">
        <v>1</v>
      </c>
      <c r="T2584">
        <v>1625.77</v>
      </c>
      <c r="U2584">
        <v>61</v>
      </c>
      <c r="V2584">
        <v>0</v>
      </c>
      <c r="W2584">
        <v>417.09</v>
      </c>
      <c r="X2584">
        <v>2396.69</v>
      </c>
      <c r="Y2584" t="s">
        <v>36</v>
      </c>
      <c r="Z2584" s="3">
        <v>896.66</v>
      </c>
      <c r="AA2584" t="s">
        <v>48</v>
      </c>
      <c r="AB2584" t="s">
        <v>33</v>
      </c>
      <c r="AC2584">
        <v>83.3</v>
      </c>
      <c r="AD2584" t="s">
        <v>34</v>
      </c>
      <c r="AE2584">
        <v>377.87</v>
      </c>
      <c r="AF2584">
        <v>0</v>
      </c>
    </row>
    <row r="2585" spans="3:32" x14ac:dyDescent="0.35">
      <c r="C2585" s="1">
        <v>44996</v>
      </c>
      <c r="D2585" s="2">
        <v>44986</v>
      </c>
      <c r="E2585">
        <v>1699</v>
      </c>
      <c r="F2585" s="3">
        <v>3933.54</v>
      </c>
      <c r="G2585" s="3">
        <v>4137.55</v>
      </c>
      <c r="H2585" s="3">
        <v>-204.01</v>
      </c>
      <c r="I2585" s="3">
        <v>1.05</v>
      </c>
      <c r="J2585">
        <v>0.34</v>
      </c>
      <c r="K2585">
        <v>2897.89</v>
      </c>
      <c r="L2585" t="s">
        <v>35</v>
      </c>
      <c r="M2585">
        <v>737</v>
      </c>
      <c r="N2585">
        <v>0.53</v>
      </c>
      <c r="O2585" s="3">
        <v>578.16</v>
      </c>
      <c r="P2585" s="3">
        <v>0.15</v>
      </c>
      <c r="Q2585" s="3">
        <v>462.6</v>
      </c>
      <c r="R2585" s="3">
        <v>0.12</v>
      </c>
      <c r="S2585">
        <v>8</v>
      </c>
      <c r="T2585">
        <v>1247.3</v>
      </c>
      <c r="U2585">
        <v>32</v>
      </c>
      <c r="V2585">
        <v>0</v>
      </c>
      <c r="W2585">
        <v>151.32</v>
      </c>
      <c r="X2585">
        <v>2959.4</v>
      </c>
      <c r="Y2585" t="s">
        <v>36</v>
      </c>
      <c r="Z2585" s="3">
        <v>1791.16</v>
      </c>
      <c r="AA2585" t="s">
        <v>40</v>
      </c>
      <c r="AB2585" t="s">
        <v>33</v>
      </c>
      <c r="AC2585">
        <v>86.2</v>
      </c>
      <c r="AD2585" t="s">
        <v>34</v>
      </c>
      <c r="AE2585">
        <v>0</v>
      </c>
      <c r="AF2585">
        <v>0</v>
      </c>
    </row>
    <row r="2586" spans="3:32" x14ac:dyDescent="0.35">
      <c r="C2586" s="1">
        <v>44996</v>
      </c>
      <c r="D2586" s="2">
        <v>44986</v>
      </c>
      <c r="E2586">
        <v>1810</v>
      </c>
      <c r="F2586" s="3">
        <v>3786.88</v>
      </c>
      <c r="G2586" s="3">
        <v>3061.41</v>
      </c>
      <c r="H2586" s="3">
        <v>725.47</v>
      </c>
      <c r="I2586" s="3">
        <v>0.81</v>
      </c>
      <c r="J2586">
        <v>0.2</v>
      </c>
      <c r="K2586">
        <v>3048.01</v>
      </c>
      <c r="L2586" t="s">
        <v>35</v>
      </c>
      <c r="M2586">
        <v>690</v>
      </c>
      <c r="N2586">
        <v>0.2</v>
      </c>
      <c r="O2586" s="3">
        <v>119.56</v>
      </c>
      <c r="P2586" s="3">
        <v>0.03</v>
      </c>
      <c r="Q2586" s="3">
        <v>0</v>
      </c>
      <c r="R2586" s="3">
        <v>0</v>
      </c>
      <c r="S2586">
        <v>2</v>
      </c>
      <c r="T2586">
        <v>1318.28</v>
      </c>
      <c r="U2586">
        <v>22</v>
      </c>
      <c r="V2586">
        <v>0</v>
      </c>
      <c r="W2586">
        <v>630.46</v>
      </c>
      <c r="X2586">
        <v>1810.46</v>
      </c>
      <c r="Y2586" t="s">
        <v>49</v>
      </c>
      <c r="Z2586" s="3">
        <v>805.53</v>
      </c>
      <c r="AA2586" t="s">
        <v>41</v>
      </c>
      <c r="AB2586" t="s">
        <v>33</v>
      </c>
      <c r="AC2586">
        <v>48.1</v>
      </c>
      <c r="AD2586" t="s">
        <v>34</v>
      </c>
      <c r="AE2586">
        <v>725.47</v>
      </c>
      <c r="AF2586">
        <v>0</v>
      </c>
    </row>
    <row r="2587" spans="3:32" x14ac:dyDescent="0.35">
      <c r="C2587" s="1">
        <v>44996</v>
      </c>
      <c r="D2587" s="2">
        <v>44986</v>
      </c>
      <c r="E2587">
        <v>1184</v>
      </c>
      <c r="F2587" s="3">
        <v>5359.27</v>
      </c>
      <c r="G2587" s="3">
        <v>3210.15</v>
      </c>
      <c r="H2587" s="3">
        <v>2149.12</v>
      </c>
      <c r="I2587" s="3">
        <v>0.6</v>
      </c>
      <c r="J2587">
        <v>0.16</v>
      </c>
      <c r="K2587">
        <v>2102.2199999999998</v>
      </c>
      <c r="L2587" t="s">
        <v>35</v>
      </c>
      <c r="M2587">
        <v>716</v>
      </c>
      <c r="N2587">
        <v>0.49</v>
      </c>
      <c r="O2587" s="3">
        <v>429.9</v>
      </c>
      <c r="P2587" s="3">
        <v>0.08</v>
      </c>
      <c r="Q2587" s="3">
        <v>979.22</v>
      </c>
      <c r="R2587" s="3">
        <v>0.18</v>
      </c>
      <c r="S2587">
        <v>8</v>
      </c>
      <c r="T2587">
        <v>866.25</v>
      </c>
      <c r="U2587">
        <v>56</v>
      </c>
      <c r="V2587">
        <v>0</v>
      </c>
      <c r="W2587">
        <v>297.27</v>
      </c>
      <c r="X2587">
        <v>2032.03</v>
      </c>
      <c r="Y2587" t="s">
        <v>31</v>
      </c>
      <c r="Z2587" s="3">
        <v>731.04</v>
      </c>
      <c r="AA2587" t="s">
        <v>51</v>
      </c>
      <c r="AB2587" t="s">
        <v>33</v>
      </c>
      <c r="AC2587">
        <v>100</v>
      </c>
      <c r="AD2587" t="s">
        <v>43</v>
      </c>
      <c r="AE2587">
        <v>2149.12</v>
      </c>
      <c r="AF2587">
        <v>1</v>
      </c>
    </row>
    <row r="2588" spans="3:32" x14ac:dyDescent="0.35">
      <c r="C2588" s="1">
        <v>44996</v>
      </c>
      <c r="D2588" s="2">
        <v>44986</v>
      </c>
      <c r="E2588">
        <v>1950</v>
      </c>
      <c r="F2588" s="3">
        <v>3617.52</v>
      </c>
      <c r="G2588" s="3">
        <v>2908.4</v>
      </c>
      <c r="H2588" s="3">
        <v>709.12</v>
      </c>
      <c r="I2588" s="3">
        <v>0.8</v>
      </c>
      <c r="J2588">
        <v>0.17</v>
      </c>
      <c r="K2588">
        <v>2551.0300000000002</v>
      </c>
      <c r="L2588" t="s">
        <v>30</v>
      </c>
      <c r="M2588">
        <v>820</v>
      </c>
      <c r="N2588">
        <v>0.18</v>
      </c>
      <c r="O2588" s="3">
        <v>252.3</v>
      </c>
      <c r="P2588" s="3">
        <v>7.0000000000000007E-2</v>
      </c>
      <c r="Q2588" s="3">
        <v>914.62</v>
      </c>
      <c r="R2588" s="3">
        <v>0.25</v>
      </c>
      <c r="S2588">
        <v>5</v>
      </c>
      <c r="T2588">
        <v>1280.25</v>
      </c>
      <c r="U2588">
        <v>62</v>
      </c>
      <c r="V2588">
        <v>0</v>
      </c>
      <c r="W2588">
        <v>383.37</v>
      </c>
      <c r="X2588">
        <v>2203.31</v>
      </c>
      <c r="Y2588" t="s">
        <v>36</v>
      </c>
      <c r="Z2588" s="3">
        <v>1308.24</v>
      </c>
      <c r="AA2588" t="s">
        <v>48</v>
      </c>
      <c r="AB2588" t="s">
        <v>33</v>
      </c>
      <c r="AC2588">
        <v>72.900000000000006</v>
      </c>
      <c r="AD2588" t="s">
        <v>38</v>
      </c>
      <c r="AE2588">
        <v>709.12</v>
      </c>
      <c r="AF2588">
        <v>0</v>
      </c>
    </row>
    <row r="2589" spans="3:32" x14ac:dyDescent="0.35">
      <c r="C2589" s="1">
        <v>44996</v>
      </c>
      <c r="D2589" s="2">
        <v>44986</v>
      </c>
      <c r="E2589">
        <v>1677</v>
      </c>
      <c r="F2589" s="3">
        <v>4557.22</v>
      </c>
      <c r="G2589" s="3">
        <v>3593.32</v>
      </c>
      <c r="H2589" s="3">
        <v>963.9</v>
      </c>
      <c r="I2589" s="3">
        <v>0.79</v>
      </c>
      <c r="J2589">
        <v>0.26</v>
      </c>
      <c r="K2589">
        <v>2136.21</v>
      </c>
      <c r="L2589" t="s">
        <v>35</v>
      </c>
      <c r="M2589">
        <v>670</v>
      </c>
      <c r="N2589">
        <v>0.4</v>
      </c>
      <c r="O2589" s="3">
        <v>505.12</v>
      </c>
      <c r="P2589" s="3">
        <v>0.11</v>
      </c>
      <c r="Q2589" s="3">
        <v>594.26</v>
      </c>
      <c r="R2589" s="3">
        <v>0.13</v>
      </c>
      <c r="S2589">
        <v>2</v>
      </c>
      <c r="T2589">
        <v>241.06</v>
      </c>
      <c r="U2589">
        <v>45</v>
      </c>
      <c r="V2589">
        <v>0</v>
      </c>
      <c r="W2589">
        <v>734.9</v>
      </c>
      <c r="X2589">
        <v>2254.7199999999998</v>
      </c>
      <c r="Y2589" t="s">
        <v>31</v>
      </c>
      <c r="Z2589" s="3">
        <v>300</v>
      </c>
      <c r="AA2589" t="s">
        <v>48</v>
      </c>
      <c r="AB2589" t="s">
        <v>42</v>
      </c>
      <c r="AC2589">
        <v>74.2</v>
      </c>
      <c r="AD2589" t="s">
        <v>43</v>
      </c>
      <c r="AE2589">
        <v>963.9</v>
      </c>
      <c r="AF2589">
        <v>0</v>
      </c>
    </row>
    <row r="2590" spans="3:32" x14ac:dyDescent="0.35">
      <c r="C2590" s="1">
        <v>44996</v>
      </c>
      <c r="D2590" s="2">
        <v>44986</v>
      </c>
      <c r="E2590">
        <v>1274</v>
      </c>
      <c r="F2590" s="3">
        <v>4340.96</v>
      </c>
      <c r="G2590" s="3">
        <v>1998.13</v>
      </c>
      <c r="H2590" s="3">
        <v>2342.83</v>
      </c>
      <c r="I2590" s="3">
        <v>0.46</v>
      </c>
      <c r="J2590">
        <v>0.08</v>
      </c>
      <c r="K2590">
        <v>2824.47</v>
      </c>
      <c r="L2590" t="s">
        <v>35</v>
      </c>
      <c r="M2590">
        <v>681</v>
      </c>
      <c r="N2590">
        <v>0.53</v>
      </c>
      <c r="O2590" s="3">
        <v>826.33</v>
      </c>
      <c r="P2590" s="3">
        <v>0.19</v>
      </c>
      <c r="Q2590" s="3">
        <v>261.95999999999998</v>
      </c>
      <c r="R2590" s="3">
        <v>0.06</v>
      </c>
      <c r="S2590">
        <v>3</v>
      </c>
      <c r="T2590">
        <v>899.64</v>
      </c>
      <c r="U2590">
        <v>27</v>
      </c>
      <c r="V2590">
        <v>0</v>
      </c>
      <c r="W2590">
        <v>644.41999999999996</v>
      </c>
      <c r="X2590">
        <v>3165.29</v>
      </c>
      <c r="Y2590" t="s">
        <v>31</v>
      </c>
      <c r="Z2590" s="3">
        <v>1892.79</v>
      </c>
      <c r="AA2590" t="s">
        <v>40</v>
      </c>
      <c r="AB2590" t="s">
        <v>44</v>
      </c>
      <c r="AC2590">
        <v>66.8</v>
      </c>
      <c r="AD2590" t="s">
        <v>38</v>
      </c>
      <c r="AE2590">
        <v>2342.83</v>
      </c>
      <c r="AF2590">
        <v>0</v>
      </c>
    </row>
    <row r="2591" spans="3:32" x14ac:dyDescent="0.35">
      <c r="C2591" s="1">
        <v>44996</v>
      </c>
      <c r="D2591" s="2">
        <v>44986</v>
      </c>
      <c r="E2591">
        <v>1665</v>
      </c>
      <c r="F2591" s="3">
        <v>5103.05</v>
      </c>
      <c r="G2591" s="3">
        <v>2589.94</v>
      </c>
      <c r="H2591" s="3">
        <v>2513.11</v>
      </c>
      <c r="I2591" s="3">
        <v>0.51</v>
      </c>
      <c r="J2591">
        <v>0.28999999999999998</v>
      </c>
      <c r="K2591">
        <v>2987.13</v>
      </c>
      <c r="L2591" t="s">
        <v>35</v>
      </c>
      <c r="M2591">
        <v>718</v>
      </c>
      <c r="N2591">
        <v>0.19</v>
      </c>
      <c r="O2591" s="3">
        <v>384.96</v>
      </c>
      <c r="P2591" s="3">
        <v>0.08</v>
      </c>
      <c r="Q2591" s="3">
        <v>117.39</v>
      </c>
      <c r="R2591" s="3">
        <v>0.02</v>
      </c>
      <c r="S2591">
        <v>2</v>
      </c>
      <c r="T2591">
        <v>1936.57</v>
      </c>
      <c r="U2591">
        <v>75</v>
      </c>
      <c r="V2591">
        <v>0</v>
      </c>
      <c r="W2591">
        <v>683.37</v>
      </c>
      <c r="X2591">
        <v>2902.72</v>
      </c>
      <c r="Y2591" t="s">
        <v>31</v>
      </c>
      <c r="Z2591" s="3">
        <v>1190.71</v>
      </c>
      <c r="AA2591" t="s">
        <v>51</v>
      </c>
      <c r="AB2591" t="s">
        <v>42</v>
      </c>
      <c r="AC2591">
        <v>80.2</v>
      </c>
      <c r="AD2591" t="s">
        <v>43</v>
      </c>
      <c r="AE2591">
        <v>2513.11</v>
      </c>
      <c r="AF2591">
        <v>0</v>
      </c>
    </row>
    <row r="2592" spans="3:32" x14ac:dyDescent="0.35">
      <c r="C2592" s="1">
        <v>44996</v>
      </c>
      <c r="D2592" s="2">
        <v>44986</v>
      </c>
      <c r="E2592">
        <v>1799</v>
      </c>
      <c r="F2592" s="3">
        <v>5198.8500000000004</v>
      </c>
      <c r="G2592" s="3">
        <v>3231.39</v>
      </c>
      <c r="H2592" s="3">
        <v>1967.46</v>
      </c>
      <c r="I2592" s="3">
        <v>0.62</v>
      </c>
      <c r="J2592">
        <v>0.34</v>
      </c>
      <c r="K2592">
        <v>3158.46</v>
      </c>
      <c r="L2592" t="s">
        <v>39</v>
      </c>
      <c r="M2592">
        <v>676</v>
      </c>
      <c r="N2592">
        <v>0.13</v>
      </c>
      <c r="O2592" s="3">
        <v>468.64</v>
      </c>
      <c r="P2592" s="3">
        <v>0.09</v>
      </c>
      <c r="Q2592" s="3">
        <v>395.51</v>
      </c>
      <c r="R2592" s="3">
        <v>0.08</v>
      </c>
      <c r="S2592">
        <v>1</v>
      </c>
      <c r="T2592">
        <v>124.2</v>
      </c>
      <c r="U2592">
        <v>82</v>
      </c>
      <c r="V2592">
        <v>0</v>
      </c>
      <c r="W2592">
        <v>339.77</v>
      </c>
      <c r="X2592">
        <v>1614.93</v>
      </c>
      <c r="Y2592" t="s">
        <v>36</v>
      </c>
      <c r="Z2592" s="3">
        <v>676.88</v>
      </c>
      <c r="AA2592" t="s">
        <v>40</v>
      </c>
      <c r="AB2592" t="s">
        <v>44</v>
      </c>
      <c r="AC2592">
        <v>12.8</v>
      </c>
      <c r="AD2592" t="s">
        <v>43</v>
      </c>
      <c r="AE2592">
        <v>1967.46</v>
      </c>
      <c r="AF2592">
        <v>0</v>
      </c>
    </row>
    <row r="2593" spans="3:32" x14ac:dyDescent="0.35">
      <c r="C2593" s="1">
        <v>44996</v>
      </c>
      <c r="D2593" s="2">
        <v>44986</v>
      </c>
      <c r="E2593">
        <v>1529</v>
      </c>
      <c r="F2593" s="3">
        <v>5458.64</v>
      </c>
      <c r="G2593" s="3">
        <v>1993.64</v>
      </c>
      <c r="H2593" s="3">
        <v>3465</v>
      </c>
      <c r="I2593" s="3">
        <v>0.37</v>
      </c>
      <c r="J2593">
        <v>0.16</v>
      </c>
      <c r="K2593">
        <v>2894.65</v>
      </c>
      <c r="L2593" t="s">
        <v>30</v>
      </c>
      <c r="M2593">
        <v>720</v>
      </c>
      <c r="N2593">
        <v>0.31</v>
      </c>
      <c r="O2593" s="3">
        <v>425.21</v>
      </c>
      <c r="P2593" s="3">
        <v>0.08</v>
      </c>
      <c r="Q2593" s="3">
        <v>392.84</v>
      </c>
      <c r="R2593" s="3">
        <v>7.0000000000000007E-2</v>
      </c>
      <c r="S2593">
        <v>1</v>
      </c>
      <c r="T2593">
        <v>483.62</v>
      </c>
      <c r="U2593">
        <v>74</v>
      </c>
      <c r="V2593">
        <v>0</v>
      </c>
      <c r="W2593">
        <v>318.23</v>
      </c>
      <c r="X2593">
        <v>1644.99</v>
      </c>
      <c r="Y2593" t="s">
        <v>49</v>
      </c>
      <c r="Z2593" s="3">
        <v>910.63</v>
      </c>
      <c r="AA2593" t="s">
        <v>32</v>
      </c>
      <c r="AB2593" t="s">
        <v>33</v>
      </c>
      <c r="AC2593">
        <v>76.099999999999994</v>
      </c>
      <c r="AD2593" t="s">
        <v>38</v>
      </c>
      <c r="AE2593">
        <v>3465</v>
      </c>
      <c r="AF2593">
        <v>1</v>
      </c>
    </row>
    <row r="2594" spans="3:32" x14ac:dyDescent="0.35">
      <c r="C2594" s="1">
        <v>44996</v>
      </c>
      <c r="D2594" s="2">
        <v>44986</v>
      </c>
      <c r="E2594">
        <v>1208</v>
      </c>
      <c r="F2594" s="3">
        <v>4442.6899999999996</v>
      </c>
      <c r="G2594" s="3">
        <v>2431.42</v>
      </c>
      <c r="H2594" s="3">
        <v>2011.27</v>
      </c>
      <c r="I2594" s="3">
        <v>0.55000000000000004</v>
      </c>
      <c r="J2594">
        <v>0.26</v>
      </c>
      <c r="K2594">
        <v>1738.87</v>
      </c>
      <c r="L2594" t="s">
        <v>35</v>
      </c>
      <c r="M2594">
        <v>642</v>
      </c>
      <c r="N2594">
        <v>0.22</v>
      </c>
      <c r="O2594" s="3">
        <v>727.5</v>
      </c>
      <c r="P2594" s="3">
        <v>0.16</v>
      </c>
      <c r="Q2594" s="3">
        <v>864.53</v>
      </c>
      <c r="R2594" s="3">
        <v>0.19</v>
      </c>
      <c r="S2594">
        <v>2</v>
      </c>
      <c r="T2594">
        <v>779.22</v>
      </c>
      <c r="U2594">
        <v>53</v>
      </c>
      <c r="V2594">
        <v>0</v>
      </c>
      <c r="W2594">
        <v>231.65</v>
      </c>
      <c r="X2594">
        <v>2839.27</v>
      </c>
      <c r="Y2594" t="s">
        <v>36</v>
      </c>
      <c r="Z2594" s="3">
        <v>1549.64</v>
      </c>
      <c r="AA2594" t="s">
        <v>50</v>
      </c>
      <c r="AB2594" t="s">
        <v>33</v>
      </c>
      <c r="AC2594">
        <v>13</v>
      </c>
      <c r="AD2594" t="s">
        <v>34</v>
      </c>
      <c r="AE2594">
        <v>2011.27</v>
      </c>
      <c r="AF2594">
        <v>1</v>
      </c>
    </row>
    <row r="2595" spans="3:32" x14ac:dyDescent="0.35">
      <c r="C2595" s="1">
        <v>44996</v>
      </c>
      <c r="D2595" s="2">
        <v>44986</v>
      </c>
      <c r="E2595">
        <v>1753</v>
      </c>
      <c r="F2595" s="3">
        <v>5429.93</v>
      </c>
      <c r="G2595" s="3">
        <v>2853.01</v>
      </c>
      <c r="H2595" s="3">
        <v>2576.92</v>
      </c>
      <c r="I2595" s="3">
        <v>0.53</v>
      </c>
      <c r="J2595">
        <v>0.19</v>
      </c>
      <c r="K2595">
        <v>2998.79</v>
      </c>
      <c r="L2595" t="s">
        <v>35</v>
      </c>
      <c r="M2595">
        <v>672</v>
      </c>
      <c r="N2595">
        <v>0.39</v>
      </c>
      <c r="O2595" s="3">
        <v>440.22</v>
      </c>
      <c r="P2595" s="3">
        <v>0.08</v>
      </c>
      <c r="Q2595" s="3">
        <v>463.15</v>
      </c>
      <c r="R2595" s="3">
        <v>0.09</v>
      </c>
      <c r="S2595">
        <v>9</v>
      </c>
      <c r="T2595">
        <v>1278.8499999999999</v>
      </c>
      <c r="U2595">
        <v>69</v>
      </c>
      <c r="V2595">
        <v>0</v>
      </c>
      <c r="W2595">
        <v>712.93</v>
      </c>
      <c r="X2595">
        <v>2358.33</v>
      </c>
      <c r="Y2595" t="s">
        <v>36</v>
      </c>
      <c r="Z2595" s="3">
        <v>1280.8499999999999</v>
      </c>
      <c r="AA2595" t="s">
        <v>32</v>
      </c>
      <c r="AB2595" t="s">
        <v>33</v>
      </c>
      <c r="AC2595">
        <v>23.8</v>
      </c>
      <c r="AD2595" t="s">
        <v>34</v>
      </c>
      <c r="AE2595">
        <v>2576.92</v>
      </c>
      <c r="AF2595">
        <v>0</v>
      </c>
    </row>
    <row r="2596" spans="3:32" x14ac:dyDescent="0.35">
      <c r="C2596" s="1">
        <v>44996</v>
      </c>
      <c r="D2596" s="2">
        <v>44986</v>
      </c>
      <c r="E2596">
        <v>1789</v>
      </c>
      <c r="F2596" s="3">
        <v>5861.05</v>
      </c>
      <c r="G2596" s="3">
        <v>3671.37</v>
      </c>
      <c r="H2596" s="3">
        <v>2189.6799999999998</v>
      </c>
      <c r="I2596" s="3">
        <v>0.63</v>
      </c>
      <c r="J2596">
        <v>0.21</v>
      </c>
      <c r="K2596">
        <v>3218.28</v>
      </c>
      <c r="L2596" t="s">
        <v>35</v>
      </c>
      <c r="M2596">
        <v>737</v>
      </c>
      <c r="N2596">
        <v>0.28999999999999998</v>
      </c>
      <c r="O2596" s="3">
        <v>547.80999999999995</v>
      </c>
      <c r="P2596" s="3">
        <v>0.09</v>
      </c>
      <c r="Q2596" s="3">
        <v>69.819999999999993</v>
      </c>
      <c r="R2596" s="3">
        <v>0.01</v>
      </c>
      <c r="S2596">
        <v>5</v>
      </c>
      <c r="T2596">
        <v>1455.41</v>
      </c>
      <c r="U2596">
        <v>93</v>
      </c>
      <c r="V2596">
        <v>0</v>
      </c>
      <c r="W2596">
        <v>318.73</v>
      </c>
      <c r="X2596">
        <v>2038.63</v>
      </c>
      <c r="Y2596" t="s">
        <v>31</v>
      </c>
      <c r="Z2596" s="3">
        <v>1907.79</v>
      </c>
      <c r="AA2596" t="s">
        <v>40</v>
      </c>
      <c r="AB2596" t="s">
        <v>44</v>
      </c>
      <c r="AC2596">
        <v>33.6</v>
      </c>
      <c r="AD2596" t="s">
        <v>43</v>
      </c>
      <c r="AE2596">
        <v>2189.6799999999998</v>
      </c>
      <c r="AF2596">
        <v>0</v>
      </c>
    </row>
    <row r="2597" spans="3:32" x14ac:dyDescent="0.35">
      <c r="C2597" s="1">
        <v>44996</v>
      </c>
      <c r="D2597" s="2">
        <v>44986</v>
      </c>
      <c r="E2597">
        <v>1803</v>
      </c>
      <c r="F2597" s="3">
        <v>4567.3599999999997</v>
      </c>
      <c r="G2597" s="3">
        <v>1759.78</v>
      </c>
      <c r="H2597" s="3">
        <v>2807.58</v>
      </c>
      <c r="I2597" s="3">
        <v>0.39</v>
      </c>
      <c r="J2597">
        <v>0.2</v>
      </c>
      <c r="K2597">
        <v>2890.83</v>
      </c>
      <c r="L2597" t="s">
        <v>35</v>
      </c>
      <c r="M2597">
        <v>691</v>
      </c>
      <c r="N2597">
        <v>0.55000000000000004</v>
      </c>
      <c r="O2597" s="3">
        <v>746.58</v>
      </c>
      <c r="P2597" s="3">
        <v>0.16</v>
      </c>
      <c r="Q2597" s="3">
        <v>567.41</v>
      </c>
      <c r="R2597" s="3">
        <v>0.12</v>
      </c>
      <c r="S2597">
        <v>2</v>
      </c>
      <c r="T2597">
        <v>1021.65</v>
      </c>
      <c r="U2597">
        <v>86</v>
      </c>
      <c r="V2597">
        <v>0</v>
      </c>
      <c r="W2597">
        <v>394.38</v>
      </c>
      <c r="X2597">
        <v>2986.7</v>
      </c>
      <c r="Y2597" t="s">
        <v>36</v>
      </c>
      <c r="Z2597" s="3">
        <v>1506.79</v>
      </c>
      <c r="AA2597" t="s">
        <v>45</v>
      </c>
      <c r="AB2597" t="s">
        <v>33</v>
      </c>
      <c r="AC2597">
        <v>87.4</v>
      </c>
      <c r="AD2597" t="s">
        <v>38</v>
      </c>
      <c r="AE2597">
        <v>2807.58</v>
      </c>
      <c r="AF2597">
        <v>0</v>
      </c>
    </row>
    <row r="2598" spans="3:32" x14ac:dyDescent="0.35">
      <c r="C2598" s="1">
        <v>44996</v>
      </c>
      <c r="D2598" s="2">
        <v>44986</v>
      </c>
      <c r="E2598">
        <v>1642</v>
      </c>
      <c r="F2598" s="3">
        <v>4814.8100000000004</v>
      </c>
      <c r="G2598" s="3">
        <v>2795.2</v>
      </c>
      <c r="H2598" s="3">
        <v>2019.61</v>
      </c>
      <c r="I2598" s="3">
        <v>0.57999999999999996</v>
      </c>
      <c r="J2598">
        <v>0.34</v>
      </c>
      <c r="K2598">
        <v>2271.9499999999998</v>
      </c>
      <c r="L2598" t="s">
        <v>35</v>
      </c>
      <c r="M2598">
        <v>769</v>
      </c>
      <c r="N2598">
        <v>0.43</v>
      </c>
      <c r="O2598" s="3">
        <v>516.65</v>
      </c>
      <c r="P2598" s="3">
        <v>0.11</v>
      </c>
      <c r="Q2598" s="3">
        <v>654.73</v>
      </c>
      <c r="R2598" s="3">
        <v>0.14000000000000001</v>
      </c>
      <c r="S2598">
        <v>8</v>
      </c>
      <c r="T2598">
        <v>1460.49</v>
      </c>
      <c r="U2598">
        <v>20</v>
      </c>
      <c r="V2598">
        <v>0</v>
      </c>
      <c r="W2598">
        <v>662.24</v>
      </c>
      <c r="X2598">
        <v>2501.98</v>
      </c>
      <c r="Y2598" t="s">
        <v>31</v>
      </c>
      <c r="Z2598" s="3">
        <v>1143.9100000000001</v>
      </c>
      <c r="AA2598" t="s">
        <v>48</v>
      </c>
      <c r="AB2598" t="s">
        <v>42</v>
      </c>
      <c r="AC2598">
        <v>29.3</v>
      </c>
      <c r="AD2598" t="s">
        <v>34</v>
      </c>
      <c r="AE2598">
        <v>2019.61</v>
      </c>
      <c r="AF2598">
        <v>0</v>
      </c>
    </row>
    <row r="2599" spans="3:32" x14ac:dyDescent="0.35">
      <c r="C2599" s="1">
        <v>44996</v>
      </c>
      <c r="D2599" s="2">
        <v>44986</v>
      </c>
      <c r="E2599">
        <v>1714</v>
      </c>
      <c r="F2599" s="3">
        <v>3425.53</v>
      </c>
      <c r="G2599" s="3">
        <v>2319.56</v>
      </c>
      <c r="H2599" s="3">
        <v>1105.97</v>
      </c>
      <c r="I2599" s="3">
        <v>0.68</v>
      </c>
      <c r="J2599">
        <v>0.11</v>
      </c>
      <c r="K2599">
        <v>1821.19</v>
      </c>
      <c r="L2599" t="s">
        <v>35</v>
      </c>
      <c r="M2599">
        <v>662</v>
      </c>
      <c r="N2599">
        <v>0.21</v>
      </c>
      <c r="O2599" s="3">
        <v>320.81</v>
      </c>
      <c r="P2599" s="3">
        <v>0.09</v>
      </c>
      <c r="Q2599" s="3">
        <v>437.86</v>
      </c>
      <c r="R2599" s="3">
        <v>0.13</v>
      </c>
      <c r="S2599">
        <v>7</v>
      </c>
      <c r="T2599">
        <v>1549.53</v>
      </c>
      <c r="U2599">
        <v>44</v>
      </c>
      <c r="V2599">
        <v>0</v>
      </c>
      <c r="W2599">
        <v>133.05000000000001</v>
      </c>
      <c r="X2599">
        <v>2050.9899999999998</v>
      </c>
      <c r="Y2599" t="s">
        <v>36</v>
      </c>
      <c r="Z2599" s="3">
        <v>1545.01</v>
      </c>
      <c r="AA2599" t="s">
        <v>47</v>
      </c>
      <c r="AB2599" t="s">
        <v>33</v>
      </c>
      <c r="AC2599">
        <v>13.6</v>
      </c>
      <c r="AD2599" t="s">
        <v>34</v>
      </c>
      <c r="AE2599">
        <v>1105.97</v>
      </c>
      <c r="AF2599">
        <v>0</v>
      </c>
    </row>
    <row r="2600" spans="3:32" x14ac:dyDescent="0.35">
      <c r="C2600" s="1">
        <v>44996</v>
      </c>
      <c r="D2600" s="2">
        <v>44986</v>
      </c>
      <c r="E2600">
        <v>1114</v>
      </c>
      <c r="F2600" s="3">
        <v>4230.3999999999996</v>
      </c>
      <c r="G2600" s="3">
        <v>2549.94</v>
      </c>
      <c r="H2600" s="3">
        <v>1680.46</v>
      </c>
      <c r="I2600" s="3">
        <v>0.6</v>
      </c>
      <c r="J2600">
        <v>0.11</v>
      </c>
      <c r="K2600">
        <v>3329.11</v>
      </c>
      <c r="L2600" t="s">
        <v>35</v>
      </c>
      <c r="M2600">
        <v>663</v>
      </c>
      <c r="N2600">
        <v>0.34</v>
      </c>
      <c r="O2600" s="3">
        <v>625.97</v>
      </c>
      <c r="P2600" s="3">
        <v>0.15</v>
      </c>
      <c r="Q2600" s="3">
        <v>296.01</v>
      </c>
      <c r="R2600" s="3">
        <v>7.0000000000000007E-2</v>
      </c>
      <c r="S2600">
        <v>3</v>
      </c>
      <c r="T2600">
        <v>1024.1400000000001</v>
      </c>
      <c r="U2600">
        <v>81</v>
      </c>
      <c r="V2600">
        <v>0</v>
      </c>
      <c r="W2600">
        <v>353.98</v>
      </c>
      <c r="X2600">
        <v>2086.6</v>
      </c>
      <c r="Y2600" t="s">
        <v>49</v>
      </c>
      <c r="Z2600" s="3">
        <v>366.11</v>
      </c>
      <c r="AA2600" t="s">
        <v>47</v>
      </c>
      <c r="AB2600" t="s">
        <v>33</v>
      </c>
      <c r="AC2600">
        <v>93.2</v>
      </c>
      <c r="AD2600" t="s">
        <v>43</v>
      </c>
      <c r="AE2600">
        <v>1680.46</v>
      </c>
      <c r="AF2600">
        <v>0</v>
      </c>
    </row>
    <row r="2601" spans="3:32" x14ac:dyDescent="0.35">
      <c r="C2601" s="1">
        <v>44996</v>
      </c>
      <c r="D2601" s="2">
        <v>44986</v>
      </c>
      <c r="E2601">
        <v>1113</v>
      </c>
      <c r="F2601" s="3">
        <v>3595.8</v>
      </c>
      <c r="G2601" s="3">
        <v>4349.9399999999996</v>
      </c>
      <c r="H2601" s="3">
        <v>-754.14</v>
      </c>
      <c r="I2601" s="3">
        <v>1.21</v>
      </c>
      <c r="J2601">
        <v>0.15</v>
      </c>
      <c r="K2601">
        <v>2894.59</v>
      </c>
      <c r="L2601" t="s">
        <v>30</v>
      </c>
      <c r="M2601">
        <v>649</v>
      </c>
      <c r="N2601">
        <v>0.47</v>
      </c>
      <c r="O2601" s="3">
        <v>453.89</v>
      </c>
      <c r="P2601" s="3">
        <v>0.13</v>
      </c>
      <c r="Q2601" s="3">
        <v>487.09</v>
      </c>
      <c r="R2601" s="3">
        <v>0.14000000000000001</v>
      </c>
      <c r="S2601">
        <v>7</v>
      </c>
      <c r="T2601">
        <v>1012.64</v>
      </c>
      <c r="U2601">
        <v>45</v>
      </c>
      <c r="V2601">
        <v>0</v>
      </c>
      <c r="W2601">
        <v>483.73</v>
      </c>
      <c r="X2601">
        <v>1739.46</v>
      </c>
      <c r="Y2601" t="s">
        <v>36</v>
      </c>
      <c r="Z2601" s="3">
        <v>1642.4</v>
      </c>
      <c r="AA2601" t="s">
        <v>45</v>
      </c>
      <c r="AB2601" t="s">
        <v>33</v>
      </c>
      <c r="AC2601">
        <v>28.9</v>
      </c>
      <c r="AD2601" t="s">
        <v>34</v>
      </c>
      <c r="AE2601">
        <v>0</v>
      </c>
      <c r="AF2601">
        <v>0</v>
      </c>
    </row>
    <row r="2602" spans="3:32" x14ac:dyDescent="0.35">
      <c r="C2602" s="1">
        <v>45026</v>
      </c>
      <c r="D2602" s="2">
        <v>45017</v>
      </c>
      <c r="E2602">
        <v>1506</v>
      </c>
      <c r="F2602" s="3">
        <v>3170.26</v>
      </c>
      <c r="G2602" s="3">
        <v>2214.21</v>
      </c>
      <c r="H2602" s="3">
        <v>956.05</v>
      </c>
      <c r="I2602" s="3">
        <v>0.7</v>
      </c>
      <c r="J2602">
        <v>0.36</v>
      </c>
      <c r="K2602">
        <v>2228.4699999999998</v>
      </c>
      <c r="L2602" t="s">
        <v>39</v>
      </c>
      <c r="M2602">
        <v>661</v>
      </c>
      <c r="N2602">
        <v>0.28000000000000003</v>
      </c>
      <c r="O2602" s="3">
        <v>306.82</v>
      </c>
      <c r="P2602" s="3">
        <v>0.1</v>
      </c>
      <c r="Q2602" s="3">
        <v>466.11</v>
      </c>
      <c r="R2602" s="3">
        <v>0.15</v>
      </c>
      <c r="S2602">
        <v>2</v>
      </c>
      <c r="T2602">
        <v>1084.6099999999999</v>
      </c>
      <c r="U2602">
        <v>40</v>
      </c>
      <c r="V2602">
        <v>0</v>
      </c>
      <c r="W2602">
        <v>925.74</v>
      </c>
      <c r="X2602">
        <v>2129.0300000000002</v>
      </c>
      <c r="Y2602" t="s">
        <v>36</v>
      </c>
      <c r="Z2602" s="3">
        <v>1027.2</v>
      </c>
      <c r="AA2602" t="s">
        <v>45</v>
      </c>
      <c r="AB2602" t="s">
        <v>44</v>
      </c>
      <c r="AC2602">
        <v>67.7</v>
      </c>
      <c r="AD2602" t="s">
        <v>43</v>
      </c>
      <c r="AE2602">
        <v>956.05</v>
      </c>
      <c r="AF2602">
        <v>0</v>
      </c>
    </row>
    <row r="2603" spans="3:32" x14ac:dyDescent="0.35">
      <c r="C2603" s="1">
        <v>45026</v>
      </c>
      <c r="D2603" s="2">
        <v>45017</v>
      </c>
      <c r="E2603">
        <v>1048</v>
      </c>
      <c r="F2603" s="3">
        <v>3940.12</v>
      </c>
      <c r="G2603" s="3">
        <v>3005.82</v>
      </c>
      <c r="H2603" s="3">
        <v>934.3</v>
      </c>
      <c r="I2603" s="3">
        <v>0.76</v>
      </c>
      <c r="J2603">
        <v>0.28999999999999998</v>
      </c>
      <c r="K2603">
        <v>2963.31</v>
      </c>
      <c r="L2603" t="s">
        <v>35</v>
      </c>
      <c r="M2603">
        <v>665</v>
      </c>
      <c r="N2603">
        <v>0.37</v>
      </c>
      <c r="O2603" s="3">
        <v>376.16</v>
      </c>
      <c r="P2603" s="3">
        <v>0.1</v>
      </c>
      <c r="Q2603" s="3">
        <v>231.16</v>
      </c>
      <c r="R2603" s="3">
        <v>0.06</v>
      </c>
      <c r="S2603">
        <v>6</v>
      </c>
      <c r="T2603">
        <v>700.32</v>
      </c>
      <c r="U2603">
        <v>46</v>
      </c>
      <c r="V2603">
        <v>0</v>
      </c>
      <c r="W2603">
        <v>347.27</v>
      </c>
      <c r="X2603">
        <v>2089.5700000000002</v>
      </c>
      <c r="Y2603" t="s">
        <v>31</v>
      </c>
      <c r="Z2603" s="3">
        <v>2043.99</v>
      </c>
      <c r="AA2603" t="s">
        <v>41</v>
      </c>
      <c r="AB2603" t="s">
        <v>33</v>
      </c>
      <c r="AC2603">
        <v>54.4</v>
      </c>
      <c r="AD2603" t="s">
        <v>43</v>
      </c>
      <c r="AE2603">
        <v>934.3</v>
      </c>
      <c r="AF2603">
        <v>0</v>
      </c>
    </row>
    <row r="2604" spans="3:32" x14ac:dyDescent="0.35">
      <c r="C2604" s="1">
        <v>45026</v>
      </c>
      <c r="D2604" s="2">
        <v>45017</v>
      </c>
      <c r="E2604">
        <v>1942</v>
      </c>
      <c r="F2604" s="3">
        <v>3791.64</v>
      </c>
      <c r="G2604" s="3">
        <v>3048.59</v>
      </c>
      <c r="H2604" s="3">
        <v>743.05</v>
      </c>
      <c r="I2604" s="3">
        <v>0.8</v>
      </c>
      <c r="J2604">
        <v>0.28999999999999998</v>
      </c>
      <c r="K2604">
        <v>3367.34</v>
      </c>
      <c r="L2604" t="s">
        <v>35</v>
      </c>
      <c r="M2604">
        <v>665</v>
      </c>
      <c r="N2604">
        <v>0.12</v>
      </c>
      <c r="O2604" s="3">
        <v>436.53</v>
      </c>
      <c r="P2604" s="3">
        <v>0.12</v>
      </c>
      <c r="Q2604" s="3">
        <v>255.32</v>
      </c>
      <c r="R2604" s="3">
        <v>7.0000000000000007E-2</v>
      </c>
      <c r="S2604">
        <v>1</v>
      </c>
      <c r="T2604">
        <v>727.69</v>
      </c>
      <c r="U2604">
        <v>98</v>
      </c>
      <c r="V2604">
        <v>0</v>
      </c>
      <c r="W2604">
        <v>492.46</v>
      </c>
      <c r="X2604">
        <v>2540.5700000000002</v>
      </c>
      <c r="Y2604" t="s">
        <v>49</v>
      </c>
      <c r="Z2604" s="3">
        <v>1586.13</v>
      </c>
      <c r="AA2604" t="s">
        <v>47</v>
      </c>
      <c r="AB2604" t="s">
        <v>33</v>
      </c>
      <c r="AC2604">
        <v>55.9</v>
      </c>
      <c r="AD2604" t="s">
        <v>43</v>
      </c>
      <c r="AE2604">
        <v>743.05</v>
      </c>
      <c r="AF2604">
        <v>0</v>
      </c>
    </row>
    <row r="2605" spans="3:32" x14ac:dyDescent="0.35">
      <c r="C2605" s="1">
        <v>45026</v>
      </c>
      <c r="D2605" s="2">
        <v>45017</v>
      </c>
      <c r="E2605">
        <v>1961</v>
      </c>
      <c r="F2605" s="3">
        <v>5793.84</v>
      </c>
      <c r="G2605" s="3">
        <v>3009.44</v>
      </c>
      <c r="H2605" s="3">
        <v>2784.4</v>
      </c>
      <c r="I2605" s="3">
        <v>0.52</v>
      </c>
      <c r="J2605">
        <v>0.37</v>
      </c>
      <c r="K2605">
        <v>2895.1</v>
      </c>
      <c r="L2605" t="s">
        <v>39</v>
      </c>
      <c r="M2605">
        <v>634</v>
      </c>
      <c r="N2605">
        <v>0.31</v>
      </c>
      <c r="O2605" s="3">
        <v>89.89</v>
      </c>
      <c r="P2605" s="3">
        <v>0.02</v>
      </c>
      <c r="Q2605" s="3">
        <v>588.66</v>
      </c>
      <c r="R2605" s="3">
        <v>0.1</v>
      </c>
      <c r="S2605">
        <v>8</v>
      </c>
      <c r="T2605">
        <v>773.82</v>
      </c>
      <c r="U2605">
        <v>40</v>
      </c>
      <c r="V2605">
        <v>0</v>
      </c>
      <c r="W2605">
        <v>516.09</v>
      </c>
      <c r="X2605">
        <v>1000</v>
      </c>
      <c r="Y2605" t="s">
        <v>49</v>
      </c>
      <c r="Z2605" s="3">
        <v>300</v>
      </c>
      <c r="AA2605" t="s">
        <v>41</v>
      </c>
      <c r="AB2605" t="s">
        <v>33</v>
      </c>
      <c r="AC2605">
        <v>44.7</v>
      </c>
      <c r="AD2605" t="s">
        <v>38</v>
      </c>
      <c r="AE2605">
        <v>2784.4</v>
      </c>
      <c r="AF2605">
        <v>0</v>
      </c>
    </row>
    <row r="2606" spans="3:32" x14ac:dyDescent="0.35">
      <c r="C2606" s="1">
        <v>45026</v>
      </c>
      <c r="D2606" s="2">
        <v>45017</v>
      </c>
      <c r="E2606">
        <v>1259</v>
      </c>
      <c r="F2606" s="3">
        <v>2872.44</v>
      </c>
      <c r="G2606" s="3">
        <v>2272.67</v>
      </c>
      <c r="H2606" s="3">
        <v>599.77</v>
      </c>
      <c r="I2606" s="3">
        <v>0.79</v>
      </c>
      <c r="J2606">
        <v>0.35</v>
      </c>
      <c r="K2606">
        <v>2222.63</v>
      </c>
      <c r="L2606" t="s">
        <v>35</v>
      </c>
      <c r="M2606">
        <v>680</v>
      </c>
      <c r="N2606">
        <v>0.49</v>
      </c>
      <c r="O2606" s="3">
        <v>441.3</v>
      </c>
      <c r="P2606" s="3">
        <v>0.15</v>
      </c>
      <c r="Q2606" s="3">
        <v>174.67</v>
      </c>
      <c r="R2606" s="3">
        <v>0.06</v>
      </c>
      <c r="S2606">
        <v>8</v>
      </c>
      <c r="T2606">
        <v>67.14</v>
      </c>
      <c r="U2606">
        <v>35</v>
      </c>
      <c r="V2606">
        <v>0</v>
      </c>
      <c r="W2606">
        <v>515.89</v>
      </c>
      <c r="X2606">
        <v>2539.84</v>
      </c>
      <c r="Y2606" t="s">
        <v>36</v>
      </c>
      <c r="Z2606" s="3">
        <v>2165.2600000000002</v>
      </c>
      <c r="AA2606" t="s">
        <v>32</v>
      </c>
      <c r="AB2606" t="s">
        <v>33</v>
      </c>
      <c r="AC2606">
        <v>47.5</v>
      </c>
      <c r="AD2606" t="s">
        <v>38</v>
      </c>
      <c r="AE2606">
        <v>599.77</v>
      </c>
      <c r="AF2606">
        <v>0</v>
      </c>
    </row>
    <row r="2607" spans="3:32" x14ac:dyDescent="0.35">
      <c r="C2607" s="1">
        <v>45026</v>
      </c>
      <c r="D2607" s="2">
        <v>45017</v>
      </c>
      <c r="E2607">
        <v>1037</v>
      </c>
      <c r="F2607" s="3">
        <v>3421.48</v>
      </c>
      <c r="G2607" s="3">
        <v>3796.62</v>
      </c>
      <c r="H2607" s="3">
        <v>-375.14</v>
      </c>
      <c r="I2607" s="3">
        <v>1.1100000000000001</v>
      </c>
      <c r="J2607">
        <v>0.05</v>
      </c>
      <c r="K2607">
        <v>2555.16</v>
      </c>
      <c r="L2607" t="s">
        <v>35</v>
      </c>
      <c r="M2607">
        <v>715</v>
      </c>
      <c r="N2607">
        <v>0.57999999999999996</v>
      </c>
      <c r="O2607" s="3">
        <v>427.76</v>
      </c>
      <c r="P2607" s="3">
        <v>0.13</v>
      </c>
      <c r="Q2607" s="3">
        <v>615.83000000000004</v>
      </c>
      <c r="R2607" s="3">
        <v>0.18</v>
      </c>
      <c r="S2607">
        <v>5</v>
      </c>
      <c r="T2607">
        <v>982.62</v>
      </c>
      <c r="U2607">
        <v>71</v>
      </c>
      <c r="V2607">
        <v>0</v>
      </c>
      <c r="W2607">
        <v>713.98</v>
      </c>
      <c r="X2607">
        <v>3204.29</v>
      </c>
      <c r="Y2607" t="s">
        <v>31</v>
      </c>
      <c r="Z2607" s="3">
        <v>1055.8399999999999</v>
      </c>
      <c r="AA2607" t="s">
        <v>46</v>
      </c>
      <c r="AB2607" t="s">
        <v>44</v>
      </c>
      <c r="AC2607">
        <v>9.3000000000000007</v>
      </c>
      <c r="AD2607" t="s">
        <v>38</v>
      </c>
      <c r="AE2607">
        <v>0</v>
      </c>
      <c r="AF2607">
        <v>0</v>
      </c>
    </row>
    <row r="2608" spans="3:32" x14ac:dyDescent="0.35">
      <c r="C2608" s="1">
        <v>45026</v>
      </c>
      <c r="D2608" s="2">
        <v>45017</v>
      </c>
      <c r="E2608">
        <v>1407</v>
      </c>
      <c r="F2608" s="3">
        <v>3190.22</v>
      </c>
      <c r="G2608" s="3">
        <v>4304.22</v>
      </c>
      <c r="H2608" s="3">
        <v>-1114</v>
      </c>
      <c r="I2608" s="3">
        <v>1.35</v>
      </c>
      <c r="J2608">
        <v>0.18</v>
      </c>
      <c r="K2608">
        <v>2931.15</v>
      </c>
      <c r="L2608" t="s">
        <v>35</v>
      </c>
      <c r="M2608">
        <v>639</v>
      </c>
      <c r="N2608">
        <v>0.11</v>
      </c>
      <c r="O2608" s="3">
        <v>577.94000000000005</v>
      </c>
      <c r="P2608" s="3">
        <v>0.18</v>
      </c>
      <c r="Q2608" s="3">
        <v>633.16999999999996</v>
      </c>
      <c r="R2608" s="3">
        <v>0.2</v>
      </c>
      <c r="S2608">
        <v>8</v>
      </c>
      <c r="T2608">
        <v>551.86</v>
      </c>
      <c r="U2608">
        <v>46</v>
      </c>
      <c r="V2608">
        <v>0</v>
      </c>
      <c r="W2608">
        <v>287.75</v>
      </c>
      <c r="X2608">
        <v>2677.86</v>
      </c>
      <c r="Y2608" t="s">
        <v>36</v>
      </c>
      <c r="Z2608" s="3">
        <v>1380.57</v>
      </c>
      <c r="AA2608" t="s">
        <v>50</v>
      </c>
      <c r="AB2608" t="s">
        <v>33</v>
      </c>
      <c r="AC2608">
        <v>36.799999999999997</v>
      </c>
      <c r="AD2608" t="s">
        <v>38</v>
      </c>
      <c r="AE2608">
        <v>0</v>
      </c>
      <c r="AF2608">
        <v>0</v>
      </c>
    </row>
    <row r="2609" spans="3:32" x14ac:dyDescent="0.35">
      <c r="C2609" s="1">
        <v>45026</v>
      </c>
      <c r="D2609" s="2">
        <v>45017</v>
      </c>
      <c r="E2609">
        <v>1055</v>
      </c>
      <c r="F2609" s="3">
        <v>4315.96</v>
      </c>
      <c r="G2609" s="3">
        <v>4008.46</v>
      </c>
      <c r="H2609" s="3">
        <v>307.5</v>
      </c>
      <c r="I2609" s="3">
        <v>0.93</v>
      </c>
      <c r="J2609">
        <v>0.25</v>
      </c>
      <c r="K2609">
        <v>2716.62</v>
      </c>
      <c r="L2609" t="s">
        <v>35</v>
      </c>
      <c r="M2609">
        <v>649</v>
      </c>
      <c r="N2609">
        <v>0.42</v>
      </c>
      <c r="O2609" s="3">
        <v>439.01</v>
      </c>
      <c r="P2609" s="3">
        <v>0.1</v>
      </c>
      <c r="Q2609" s="3">
        <v>534.82000000000005</v>
      </c>
      <c r="R2609" s="3">
        <v>0.12</v>
      </c>
      <c r="S2609">
        <v>3</v>
      </c>
      <c r="T2609">
        <v>657.8</v>
      </c>
      <c r="U2609">
        <v>36</v>
      </c>
      <c r="V2609">
        <v>0</v>
      </c>
      <c r="W2609">
        <v>471.14</v>
      </c>
      <c r="X2609">
        <v>2941.26</v>
      </c>
      <c r="Y2609" t="s">
        <v>36</v>
      </c>
      <c r="Z2609" s="3">
        <v>919.48</v>
      </c>
      <c r="AA2609" t="s">
        <v>37</v>
      </c>
      <c r="AB2609" t="s">
        <v>42</v>
      </c>
      <c r="AC2609">
        <v>43.7</v>
      </c>
      <c r="AD2609" t="s">
        <v>34</v>
      </c>
      <c r="AE2609">
        <v>307.5</v>
      </c>
      <c r="AF2609">
        <v>0</v>
      </c>
    </row>
    <row r="2610" spans="3:32" x14ac:dyDescent="0.35">
      <c r="C2610" s="1">
        <v>45026</v>
      </c>
      <c r="D2610" s="2">
        <v>45017</v>
      </c>
      <c r="E2610">
        <v>1574</v>
      </c>
      <c r="F2610" s="3">
        <v>2948.42</v>
      </c>
      <c r="G2610" s="3">
        <v>3164.4</v>
      </c>
      <c r="H2610" s="3">
        <v>-215.98</v>
      </c>
      <c r="I2610" s="3">
        <v>1.07</v>
      </c>
      <c r="J2610">
        <v>0.28999999999999998</v>
      </c>
      <c r="K2610">
        <v>3438.33</v>
      </c>
      <c r="L2610" t="s">
        <v>35</v>
      </c>
      <c r="M2610">
        <v>660</v>
      </c>
      <c r="N2610">
        <v>0.53</v>
      </c>
      <c r="O2610" s="3">
        <v>447.89</v>
      </c>
      <c r="P2610" s="3">
        <v>0.15</v>
      </c>
      <c r="Q2610" s="3">
        <v>107.23</v>
      </c>
      <c r="R2610" s="3">
        <v>0.04</v>
      </c>
      <c r="S2610">
        <v>2</v>
      </c>
      <c r="T2610">
        <v>1794.37</v>
      </c>
      <c r="U2610">
        <v>96</v>
      </c>
      <c r="V2610">
        <v>0</v>
      </c>
      <c r="W2610">
        <v>561.97</v>
      </c>
      <c r="X2610">
        <v>2711.33</v>
      </c>
      <c r="Y2610" t="s">
        <v>36</v>
      </c>
      <c r="Z2610" s="3">
        <v>913.2</v>
      </c>
      <c r="AA2610" t="s">
        <v>51</v>
      </c>
      <c r="AB2610" t="s">
        <v>33</v>
      </c>
      <c r="AC2610">
        <v>85.4</v>
      </c>
      <c r="AD2610" t="s">
        <v>34</v>
      </c>
      <c r="AE2610">
        <v>0</v>
      </c>
      <c r="AF2610">
        <v>0</v>
      </c>
    </row>
    <row r="2611" spans="3:32" x14ac:dyDescent="0.35">
      <c r="C2611" s="1">
        <v>45026</v>
      </c>
      <c r="D2611" s="2">
        <v>45017</v>
      </c>
      <c r="E2611">
        <v>1448</v>
      </c>
      <c r="F2611" s="3">
        <v>2644.59</v>
      </c>
      <c r="G2611" s="3">
        <v>3200.5</v>
      </c>
      <c r="H2611" s="3">
        <v>-555.91</v>
      </c>
      <c r="I2611" s="3">
        <v>1.21</v>
      </c>
      <c r="J2611">
        <v>0.28000000000000003</v>
      </c>
      <c r="K2611">
        <v>2069</v>
      </c>
      <c r="L2611" t="s">
        <v>35</v>
      </c>
      <c r="M2611">
        <v>669</v>
      </c>
      <c r="N2611">
        <v>0.19</v>
      </c>
      <c r="O2611" s="3">
        <v>372.12</v>
      </c>
      <c r="P2611" s="3">
        <v>0.14000000000000001</v>
      </c>
      <c r="Q2611" s="3">
        <v>352.22</v>
      </c>
      <c r="R2611" s="3">
        <v>0.13</v>
      </c>
      <c r="S2611">
        <v>8</v>
      </c>
      <c r="T2611">
        <v>808.17</v>
      </c>
      <c r="U2611">
        <v>20</v>
      </c>
      <c r="V2611">
        <v>0</v>
      </c>
      <c r="W2611">
        <v>393.55</v>
      </c>
      <c r="X2611">
        <v>1994.56</v>
      </c>
      <c r="Y2611" t="s">
        <v>31</v>
      </c>
      <c r="Z2611" s="3">
        <v>1918.38</v>
      </c>
      <c r="AA2611" t="s">
        <v>40</v>
      </c>
      <c r="AB2611" t="s">
        <v>33</v>
      </c>
      <c r="AC2611">
        <v>74.099999999999994</v>
      </c>
      <c r="AD2611" t="s">
        <v>34</v>
      </c>
      <c r="AE2611">
        <v>0</v>
      </c>
      <c r="AF2611">
        <v>0</v>
      </c>
    </row>
    <row r="2612" spans="3:32" x14ac:dyDescent="0.35">
      <c r="C2612" s="1">
        <v>45026</v>
      </c>
      <c r="D2612" s="2">
        <v>45017</v>
      </c>
      <c r="E2612">
        <v>1014</v>
      </c>
      <c r="F2612" s="3">
        <v>2414.64</v>
      </c>
      <c r="G2612" s="3">
        <v>2246.85</v>
      </c>
      <c r="H2612" s="3">
        <v>167.79</v>
      </c>
      <c r="I2612" s="3">
        <v>0.93</v>
      </c>
      <c r="J2612">
        <v>0.38</v>
      </c>
      <c r="K2612">
        <v>3611.74</v>
      </c>
      <c r="L2612" t="s">
        <v>35</v>
      </c>
      <c r="M2612">
        <v>789</v>
      </c>
      <c r="N2612">
        <v>0.27</v>
      </c>
      <c r="O2612" s="3">
        <v>292.08</v>
      </c>
      <c r="P2612" s="3">
        <v>0.12</v>
      </c>
      <c r="Q2612" s="3">
        <v>320.72000000000003</v>
      </c>
      <c r="R2612" s="3">
        <v>0.13</v>
      </c>
      <c r="S2612">
        <v>7</v>
      </c>
      <c r="T2612">
        <v>1247.25</v>
      </c>
      <c r="U2612">
        <v>73</v>
      </c>
      <c r="V2612">
        <v>0</v>
      </c>
      <c r="W2612">
        <v>617.38</v>
      </c>
      <c r="X2612">
        <v>2025.78</v>
      </c>
      <c r="Y2612" t="s">
        <v>36</v>
      </c>
      <c r="Z2612" s="3">
        <v>1459.79</v>
      </c>
      <c r="AA2612" t="s">
        <v>48</v>
      </c>
      <c r="AB2612" t="s">
        <v>33</v>
      </c>
      <c r="AC2612">
        <v>35.4</v>
      </c>
      <c r="AD2612" t="s">
        <v>34</v>
      </c>
      <c r="AE2612">
        <v>167.79</v>
      </c>
      <c r="AF2612">
        <v>0</v>
      </c>
    </row>
    <row r="2613" spans="3:32" x14ac:dyDescent="0.35">
      <c r="C2613" s="1">
        <v>45026</v>
      </c>
      <c r="D2613" s="2">
        <v>45017</v>
      </c>
      <c r="E2613">
        <v>1262</v>
      </c>
      <c r="F2613" s="3">
        <v>3264.93</v>
      </c>
      <c r="G2613" s="3">
        <v>3252.85</v>
      </c>
      <c r="H2613" s="3">
        <v>12.08</v>
      </c>
      <c r="I2613" s="3">
        <v>1</v>
      </c>
      <c r="J2613">
        <v>0.16</v>
      </c>
      <c r="K2613">
        <v>1862.55</v>
      </c>
      <c r="L2613" t="s">
        <v>30</v>
      </c>
      <c r="M2613">
        <v>600</v>
      </c>
      <c r="N2613">
        <v>0.45</v>
      </c>
      <c r="O2613" s="3">
        <v>695.42</v>
      </c>
      <c r="P2613" s="3">
        <v>0.21</v>
      </c>
      <c r="Q2613" s="3">
        <v>383.75</v>
      </c>
      <c r="R2613" s="3">
        <v>0.12</v>
      </c>
      <c r="S2613">
        <v>8</v>
      </c>
      <c r="T2613">
        <v>1171.3900000000001</v>
      </c>
      <c r="U2613">
        <v>36</v>
      </c>
      <c r="V2613">
        <v>0</v>
      </c>
      <c r="W2613">
        <v>217.68</v>
      </c>
      <c r="X2613">
        <v>2895.48</v>
      </c>
      <c r="Y2613" t="s">
        <v>36</v>
      </c>
      <c r="Z2613" s="3">
        <v>449.42</v>
      </c>
      <c r="AA2613" t="s">
        <v>37</v>
      </c>
      <c r="AB2613" t="s">
        <v>33</v>
      </c>
      <c r="AC2613">
        <v>73.8</v>
      </c>
      <c r="AD2613" t="s">
        <v>43</v>
      </c>
      <c r="AE2613">
        <v>12.08</v>
      </c>
      <c r="AF2613">
        <v>0</v>
      </c>
    </row>
    <row r="2614" spans="3:32" x14ac:dyDescent="0.35">
      <c r="C2614" s="1">
        <v>45026</v>
      </c>
      <c r="D2614" s="2">
        <v>45017</v>
      </c>
      <c r="E2614">
        <v>1597</v>
      </c>
      <c r="F2614" s="3">
        <v>4488.76</v>
      </c>
      <c r="G2614" s="3">
        <v>4040.96</v>
      </c>
      <c r="H2614" s="3">
        <v>447.8</v>
      </c>
      <c r="I2614" s="3">
        <v>0.9</v>
      </c>
      <c r="J2614">
        <v>0.27</v>
      </c>
      <c r="K2614">
        <v>2510.6</v>
      </c>
      <c r="L2614" t="s">
        <v>35</v>
      </c>
      <c r="M2614">
        <v>734</v>
      </c>
      <c r="N2614">
        <v>0.5</v>
      </c>
      <c r="O2614" s="3">
        <v>649.04999999999995</v>
      </c>
      <c r="P2614" s="3">
        <v>0.14000000000000001</v>
      </c>
      <c r="Q2614" s="3">
        <v>498.5</v>
      </c>
      <c r="R2614" s="3">
        <v>0.11</v>
      </c>
      <c r="S2614">
        <v>8</v>
      </c>
      <c r="T2614">
        <v>571.16999999999996</v>
      </c>
      <c r="U2614">
        <v>66</v>
      </c>
      <c r="V2614">
        <v>1</v>
      </c>
      <c r="W2614">
        <v>492.93</v>
      </c>
      <c r="X2614">
        <v>2350.71</v>
      </c>
      <c r="Y2614" t="s">
        <v>36</v>
      </c>
      <c r="Z2614" s="3">
        <v>1135.49</v>
      </c>
      <c r="AA2614" t="s">
        <v>37</v>
      </c>
      <c r="AB2614" t="s">
        <v>33</v>
      </c>
      <c r="AC2614">
        <v>39.4</v>
      </c>
      <c r="AD2614" t="s">
        <v>43</v>
      </c>
      <c r="AE2614">
        <v>447.8</v>
      </c>
      <c r="AF2614">
        <v>0</v>
      </c>
    </row>
    <row r="2615" spans="3:32" x14ac:dyDescent="0.35">
      <c r="C2615" s="1">
        <v>45026</v>
      </c>
      <c r="D2615" s="2">
        <v>45017</v>
      </c>
      <c r="E2615">
        <v>1394</v>
      </c>
      <c r="F2615" s="3">
        <v>4287.57</v>
      </c>
      <c r="G2615" s="3">
        <v>3232.52</v>
      </c>
      <c r="H2615" s="3">
        <v>1055.05</v>
      </c>
      <c r="I2615" s="3">
        <v>0.75</v>
      </c>
      <c r="J2615">
        <v>0.13</v>
      </c>
      <c r="K2615">
        <v>2603.38</v>
      </c>
      <c r="L2615" t="s">
        <v>35</v>
      </c>
      <c r="M2615">
        <v>724</v>
      </c>
      <c r="N2615">
        <v>0.41</v>
      </c>
      <c r="O2615" s="3">
        <v>449.86</v>
      </c>
      <c r="P2615" s="3">
        <v>0.1</v>
      </c>
      <c r="Q2615" s="3">
        <v>271.64999999999998</v>
      </c>
      <c r="R2615" s="3">
        <v>0.06</v>
      </c>
      <c r="S2615">
        <v>1</v>
      </c>
      <c r="T2615">
        <v>526.75</v>
      </c>
      <c r="U2615">
        <v>56</v>
      </c>
      <c r="V2615">
        <v>0</v>
      </c>
      <c r="W2615">
        <v>292.89</v>
      </c>
      <c r="X2615">
        <v>1486</v>
      </c>
      <c r="Y2615" t="s">
        <v>31</v>
      </c>
      <c r="Z2615" s="3">
        <v>657.98</v>
      </c>
      <c r="AA2615" t="s">
        <v>50</v>
      </c>
      <c r="AB2615" t="s">
        <v>42</v>
      </c>
      <c r="AC2615">
        <v>84.7</v>
      </c>
      <c r="AD2615" t="s">
        <v>34</v>
      </c>
      <c r="AE2615">
        <v>1055.05</v>
      </c>
      <c r="AF2615">
        <v>0</v>
      </c>
    </row>
    <row r="2616" spans="3:32" x14ac:dyDescent="0.35">
      <c r="C2616" s="1">
        <v>45026</v>
      </c>
      <c r="D2616" s="2">
        <v>45017</v>
      </c>
      <c r="E2616">
        <v>1928</v>
      </c>
      <c r="F2616" s="3">
        <v>3061.36</v>
      </c>
      <c r="G2616" s="3">
        <v>3685.67</v>
      </c>
      <c r="H2616" s="3">
        <v>-624.30999999999995</v>
      </c>
      <c r="I2616" s="3">
        <v>1.2</v>
      </c>
      <c r="J2616">
        <v>0.24</v>
      </c>
      <c r="K2616">
        <v>4184.0200000000004</v>
      </c>
      <c r="L2616" t="s">
        <v>35</v>
      </c>
      <c r="M2616">
        <v>751</v>
      </c>
      <c r="N2616">
        <v>0.57999999999999996</v>
      </c>
      <c r="O2616" s="3">
        <v>256.39999999999998</v>
      </c>
      <c r="P2616" s="3">
        <v>0.08</v>
      </c>
      <c r="Q2616" s="3">
        <v>760.52</v>
      </c>
      <c r="R2616" s="3">
        <v>0.25</v>
      </c>
      <c r="S2616">
        <v>4</v>
      </c>
      <c r="T2616">
        <v>1314.26</v>
      </c>
      <c r="U2616">
        <v>56</v>
      </c>
      <c r="V2616">
        <v>0</v>
      </c>
      <c r="W2616">
        <v>775.92</v>
      </c>
      <c r="X2616">
        <v>1251.51</v>
      </c>
      <c r="Y2616" t="s">
        <v>36</v>
      </c>
      <c r="Z2616" s="3">
        <v>950.11</v>
      </c>
      <c r="AA2616" t="s">
        <v>48</v>
      </c>
      <c r="AB2616" t="s">
        <v>33</v>
      </c>
      <c r="AC2616">
        <v>57.9</v>
      </c>
      <c r="AD2616" t="s">
        <v>43</v>
      </c>
      <c r="AE2616">
        <v>0</v>
      </c>
      <c r="AF2616">
        <v>0</v>
      </c>
    </row>
    <row r="2617" spans="3:32" x14ac:dyDescent="0.35">
      <c r="C2617" s="1">
        <v>45026</v>
      </c>
      <c r="D2617" s="2">
        <v>45017</v>
      </c>
      <c r="E2617">
        <v>1860</v>
      </c>
      <c r="F2617" s="3">
        <v>2036.57</v>
      </c>
      <c r="G2617" s="3">
        <v>4559.6099999999997</v>
      </c>
      <c r="H2617" s="3">
        <v>-2523.04</v>
      </c>
      <c r="I2617" s="3">
        <v>2.2400000000000002</v>
      </c>
      <c r="J2617">
        <v>0.23</v>
      </c>
      <c r="K2617">
        <v>1731.82</v>
      </c>
      <c r="L2617" t="s">
        <v>35</v>
      </c>
      <c r="M2617">
        <v>675</v>
      </c>
      <c r="N2617">
        <v>0.22</v>
      </c>
      <c r="O2617" s="3">
        <v>526.46</v>
      </c>
      <c r="P2617" s="3">
        <v>0.26</v>
      </c>
      <c r="Q2617" s="3">
        <v>717.87</v>
      </c>
      <c r="R2617" s="3">
        <v>0.35</v>
      </c>
      <c r="S2617">
        <v>3</v>
      </c>
      <c r="T2617">
        <v>452.75</v>
      </c>
      <c r="U2617">
        <v>93</v>
      </c>
      <c r="V2617">
        <v>0</v>
      </c>
      <c r="W2617">
        <v>512.92999999999995</v>
      </c>
      <c r="X2617">
        <v>2579.4899999999998</v>
      </c>
      <c r="Y2617" t="s">
        <v>36</v>
      </c>
      <c r="Z2617" s="3">
        <v>890.27</v>
      </c>
      <c r="AA2617" t="s">
        <v>47</v>
      </c>
      <c r="AB2617" t="s">
        <v>33</v>
      </c>
      <c r="AC2617">
        <v>77</v>
      </c>
      <c r="AD2617" t="s">
        <v>34</v>
      </c>
      <c r="AE2617">
        <v>0</v>
      </c>
      <c r="AF2617">
        <v>0</v>
      </c>
    </row>
    <row r="2618" spans="3:32" x14ac:dyDescent="0.35">
      <c r="C2618" s="1">
        <v>45026</v>
      </c>
      <c r="D2618" s="2">
        <v>45017</v>
      </c>
      <c r="E2618">
        <v>1325</v>
      </c>
      <c r="F2618" s="3">
        <v>4883.87</v>
      </c>
      <c r="G2618" s="3">
        <v>3204.05</v>
      </c>
      <c r="H2618" s="3">
        <v>1679.82</v>
      </c>
      <c r="I2618" s="3">
        <v>0.66</v>
      </c>
      <c r="J2618">
        <v>0.28000000000000003</v>
      </c>
      <c r="K2618">
        <v>3024.87</v>
      </c>
      <c r="L2618" t="s">
        <v>35</v>
      </c>
      <c r="M2618">
        <v>585</v>
      </c>
      <c r="N2618">
        <v>0.42</v>
      </c>
      <c r="O2618" s="3">
        <v>666.53</v>
      </c>
      <c r="P2618" s="3">
        <v>0.14000000000000001</v>
      </c>
      <c r="Q2618" s="3">
        <v>559.91</v>
      </c>
      <c r="R2618" s="3">
        <v>0.11</v>
      </c>
      <c r="S2618">
        <v>9</v>
      </c>
      <c r="T2618">
        <v>862.09</v>
      </c>
      <c r="U2618">
        <v>83</v>
      </c>
      <c r="V2618">
        <v>0</v>
      </c>
      <c r="W2618">
        <v>404.56</v>
      </c>
      <c r="X2618">
        <v>2188.9299999999998</v>
      </c>
      <c r="Y2618" t="s">
        <v>36</v>
      </c>
      <c r="Z2618" s="3">
        <v>1934.89</v>
      </c>
      <c r="AA2618" t="s">
        <v>37</v>
      </c>
      <c r="AB2618" t="s">
        <v>44</v>
      </c>
      <c r="AC2618">
        <v>18.2</v>
      </c>
      <c r="AD2618" t="s">
        <v>34</v>
      </c>
      <c r="AE2618">
        <v>1679.82</v>
      </c>
      <c r="AF2618">
        <v>0</v>
      </c>
    </row>
    <row r="2619" spans="3:32" x14ac:dyDescent="0.35">
      <c r="C2619" s="1">
        <v>45026</v>
      </c>
      <c r="D2619" s="2">
        <v>45017</v>
      </c>
      <c r="E2619">
        <v>1406</v>
      </c>
      <c r="F2619" s="3">
        <v>4073.05</v>
      </c>
      <c r="G2619" s="3">
        <v>3469.8</v>
      </c>
      <c r="H2619" s="3">
        <v>603.25</v>
      </c>
      <c r="I2619" s="3">
        <v>0.85</v>
      </c>
      <c r="J2619">
        <v>0.28999999999999998</v>
      </c>
      <c r="K2619">
        <v>3029.37</v>
      </c>
      <c r="L2619" t="s">
        <v>35</v>
      </c>
      <c r="M2619">
        <v>615</v>
      </c>
      <c r="N2619">
        <v>0.32</v>
      </c>
      <c r="O2619" s="3">
        <v>467.51</v>
      </c>
      <c r="P2619" s="3">
        <v>0.11</v>
      </c>
      <c r="Q2619" s="3">
        <v>486.83</v>
      </c>
      <c r="R2619" s="3">
        <v>0.12</v>
      </c>
      <c r="S2619">
        <v>5</v>
      </c>
      <c r="T2619">
        <v>1161.3399999999999</v>
      </c>
      <c r="U2619">
        <v>77</v>
      </c>
      <c r="V2619">
        <v>0</v>
      </c>
      <c r="W2619">
        <v>991.51</v>
      </c>
      <c r="X2619">
        <v>2776.83</v>
      </c>
      <c r="Y2619" t="s">
        <v>36</v>
      </c>
      <c r="Z2619" s="3">
        <v>772.07</v>
      </c>
      <c r="AA2619" t="s">
        <v>51</v>
      </c>
      <c r="AB2619" t="s">
        <v>33</v>
      </c>
      <c r="AC2619">
        <v>23.5</v>
      </c>
      <c r="AD2619" t="s">
        <v>34</v>
      </c>
      <c r="AE2619">
        <v>603.25</v>
      </c>
      <c r="AF2619">
        <v>0</v>
      </c>
    </row>
    <row r="2620" spans="3:32" x14ac:dyDescent="0.35">
      <c r="C2620" s="1">
        <v>45026</v>
      </c>
      <c r="D2620" s="2">
        <v>45017</v>
      </c>
      <c r="E2620">
        <v>1877</v>
      </c>
      <c r="F2620" s="3">
        <v>6147.71</v>
      </c>
      <c r="G2620" s="3">
        <v>4363.6499999999996</v>
      </c>
      <c r="H2620" s="3">
        <v>1784.06</v>
      </c>
      <c r="I2620" s="3">
        <v>0.71</v>
      </c>
      <c r="J2620">
        <v>0.15</v>
      </c>
      <c r="K2620">
        <v>3249.74</v>
      </c>
      <c r="L2620" t="s">
        <v>30</v>
      </c>
      <c r="M2620">
        <v>716</v>
      </c>
      <c r="N2620">
        <v>0.4</v>
      </c>
      <c r="O2620" s="3">
        <v>897.7</v>
      </c>
      <c r="P2620" s="3">
        <v>0.15</v>
      </c>
      <c r="Q2620" s="3">
        <v>188.1</v>
      </c>
      <c r="R2620" s="3">
        <v>0.03</v>
      </c>
      <c r="S2620">
        <v>5</v>
      </c>
      <c r="T2620">
        <v>687.07</v>
      </c>
      <c r="U2620">
        <v>60</v>
      </c>
      <c r="V2620">
        <v>0</v>
      </c>
      <c r="W2620">
        <v>370.8</v>
      </c>
      <c r="X2620">
        <v>2220.54</v>
      </c>
      <c r="Y2620" t="s">
        <v>36</v>
      </c>
      <c r="Z2620" s="3">
        <v>680.1</v>
      </c>
      <c r="AA2620" t="s">
        <v>37</v>
      </c>
      <c r="AB2620" t="s">
        <v>44</v>
      </c>
      <c r="AC2620">
        <v>0.7</v>
      </c>
      <c r="AD2620" t="s">
        <v>34</v>
      </c>
      <c r="AE2620">
        <v>1784.06</v>
      </c>
      <c r="AF2620">
        <v>0</v>
      </c>
    </row>
    <row r="2621" spans="3:32" x14ac:dyDescent="0.35">
      <c r="C2621" s="1">
        <v>45026</v>
      </c>
      <c r="D2621" s="2">
        <v>45017</v>
      </c>
      <c r="E2621">
        <v>1097</v>
      </c>
      <c r="F2621" s="3">
        <v>1592.19</v>
      </c>
      <c r="G2621" s="3">
        <v>2720.16</v>
      </c>
      <c r="H2621" s="3">
        <v>-1127.97</v>
      </c>
      <c r="I2621" s="3">
        <v>1.71</v>
      </c>
      <c r="J2621">
        <v>0.33</v>
      </c>
      <c r="K2621">
        <v>2255.14</v>
      </c>
      <c r="L2621" t="s">
        <v>30</v>
      </c>
      <c r="M2621">
        <v>672</v>
      </c>
      <c r="N2621">
        <v>0.48</v>
      </c>
      <c r="O2621" s="3">
        <v>499.2</v>
      </c>
      <c r="P2621" s="3">
        <v>0.31</v>
      </c>
      <c r="Q2621" s="3">
        <v>502.89</v>
      </c>
      <c r="R2621" s="3">
        <v>0.32</v>
      </c>
      <c r="S2621">
        <v>1</v>
      </c>
      <c r="T2621">
        <v>1020.83</v>
      </c>
      <c r="U2621">
        <v>72</v>
      </c>
      <c r="V2621">
        <v>0</v>
      </c>
      <c r="W2621">
        <v>348.24</v>
      </c>
      <c r="X2621">
        <v>1854.09</v>
      </c>
      <c r="Y2621" t="s">
        <v>36</v>
      </c>
      <c r="Z2621" s="3">
        <v>1338.3</v>
      </c>
      <c r="AA2621" t="s">
        <v>32</v>
      </c>
      <c r="AB2621" t="s">
        <v>44</v>
      </c>
      <c r="AC2621">
        <v>35.5</v>
      </c>
      <c r="AD2621" t="s">
        <v>38</v>
      </c>
      <c r="AE2621">
        <v>0</v>
      </c>
      <c r="AF2621">
        <v>0</v>
      </c>
    </row>
    <row r="2622" spans="3:32" x14ac:dyDescent="0.35">
      <c r="C2622" s="1">
        <v>45026</v>
      </c>
      <c r="D2622" s="2">
        <v>45017</v>
      </c>
      <c r="E2622">
        <v>1880</v>
      </c>
      <c r="F2622" s="3">
        <v>3519.24</v>
      </c>
      <c r="G2622" s="3">
        <v>3680.73</v>
      </c>
      <c r="H2622" s="3">
        <v>-161.49</v>
      </c>
      <c r="I2622" s="3">
        <v>1.05</v>
      </c>
      <c r="J2622">
        <v>0.36</v>
      </c>
      <c r="K2622">
        <v>2427.39</v>
      </c>
      <c r="L2622" t="s">
        <v>35</v>
      </c>
      <c r="M2622">
        <v>686</v>
      </c>
      <c r="N2622">
        <v>0.55000000000000004</v>
      </c>
      <c r="O2622" s="3">
        <v>563.5</v>
      </c>
      <c r="P2622" s="3">
        <v>0.16</v>
      </c>
      <c r="Q2622" s="3">
        <v>678.57</v>
      </c>
      <c r="R2622" s="3">
        <v>0.19</v>
      </c>
      <c r="S2622">
        <v>5</v>
      </c>
      <c r="T2622">
        <v>353.04</v>
      </c>
      <c r="U2622">
        <v>71</v>
      </c>
      <c r="V2622">
        <v>0</v>
      </c>
      <c r="W2622">
        <v>279.14999999999998</v>
      </c>
      <c r="X2622">
        <v>4073.79</v>
      </c>
      <c r="Y2622" t="s">
        <v>31</v>
      </c>
      <c r="Z2622" s="3">
        <v>1160.31</v>
      </c>
      <c r="AA2622" t="s">
        <v>45</v>
      </c>
      <c r="AB2622" t="s">
        <v>44</v>
      </c>
      <c r="AC2622">
        <v>72.599999999999994</v>
      </c>
      <c r="AD2622" t="s">
        <v>34</v>
      </c>
      <c r="AE2622">
        <v>0</v>
      </c>
      <c r="AF2622">
        <v>0</v>
      </c>
    </row>
    <row r="2623" spans="3:32" x14ac:dyDescent="0.35">
      <c r="C2623" s="1">
        <v>45026</v>
      </c>
      <c r="D2623" s="2">
        <v>45017</v>
      </c>
      <c r="E2623">
        <v>1202</v>
      </c>
      <c r="F2623" s="3">
        <v>4306.28</v>
      </c>
      <c r="G2623" s="3">
        <v>2343.29</v>
      </c>
      <c r="H2623" s="3">
        <v>1962.99</v>
      </c>
      <c r="I2623" s="3">
        <v>0.54</v>
      </c>
      <c r="J2623">
        <v>0.24</v>
      </c>
      <c r="K2623">
        <v>2967</v>
      </c>
      <c r="L2623" t="s">
        <v>35</v>
      </c>
      <c r="M2623">
        <v>635</v>
      </c>
      <c r="N2623">
        <v>0.2</v>
      </c>
      <c r="O2623" s="3">
        <v>584.73</v>
      </c>
      <c r="P2623" s="3">
        <v>0.14000000000000001</v>
      </c>
      <c r="Q2623" s="3">
        <v>441.57</v>
      </c>
      <c r="R2623" s="3">
        <v>0.1</v>
      </c>
      <c r="S2623">
        <v>9</v>
      </c>
      <c r="T2623">
        <v>257.39</v>
      </c>
      <c r="U2623">
        <v>25</v>
      </c>
      <c r="V2623">
        <v>0</v>
      </c>
      <c r="W2623">
        <v>233.19</v>
      </c>
      <c r="X2623">
        <v>2448.59</v>
      </c>
      <c r="Y2623" t="s">
        <v>36</v>
      </c>
      <c r="Z2623" s="3">
        <v>1854.4</v>
      </c>
      <c r="AA2623" t="s">
        <v>32</v>
      </c>
      <c r="AB2623" t="s">
        <v>44</v>
      </c>
      <c r="AC2623">
        <v>72.099999999999994</v>
      </c>
      <c r="AD2623" t="s">
        <v>43</v>
      </c>
      <c r="AE2623">
        <v>1962.99</v>
      </c>
      <c r="AF2623">
        <v>0</v>
      </c>
    </row>
    <row r="2624" spans="3:32" x14ac:dyDescent="0.35">
      <c r="C2624" s="1">
        <v>45026</v>
      </c>
      <c r="D2624" s="2">
        <v>45017</v>
      </c>
      <c r="E2624">
        <v>1657</v>
      </c>
      <c r="F2624" s="3">
        <v>3611.9</v>
      </c>
      <c r="G2624" s="3">
        <v>2456.6999999999998</v>
      </c>
      <c r="H2624" s="3">
        <v>1155.2</v>
      </c>
      <c r="I2624" s="3">
        <v>0.68</v>
      </c>
      <c r="J2624">
        <v>0.15</v>
      </c>
      <c r="K2624">
        <v>3566.26</v>
      </c>
      <c r="L2624" t="s">
        <v>39</v>
      </c>
      <c r="M2624">
        <v>668</v>
      </c>
      <c r="N2624">
        <v>0.34</v>
      </c>
      <c r="O2624" s="3">
        <v>293</v>
      </c>
      <c r="P2624" s="3">
        <v>0.08</v>
      </c>
      <c r="Q2624" s="3">
        <v>470.53</v>
      </c>
      <c r="R2624" s="3">
        <v>0.13</v>
      </c>
      <c r="S2624">
        <v>4</v>
      </c>
      <c r="T2624">
        <v>58.89</v>
      </c>
      <c r="U2624">
        <v>53</v>
      </c>
      <c r="V2624">
        <v>0</v>
      </c>
      <c r="W2624">
        <v>560.1</v>
      </c>
      <c r="X2624">
        <v>2904.36</v>
      </c>
      <c r="Y2624" t="s">
        <v>36</v>
      </c>
      <c r="Z2624" s="3">
        <v>2005.45</v>
      </c>
      <c r="AA2624" t="s">
        <v>37</v>
      </c>
      <c r="AB2624" t="s">
        <v>42</v>
      </c>
      <c r="AC2624">
        <v>88.3</v>
      </c>
      <c r="AD2624" t="s">
        <v>43</v>
      </c>
      <c r="AE2624">
        <v>1155.2</v>
      </c>
      <c r="AF2624">
        <v>0</v>
      </c>
    </row>
    <row r="2625" spans="3:32" x14ac:dyDescent="0.35">
      <c r="C2625" s="1">
        <v>45026</v>
      </c>
      <c r="D2625" s="2">
        <v>45017</v>
      </c>
      <c r="E2625">
        <v>1898</v>
      </c>
      <c r="F2625" s="3">
        <v>3862.56</v>
      </c>
      <c r="G2625" s="3">
        <v>2107.81</v>
      </c>
      <c r="H2625" s="3">
        <v>1754.75</v>
      </c>
      <c r="I2625" s="3">
        <v>0.55000000000000004</v>
      </c>
      <c r="J2625">
        <v>0.19</v>
      </c>
      <c r="K2625">
        <v>2767.31</v>
      </c>
      <c r="L2625" t="s">
        <v>39</v>
      </c>
      <c r="M2625">
        <v>743</v>
      </c>
      <c r="N2625">
        <v>0.28999999999999998</v>
      </c>
      <c r="O2625" s="3">
        <v>748.61</v>
      </c>
      <c r="P2625" s="3">
        <v>0.19</v>
      </c>
      <c r="Q2625" s="3">
        <v>188.1</v>
      </c>
      <c r="R2625" s="3">
        <v>0.05</v>
      </c>
      <c r="S2625">
        <v>8</v>
      </c>
      <c r="T2625">
        <v>1431.61</v>
      </c>
      <c r="U2625">
        <v>58</v>
      </c>
      <c r="V2625">
        <v>0</v>
      </c>
      <c r="W2625">
        <v>419.61</v>
      </c>
      <c r="X2625">
        <v>2240.5100000000002</v>
      </c>
      <c r="Y2625" t="s">
        <v>36</v>
      </c>
      <c r="Z2625" s="3">
        <v>817.09</v>
      </c>
      <c r="AA2625" t="s">
        <v>47</v>
      </c>
      <c r="AB2625" t="s">
        <v>33</v>
      </c>
      <c r="AC2625">
        <v>65.8</v>
      </c>
      <c r="AD2625" t="s">
        <v>34</v>
      </c>
      <c r="AE2625">
        <v>1754.75</v>
      </c>
      <c r="AF2625">
        <v>0</v>
      </c>
    </row>
    <row r="2626" spans="3:32" x14ac:dyDescent="0.35">
      <c r="C2626" s="1">
        <v>45026</v>
      </c>
      <c r="D2626" s="2">
        <v>45017</v>
      </c>
      <c r="E2626">
        <v>1678</v>
      </c>
      <c r="F2626" s="3">
        <v>3889.62</v>
      </c>
      <c r="G2626" s="3">
        <v>2726.12</v>
      </c>
      <c r="H2626" s="3">
        <v>1163.5</v>
      </c>
      <c r="I2626" s="3">
        <v>0.7</v>
      </c>
      <c r="J2626">
        <v>0.3</v>
      </c>
      <c r="K2626">
        <v>2380.65</v>
      </c>
      <c r="L2626" t="s">
        <v>30</v>
      </c>
      <c r="M2626">
        <v>699</v>
      </c>
      <c r="N2626">
        <v>0.56999999999999995</v>
      </c>
      <c r="O2626" s="3">
        <v>107.93</v>
      </c>
      <c r="P2626" s="3">
        <v>0.03</v>
      </c>
      <c r="Q2626" s="3">
        <v>899.68</v>
      </c>
      <c r="R2626" s="3">
        <v>0.23</v>
      </c>
      <c r="S2626">
        <v>1</v>
      </c>
      <c r="T2626">
        <v>1287.58</v>
      </c>
      <c r="U2626">
        <v>32</v>
      </c>
      <c r="V2626">
        <v>0</v>
      </c>
      <c r="W2626">
        <v>583.29</v>
      </c>
      <c r="X2626">
        <v>1535.22</v>
      </c>
      <c r="Y2626" t="s">
        <v>36</v>
      </c>
      <c r="Z2626" s="3">
        <v>1563.84</v>
      </c>
      <c r="AA2626" t="s">
        <v>46</v>
      </c>
      <c r="AB2626" t="s">
        <v>33</v>
      </c>
      <c r="AC2626">
        <v>2</v>
      </c>
      <c r="AD2626" t="s">
        <v>43</v>
      </c>
      <c r="AE2626">
        <v>1163.5</v>
      </c>
      <c r="AF2626">
        <v>0</v>
      </c>
    </row>
    <row r="2627" spans="3:32" x14ac:dyDescent="0.35">
      <c r="C2627" s="1">
        <v>45026</v>
      </c>
      <c r="D2627" s="2">
        <v>45017</v>
      </c>
      <c r="E2627">
        <v>1328</v>
      </c>
      <c r="F2627" s="3">
        <v>4645.9799999999996</v>
      </c>
      <c r="G2627" s="3">
        <v>3193.42</v>
      </c>
      <c r="H2627" s="3">
        <v>1452.56</v>
      </c>
      <c r="I2627" s="3">
        <v>0.69</v>
      </c>
      <c r="J2627">
        <v>0.28000000000000003</v>
      </c>
      <c r="K2627">
        <v>2995.61</v>
      </c>
      <c r="L2627" t="s">
        <v>35</v>
      </c>
      <c r="M2627">
        <v>751</v>
      </c>
      <c r="N2627">
        <v>0.52</v>
      </c>
      <c r="O2627" s="3">
        <v>49.64</v>
      </c>
      <c r="P2627" s="3">
        <v>0.01</v>
      </c>
      <c r="Q2627" s="3">
        <v>314.51</v>
      </c>
      <c r="R2627" s="3">
        <v>7.0000000000000007E-2</v>
      </c>
      <c r="S2627">
        <v>3</v>
      </c>
      <c r="T2627">
        <v>1305.97</v>
      </c>
      <c r="U2627">
        <v>55</v>
      </c>
      <c r="V2627">
        <v>0</v>
      </c>
      <c r="W2627">
        <v>523.78</v>
      </c>
      <c r="X2627">
        <v>2111.14</v>
      </c>
      <c r="Y2627" t="s">
        <v>36</v>
      </c>
      <c r="Z2627" s="3">
        <v>1760.6</v>
      </c>
      <c r="AA2627" t="s">
        <v>45</v>
      </c>
      <c r="AB2627" t="s">
        <v>33</v>
      </c>
      <c r="AC2627">
        <v>90.8</v>
      </c>
      <c r="AD2627" t="s">
        <v>34</v>
      </c>
      <c r="AE2627">
        <v>1452.56</v>
      </c>
      <c r="AF2627">
        <v>0</v>
      </c>
    </row>
    <row r="2628" spans="3:32" x14ac:dyDescent="0.35">
      <c r="C2628" s="1">
        <v>45026</v>
      </c>
      <c r="D2628" s="2">
        <v>45017</v>
      </c>
      <c r="E2628">
        <v>1535</v>
      </c>
      <c r="F2628" s="3">
        <v>4920.8599999999997</v>
      </c>
      <c r="G2628" s="3">
        <v>2915.83</v>
      </c>
      <c r="H2628" s="3">
        <v>2005.03</v>
      </c>
      <c r="I2628" s="3">
        <v>0.59</v>
      </c>
      <c r="J2628">
        <v>0.33</v>
      </c>
      <c r="K2628">
        <v>2621.29</v>
      </c>
      <c r="L2628" t="s">
        <v>39</v>
      </c>
      <c r="M2628">
        <v>749</v>
      </c>
      <c r="N2628">
        <v>0.28999999999999998</v>
      </c>
      <c r="O2628" s="3">
        <v>304.05</v>
      </c>
      <c r="P2628" s="3">
        <v>0.06</v>
      </c>
      <c r="Q2628" s="3">
        <v>215.04</v>
      </c>
      <c r="R2628" s="3">
        <v>0.04</v>
      </c>
      <c r="S2628">
        <v>3</v>
      </c>
      <c r="T2628">
        <v>0</v>
      </c>
      <c r="U2628">
        <v>21</v>
      </c>
      <c r="V2628">
        <v>0</v>
      </c>
      <c r="W2628">
        <v>772.19</v>
      </c>
      <c r="X2628">
        <v>1090.99</v>
      </c>
      <c r="Y2628" t="s">
        <v>36</v>
      </c>
      <c r="Z2628" s="3">
        <v>1050.71</v>
      </c>
      <c r="AA2628" t="s">
        <v>37</v>
      </c>
      <c r="AB2628" t="s">
        <v>33</v>
      </c>
      <c r="AC2628">
        <v>74.7</v>
      </c>
      <c r="AD2628" t="s">
        <v>38</v>
      </c>
      <c r="AE2628">
        <v>2005.03</v>
      </c>
      <c r="AF2628">
        <v>0</v>
      </c>
    </row>
    <row r="2629" spans="3:32" x14ac:dyDescent="0.35">
      <c r="C2629" s="1">
        <v>45026</v>
      </c>
      <c r="D2629" s="2">
        <v>45017</v>
      </c>
      <c r="E2629">
        <v>1189</v>
      </c>
      <c r="F2629" s="3">
        <v>1520.17</v>
      </c>
      <c r="G2629" s="3">
        <v>3569.25</v>
      </c>
      <c r="H2629" s="3">
        <v>-2049.08</v>
      </c>
      <c r="I2629" s="3">
        <v>2.35</v>
      </c>
      <c r="J2629">
        <v>0.24</v>
      </c>
      <c r="K2629">
        <v>3486.67</v>
      </c>
      <c r="L2629" t="s">
        <v>35</v>
      </c>
      <c r="M2629">
        <v>666</v>
      </c>
      <c r="N2629">
        <v>0.3</v>
      </c>
      <c r="O2629" s="3">
        <v>525.97</v>
      </c>
      <c r="P2629" s="3">
        <v>0.35</v>
      </c>
      <c r="Q2629" s="3">
        <v>112.3</v>
      </c>
      <c r="R2629" s="3">
        <v>7.0000000000000007E-2</v>
      </c>
      <c r="S2629">
        <v>2</v>
      </c>
      <c r="T2629">
        <v>1098.02</v>
      </c>
      <c r="U2629">
        <v>32</v>
      </c>
      <c r="V2629">
        <v>0</v>
      </c>
      <c r="W2629">
        <v>304.33</v>
      </c>
      <c r="X2629">
        <v>2501.11</v>
      </c>
      <c r="Y2629" t="s">
        <v>36</v>
      </c>
      <c r="Z2629" s="3">
        <v>1384.12</v>
      </c>
      <c r="AA2629" t="s">
        <v>40</v>
      </c>
      <c r="AB2629" t="s">
        <v>42</v>
      </c>
      <c r="AC2629">
        <v>66.7</v>
      </c>
      <c r="AD2629" t="s">
        <v>34</v>
      </c>
      <c r="AE2629">
        <v>0</v>
      </c>
      <c r="AF2629">
        <v>0</v>
      </c>
    </row>
    <row r="2630" spans="3:32" x14ac:dyDescent="0.35">
      <c r="C2630" s="1">
        <v>45026</v>
      </c>
      <c r="D2630" s="2">
        <v>45017</v>
      </c>
      <c r="E2630">
        <v>1993</v>
      </c>
      <c r="F2630" s="3">
        <v>4202.08</v>
      </c>
      <c r="G2630" s="3">
        <v>2339.61</v>
      </c>
      <c r="H2630" s="3">
        <v>1862.47</v>
      </c>
      <c r="I2630" s="3">
        <v>0.56000000000000005</v>
      </c>
      <c r="J2630">
        <v>0.14000000000000001</v>
      </c>
      <c r="K2630">
        <v>2285.7800000000002</v>
      </c>
      <c r="L2630" t="s">
        <v>35</v>
      </c>
      <c r="M2630">
        <v>663</v>
      </c>
      <c r="N2630">
        <v>0.56000000000000005</v>
      </c>
      <c r="O2630" s="3">
        <v>173.6</v>
      </c>
      <c r="P2630" s="3">
        <v>0.04</v>
      </c>
      <c r="Q2630" s="3">
        <v>284.31</v>
      </c>
      <c r="R2630" s="3">
        <v>7.0000000000000007E-2</v>
      </c>
      <c r="S2630">
        <v>7</v>
      </c>
      <c r="T2630">
        <v>1681.7</v>
      </c>
      <c r="U2630">
        <v>66</v>
      </c>
      <c r="V2630">
        <v>0</v>
      </c>
      <c r="W2630">
        <v>602.41999999999996</v>
      </c>
      <c r="X2630">
        <v>2044.31</v>
      </c>
      <c r="Y2630" t="s">
        <v>49</v>
      </c>
      <c r="Z2630" s="3">
        <v>1242.0899999999999</v>
      </c>
      <c r="AA2630" t="s">
        <v>37</v>
      </c>
      <c r="AB2630" t="s">
        <v>33</v>
      </c>
      <c r="AC2630">
        <v>14.9</v>
      </c>
      <c r="AD2630" t="s">
        <v>43</v>
      </c>
      <c r="AE2630">
        <v>1862.47</v>
      </c>
      <c r="AF2630">
        <v>0</v>
      </c>
    </row>
    <row r="2631" spans="3:32" x14ac:dyDescent="0.35">
      <c r="C2631" s="1">
        <v>45026</v>
      </c>
      <c r="D2631" s="2">
        <v>45017</v>
      </c>
      <c r="E2631">
        <v>1465</v>
      </c>
      <c r="F2631" s="3">
        <v>3085.25</v>
      </c>
      <c r="G2631" s="3">
        <v>2467.19</v>
      </c>
      <c r="H2631" s="3">
        <v>618.05999999999995</v>
      </c>
      <c r="I2631" s="3">
        <v>0.8</v>
      </c>
      <c r="J2631">
        <v>0.19</v>
      </c>
      <c r="K2631">
        <v>2588.0500000000002</v>
      </c>
      <c r="L2631" t="s">
        <v>30</v>
      </c>
      <c r="M2631">
        <v>657</v>
      </c>
      <c r="N2631">
        <v>0.25</v>
      </c>
      <c r="O2631" s="3">
        <v>633.99</v>
      </c>
      <c r="P2631" s="3">
        <v>0.21</v>
      </c>
      <c r="Q2631" s="3">
        <v>545.61</v>
      </c>
      <c r="R2631" s="3">
        <v>0.18</v>
      </c>
      <c r="S2631">
        <v>7</v>
      </c>
      <c r="T2631">
        <v>739.01</v>
      </c>
      <c r="U2631">
        <v>34</v>
      </c>
      <c r="V2631">
        <v>0</v>
      </c>
      <c r="W2631">
        <v>472.1</v>
      </c>
      <c r="X2631">
        <v>1373.17</v>
      </c>
      <c r="Y2631" t="s">
        <v>36</v>
      </c>
      <c r="Z2631" s="3">
        <v>1940.54</v>
      </c>
      <c r="AA2631" t="s">
        <v>47</v>
      </c>
      <c r="AB2631" t="s">
        <v>33</v>
      </c>
      <c r="AC2631">
        <v>95.1</v>
      </c>
      <c r="AD2631" t="s">
        <v>34</v>
      </c>
      <c r="AE2631">
        <v>618.05999999999995</v>
      </c>
      <c r="AF2631">
        <v>0</v>
      </c>
    </row>
    <row r="2632" spans="3:32" x14ac:dyDescent="0.35">
      <c r="C2632" s="1">
        <v>45026</v>
      </c>
      <c r="D2632" s="2">
        <v>45017</v>
      </c>
      <c r="E2632">
        <v>1995</v>
      </c>
      <c r="F2632" s="3">
        <v>3430.52</v>
      </c>
      <c r="G2632" s="3">
        <v>3383.66</v>
      </c>
      <c r="H2632" s="3">
        <v>46.86</v>
      </c>
      <c r="I2632" s="3">
        <v>0.99</v>
      </c>
      <c r="J2632">
        <v>0.25</v>
      </c>
      <c r="K2632">
        <v>2462.67</v>
      </c>
      <c r="L2632" t="s">
        <v>30</v>
      </c>
      <c r="M2632">
        <v>731</v>
      </c>
      <c r="N2632">
        <v>0.35</v>
      </c>
      <c r="O2632" s="3">
        <v>477.57</v>
      </c>
      <c r="P2632" s="3">
        <v>0.14000000000000001</v>
      </c>
      <c r="Q2632" s="3">
        <v>363.37</v>
      </c>
      <c r="R2632" s="3">
        <v>0.11</v>
      </c>
      <c r="S2632">
        <v>4</v>
      </c>
      <c r="T2632">
        <v>766.08</v>
      </c>
      <c r="U2632">
        <v>90</v>
      </c>
      <c r="V2632">
        <v>0</v>
      </c>
      <c r="W2632">
        <v>533.32000000000005</v>
      </c>
      <c r="X2632">
        <v>1807.12</v>
      </c>
      <c r="Y2632" t="s">
        <v>36</v>
      </c>
      <c r="Z2632" s="3">
        <v>1717.28</v>
      </c>
      <c r="AA2632" t="s">
        <v>46</v>
      </c>
      <c r="AB2632" t="s">
        <v>33</v>
      </c>
      <c r="AC2632">
        <v>70.099999999999994</v>
      </c>
      <c r="AD2632" t="s">
        <v>43</v>
      </c>
      <c r="AE2632">
        <v>46.86</v>
      </c>
      <c r="AF2632">
        <v>0</v>
      </c>
    </row>
    <row r="2633" spans="3:32" x14ac:dyDescent="0.35">
      <c r="C2633" s="1">
        <v>45026</v>
      </c>
      <c r="D2633" s="2">
        <v>45017</v>
      </c>
      <c r="E2633">
        <v>1140</v>
      </c>
      <c r="F2633" s="3">
        <v>4354.88</v>
      </c>
      <c r="G2633" s="3">
        <v>3047.64</v>
      </c>
      <c r="H2633" s="3">
        <v>1307.24</v>
      </c>
      <c r="I2633" s="3">
        <v>0.7</v>
      </c>
      <c r="J2633">
        <v>0.39</v>
      </c>
      <c r="K2633">
        <v>3570.99</v>
      </c>
      <c r="L2633" t="s">
        <v>35</v>
      </c>
      <c r="M2633">
        <v>689</v>
      </c>
      <c r="N2633">
        <v>0.15</v>
      </c>
      <c r="O2633" s="3">
        <v>798.98</v>
      </c>
      <c r="P2633" s="3">
        <v>0.18</v>
      </c>
      <c r="Q2633" s="3">
        <v>579.1</v>
      </c>
      <c r="R2633" s="3">
        <v>0.13</v>
      </c>
      <c r="S2633">
        <v>8</v>
      </c>
      <c r="T2633">
        <v>487.17</v>
      </c>
      <c r="U2633">
        <v>26</v>
      </c>
      <c r="V2633">
        <v>0</v>
      </c>
      <c r="W2633">
        <v>336.67</v>
      </c>
      <c r="X2633">
        <v>2753.24</v>
      </c>
      <c r="Y2633" t="s">
        <v>36</v>
      </c>
      <c r="Z2633" s="3">
        <v>1247.01</v>
      </c>
      <c r="AA2633" t="s">
        <v>51</v>
      </c>
      <c r="AB2633" t="s">
        <v>42</v>
      </c>
      <c r="AC2633">
        <v>14.2</v>
      </c>
      <c r="AD2633" t="s">
        <v>43</v>
      </c>
      <c r="AE2633">
        <v>1307.24</v>
      </c>
      <c r="AF2633">
        <v>0</v>
      </c>
    </row>
    <row r="2634" spans="3:32" x14ac:dyDescent="0.35">
      <c r="C2634" s="1">
        <v>45026</v>
      </c>
      <c r="D2634" s="2">
        <v>45017</v>
      </c>
      <c r="E2634">
        <v>1790</v>
      </c>
      <c r="F2634" s="3">
        <v>3742.51</v>
      </c>
      <c r="G2634" s="3">
        <v>1792.88</v>
      </c>
      <c r="H2634" s="3">
        <v>1949.63</v>
      </c>
      <c r="I2634" s="3">
        <v>0.48</v>
      </c>
      <c r="J2634">
        <v>0.28999999999999998</v>
      </c>
      <c r="K2634">
        <v>2287.65</v>
      </c>
      <c r="L2634" t="s">
        <v>35</v>
      </c>
      <c r="M2634">
        <v>796</v>
      </c>
      <c r="N2634">
        <v>0.35</v>
      </c>
      <c r="O2634" s="3">
        <v>99.87</v>
      </c>
      <c r="P2634" s="3">
        <v>0.03</v>
      </c>
      <c r="Q2634" s="3">
        <v>296.27999999999997</v>
      </c>
      <c r="R2634" s="3">
        <v>0.08</v>
      </c>
      <c r="S2634">
        <v>7</v>
      </c>
      <c r="T2634">
        <v>1396.23</v>
      </c>
      <c r="U2634">
        <v>23</v>
      </c>
      <c r="V2634">
        <v>0</v>
      </c>
      <c r="W2634">
        <v>658.09</v>
      </c>
      <c r="X2634">
        <v>1979.17</v>
      </c>
      <c r="Y2634" t="s">
        <v>36</v>
      </c>
      <c r="Z2634" s="3">
        <v>1504.94</v>
      </c>
      <c r="AA2634" t="s">
        <v>46</v>
      </c>
      <c r="AB2634" t="s">
        <v>33</v>
      </c>
      <c r="AC2634">
        <v>47.9</v>
      </c>
      <c r="AD2634" t="s">
        <v>43</v>
      </c>
      <c r="AE2634">
        <v>1949.63</v>
      </c>
      <c r="AF2634">
        <v>0</v>
      </c>
    </row>
    <row r="2635" spans="3:32" x14ac:dyDescent="0.35">
      <c r="C2635" s="1">
        <v>45026</v>
      </c>
      <c r="D2635" s="2">
        <v>45017</v>
      </c>
      <c r="E2635">
        <v>1653</v>
      </c>
      <c r="F2635" s="3">
        <v>3297.83</v>
      </c>
      <c r="G2635" s="3">
        <v>2947.02</v>
      </c>
      <c r="H2635" s="3">
        <v>350.81</v>
      </c>
      <c r="I2635" s="3">
        <v>0.89</v>
      </c>
      <c r="J2635">
        <v>0.12</v>
      </c>
      <c r="K2635">
        <v>2899.12</v>
      </c>
      <c r="L2635" t="s">
        <v>30</v>
      </c>
      <c r="M2635">
        <v>700</v>
      </c>
      <c r="N2635">
        <v>0.39</v>
      </c>
      <c r="O2635" s="3">
        <v>835.27</v>
      </c>
      <c r="P2635" s="3">
        <v>0.25</v>
      </c>
      <c r="Q2635" s="3">
        <v>404.3</v>
      </c>
      <c r="R2635" s="3">
        <v>0.12</v>
      </c>
      <c r="S2635">
        <v>2</v>
      </c>
      <c r="T2635">
        <v>877.6</v>
      </c>
      <c r="U2635">
        <v>38</v>
      </c>
      <c r="V2635">
        <v>0</v>
      </c>
      <c r="W2635">
        <v>636.55999999999995</v>
      </c>
      <c r="X2635">
        <v>3107.6</v>
      </c>
      <c r="Y2635" t="s">
        <v>36</v>
      </c>
      <c r="Z2635" s="3">
        <v>793.52</v>
      </c>
      <c r="AA2635" t="s">
        <v>48</v>
      </c>
      <c r="AB2635" t="s">
        <v>33</v>
      </c>
      <c r="AC2635">
        <v>39</v>
      </c>
      <c r="AD2635" t="s">
        <v>34</v>
      </c>
      <c r="AE2635">
        <v>350.81</v>
      </c>
      <c r="AF2635">
        <v>0</v>
      </c>
    </row>
    <row r="2636" spans="3:32" x14ac:dyDescent="0.35">
      <c r="C2636" s="1">
        <v>45026</v>
      </c>
      <c r="D2636" s="2">
        <v>45017</v>
      </c>
      <c r="E2636">
        <v>1925</v>
      </c>
      <c r="F2636" s="3">
        <v>4556.3</v>
      </c>
      <c r="G2636" s="3">
        <v>3346.03</v>
      </c>
      <c r="H2636" s="3">
        <v>1210.27</v>
      </c>
      <c r="I2636" s="3">
        <v>0.73</v>
      </c>
      <c r="J2636">
        <v>0.15</v>
      </c>
      <c r="K2636">
        <v>2289.31</v>
      </c>
      <c r="L2636" t="s">
        <v>35</v>
      </c>
      <c r="M2636">
        <v>631</v>
      </c>
      <c r="N2636">
        <v>0.59</v>
      </c>
      <c r="O2636" s="3">
        <v>803.48</v>
      </c>
      <c r="P2636" s="3">
        <v>0.18</v>
      </c>
      <c r="Q2636" s="3">
        <v>502.73</v>
      </c>
      <c r="R2636" s="3">
        <v>0.11</v>
      </c>
      <c r="S2636">
        <v>9</v>
      </c>
      <c r="T2636">
        <v>271.8</v>
      </c>
      <c r="U2636">
        <v>68</v>
      </c>
      <c r="V2636">
        <v>0</v>
      </c>
      <c r="W2636">
        <v>402.64</v>
      </c>
      <c r="X2636">
        <v>2861.36</v>
      </c>
      <c r="Y2636" t="s">
        <v>36</v>
      </c>
      <c r="Z2636" s="3">
        <v>300</v>
      </c>
      <c r="AA2636" t="s">
        <v>51</v>
      </c>
      <c r="AB2636" t="s">
        <v>42</v>
      </c>
      <c r="AC2636">
        <v>68.7</v>
      </c>
      <c r="AD2636" t="s">
        <v>34</v>
      </c>
      <c r="AE2636">
        <v>1210.27</v>
      </c>
      <c r="AF2636">
        <v>0</v>
      </c>
    </row>
    <row r="2637" spans="3:32" x14ac:dyDescent="0.35">
      <c r="C2637" s="1">
        <v>45026</v>
      </c>
      <c r="D2637" s="2">
        <v>45017</v>
      </c>
      <c r="E2637">
        <v>1888</v>
      </c>
      <c r="F2637" s="3">
        <v>3152.73</v>
      </c>
      <c r="G2637" s="3">
        <v>3443.3</v>
      </c>
      <c r="H2637" s="3">
        <v>-290.57</v>
      </c>
      <c r="I2637" s="3">
        <v>1.0900000000000001</v>
      </c>
      <c r="J2637">
        <v>0.09</v>
      </c>
      <c r="K2637">
        <v>3589.46</v>
      </c>
      <c r="L2637" t="s">
        <v>35</v>
      </c>
      <c r="M2637">
        <v>726</v>
      </c>
      <c r="N2637">
        <v>0.31</v>
      </c>
      <c r="O2637" s="3">
        <v>565.58000000000004</v>
      </c>
      <c r="P2637" s="3">
        <v>0.18</v>
      </c>
      <c r="Q2637" s="3">
        <v>455.96</v>
      </c>
      <c r="R2637" s="3">
        <v>0.14000000000000001</v>
      </c>
      <c r="S2637">
        <v>7</v>
      </c>
      <c r="T2637">
        <v>1045.8900000000001</v>
      </c>
      <c r="U2637">
        <v>98</v>
      </c>
      <c r="V2637">
        <v>0</v>
      </c>
      <c r="W2637">
        <v>265.32</v>
      </c>
      <c r="X2637">
        <v>2329.92</v>
      </c>
      <c r="Y2637" t="s">
        <v>36</v>
      </c>
      <c r="Z2637" s="3">
        <v>782.48</v>
      </c>
      <c r="AA2637" t="s">
        <v>32</v>
      </c>
      <c r="AB2637" t="s">
        <v>33</v>
      </c>
      <c r="AC2637">
        <v>27.3</v>
      </c>
      <c r="AD2637" t="s">
        <v>34</v>
      </c>
      <c r="AE2637">
        <v>0</v>
      </c>
      <c r="AF2637">
        <v>0</v>
      </c>
    </row>
    <row r="2638" spans="3:32" x14ac:dyDescent="0.35">
      <c r="C2638" s="1">
        <v>45026</v>
      </c>
      <c r="D2638" s="2">
        <v>45017</v>
      </c>
      <c r="E2638">
        <v>1344</v>
      </c>
      <c r="F2638" s="3">
        <v>4172.12</v>
      </c>
      <c r="G2638" s="3">
        <v>2373.4899999999998</v>
      </c>
      <c r="H2638" s="3">
        <v>1798.63</v>
      </c>
      <c r="I2638" s="3">
        <v>0.56999999999999995</v>
      </c>
      <c r="J2638">
        <v>0.34</v>
      </c>
      <c r="K2638">
        <v>1864.69</v>
      </c>
      <c r="L2638" t="s">
        <v>35</v>
      </c>
      <c r="M2638">
        <v>632</v>
      </c>
      <c r="N2638">
        <v>0.57999999999999996</v>
      </c>
      <c r="O2638" s="3">
        <v>665.55</v>
      </c>
      <c r="P2638" s="3">
        <v>0.16</v>
      </c>
      <c r="Q2638" s="3">
        <v>222.95</v>
      </c>
      <c r="R2638" s="3">
        <v>0.05</v>
      </c>
      <c r="S2638">
        <v>5</v>
      </c>
      <c r="T2638">
        <v>1170.57</v>
      </c>
      <c r="U2638">
        <v>77</v>
      </c>
      <c r="V2638">
        <v>0</v>
      </c>
      <c r="W2638">
        <v>513.69000000000005</v>
      </c>
      <c r="X2638">
        <v>2193.91</v>
      </c>
      <c r="Y2638" t="s">
        <v>31</v>
      </c>
      <c r="Z2638" s="3">
        <v>1042.82</v>
      </c>
      <c r="AA2638" t="s">
        <v>47</v>
      </c>
      <c r="AB2638" t="s">
        <v>44</v>
      </c>
      <c r="AC2638">
        <v>24.4</v>
      </c>
      <c r="AD2638" t="s">
        <v>34</v>
      </c>
      <c r="AE2638">
        <v>1798.63</v>
      </c>
      <c r="AF2638">
        <v>0</v>
      </c>
    </row>
    <row r="2639" spans="3:32" x14ac:dyDescent="0.35">
      <c r="C2639" s="1">
        <v>45026</v>
      </c>
      <c r="D2639" s="2">
        <v>45017</v>
      </c>
      <c r="E2639">
        <v>1496</v>
      </c>
      <c r="F2639" s="3">
        <v>5531.43</v>
      </c>
      <c r="G2639" s="3">
        <v>2702.48</v>
      </c>
      <c r="H2639" s="3">
        <v>2828.95</v>
      </c>
      <c r="I2639" s="3">
        <v>0.49</v>
      </c>
      <c r="J2639">
        <v>0.11</v>
      </c>
      <c r="K2639">
        <v>3592.07</v>
      </c>
      <c r="L2639" t="s">
        <v>35</v>
      </c>
      <c r="M2639">
        <v>687</v>
      </c>
      <c r="N2639">
        <v>0.3</v>
      </c>
      <c r="O2639" s="3">
        <v>662.43</v>
      </c>
      <c r="P2639" s="3">
        <v>0.12</v>
      </c>
      <c r="Q2639" s="3">
        <v>437.28</v>
      </c>
      <c r="R2639" s="3">
        <v>0.08</v>
      </c>
      <c r="S2639">
        <v>4</v>
      </c>
      <c r="T2639">
        <v>1162.21</v>
      </c>
      <c r="U2639">
        <v>84</v>
      </c>
      <c r="V2639">
        <v>0</v>
      </c>
      <c r="W2639">
        <v>387.42</v>
      </c>
      <c r="X2639">
        <v>3190.88</v>
      </c>
      <c r="Y2639" t="s">
        <v>36</v>
      </c>
      <c r="Z2639" s="3">
        <v>1712.22</v>
      </c>
      <c r="AA2639" t="s">
        <v>50</v>
      </c>
      <c r="AB2639" t="s">
        <v>33</v>
      </c>
      <c r="AC2639">
        <v>89.6</v>
      </c>
      <c r="AD2639" t="s">
        <v>43</v>
      </c>
      <c r="AE2639">
        <v>2828.95</v>
      </c>
      <c r="AF2639">
        <v>0</v>
      </c>
    </row>
    <row r="2640" spans="3:32" x14ac:dyDescent="0.35">
      <c r="C2640" s="1">
        <v>45026</v>
      </c>
      <c r="D2640" s="2">
        <v>45017</v>
      </c>
      <c r="E2640">
        <v>1399</v>
      </c>
      <c r="F2640" s="3">
        <v>5291.55</v>
      </c>
      <c r="G2640" s="3">
        <v>2355.52</v>
      </c>
      <c r="H2640" s="3">
        <v>2936.03</v>
      </c>
      <c r="I2640" s="3">
        <v>0.45</v>
      </c>
      <c r="J2640">
        <v>0.33</v>
      </c>
      <c r="K2640">
        <v>3047.1</v>
      </c>
      <c r="L2640" t="s">
        <v>35</v>
      </c>
      <c r="M2640">
        <v>706</v>
      </c>
      <c r="N2640">
        <v>0.28000000000000003</v>
      </c>
      <c r="O2640" s="3">
        <v>629.08000000000004</v>
      </c>
      <c r="P2640" s="3">
        <v>0.12</v>
      </c>
      <c r="Q2640" s="3">
        <v>209.67</v>
      </c>
      <c r="R2640" s="3">
        <v>0.04</v>
      </c>
      <c r="S2640">
        <v>6</v>
      </c>
      <c r="T2640">
        <v>1666.57</v>
      </c>
      <c r="U2640">
        <v>30</v>
      </c>
      <c r="V2640">
        <v>0</v>
      </c>
      <c r="W2640">
        <v>756.81</v>
      </c>
      <c r="X2640">
        <v>2911.65</v>
      </c>
      <c r="Y2640" t="s">
        <v>36</v>
      </c>
      <c r="Z2640" s="3">
        <v>1581.18</v>
      </c>
      <c r="AA2640" t="s">
        <v>47</v>
      </c>
      <c r="AB2640" t="s">
        <v>33</v>
      </c>
      <c r="AC2640">
        <v>86.6</v>
      </c>
      <c r="AD2640" t="s">
        <v>34</v>
      </c>
      <c r="AE2640">
        <v>2936.03</v>
      </c>
      <c r="AF2640">
        <v>0</v>
      </c>
    </row>
    <row r="2641" spans="3:32" x14ac:dyDescent="0.35">
      <c r="C2641" s="1">
        <v>45026</v>
      </c>
      <c r="D2641" s="2">
        <v>45017</v>
      </c>
      <c r="E2641">
        <v>1009</v>
      </c>
      <c r="F2641" s="3">
        <v>4699.1400000000003</v>
      </c>
      <c r="G2641" s="3">
        <v>3197.81</v>
      </c>
      <c r="H2641" s="3">
        <v>1501.33</v>
      </c>
      <c r="I2641" s="3">
        <v>0.68</v>
      </c>
      <c r="J2641">
        <v>0.28000000000000003</v>
      </c>
      <c r="K2641">
        <v>3340.53</v>
      </c>
      <c r="L2641" t="s">
        <v>30</v>
      </c>
      <c r="M2641">
        <v>652</v>
      </c>
      <c r="N2641">
        <v>0.18</v>
      </c>
      <c r="O2641" s="3">
        <v>593.01</v>
      </c>
      <c r="P2641" s="3">
        <v>0.13</v>
      </c>
      <c r="Q2641" s="3">
        <v>390.47</v>
      </c>
      <c r="R2641" s="3">
        <v>0.08</v>
      </c>
      <c r="S2641">
        <v>3</v>
      </c>
      <c r="T2641">
        <v>1200.31</v>
      </c>
      <c r="U2641">
        <v>77</v>
      </c>
      <c r="V2641">
        <v>0</v>
      </c>
      <c r="W2641">
        <v>6.65</v>
      </c>
      <c r="X2641">
        <v>2402.66</v>
      </c>
      <c r="Y2641" t="s">
        <v>49</v>
      </c>
      <c r="Z2641" s="3">
        <v>1345.41</v>
      </c>
      <c r="AA2641" t="s">
        <v>48</v>
      </c>
      <c r="AB2641" t="s">
        <v>33</v>
      </c>
      <c r="AC2641">
        <v>89.3</v>
      </c>
      <c r="AD2641" t="s">
        <v>34</v>
      </c>
      <c r="AE2641">
        <v>1501.33</v>
      </c>
      <c r="AF2641">
        <v>0</v>
      </c>
    </row>
    <row r="2642" spans="3:32" x14ac:dyDescent="0.35">
      <c r="C2642" s="1">
        <v>45026</v>
      </c>
      <c r="D2642" s="2">
        <v>45017</v>
      </c>
      <c r="E2642">
        <v>1854</v>
      </c>
      <c r="F2642" s="3">
        <v>3734.67</v>
      </c>
      <c r="G2642" s="3">
        <v>2114.44</v>
      </c>
      <c r="H2642" s="3">
        <v>1620.23</v>
      </c>
      <c r="I2642" s="3">
        <v>0.56999999999999995</v>
      </c>
      <c r="J2642">
        <v>0.2</v>
      </c>
      <c r="K2642">
        <v>2996.83</v>
      </c>
      <c r="L2642" t="s">
        <v>35</v>
      </c>
      <c r="M2642">
        <v>747</v>
      </c>
      <c r="N2642">
        <v>0.56000000000000005</v>
      </c>
      <c r="O2642" s="3">
        <v>738.32</v>
      </c>
      <c r="P2642" s="3">
        <v>0.2</v>
      </c>
      <c r="Q2642" s="3">
        <v>220.09</v>
      </c>
      <c r="R2642" s="3">
        <v>0.06</v>
      </c>
      <c r="S2642">
        <v>7</v>
      </c>
      <c r="T2642">
        <v>724.11</v>
      </c>
      <c r="U2642">
        <v>72</v>
      </c>
      <c r="V2642">
        <v>0</v>
      </c>
      <c r="W2642">
        <v>325.39999999999998</v>
      </c>
      <c r="X2642">
        <v>1803.56</v>
      </c>
      <c r="Y2642" t="s">
        <v>36</v>
      </c>
      <c r="Z2642" s="3">
        <v>1689.43</v>
      </c>
      <c r="AA2642" t="s">
        <v>45</v>
      </c>
      <c r="AB2642" t="s">
        <v>42</v>
      </c>
      <c r="AC2642">
        <v>47.7</v>
      </c>
      <c r="AD2642" t="s">
        <v>34</v>
      </c>
      <c r="AE2642">
        <v>1620.23</v>
      </c>
      <c r="AF2642">
        <v>0</v>
      </c>
    </row>
    <row r="2643" spans="3:32" x14ac:dyDescent="0.35">
      <c r="C2643" s="1">
        <v>45026</v>
      </c>
      <c r="D2643" s="2">
        <v>45017</v>
      </c>
      <c r="E2643">
        <v>1540</v>
      </c>
      <c r="F2643" s="3">
        <v>2611.3000000000002</v>
      </c>
      <c r="G2643" s="3">
        <v>3249.69</v>
      </c>
      <c r="H2643" s="3">
        <v>-638.39</v>
      </c>
      <c r="I2643" s="3">
        <v>1.24</v>
      </c>
      <c r="J2643">
        <v>0.13</v>
      </c>
      <c r="K2643">
        <v>1960.78</v>
      </c>
      <c r="L2643" t="s">
        <v>30</v>
      </c>
      <c r="M2643">
        <v>714</v>
      </c>
      <c r="N2643">
        <v>0.11</v>
      </c>
      <c r="O2643" s="3">
        <v>327.48</v>
      </c>
      <c r="P2643" s="3">
        <v>0.13</v>
      </c>
      <c r="Q2643" s="3">
        <v>550.11</v>
      </c>
      <c r="R2643" s="3">
        <v>0.21</v>
      </c>
      <c r="S2643">
        <v>9</v>
      </c>
      <c r="T2643">
        <v>1414.14</v>
      </c>
      <c r="U2643">
        <v>78</v>
      </c>
      <c r="V2643">
        <v>0</v>
      </c>
      <c r="W2643">
        <v>636.52</v>
      </c>
      <c r="X2643">
        <v>2522.21</v>
      </c>
      <c r="Y2643" t="s">
        <v>36</v>
      </c>
      <c r="Z2643" s="3">
        <v>1048.27</v>
      </c>
      <c r="AA2643" t="s">
        <v>37</v>
      </c>
      <c r="AB2643" t="s">
        <v>33</v>
      </c>
      <c r="AC2643">
        <v>8.9</v>
      </c>
      <c r="AD2643" t="s">
        <v>38</v>
      </c>
      <c r="AE2643">
        <v>0</v>
      </c>
      <c r="AF2643">
        <v>0</v>
      </c>
    </row>
    <row r="2644" spans="3:32" x14ac:dyDescent="0.35">
      <c r="C2644" s="1">
        <v>45026</v>
      </c>
      <c r="D2644" s="2">
        <v>45017</v>
      </c>
      <c r="E2644">
        <v>1793</v>
      </c>
      <c r="F2644" s="3">
        <v>2943.37</v>
      </c>
      <c r="G2644" s="3">
        <v>2528.9899999999998</v>
      </c>
      <c r="H2644" s="3">
        <v>414.38</v>
      </c>
      <c r="I2644" s="3">
        <v>0.86</v>
      </c>
      <c r="J2644">
        <v>7.0000000000000007E-2</v>
      </c>
      <c r="K2644">
        <v>2459.96</v>
      </c>
      <c r="L2644" t="s">
        <v>35</v>
      </c>
      <c r="M2644">
        <v>679</v>
      </c>
      <c r="N2644">
        <v>0.47</v>
      </c>
      <c r="O2644" s="3">
        <v>553.71</v>
      </c>
      <c r="P2644" s="3">
        <v>0.19</v>
      </c>
      <c r="Q2644" s="3">
        <v>730.82</v>
      </c>
      <c r="R2644" s="3">
        <v>0.25</v>
      </c>
      <c r="S2644">
        <v>5</v>
      </c>
      <c r="T2644">
        <v>455</v>
      </c>
      <c r="U2644">
        <v>63</v>
      </c>
      <c r="V2644">
        <v>0</v>
      </c>
      <c r="W2644">
        <v>480.6</v>
      </c>
      <c r="X2644">
        <v>2645.2</v>
      </c>
      <c r="Y2644" t="s">
        <v>36</v>
      </c>
      <c r="Z2644" s="3">
        <v>621.11</v>
      </c>
      <c r="AA2644" t="s">
        <v>40</v>
      </c>
      <c r="AB2644" t="s">
        <v>44</v>
      </c>
      <c r="AC2644">
        <v>11.6</v>
      </c>
      <c r="AD2644" t="s">
        <v>34</v>
      </c>
      <c r="AE2644">
        <v>414.38</v>
      </c>
      <c r="AF2644">
        <v>0</v>
      </c>
    </row>
    <row r="2645" spans="3:32" x14ac:dyDescent="0.35">
      <c r="C2645" s="1">
        <v>45026</v>
      </c>
      <c r="D2645" s="2">
        <v>45017</v>
      </c>
      <c r="E2645">
        <v>1661</v>
      </c>
      <c r="F2645" s="3">
        <v>4410.87</v>
      </c>
      <c r="G2645" s="3">
        <v>2966.3</v>
      </c>
      <c r="H2645" s="3">
        <v>1444.57</v>
      </c>
      <c r="I2645" s="3">
        <v>0.67</v>
      </c>
      <c r="J2645">
        <v>0.34</v>
      </c>
      <c r="K2645">
        <v>3034.19</v>
      </c>
      <c r="L2645" t="s">
        <v>35</v>
      </c>
      <c r="M2645">
        <v>580</v>
      </c>
      <c r="N2645">
        <v>0.3</v>
      </c>
      <c r="O2645" s="3">
        <v>261.98</v>
      </c>
      <c r="P2645" s="3">
        <v>0.06</v>
      </c>
      <c r="Q2645" s="3">
        <v>0</v>
      </c>
      <c r="R2645" s="3">
        <v>0</v>
      </c>
      <c r="S2645">
        <v>8</v>
      </c>
      <c r="T2645">
        <v>324.27999999999997</v>
      </c>
      <c r="U2645">
        <v>29</v>
      </c>
      <c r="V2645">
        <v>0</v>
      </c>
      <c r="W2645">
        <v>716.17</v>
      </c>
      <c r="X2645">
        <v>3150.67</v>
      </c>
      <c r="Y2645" t="s">
        <v>36</v>
      </c>
      <c r="Z2645" s="3">
        <v>674.96</v>
      </c>
      <c r="AA2645" t="s">
        <v>40</v>
      </c>
      <c r="AB2645" t="s">
        <v>33</v>
      </c>
      <c r="AC2645">
        <v>51</v>
      </c>
      <c r="AD2645" t="s">
        <v>43</v>
      </c>
      <c r="AE2645">
        <v>1444.57</v>
      </c>
      <c r="AF2645">
        <v>0</v>
      </c>
    </row>
    <row r="2646" spans="3:32" x14ac:dyDescent="0.35">
      <c r="C2646" s="1">
        <v>45026</v>
      </c>
      <c r="D2646" s="2">
        <v>45017</v>
      </c>
      <c r="E2646">
        <v>1175</v>
      </c>
      <c r="F2646" s="3">
        <v>5085.6499999999996</v>
      </c>
      <c r="G2646" s="3">
        <v>3201.07</v>
      </c>
      <c r="H2646" s="3">
        <v>1884.58</v>
      </c>
      <c r="I2646" s="3">
        <v>0.63</v>
      </c>
      <c r="J2646">
        <v>0.38</v>
      </c>
      <c r="K2646">
        <v>2802.58</v>
      </c>
      <c r="L2646" t="s">
        <v>35</v>
      </c>
      <c r="M2646">
        <v>643</v>
      </c>
      <c r="N2646">
        <v>0.18</v>
      </c>
      <c r="O2646" s="3">
        <v>482.27</v>
      </c>
      <c r="P2646" s="3">
        <v>0.09</v>
      </c>
      <c r="Q2646" s="3">
        <v>34.58</v>
      </c>
      <c r="R2646" s="3">
        <v>0.01</v>
      </c>
      <c r="S2646">
        <v>7</v>
      </c>
      <c r="T2646">
        <v>641.21</v>
      </c>
      <c r="U2646">
        <v>48</v>
      </c>
      <c r="V2646">
        <v>0</v>
      </c>
      <c r="W2646">
        <v>407.59</v>
      </c>
      <c r="X2646">
        <v>2053.56</v>
      </c>
      <c r="Y2646" t="s">
        <v>36</v>
      </c>
      <c r="Z2646" s="3">
        <v>1463.46</v>
      </c>
      <c r="AA2646" t="s">
        <v>50</v>
      </c>
      <c r="AB2646" t="s">
        <v>44</v>
      </c>
      <c r="AC2646">
        <v>35.4</v>
      </c>
      <c r="AD2646" t="s">
        <v>34</v>
      </c>
      <c r="AE2646">
        <v>1884.58</v>
      </c>
      <c r="AF2646">
        <v>0</v>
      </c>
    </row>
    <row r="2647" spans="3:32" x14ac:dyDescent="0.35">
      <c r="C2647" s="1">
        <v>45026</v>
      </c>
      <c r="D2647" s="2">
        <v>45017</v>
      </c>
      <c r="E2647">
        <v>1153</v>
      </c>
      <c r="F2647" s="3">
        <v>4736.2299999999996</v>
      </c>
      <c r="G2647" s="3">
        <v>2157.48</v>
      </c>
      <c r="H2647" s="3">
        <v>2578.75</v>
      </c>
      <c r="I2647" s="3">
        <v>0.46</v>
      </c>
      <c r="J2647">
        <v>0.06</v>
      </c>
      <c r="K2647">
        <v>2196.61</v>
      </c>
      <c r="L2647" t="s">
        <v>35</v>
      </c>
      <c r="M2647">
        <v>662</v>
      </c>
      <c r="N2647">
        <v>0.4</v>
      </c>
      <c r="O2647" s="3">
        <v>289.77</v>
      </c>
      <c r="P2647" s="3">
        <v>0.06</v>
      </c>
      <c r="Q2647" s="3">
        <v>322.29000000000002</v>
      </c>
      <c r="R2647" s="3">
        <v>7.0000000000000007E-2</v>
      </c>
      <c r="S2647">
        <v>3</v>
      </c>
      <c r="T2647">
        <v>469.2</v>
      </c>
      <c r="U2647">
        <v>94</v>
      </c>
      <c r="V2647">
        <v>0</v>
      </c>
      <c r="W2647">
        <v>589.69000000000005</v>
      </c>
      <c r="X2647">
        <v>1045.0899999999999</v>
      </c>
      <c r="Y2647" t="s">
        <v>31</v>
      </c>
      <c r="Z2647" s="3">
        <v>517.71</v>
      </c>
      <c r="AA2647" t="s">
        <v>47</v>
      </c>
      <c r="AB2647" t="s">
        <v>33</v>
      </c>
      <c r="AC2647">
        <v>25.3</v>
      </c>
      <c r="AD2647" t="s">
        <v>34</v>
      </c>
      <c r="AE2647">
        <v>2578.75</v>
      </c>
      <c r="AF2647">
        <v>1</v>
      </c>
    </row>
    <row r="2648" spans="3:32" x14ac:dyDescent="0.35">
      <c r="C2648" s="1">
        <v>45026</v>
      </c>
      <c r="D2648" s="2">
        <v>45017</v>
      </c>
      <c r="E2648">
        <v>1684</v>
      </c>
      <c r="F2648" s="3">
        <v>4546.78</v>
      </c>
      <c r="G2648" s="3">
        <v>2833.01</v>
      </c>
      <c r="H2648" s="3">
        <v>1713.77</v>
      </c>
      <c r="I2648" s="3">
        <v>0.62</v>
      </c>
      <c r="J2648">
        <v>0.12</v>
      </c>
      <c r="K2648">
        <v>2110.77</v>
      </c>
      <c r="L2648" t="s">
        <v>35</v>
      </c>
      <c r="M2648">
        <v>583</v>
      </c>
      <c r="N2648">
        <v>0.26</v>
      </c>
      <c r="O2648" s="3">
        <v>363.02</v>
      </c>
      <c r="P2648" s="3">
        <v>0.08</v>
      </c>
      <c r="Q2648" s="3">
        <v>436.14</v>
      </c>
      <c r="R2648" s="3">
        <v>0.1</v>
      </c>
      <c r="S2648">
        <v>2</v>
      </c>
      <c r="T2648">
        <v>1332.17</v>
      </c>
      <c r="U2648">
        <v>77</v>
      </c>
      <c r="V2648">
        <v>0</v>
      </c>
      <c r="W2648">
        <v>305.12</v>
      </c>
      <c r="X2648">
        <v>2884.28</v>
      </c>
      <c r="Y2648" t="s">
        <v>31</v>
      </c>
      <c r="Z2648" s="3">
        <v>1324.98</v>
      </c>
      <c r="AA2648" t="s">
        <v>45</v>
      </c>
      <c r="AB2648" t="s">
        <v>33</v>
      </c>
      <c r="AC2648">
        <v>50.3</v>
      </c>
      <c r="AD2648" t="s">
        <v>43</v>
      </c>
      <c r="AE2648">
        <v>1713.77</v>
      </c>
      <c r="AF2648">
        <v>0</v>
      </c>
    </row>
    <row r="2649" spans="3:32" x14ac:dyDescent="0.35">
      <c r="C2649" s="1">
        <v>45026</v>
      </c>
      <c r="D2649" s="2">
        <v>45017</v>
      </c>
      <c r="E2649">
        <v>1291</v>
      </c>
      <c r="F2649" s="3">
        <v>3534.28</v>
      </c>
      <c r="G2649" s="3">
        <v>4770.88</v>
      </c>
      <c r="H2649" s="3">
        <v>-1236.5999999999999</v>
      </c>
      <c r="I2649" s="3">
        <v>1.35</v>
      </c>
      <c r="J2649">
        <v>0.1</v>
      </c>
      <c r="K2649">
        <v>1296.24</v>
      </c>
      <c r="L2649" t="s">
        <v>35</v>
      </c>
      <c r="M2649">
        <v>761</v>
      </c>
      <c r="N2649">
        <v>0.13</v>
      </c>
      <c r="O2649" s="3">
        <v>0</v>
      </c>
      <c r="P2649" s="3">
        <v>0</v>
      </c>
      <c r="Q2649" s="3">
        <v>502.91</v>
      </c>
      <c r="R2649" s="3">
        <v>0.14000000000000001</v>
      </c>
      <c r="S2649">
        <v>2</v>
      </c>
      <c r="T2649">
        <v>1105.44</v>
      </c>
      <c r="U2649">
        <v>56</v>
      </c>
      <c r="V2649">
        <v>0</v>
      </c>
      <c r="W2649">
        <v>417.22</v>
      </c>
      <c r="X2649">
        <v>2126.88</v>
      </c>
      <c r="Y2649" t="s">
        <v>49</v>
      </c>
      <c r="Z2649" s="3">
        <v>1580.48</v>
      </c>
      <c r="AA2649" t="s">
        <v>45</v>
      </c>
      <c r="AB2649" t="s">
        <v>33</v>
      </c>
      <c r="AC2649">
        <v>78.2</v>
      </c>
      <c r="AD2649" t="s">
        <v>43</v>
      </c>
      <c r="AE2649">
        <v>0</v>
      </c>
      <c r="AF2649">
        <v>0</v>
      </c>
    </row>
    <row r="2650" spans="3:32" x14ac:dyDescent="0.35">
      <c r="C2650" s="1">
        <v>45026</v>
      </c>
      <c r="D2650" s="2">
        <v>45017</v>
      </c>
      <c r="E2650">
        <v>1918</v>
      </c>
      <c r="F2650" s="3">
        <v>4701.5</v>
      </c>
      <c r="G2650" s="3">
        <v>2826.46</v>
      </c>
      <c r="H2650" s="3">
        <v>1875.04</v>
      </c>
      <c r="I2650" s="3">
        <v>0.6</v>
      </c>
      <c r="J2650">
        <v>0.1</v>
      </c>
      <c r="K2650">
        <v>2556.09</v>
      </c>
      <c r="L2650" t="s">
        <v>35</v>
      </c>
      <c r="M2650">
        <v>679</v>
      </c>
      <c r="N2650">
        <v>0.5</v>
      </c>
      <c r="O2650" s="3">
        <v>461.47</v>
      </c>
      <c r="P2650" s="3">
        <v>0.1</v>
      </c>
      <c r="Q2650" s="3">
        <v>619.9</v>
      </c>
      <c r="R2650" s="3">
        <v>0.13</v>
      </c>
      <c r="S2650">
        <v>7</v>
      </c>
      <c r="T2650">
        <v>206.58</v>
      </c>
      <c r="U2650">
        <v>97</v>
      </c>
      <c r="V2650">
        <v>0</v>
      </c>
      <c r="W2650">
        <v>319.16000000000003</v>
      </c>
      <c r="X2650">
        <v>3140.73</v>
      </c>
      <c r="Y2650" t="s">
        <v>36</v>
      </c>
      <c r="Z2650" s="3">
        <v>1850.73</v>
      </c>
      <c r="AA2650" t="s">
        <v>41</v>
      </c>
      <c r="AB2650" t="s">
        <v>33</v>
      </c>
      <c r="AC2650">
        <v>66.599999999999994</v>
      </c>
      <c r="AD2650" t="s">
        <v>38</v>
      </c>
      <c r="AE2650">
        <v>1875.04</v>
      </c>
      <c r="AF2650">
        <v>0</v>
      </c>
    </row>
    <row r="2651" spans="3:32" x14ac:dyDescent="0.35">
      <c r="C2651" s="1">
        <v>45026</v>
      </c>
      <c r="D2651" s="2">
        <v>45017</v>
      </c>
      <c r="E2651">
        <v>1273</v>
      </c>
      <c r="F2651" s="3">
        <v>4235.87</v>
      </c>
      <c r="G2651" s="3">
        <v>1885.1</v>
      </c>
      <c r="H2651" s="3">
        <v>2350.77</v>
      </c>
      <c r="I2651" s="3">
        <v>0.45</v>
      </c>
      <c r="J2651">
        <v>0.26</v>
      </c>
      <c r="K2651">
        <v>3360.81</v>
      </c>
      <c r="L2651" t="s">
        <v>35</v>
      </c>
      <c r="M2651">
        <v>652</v>
      </c>
      <c r="N2651">
        <v>0.5</v>
      </c>
      <c r="O2651" s="3">
        <v>928.93</v>
      </c>
      <c r="P2651" s="3">
        <v>0.22</v>
      </c>
      <c r="Q2651" s="3">
        <v>503.43</v>
      </c>
      <c r="R2651" s="3">
        <v>0.12</v>
      </c>
      <c r="S2651">
        <v>9</v>
      </c>
      <c r="T2651">
        <v>1438.58</v>
      </c>
      <c r="U2651">
        <v>32</v>
      </c>
      <c r="V2651">
        <v>1</v>
      </c>
      <c r="W2651">
        <v>795.01</v>
      </c>
      <c r="X2651">
        <v>2898.36</v>
      </c>
      <c r="Y2651" t="s">
        <v>36</v>
      </c>
      <c r="Z2651" s="3">
        <v>1095.78</v>
      </c>
      <c r="AA2651" t="s">
        <v>48</v>
      </c>
      <c r="AB2651" t="s">
        <v>42</v>
      </c>
      <c r="AC2651">
        <v>53.5</v>
      </c>
      <c r="AD2651" t="s">
        <v>34</v>
      </c>
      <c r="AE2651">
        <v>2350.77</v>
      </c>
      <c r="AF2651">
        <v>0</v>
      </c>
    </row>
    <row r="2652" spans="3:32" x14ac:dyDescent="0.35">
      <c r="C2652" s="1">
        <v>45056</v>
      </c>
      <c r="D2652" s="2">
        <v>45047</v>
      </c>
      <c r="E2652">
        <v>1942</v>
      </c>
      <c r="F2652" s="3">
        <v>4573.38</v>
      </c>
      <c r="G2652" s="3">
        <v>3768.84</v>
      </c>
      <c r="H2652" s="3">
        <v>804.54</v>
      </c>
      <c r="I2652" s="3">
        <v>0.82</v>
      </c>
      <c r="J2652">
        <v>0.27</v>
      </c>
      <c r="K2652">
        <v>2182.29</v>
      </c>
      <c r="L2652" t="s">
        <v>35</v>
      </c>
      <c r="M2652">
        <v>749</v>
      </c>
      <c r="N2652">
        <v>0.55000000000000004</v>
      </c>
      <c r="O2652" s="3">
        <v>146.4</v>
      </c>
      <c r="P2652" s="3">
        <v>0.03</v>
      </c>
      <c r="Q2652" s="3">
        <v>464.62</v>
      </c>
      <c r="R2652" s="3">
        <v>0.1</v>
      </c>
      <c r="S2652">
        <v>5</v>
      </c>
      <c r="T2652">
        <v>1591.2</v>
      </c>
      <c r="U2652">
        <v>86</v>
      </c>
      <c r="V2652">
        <v>0</v>
      </c>
      <c r="W2652">
        <v>293.81</v>
      </c>
      <c r="X2652">
        <v>1930.96</v>
      </c>
      <c r="Y2652" t="s">
        <v>36</v>
      </c>
      <c r="Z2652" s="3">
        <v>686.66</v>
      </c>
      <c r="AA2652" t="s">
        <v>46</v>
      </c>
      <c r="AB2652" t="s">
        <v>42</v>
      </c>
      <c r="AC2652">
        <v>54.3</v>
      </c>
      <c r="AD2652" t="s">
        <v>43</v>
      </c>
      <c r="AE2652">
        <v>804.54</v>
      </c>
      <c r="AF2652">
        <v>0</v>
      </c>
    </row>
    <row r="2653" spans="3:32" x14ac:dyDescent="0.35">
      <c r="C2653" s="1">
        <v>45056</v>
      </c>
      <c r="D2653" s="2">
        <v>45047</v>
      </c>
      <c r="E2653">
        <v>1453</v>
      </c>
      <c r="F2653" s="3">
        <v>4576.18</v>
      </c>
      <c r="G2653" s="3">
        <v>2464.61</v>
      </c>
      <c r="H2653" s="3">
        <v>2111.5700000000002</v>
      </c>
      <c r="I2653" s="3">
        <v>0.54</v>
      </c>
      <c r="J2653">
        <v>0.14000000000000001</v>
      </c>
      <c r="K2653">
        <v>3021.33</v>
      </c>
      <c r="L2653" t="s">
        <v>39</v>
      </c>
      <c r="M2653">
        <v>751</v>
      </c>
      <c r="N2653">
        <v>0.56000000000000005</v>
      </c>
      <c r="O2653" s="3">
        <v>547</v>
      </c>
      <c r="P2653" s="3">
        <v>0.12</v>
      </c>
      <c r="Q2653" s="3">
        <v>524.20000000000005</v>
      </c>
      <c r="R2653" s="3">
        <v>0.11</v>
      </c>
      <c r="S2653">
        <v>2</v>
      </c>
      <c r="T2653">
        <v>1394.16</v>
      </c>
      <c r="U2653">
        <v>36</v>
      </c>
      <c r="V2653">
        <v>0</v>
      </c>
      <c r="W2653">
        <v>526.62</v>
      </c>
      <c r="X2653">
        <v>1719.7</v>
      </c>
      <c r="Y2653" t="s">
        <v>31</v>
      </c>
      <c r="Z2653" s="3">
        <v>418.92</v>
      </c>
      <c r="AA2653" t="s">
        <v>41</v>
      </c>
      <c r="AB2653" t="s">
        <v>33</v>
      </c>
      <c r="AC2653">
        <v>12.1</v>
      </c>
      <c r="AD2653" t="s">
        <v>38</v>
      </c>
      <c r="AE2653">
        <v>2111.5700000000002</v>
      </c>
      <c r="AF2653">
        <v>0</v>
      </c>
    </row>
    <row r="2654" spans="3:32" x14ac:dyDescent="0.35">
      <c r="C2654" s="1">
        <v>45056</v>
      </c>
      <c r="D2654" s="2">
        <v>45047</v>
      </c>
      <c r="E2654">
        <v>1639</v>
      </c>
      <c r="F2654" s="3">
        <v>5591.87</v>
      </c>
      <c r="G2654" s="3">
        <v>2156.9699999999998</v>
      </c>
      <c r="H2654" s="3">
        <v>3434.9</v>
      </c>
      <c r="I2654" s="3">
        <v>0.39</v>
      </c>
      <c r="J2654">
        <v>0.16</v>
      </c>
      <c r="K2654">
        <v>2462.58</v>
      </c>
      <c r="L2654" t="s">
        <v>30</v>
      </c>
      <c r="M2654">
        <v>653</v>
      </c>
      <c r="N2654">
        <v>0.56999999999999995</v>
      </c>
      <c r="O2654" s="3">
        <v>790.76</v>
      </c>
      <c r="P2654" s="3">
        <v>0.14000000000000001</v>
      </c>
      <c r="Q2654" s="3">
        <v>0</v>
      </c>
      <c r="R2654" s="3">
        <v>0</v>
      </c>
      <c r="S2654">
        <v>8</v>
      </c>
      <c r="T2654">
        <v>467.08</v>
      </c>
      <c r="U2654">
        <v>98</v>
      </c>
      <c r="V2654">
        <v>0</v>
      </c>
      <c r="W2654">
        <v>403.2</v>
      </c>
      <c r="X2654">
        <v>3084.99</v>
      </c>
      <c r="Y2654" t="s">
        <v>36</v>
      </c>
      <c r="Z2654" s="3">
        <v>1334.98</v>
      </c>
      <c r="AA2654" t="s">
        <v>37</v>
      </c>
      <c r="AB2654" t="s">
        <v>33</v>
      </c>
      <c r="AC2654">
        <v>42.1</v>
      </c>
      <c r="AD2654" t="s">
        <v>38</v>
      </c>
      <c r="AE2654">
        <v>3434.9</v>
      </c>
      <c r="AF2654">
        <v>1</v>
      </c>
    </row>
    <row r="2655" spans="3:32" x14ac:dyDescent="0.35">
      <c r="C2655" s="1">
        <v>45056</v>
      </c>
      <c r="D2655" s="2">
        <v>45047</v>
      </c>
      <c r="E2655">
        <v>1798</v>
      </c>
      <c r="F2655" s="3">
        <v>916.04</v>
      </c>
      <c r="G2655" s="3">
        <v>3094.28</v>
      </c>
      <c r="H2655" s="3">
        <v>-2178.2399999999998</v>
      </c>
      <c r="I2655" s="3">
        <v>3.38</v>
      </c>
      <c r="J2655">
        <v>0.26</v>
      </c>
      <c r="K2655">
        <v>2511.34</v>
      </c>
      <c r="L2655" t="s">
        <v>35</v>
      </c>
      <c r="M2655">
        <v>680</v>
      </c>
      <c r="N2655">
        <v>0.18</v>
      </c>
      <c r="O2655" s="3">
        <v>409.43</v>
      </c>
      <c r="P2655" s="3">
        <v>0.45</v>
      </c>
      <c r="Q2655" s="3">
        <v>882.13</v>
      </c>
      <c r="R2655" s="3">
        <v>0.96</v>
      </c>
      <c r="S2655">
        <v>7</v>
      </c>
      <c r="T2655">
        <v>1389.3</v>
      </c>
      <c r="U2655">
        <v>48</v>
      </c>
      <c r="V2655">
        <v>0</v>
      </c>
      <c r="W2655">
        <v>543.91999999999996</v>
      </c>
      <c r="X2655">
        <v>1000</v>
      </c>
      <c r="Y2655" t="s">
        <v>36</v>
      </c>
      <c r="Z2655" s="3">
        <v>857.33</v>
      </c>
      <c r="AA2655" t="s">
        <v>40</v>
      </c>
      <c r="AB2655" t="s">
        <v>42</v>
      </c>
      <c r="AC2655">
        <v>37.700000000000003</v>
      </c>
      <c r="AD2655" t="s">
        <v>43</v>
      </c>
      <c r="AE2655">
        <v>0</v>
      </c>
      <c r="AF2655">
        <v>0</v>
      </c>
    </row>
    <row r="2656" spans="3:32" x14ac:dyDescent="0.35">
      <c r="C2656" s="1">
        <v>45056</v>
      </c>
      <c r="D2656" s="2">
        <v>45047</v>
      </c>
      <c r="E2656">
        <v>1777</v>
      </c>
      <c r="F2656" s="3">
        <v>2989.19</v>
      </c>
      <c r="G2656" s="3">
        <v>3440.24</v>
      </c>
      <c r="H2656" s="3">
        <v>-451.05</v>
      </c>
      <c r="I2656" s="3">
        <v>1.1499999999999999</v>
      </c>
      <c r="J2656">
        <v>0.21</v>
      </c>
      <c r="K2656">
        <v>2774.66</v>
      </c>
      <c r="L2656" t="s">
        <v>30</v>
      </c>
      <c r="M2656">
        <v>711</v>
      </c>
      <c r="N2656">
        <v>0.45</v>
      </c>
      <c r="O2656" s="3">
        <v>375.28</v>
      </c>
      <c r="P2656" s="3">
        <v>0.13</v>
      </c>
      <c r="Q2656" s="3">
        <v>705.64</v>
      </c>
      <c r="R2656" s="3">
        <v>0.24</v>
      </c>
      <c r="S2656">
        <v>8</v>
      </c>
      <c r="T2656">
        <v>399.25</v>
      </c>
      <c r="U2656">
        <v>22</v>
      </c>
      <c r="V2656">
        <v>0</v>
      </c>
      <c r="W2656">
        <v>329.38</v>
      </c>
      <c r="X2656">
        <v>1990.34</v>
      </c>
      <c r="Y2656" t="s">
        <v>36</v>
      </c>
      <c r="Z2656" s="3">
        <v>800.33</v>
      </c>
      <c r="AA2656" t="s">
        <v>46</v>
      </c>
      <c r="AB2656" t="s">
        <v>44</v>
      </c>
      <c r="AC2656">
        <v>54.5</v>
      </c>
      <c r="AD2656" t="s">
        <v>34</v>
      </c>
      <c r="AE2656">
        <v>0</v>
      </c>
      <c r="AF2656">
        <v>0</v>
      </c>
    </row>
    <row r="2657" spans="3:32" x14ac:dyDescent="0.35">
      <c r="C2657" s="1">
        <v>45056</v>
      </c>
      <c r="D2657" s="2">
        <v>45047</v>
      </c>
      <c r="E2657">
        <v>1251</v>
      </c>
      <c r="F2657" s="3">
        <v>2695.8</v>
      </c>
      <c r="G2657" s="3">
        <v>3326.55</v>
      </c>
      <c r="H2657" s="3">
        <v>-630.75</v>
      </c>
      <c r="I2657" s="3">
        <v>1.23</v>
      </c>
      <c r="J2657">
        <v>0.23</v>
      </c>
      <c r="K2657">
        <v>2571.33</v>
      </c>
      <c r="L2657" t="s">
        <v>30</v>
      </c>
      <c r="M2657">
        <v>646</v>
      </c>
      <c r="N2657">
        <v>0.28000000000000003</v>
      </c>
      <c r="O2657" s="3">
        <v>727.66</v>
      </c>
      <c r="P2657" s="3">
        <v>0.27</v>
      </c>
      <c r="Q2657" s="3">
        <v>386.36</v>
      </c>
      <c r="R2657" s="3">
        <v>0.14000000000000001</v>
      </c>
      <c r="S2657">
        <v>5</v>
      </c>
      <c r="T2657">
        <v>375.45</v>
      </c>
      <c r="U2657">
        <v>72</v>
      </c>
      <c r="V2657">
        <v>0</v>
      </c>
      <c r="W2657">
        <v>705.95</v>
      </c>
      <c r="X2657">
        <v>2251.77</v>
      </c>
      <c r="Y2657" t="s">
        <v>36</v>
      </c>
      <c r="Z2657" s="3">
        <v>1244.96</v>
      </c>
      <c r="AA2657" t="s">
        <v>50</v>
      </c>
      <c r="AB2657" t="s">
        <v>42</v>
      </c>
      <c r="AC2657">
        <v>45.1</v>
      </c>
      <c r="AD2657" t="s">
        <v>34</v>
      </c>
      <c r="AE2657">
        <v>0</v>
      </c>
      <c r="AF2657">
        <v>0</v>
      </c>
    </row>
    <row r="2658" spans="3:32" x14ac:dyDescent="0.35">
      <c r="C2658" s="1">
        <v>45056</v>
      </c>
      <c r="D2658" s="2">
        <v>45047</v>
      </c>
      <c r="E2658">
        <v>1783</v>
      </c>
      <c r="F2658" s="3">
        <v>3764.6</v>
      </c>
      <c r="G2658" s="3">
        <v>3619.57</v>
      </c>
      <c r="H2658" s="3">
        <v>145.03</v>
      </c>
      <c r="I2658" s="3">
        <v>0.96</v>
      </c>
      <c r="J2658">
        <v>0.22</v>
      </c>
      <c r="K2658">
        <v>2800.92</v>
      </c>
      <c r="L2658" t="s">
        <v>39</v>
      </c>
      <c r="M2658">
        <v>653</v>
      </c>
      <c r="N2658">
        <v>0.26</v>
      </c>
      <c r="O2658" s="3">
        <v>654.73</v>
      </c>
      <c r="P2658" s="3">
        <v>0.17</v>
      </c>
      <c r="Q2658" s="3">
        <v>545.02</v>
      </c>
      <c r="R2658" s="3">
        <v>0.14000000000000001</v>
      </c>
      <c r="S2658">
        <v>2</v>
      </c>
      <c r="T2658">
        <v>1633.23</v>
      </c>
      <c r="U2658">
        <v>54</v>
      </c>
      <c r="V2658">
        <v>0</v>
      </c>
      <c r="W2658">
        <v>775.1</v>
      </c>
      <c r="X2658">
        <v>2513.7399999999998</v>
      </c>
      <c r="Y2658" t="s">
        <v>36</v>
      </c>
      <c r="Z2658" s="3">
        <v>930.68</v>
      </c>
      <c r="AA2658" t="s">
        <v>46</v>
      </c>
      <c r="AB2658" t="s">
        <v>42</v>
      </c>
      <c r="AC2658">
        <v>47.9</v>
      </c>
      <c r="AD2658" t="s">
        <v>43</v>
      </c>
      <c r="AE2658">
        <v>145.03</v>
      </c>
      <c r="AF2658">
        <v>0</v>
      </c>
    </row>
    <row r="2659" spans="3:32" x14ac:dyDescent="0.35">
      <c r="C2659" s="1">
        <v>45056</v>
      </c>
      <c r="D2659" s="2">
        <v>45047</v>
      </c>
      <c r="E2659">
        <v>1083</v>
      </c>
      <c r="F2659" s="3">
        <v>4288.78</v>
      </c>
      <c r="G2659" s="3">
        <v>2833.42</v>
      </c>
      <c r="H2659" s="3">
        <v>1455.36</v>
      </c>
      <c r="I2659" s="3">
        <v>0.66</v>
      </c>
      <c r="J2659">
        <v>0.32</v>
      </c>
      <c r="K2659">
        <v>3417.75</v>
      </c>
      <c r="L2659" t="s">
        <v>35</v>
      </c>
      <c r="M2659">
        <v>662</v>
      </c>
      <c r="N2659">
        <v>0.4</v>
      </c>
      <c r="O2659" s="3">
        <v>392.28</v>
      </c>
      <c r="P2659" s="3">
        <v>0.09</v>
      </c>
      <c r="Q2659" s="3">
        <v>233.2</v>
      </c>
      <c r="R2659" s="3">
        <v>0.05</v>
      </c>
      <c r="S2659">
        <v>7</v>
      </c>
      <c r="T2659">
        <v>839.49</v>
      </c>
      <c r="U2659">
        <v>74</v>
      </c>
      <c r="V2659">
        <v>0</v>
      </c>
      <c r="W2659">
        <v>809.18</v>
      </c>
      <c r="X2659">
        <v>3586.17</v>
      </c>
      <c r="Y2659" t="s">
        <v>36</v>
      </c>
      <c r="Z2659" s="3">
        <v>561.02</v>
      </c>
      <c r="AA2659" t="s">
        <v>51</v>
      </c>
      <c r="AB2659" t="s">
        <v>42</v>
      </c>
      <c r="AC2659">
        <v>13.2</v>
      </c>
      <c r="AD2659" t="s">
        <v>38</v>
      </c>
      <c r="AE2659">
        <v>1455.36</v>
      </c>
      <c r="AF2659">
        <v>0</v>
      </c>
    </row>
    <row r="2660" spans="3:32" x14ac:dyDescent="0.35">
      <c r="C2660" s="1">
        <v>45056</v>
      </c>
      <c r="D2660" s="2">
        <v>45047</v>
      </c>
      <c r="E2660">
        <v>1567</v>
      </c>
      <c r="F2660" s="3">
        <v>3870.98</v>
      </c>
      <c r="G2660" s="3">
        <v>3712.92</v>
      </c>
      <c r="H2660" s="3">
        <v>158.06</v>
      </c>
      <c r="I2660" s="3">
        <v>0.96</v>
      </c>
      <c r="J2660">
        <v>0.27</v>
      </c>
      <c r="K2660">
        <v>3487.76</v>
      </c>
      <c r="L2660" t="s">
        <v>35</v>
      </c>
      <c r="M2660">
        <v>651</v>
      </c>
      <c r="N2660">
        <v>0.55000000000000004</v>
      </c>
      <c r="O2660" s="3">
        <v>404.38</v>
      </c>
      <c r="P2660" s="3">
        <v>0.1</v>
      </c>
      <c r="Q2660" s="3">
        <v>483.91</v>
      </c>
      <c r="R2660" s="3">
        <v>0.13</v>
      </c>
      <c r="S2660">
        <v>6</v>
      </c>
      <c r="T2660">
        <v>1013.22</v>
      </c>
      <c r="U2660">
        <v>30</v>
      </c>
      <c r="V2660">
        <v>0</v>
      </c>
      <c r="W2660">
        <v>893.66</v>
      </c>
      <c r="X2660">
        <v>2711.39</v>
      </c>
      <c r="Y2660" t="s">
        <v>36</v>
      </c>
      <c r="Z2660" s="3">
        <v>1387.16</v>
      </c>
      <c r="AA2660" t="s">
        <v>47</v>
      </c>
      <c r="AB2660" t="s">
        <v>33</v>
      </c>
      <c r="AC2660">
        <v>7.2</v>
      </c>
      <c r="AD2660" t="s">
        <v>34</v>
      </c>
      <c r="AE2660">
        <v>158.06</v>
      </c>
      <c r="AF2660">
        <v>0</v>
      </c>
    </row>
    <row r="2661" spans="3:32" x14ac:dyDescent="0.35">
      <c r="C2661" s="1">
        <v>45056</v>
      </c>
      <c r="D2661" s="2">
        <v>45047</v>
      </c>
      <c r="E2661">
        <v>1065</v>
      </c>
      <c r="F2661" s="3">
        <v>3410.52</v>
      </c>
      <c r="G2661" s="3">
        <v>1259.7</v>
      </c>
      <c r="H2661" s="3">
        <v>2150.8200000000002</v>
      </c>
      <c r="I2661" s="3">
        <v>0.37</v>
      </c>
      <c r="J2661">
        <v>0.32</v>
      </c>
      <c r="K2661">
        <v>2546.27</v>
      </c>
      <c r="L2661" t="s">
        <v>35</v>
      </c>
      <c r="M2661">
        <v>713</v>
      </c>
      <c r="N2661">
        <v>0.28000000000000003</v>
      </c>
      <c r="O2661" s="3">
        <v>515.36</v>
      </c>
      <c r="P2661" s="3">
        <v>0.15</v>
      </c>
      <c r="Q2661" s="3">
        <v>431.37</v>
      </c>
      <c r="R2661" s="3">
        <v>0.13</v>
      </c>
      <c r="S2661">
        <v>7</v>
      </c>
      <c r="T2661">
        <v>832.45</v>
      </c>
      <c r="U2661">
        <v>44</v>
      </c>
      <c r="V2661">
        <v>0</v>
      </c>
      <c r="W2661">
        <v>265.38</v>
      </c>
      <c r="X2661">
        <v>2254.4899999999998</v>
      </c>
      <c r="Y2661" t="s">
        <v>36</v>
      </c>
      <c r="Z2661" s="3">
        <v>1648.22</v>
      </c>
      <c r="AA2661" t="s">
        <v>48</v>
      </c>
      <c r="AB2661" t="s">
        <v>33</v>
      </c>
      <c r="AC2661">
        <v>32.200000000000003</v>
      </c>
      <c r="AD2661" t="s">
        <v>43</v>
      </c>
      <c r="AE2661">
        <v>2150.8200000000002</v>
      </c>
      <c r="AF2661">
        <v>0</v>
      </c>
    </row>
    <row r="2662" spans="3:32" x14ac:dyDescent="0.35">
      <c r="C2662" s="1">
        <v>45056</v>
      </c>
      <c r="D2662" s="2">
        <v>45047</v>
      </c>
      <c r="E2662">
        <v>1063</v>
      </c>
      <c r="F2662" s="3">
        <v>4214.54</v>
      </c>
      <c r="G2662" s="3">
        <v>3943.6</v>
      </c>
      <c r="H2662" s="3">
        <v>270.94</v>
      </c>
      <c r="I2662" s="3">
        <v>0.94</v>
      </c>
      <c r="J2662">
        <v>0.14000000000000001</v>
      </c>
      <c r="K2662">
        <v>2091.56</v>
      </c>
      <c r="L2662" t="s">
        <v>30</v>
      </c>
      <c r="M2662">
        <v>655</v>
      </c>
      <c r="N2662">
        <v>0.16</v>
      </c>
      <c r="O2662" s="3">
        <v>257.64</v>
      </c>
      <c r="P2662" s="3">
        <v>0.06</v>
      </c>
      <c r="Q2662" s="3">
        <v>322.5</v>
      </c>
      <c r="R2662" s="3">
        <v>0.08</v>
      </c>
      <c r="S2662">
        <v>5</v>
      </c>
      <c r="T2662">
        <v>1318.14</v>
      </c>
      <c r="U2662">
        <v>60</v>
      </c>
      <c r="V2662">
        <v>0</v>
      </c>
      <c r="W2662">
        <v>296.48</v>
      </c>
      <c r="X2662">
        <v>2895.81</v>
      </c>
      <c r="Y2662" t="s">
        <v>36</v>
      </c>
      <c r="Z2662" s="3">
        <v>1293.01</v>
      </c>
      <c r="AA2662" t="s">
        <v>47</v>
      </c>
      <c r="AB2662" t="s">
        <v>42</v>
      </c>
      <c r="AC2662">
        <v>95.2</v>
      </c>
      <c r="AD2662" t="s">
        <v>43</v>
      </c>
      <c r="AE2662">
        <v>270.94</v>
      </c>
      <c r="AF2662">
        <v>0</v>
      </c>
    </row>
    <row r="2663" spans="3:32" x14ac:dyDescent="0.35">
      <c r="C2663" s="1">
        <v>45056</v>
      </c>
      <c r="D2663" s="2">
        <v>45047</v>
      </c>
      <c r="E2663">
        <v>1848</v>
      </c>
      <c r="F2663" s="3">
        <v>4257.1000000000004</v>
      </c>
      <c r="G2663" s="3">
        <v>3707.37</v>
      </c>
      <c r="H2663" s="3">
        <v>549.73</v>
      </c>
      <c r="I2663" s="3">
        <v>0.87</v>
      </c>
      <c r="J2663">
        <v>0.19</v>
      </c>
      <c r="K2663">
        <v>3599.7</v>
      </c>
      <c r="L2663" t="s">
        <v>39</v>
      </c>
      <c r="M2663">
        <v>781</v>
      </c>
      <c r="N2663">
        <v>0.15</v>
      </c>
      <c r="O2663" s="3">
        <v>238.54</v>
      </c>
      <c r="P2663" s="3">
        <v>0.06</v>
      </c>
      <c r="Q2663" s="3">
        <v>463.41</v>
      </c>
      <c r="R2663" s="3">
        <v>0.11</v>
      </c>
      <c r="S2663">
        <v>5</v>
      </c>
      <c r="T2663">
        <v>1457.34</v>
      </c>
      <c r="U2663">
        <v>83</v>
      </c>
      <c r="V2663">
        <v>0</v>
      </c>
      <c r="W2663">
        <v>341.25</v>
      </c>
      <c r="X2663">
        <v>1663.98</v>
      </c>
      <c r="Y2663" t="s">
        <v>36</v>
      </c>
      <c r="Z2663" s="3">
        <v>1253.04</v>
      </c>
      <c r="AA2663" t="s">
        <v>32</v>
      </c>
      <c r="AB2663" t="s">
        <v>33</v>
      </c>
      <c r="AC2663">
        <v>6.8</v>
      </c>
      <c r="AD2663" t="s">
        <v>43</v>
      </c>
      <c r="AE2663">
        <v>549.73</v>
      </c>
      <c r="AF2663">
        <v>0</v>
      </c>
    </row>
    <row r="2664" spans="3:32" x14ac:dyDescent="0.35">
      <c r="C2664" s="1">
        <v>45056</v>
      </c>
      <c r="D2664" s="2">
        <v>45047</v>
      </c>
      <c r="E2664">
        <v>1668</v>
      </c>
      <c r="F2664" s="3">
        <v>3391.57</v>
      </c>
      <c r="G2664" s="3">
        <v>3461.23</v>
      </c>
      <c r="H2664" s="3">
        <v>-69.66</v>
      </c>
      <c r="I2664" s="3">
        <v>1.02</v>
      </c>
      <c r="J2664">
        <v>0.36</v>
      </c>
      <c r="K2664">
        <v>1957.95</v>
      </c>
      <c r="L2664" t="s">
        <v>39</v>
      </c>
      <c r="M2664">
        <v>673</v>
      </c>
      <c r="N2664">
        <v>0.26</v>
      </c>
      <c r="O2664" s="3">
        <v>792.47</v>
      </c>
      <c r="P2664" s="3">
        <v>0.23</v>
      </c>
      <c r="Q2664" s="3">
        <v>404.69</v>
      </c>
      <c r="R2664" s="3">
        <v>0.12</v>
      </c>
      <c r="S2664">
        <v>7</v>
      </c>
      <c r="T2664">
        <v>1406.8</v>
      </c>
      <c r="U2664">
        <v>26</v>
      </c>
      <c r="V2664">
        <v>1</v>
      </c>
      <c r="W2664">
        <v>244.88</v>
      </c>
      <c r="X2664">
        <v>1518.37</v>
      </c>
      <c r="Y2664" t="s">
        <v>49</v>
      </c>
      <c r="Z2664" s="3">
        <v>1596.55</v>
      </c>
      <c r="AA2664" t="s">
        <v>46</v>
      </c>
      <c r="AB2664" t="s">
        <v>44</v>
      </c>
      <c r="AC2664">
        <v>21.4</v>
      </c>
      <c r="AD2664" t="s">
        <v>34</v>
      </c>
      <c r="AE2664">
        <v>0</v>
      </c>
      <c r="AF2664">
        <v>0</v>
      </c>
    </row>
    <row r="2665" spans="3:32" x14ac:dyDescent="0.35">
      <c r="C2665" s="1">
        <v>45056</v>
      </c>
      <c r="D2665" s="2">
        <v>45047</v>
      </c>
      <c r="E2665">
        <v>1641</v>
      </c>
      <c r="F2665" s="3">
        <v>5164.49</v>
      </c>
      <c r="G2665" s="3">
        <v>2819.56</v>
      </c>
      <c r="H2665" s="3">
        <v>2344.9299999999998</v>
      </c>
      <c r="I2665" s="3">
        <v>0.55000000000000004</v>
      </c>
      <c r="J2665">
        <v>0.17</v>
      </c>
      <c r="K2665">
        <v>2912.26</v>
      </c>
      <c r="L2665" t="s">
        <v>35</v>
      </c>
      <c r="M2665">
        <v>625</v>
      </c>
      <c r="N2665">
        <v>0.31</v>
      </c>
      <c r="O2665" s="3">
        <v>13.68</v>
      </c>
      <c r="P2665" s="3">
        <v>0</v>
      </c>
      <c r="Q2665" s="3">
        <v>347.32</v>
      </c>
      <c r="R2665" s="3">
        <v>7.0000000000000007E-2</v>
      </c>
      <c r="S2665">
        <v>7</v>
      </c>
      <c r="T2665">
        <v>926.23</v>
      </c>
      <c r="U2665">
        <v>94</v>
      </c>
      <c r="V2665">
        <v>0</v>
      </c>
      <c r="W2665">
        <v>450.66</v>
      </c>
      <c r="X2665">
        <v>2810.69</v>
      </c>
      <c r="Y2665" t="s">
        <v>49</v>
      </c>
      <c r="Z2665" s="3">
        <v>888.95</v>
      </c>
      <c r="AA2665" t="s">
        <v>37</v>
      </c>
      <c r="AB2665" t="s">
        <v>42</v>
      </c>
      <c r="AC2665">
        <v>52</v>
      </c>
      <c r="AD2665" t="s">
        <v>43</v>
      </c>
      <c r="AE2665">
        <v>2344.9299999999998</v>
      </c>
      <c r="AF2665">
        <v>0</v>
      </c>
    </row>
    <row r="2666" spans="3:32" x14ac:dyDescent="0.35">
      <c r="C2666" s="1">
        <v>45056</v>
      </c>
      <c r="D2666" s="2">
        <v>45047</v>
      </c>
      <c r="E2666">
        <v>1909</v>
      </c>
      <c r="F2666" s="3">
        <v>4011.29</v>
      </c>
      <c r="G2666" s="3">
        <v>4790.33</v>
      </c>
      <c r="H2666" s="3">
        <v>-779.04</v>
      </c>
      <c r="I2666" s="3">
        <v>1.19</v>
      </c>
      <c r="J2666">
        <v>0.4</v>
      </c>
      <c r="K2666">
        <v>2056.66</v>
      </c>
      <c r="L2666" t="s">
        <v>35</v>
      </c>
      <c r="M2666">
        <v>693</v>
      </c>
      <c r="N2666">
        <v>0.22</v>
      </c>
      <c r="O2666" s="3">
        <v>316.08</v>
      </c>
      <c r="P2666" s="3">
        <v>0.08</v>
      </c>
      <c r="Q2666" s="3">
        <v>0</v>
      </c>
      <c r="R2666" s="3">
        <v>0</v>
      </c>
      <c r="S2666">
        <v>6</v>
      </c>
      <c r="T2666">
        <v>1210.3800000000001</v>
      </c>
      <c r="U2666">
        <v>68</v>
      </c>
      <c r="V2666">
        <v>0</v>
      </c>
      <c r="W2666">
        <v>327.18</v>
      </c>
      <c r="X2666">
        <v>1889.69</v>
      </c>
      <c r="Y2666" t="s">
        <v>36</v>
      </c>
      <c r="Z2666" s="3">
        <v>2058.65</v>
      </c>
      <c r="AA2666" t="s">
        <v>50</v>
      </c>
      <c r="AB2666" t="s">
        <v>44</v>
      </c>
      <c r="AC2666">
        <v>80.5</v>
      </c>
      <c r="AD2666" t="s">
        <v>43</v>
      </c>
      <c r="AE2666">
        <v>0</v>
      </c>
      <c r="AF2666">
        <v>0</v>
      </c>
    </row>
    <row r="2667" spans="3:32" x14ac:dyDescent="0.35">
      <c r="C2667" s="1">
        <v>45056</v>
      </c>
      <c r="D2667" s="2">
        <v>45047</v>
      </c>
      <c r="E2667">
        <v>1288</v>
      </c>
      <c r="F2667" s="3">
        <v>4472.59</v>
      </c>
      <c r="G2667" s="3">
        <v>1321.97</v>
      </c>
      <c r="H2667" s="3">
        <v>3150.62</v>
      </c>
      <c r="I2667" s="3">
        <v>0.3</v>
      </c>
      <c r="J2667">
        <v>0.2</v>
      </c>
      <c r="K2667">
        <v>3521.55</v>
      </c>
      <c r="L2667" t="s">
        <v>35</v>
      </c>
      <c r="M2667">
        <v>634</v>
      </c>
      <c r="N2667">
        <v>0.54</v>
      </c>
      <c r="O2667" s="3">
        <v>241.16</v>
      </c>
      <c r="P2667" s="3">
        <v>0.05</v>
      </c>
      <c r="Q2667" s="3">
        <v>345.43</v>
      </c>
      <c r="R2667" s="3">
        <v>0.08</v>
      </c>
      <c r="S2667">
        <v>9</v>
      </c>
      <c r="T2667">
        <v>492.84</v>
      </c>
      <c r="U2667">
        <v>97</v>
      </c>
      <c r="V2667">
        <v>0</v>
      </c>
      <c r="W2667">
        <v>560.33000000000004</v>
      </c>
      <c r="X2667">
        <v>2216.0700000000002</v>
      </c>
      <c r="Y2667" t="s">
        <v>36</v>
      </c>
      <c r="Z2667" s="3">
        <v>1629.08</v>
      </c>
      <c r="AA2667" t="s">
        <v>37</v>
      </c>
      <c r="AB2667" t="s">
        <v>33</v>
      </c>
      <c r="AC2667">
        <v>57.7</v>
      </c>
      <c r="AD2667" t="s">
        <v>43</v>
      </c>
      <c r="AE2667">
        <v>3150.62</v>
      </c>
      <c r="AF2667">
        <v>0</v>
      </c>
    </row>
    <row r="2668" spans="3:32" x14ac:dyDescent="0.35">
      <c r="C2668" s="1">
        <v>45056</v>
      </c>
      <c r="D2668" s="2">
        <v>45047</v>
      </c>
      <c r="E2668">
        <v>1781</v>
      </c>
      <c r="F2668" s="3">
        <v>4533.63</v>
      </c>
      <c r="G2668" s="3">
        <v>2861.93</v>
      </c>
      <c r="H2668" s="3">
        <v>1671.7</v>
      </c>
      <c r="I2668" s="3">
        <v>0.63</v>
      </c>
      <c r="J2668">
        <v>0.11</v>
      </c>
      <c r="K2668">
        <v>2737.91</v>
      </c>
      <c r="L2668" t="s">
        <v>35</v>
      </c>
      <c r="M2668">
        <v>620</v>
      </c>
      <c r="N2668">
        <v>0.14000000000000001</v>
      </c>
      <c r="O2668" s="3">
        <v>743.08</v>
      </c>
      <c r="P2668" s="3">
        <v>0.16</v>
      </c>
      <c r="Q2668" s="3">
        <v>304.7</v>
      </c>
      <c r="R2668" s="3">
        <v>7.0000000000000007E-2</v>
      </c>
      <c r="S2668">
        <v>9</v>
      </c>
      <c r="T2668">
        <v>650.38</v>
      </c>
      <c r="U2668">
        <v>67</v>
      </c>
      <c r="V2668">
        <v>0</v>
      </c>
      <c r="W2668">
        <v>672.18</v>
      </c>
      <c r="X2668">
        <v>1804.01</v>
      </c>
      <c r="Y2668" t="s">
        <v>49</v>
      </c>
      <c r="Z2668" s="3">
        <v>1127.1600000000001</v>
      </c>
      <c r="AA2668" t="s">
        <v>40</v>
      </c>
      <c r="AB2668" t="s">
        <v>33</v>
      </c>
      <c r="AC2668">
        <v>0.1</v>
      </c>
      <c r="AD2668" t="s">
        <v>43</v>
      </c>
      <c r="AE2668">
        <v>1671.7</v>
      </c>
      <c r="AF2668">
        <v>0</v>
      </c>
    </row>
    <row r="2669" spans="3:32" x14ac:dyDescent="0.35">
      <c r="C2669" s="1">
        <v>45056</v>
      </c>
      <c r="D2669" s="2">
        <v>45047</v>
      </c>
      <c r="E2669">
        <v>1624</v>
      </c>
      <c r="F2669" s="3">
        <v>4229.99</v>
      </c>
      <c r="G2669" s="3">
        <v>3358.25</v>
      </c>
      <c r="H2669" s="3">
        <v>871.74</v>
      </c>
      <c r="I2669" s="3">
        <v>0.79</v>
      </c>
      <c r="J2669">
        <v>0.22</v>
      </c>
      <c r="K2669">
        <v>2892.49</v>
      </c>
      <c r="L2669" t="s">
        <v>35</v>
      </c>
      <c r="M2669">
        <v>745</v>
      </c>
      <c r="N2669">
        <v>0.32</v>
      </c>
      <c r="O2669" s="3">
        <v>447.78</v>
      </c>
      <c r="P2669" s="3">
        <v>0.11</v>
      </c>
      <c r="Q2669" s="3">
        <v>614.24</v>
      </c>
      <c r="R2669" s="3">
        <v>0.15</v>
      </c>
      <c r="S2669">
        <v>4</v>
      </c>
      <c r="T2669">
        <v>1179.99</v>
      </c>
      <c r="U2669">
        <v>31</v>
      </c>
      <c r="V2669">
        <v>0</v>
      </c>
      <c r="W2669">
        <v>181.94</v>
      </c>
      <c r="X2669">
        <v>2998.52</v>
      </c>
      <c r="Y2669" t="s">
        <v>31</v>
      </c>
      <c r="Z2669" s="3">
        <v>909.15</v>
      </c>
      <c r="AA2669" t="s">
        <v>32</v>
      </c>
      <c r="AB2669" t="s">
        <v>33</v>
      </c>
      <c r="AC2669">
        <v>98.3</v>
      </c>
      <c r="AD2669" t="s">
        <v>43</v>
      </c>
      <c r="AE2669">
        <v>871.74</v>
      </c>
      <c r="AF2669">
        <v>0</v>
      </c>
    </row>
    <row r="2670" spans="3:32" x14ac:dyDescent="0.35">
      <c r="C2670" s="1">
        <v>45056</v>
      </c>
      <c r="D2670" s="2">
        <v>45047</v>
      </c>
      <c r="E2670">
        <v>1314</v>
      </c>
      <c r="F2670" s="3">
        <v>4385.22</v>
      </c>
      <c r="G2670" s="3">
        <v>2978.25</v>
      </c>
      <c r="H2670" s="3">
        <v>1406.97</v>
      </c>
      <c r="I2670" s="3">
        <v>0.68</v>
      </c>
      <c r="J2670">
        <v>0.21</v>
      </c>
      <c r="K2670">
        <v>2224.66</v>
      </c>
      <c r="L2670" t="s">
        <v>39</v>
      </c>
      <c r="M2670">
        <v>635</v>
      </c>
      <c r="N2670">
        <v>0.32</v>
      </c>
      <c r="O2670" s="3">
        <v>394.18</v>
      </c>
      <c r="P2670" s="3">
        <v>0.09</v>
      </c>
      <c r="Q2670" s="3">
        <v>647.61</v>
      </c>
      <c r="R2670" s="3">
        <v>0.15</v>
      </c>
      <c r="S2670">
        <v>4</v>
      </c>
      <c r="T2670">
        <v>1671.55</v>
      </c>
      <c r="U2670">
        <v>24</v>
      </c>
      <c r="V2670">
        <v>0</v>
      </c>
      <c r="W2670">
        <v>669.24</v>
      </c>
      <c r="X2670">
        <v>2510.2800000000002</v>
      </c>
      <c r="Y2670" t="s">
        <v>31</v>
      </c>
      <c r="Z2670" s="3">
        <v>1639.01</v>
      </c>
      <c r="AA2670" t="s">
        <v>47</v>
      </c>
      <c r="AB2670" t="s">
        <v>33</v>
      </c>
      <c r="AC2670">
        <v>22.5</v>
      </c>
      <c r="AD2670" t="s">
        <v>34</v>
      </c>
      <c r="AE2670">
        <v>1406.97</v>
      </c>
      <c r="AF2670">
        <v>0</v>
      </c>
    </row>
    <row r="2671" spans="3:32" x14ac:dyDescent="0.35">
      <c r="C2671" s="1">
        <v>45056</v>
      </c>
      <c r="D2671" s="2">
        <v>45047</v>
      </c>
      <c r="E2671">
        <v>1250</v>
      </c>
      <c r="F2671" s="3">
        <v>4437.84</v>
      </c>
      <c r="G2671" s="3">
        <v>2553.31</v>
      </c>
      <c r="H2671" s="3">
        <v>1884.53</v>
      </c>
      <c r="I2671" s="3">
        <v>0.57999999999999996</v>
      </c>
      <c r="J2671">
        <v>0.14000000000000001</v>
      </c>
      <c r="K2671">
        <v>1946.94</v>
      </c>
      <c r="L2671" t="s">
        <v>39</v>
      </c>
      <c r="M2671">
        <v>707</v>
      </c>
      <c r="N2671">
        <v>0.17</v>
      </c>
      <c r="O2671" s="3">
        <v>504.39</v>
      </c>
      <c r="P2671" s="3">
        <v>0.11</v>
      </c>
      <c r="Q2671" s="3">
        <v>224.02</v>
      </c>
      <c r="R2671" s="3">
        <v>0.05</v>
      </c>
      <c r="S2671">
        <v>6</v>
      </c>
      <c r="T2671">
        <v>1423.11</v>
      </c>
      <c r="U2671">
        <v>79</v>
      </c>
      <c r="V2671">
        <v>0</v>
      </c>
      <c r="W2671">
        <v>823.63</v>
      </c>
      <c r="X2671">
        <v>2024</v>
      </c>
      <c r="Y2671" t="s">
        <v>36</v>
      </c>
      <c r="Z2671" s="3">
        <v>785.43</v>
      </c>
      <c r="AA2671" t="s">
        <v>48</v>
      </c>
      <c r="AB2671" t="s">
        <v>33</v>
      </c>
      <c r="AC2671">
        <v>55.7</v>
      </c>
      <c r="AD2671" t="s">
        <v>38</v>
      </c>
      <c r="AE2671">
        <v>1884.53</v>
      </c>
      <c r="AF2671">
        <v>0</v>
      </c>
    </row>
    <row r="2672" spans="3:32" x14ac:dyDescent="0.35">
      <c r="C2672" s="1">
        <v>45056</v>
      </c>
      <c r="D2672" s="2">
        <v>45047</v>
      </c>
      <c r="E2672">
        <v>1031</v>
      </c>
      <c r="F2672" s="3">
        <v>4692.7299999999996</v>
      </c>
      <c r="G2672" s="3">
        <v>3233.03</v>
      </c>
      <c r="H2672" s="3">
        <v>1459.7</v>
      </c>
      <c r="I2672" s="3">
        <v>0.69</v>
      </c>
      <c r="J2672">
        <v>0.15</v>
      </c>
      <c r="K2672">
        <v>3456.97</v>
      </c>
      <c r="L2672" t="s">
        <v>35</v>
      </c>
      <c r="M2672">
        <v>689</v>
      </c>
      <c r="N2672">
        <v>0.27</v>
      </c>
      <c r="O2672" s="3">
        <v>462.91</v>
      </c>
      <c r="P2672" s="3">
        <v>0.1</v>
      </c>
      <c r="Q2672" s="3">
        <v>612.12</v>
      </c>
      <c r="R2672" s="3">
        <v>0.13</v>
      </c>
      <c r="S2672">
        <v>1</v>
      </c>
      <c r="T2672">
        <v>1541.88</v>
      </c>
      <c r="U2672">
        <v>67</v>
      </c>
      <c r="V2672">
        <v>0</v>
      </c>
      <c r="W2672">
        <v>414.11</v>
      </c>
      <c r="X2672">
        <v>2665.46</v>
      </c>
      <c r="Y2672" t="s">
        <v>36</v>
      </c>
      <c r="Z2672" s="3">
        <v>491.09</v>
      </c>
      <c r="AA2672" t="s">
        <v>32</v>
      </c>
      <c r="AB2672" t="s">
        <v>33</v>
      </c>
      <c r="AC2672">
        <v>93.7</v>
      </c>
      <c r="AD2672" t="s">
        <v>34</v>
      </c>
      <c r="AE2672">
        <v>1459.7</v>
      </c>
      <c r="AF2672">
        <v>0</v>
      </c>
    </row>
    <row r="2673" spans="3:32" x14ac:dyDescent="0.35">
      <c r="C2673" s="1">
        <v>45056</v>
      </c>
      <c r="D2673" s="2">
        <v>45047</v>
      </c>
      <c r="E2673">
        <v>1812</v>
      </c>
      <c r="F2673" s="3">
        <v>2968.45</v>
      </c>
      <c r="G2673" s="3">
        <v>3498.06</v>
      </c>
      <c r="H2673" s="3">
        <v>-529.61</v>
      </c>
      <c r="I2673" s="3">
        <v>1.18</v>
      </c>
      <c r="J2673">
        <v>0.12</v>
      </c>
      <c r="K2673">
        <v>2777.53</v>
      </c>
      <c r="L2673" t="s">
        <v>35</v>
      </c>
      <c r="M2673">
        <v>686</v>
      </c>
      <c r="N2673">
        <v>0.55000000000000004</v>
      </c>
      <c r="O2673" s="3">
        <v>580.39</v>
      </c>
      <c r="P2673" s="3">
        <v>0.2</v>
      </c>
      <c r="Q2673" s="3">
        <v>791.54</v>
      </c>
      <c r="R2673" s="3">
        <v>0.27</v>
      </c>
      <c r="S2673">
        <v>3</v>
      </c>
      <c r="T2673">
        <v>0</v>
      </c>
      <c r="U2673">
        <v>51</v>
      </c>
      <c r="V2673">
        <v>0</v>
      </c>
      <c r="W2673">
        <v>405.82</v>
      </c>
      <c r="X2673">
        <v>2411.5</v>
      </c>
      <c r="Y2673" t="s">
        <v>36</v>
      </c>
      <c r="Z2673" s="3">
        <v>955.27</v>
      </c>
      <c r="AA2673" t="s">
        <v>48</v>
      </c>
      <c r="AB2673" t="s">
        <v>42</v>
      </c>
      <c r="AC2673">
        <v>51.3</v>
      </c>
      <c r="AD2673" t="s">
        <v>43</v>
      </c>
      <c r="AE2673">
        <v>0</v>
      </c>
      <c r="AF2673">
        <v>0</v>
      </c>
    </row>
    <row r="2674" spans="3:32" x14ac:dyDescent="0.35">
      <c r="C2674" s="1">
        <v>45056</v>
      </c>
      <c r="D2674" s="2">
        <v>45047</v>
      </c>
      <c r="E2674">
        <v>1817</v>
      </c>
      <c r="F2674" s="3">
        <v>3773.88</v>
      </c>
      <c r="G2674" s="3">
        <v>3416.97</v>
      </c>
      <c r="H2674" s="3">
        <v>356.91</v>
      </c>
      <c r="I2674" s="3">
        <v>0.91</v>
      </c>
      <c r="J2674">
        <v>0.2</v>
      </c>
      <c r="K2674">
        <v>1749.92</v>
      </c>
      <c r="L2674" t="s">
        <v>39</v>
      </c>
      <c r="M2674">
        <v>611</v>
      </c>
      <c r="N2674">
        <v>0.53</v>
      </c>
      <c r="O2674" s="3">
        <v>505.7</v>
      </c>
      <c r="P2674" s="3">
        <v>0.13</v>
      </c>
      <c r="Q2674" s="3">
        <v>552.1</v>
      </c>
      <c r="R2674" s="3">
        <v>0.15</v>
      </c>
      <c r="S2674">
        <v>8</v>
      </c>
      <c r="T2674">
        <v>660.39</v>
      </c>
      <c r="U2674">
        <v>25</v>
      </c>
      <c r="V2674">
        <v>0</v>
      </c>
      <c r="W2674">
        <v>641.03</v>
      </c>
      <c r="X2674">
        <v>1581.61</v>
      </c>
      <c r="Y2674" t="s">
        <v>36</v>
      </c>
      <c r="Z2674" s="3">
        <v>1034.1099999999999</v>
      </c>
      <c r="AA2674" t="s">
        <v>45</v>
      </c>
      <c r="AB2674" t="s">
        <v>33</v>
      </c>
      <c r="AC2674">
        <v>90</v>
      </c>
      <c r="AD2674" t="s">
        <v>34</v>
      </c>
      <c r="AE2674">
        <v>356.91</v>
      </c>
      <c r="AF2674">
        <v>0</v>
      </c>
    </row>
    <row r="2675" spans="3:32" x14ac:dyDescent="0.35">
      <c r="C2675" s="1">
        <v>45056</v>
      </c>
      <c r="D2675" s="2">
        <v>45047</v>
      </c>
      <c r="E2675">
        <v>1580</v>
      </c>
      <c r="F2675" s="3">
        <v>3545.01</v>
      </c>
      <c r="G2675" s="3">
        <v>2993.79</v>
      </c>
      <c r="H2675" s="3">
        <v>551.22</v>
      </c>
      <c r="I2675" s="3">
        <v>0.84</v>
      </c>
      <c r="J2675">
        <v>0.11</v>
      </c>
      <c r="K2675">
        <v>3257.97</v>
      </c>
      <c r="L2675" t="s">
        <v>39</v>
      </c>
      <c r="M2675">
        <v>647</v>
      </c>
      <c r="N2675">
        <v>0.31</v>
      </c>
      <c r="O2675" s="3">
        <v>741.27</v>
      </c>
      <c r="P2675" s="3">
        <v>0.21</v>
      </c>
      <c r="Q2675" s="3">
        <v>389.36</v>
      </c>
      <c r="R2675" s="3">
        <v>0.11</v>
      </c>
      <c r="S2675">
        <v>3</v>
      </c>
      <c r="T2675">
        <v>988.32</v>
      </c>
      <c r="U2675">
        <v>47</v>
      </c>
      <c r="V2675">
        <v>0</v>
      </c>
      <c r="W2675">
        <v>497.97</v>
      </c>
      <c r="X2675">
        <v>2406.41</v>
      </c>
      <c r="Y2675" t="s">
        <v>36</v>
      </c>
      <c r="Z2675" s="3">
        <v>1775.42</v>
      </c>
      <c r="AA2675" t="s">
        <v>40</v>
      </c>
      <c r="AB2675" t="s">
        <v>33</v>
      </c>
      <c r="AC2675">
        <v>73.2</v>
      </c>
      <c r="AD2675" t="s">
        <v>34</v>
      </c>
      <c r="AE2675">
        <v>551.22</v>
      </c>
      <c r="AF2675">
        <v>0</v>
      </c>
    </row>
    <row r="2676" spans="3:32" x14ac:dyDescent="0.35">
      <c r="C2676" s="1">
        <v>45056</v>
      </c>
      <c r="D2676" s="2">
        <v>45047</v>
      </c>
      <c r="E2676">
        <v>1098</v>
      </c>
      <c r="F2676" s="3">
        <v>3652.61</v>
      </c>
      <c r="G2676" s="3">
        <v>3711.58</v>
      </c>
      <c r="H2676" s="3">
        <v>-58.97</v>
      </c>
      <c r="I2676" s="3">
        <v>1.02</v>
      </c>
      <c r="J2676">
        <v>0.19</v>
      </c>
      <c r="K2676">
        <v>2367.4299999999998</v>
      </c>
      <c r="L2676" t="s">
        <v>35</v>
      </c>
      <c r="M2676">
        <v>698</v>
      </c>
      <c r="N2676">
        <v>0.47</v>
      </c>
      <c r="O2676" s="3">
        <v>418.9</v>
      </c>
      <c r="P2676" s="3">
        <v>0.11</v>
      </c>
      <c r="Q2676" s="3">
        <v>395.38</v>
      </c>
      <c r="R2676" s="3">
        <v>0.11</v>
      </c>
      <c r="S2676">
        <v>3</v>
      </c>
      <c r="T2676">
        <v>471.62</v>
      </c>
      <c r="U2676">
        <v>74</v>
      </c>
      <c r="V2676">
        <v>0</v>
      </c>
      <c r="W2676">
        <v>504.77</v>
      </c>
      <c r="X2676">
        <v>2014.31</v>
      </c>
      <c r="Y2676" t="s">
        <v>36</v>
      </c>
      <c r="Z2676" s="3">
        <v>434.38</v>
      </c>
      <c r="AA2676" t="s">
        <v>37</v>
      </c>
      <c r="AB2676" t="s">
        <v>33</v>
      </c>
      <c r="AC2676">
        <v>76.8</v>
      </c>
      <c r="AD2676" t="s">
        <v>43</v>
      </c>
      <c r="AE2676">
        <v>0</v>
      </c>
      <c r="AF2676">
        <v>0</v>
      </c>
    </row>
    <row r="2677" spans="3:32" x14ac:dyDescent="0.35">
      <c r="C2677" s="1">
        <v>45056</v>
      </c>
      <c r="D2677" s="2">
        <v>45047</v>
      </c>
      <c r="E2677">
        <v>1025</v>
      </c>
      <c r="F2677" s="3">
        <v>3739.61</v>
      </c>
      <c r="G2677" s="3">
        <v>1449.66</v>
      </c>
      <c r="H2677" s="3">
        <v>2289.9499999999998</v>
      </c>
      <c r="I2677" s="3">
        <v>0.39</v>
      </c>
      <c r="J2677">
        <v>0.27</v>
      </c>
      <c r="K2677">
        <v>3455.02</v>
      </c>
      <c r="L2677" t="s">
        <v>35</v>
      </c>
      <c r="M2677">
        <v>707</v>
      </c>
      <c r="N2677">
        <v>0.51</v>
      </c>
      <c r="O2677" s="3">
        <v>631.62</v>
      </c>
      <c r="P2677" s="3">
        <v>0.17</v>
      </c>
      <c r="Q2677" s="3">
        <v>215.01</v>
      </c>
      <c r="R2677" s="3">
        <v>0.06</v>
      </c>
      <c r="S2677">
        <v>3</v>
      </c>
      <c r="T2677">
        <v>1332.53</v>
      </c>
      <c r="U2677">
        <v>31</v>
      </c>
      <c r="V2677">
        <v>0</v>
      </c>
      <c r="W2677">
        <v>403.53</v>
      </c>
      <c r="X2677">
        <v>2792.54</v>
      </c>
      <c r="Y2677" t="s">
        <v>36</v>
      </c>
      <c r="Z2677" s="3">
        <v>1643.73</v>
      </c>
      <c r="AA2677" t="s">
        <v>40</v>
      </c>
      <c r="AB2677" t="s">
        <v>33</v>
      </c>
      <c r="AC2677">
        <v>26.9</v>
      </c>
      <c r="AD2677" t="s">
        <v>34</v>
      </c>
      <c r="AE2677">
        <v>2289.9499999999998</v>
      </c>
      <c r="AF2677">
        <v>0</v>
      </c>
    </row>
    <row r="2678" spans="3:32" x14ac:dyDescent="0.35">
      <c r="C2678" s="1">
        <v>45056</v>
      </c>
      <c r="D2678" s="2">
        <v>45047</v>
      </c>
      <c r="E2678">
        <v>1160</v>
      </c>
      <c r="F2678" s="3">
        <v>5301.4</v>
      </c>
      <c r="G2678" s="3">
        <v>2448.5700000000002</v>
      </c>
      <c r="H2678" s="3">
        <v>2852.83</v>
      </c>
      <c r="I2678" s="3">
        <v>0.46</v>
      </c>
      <c r="J2678">
        <v>0.18</v>
      </c>
      <c r="K2678">
        <v>3072.38</v>
      </c>
      <c r="L2678" t="s">
        <v>30</v>
      </c>
      <c r="M2678">
        <v>613</v>
      </c>
      <c r="N2678">
        <v>0.22</v>
      </c>
      <c r="O2678" s="3">
        <v>665.33</v>
      </c>
      <c r="P2678" s="3">
        <v>0.13</v>
      </c>
      <c r="Q2678" s="3">
        <v>188.58</v>
      </c>
      <c r="R2678" s="3">
        <v>0.04</v>
      </c>
      <c r="S2678">
        <v>5</v>
      </c>
      <c r="T2678">
        <v>1091.07</v>
      </c>
      <c r="U2678">
        <v>41</v>
      </c>
      <c r="V2678">
        <v>0</v>
      </c>
      <c r="W2678">
        <v>752.16</v>
      </c>
      <c r="X2678">
        <v>2916.11</v>
      </c>
      <c r="Y2678" t="s">
        <v>31</v>
      </c>
      <c r="Z2678" s="3">
        <v>1381.95</v>
      </c>
      <c r="AA2678" t="s">
        <v>50</v>
      </c>
      <c r="AB2678" t="s">
        <v>33</v>
      </c>
      <c r="AC2678">
        <v>2.6</v>
      </c>
      <c r="AD2678" t="s">
        <v>34</v>
      </c>
      <c r="AE2678">
        <v>2852.83</v>
      </c>
      <c r="AF2678">
        <v>0</v>
      </c>
    </row>
    <row r="2679" spans="3:32" x14ac:dyDescent="0.35">
      <c r="C2679" s="1">
        <v>45056</v>
      </c>
      <c r="D2679" s="2">
        <v>45047</v>
      </c>
      <c r="E2679">
        <v>1466</v>
      </c>
      <c r="F2679" s="3">
        <v>4167.25</v>
      </c>
      <c r="G2679" s="3">
        <v>3827.03</v>
      </c>
      <c r="H2679" s="3">
        <v>340.22</v>
      </c>
      <c r="I2679" s="3">
        <v>0.92</v>
      </c>
      <c r="J2679">
        <v>0.2</v>
      </c>
      <c r="K2679">
        <v>2226.77</v>
      </c>
      <c r="L2679" t="s">
        <v>35</v>
      </c>
      <c r="M2679">
        <v>668</v>
      </c>
      <c r="N2679">
        <v>0.44</v>
      </c>
      <c r="O2679" s="3">
        <v>298.74</v>
      </c>
      <c r="P2679" s="3">
        <v>7.0000000000000007E-2</v>
      </c>
      <c r="Q2679" s="3">
        <v>170.87</v>
      </c>
      <c r="R2679" s="3">
        <v>0.04</v>
      </c>
      <c r="S2679">
        <v>8</v>
      </c>
      <c r="T2679">
        <v>1136.96</v>
      </c>
      <c r="U2679">
        <v>97</v>
      </c>
      <c r="V2679">
        <v>0</v>
      </c>
      <c r="W2679">
        <v>337.55</v>
      </c>
      <c r="X2679">
        <v>2896.32</v>
      </c>
      <c r="Y2679" t="s">
        <v>49</v>
      </c>
      <c r="Z2679" s="3">
        <v>1481.89</v>
      </c>
      <c r="AA2679" t="s">
        <v>37</v>
      </c>
      <c r="AB2679" t="s">
        <v>44</v>
      </c>
      <c r="AC2679">
        <v>81.900000000000006</v>
      </c>
      <c r="AD2679" t="s">
        <v>43</v>
      </c>
      <c r="AE2679">
        <v>340.22</v>
      </c>
      <c r="AF2679">
        <v>0</v>
      </c>
    </row>
    <row r="2680" spans="3:32" x14ac:dyDescent="0.35">
      <c r="C2680" s="1">
        <v>45056</v>
      </c>
      <c r="D2680" s="2">
        <v>45047</v>
      </c>
      <c r="E2680">
        <v>1789</v>
      </c>
      <c r="F2680" s="3">
        <v>2656.36</v>
      </c>
      <c r="G2680" s="3">
        <v>3548.7</v>
      </c>
      <c r="H2680" s="3">
        <v>-892.34</v>
      </c>
      <c r="I2680" s="3">
        <v>1.34</v>
      </c>
      <c r="J2680">
        <v>0.15</v>
      </c>
      <c r="K2680">
        <v>3014.84</v>
      </c>
      <c r="L2680" t="s">
        <v>35</v>
      </c>
      <c r="M2680">
        <v>693</v>
      </c>
      <c r="N2680">
        <v>0.56000000000000005</v>
      </c>
      <c r="O2680" s="3">
        <v>608</v>
      </c>
      <c r="P2680" s="3">
        <v>0.23</v>
      </c>
      <c r="Q2680" s="3">
        <v>877.3</v>
      </c>
      <c r="R2680" s="3">
        <v>0.33</v>
      </c>
      <c r="S2680">
        <v>2</v>
      </c>
      <c r="T2680">
        <v>925.43</v>
      </c>
      <c r="U2680">
        <v>44</v>
      </c>
      <c r="V2680">
        <v>0</v>
      </c>
      <c r="W2680">
        <v>526.27</v>
      </c>
      <c r="X2680">
        <v>1709.68</v>
      </c>
      <c r="Y2680" t="s">
        <v>36</v>
      </c>
      <c r="Z2680" s="3">
        <v>1667.17</v>
      </c>
      <c r="AA2680" t="s">
        <v>37</v>
      </c>
      <c r="AB2680" t="s">
        <v>33</v>
      </c>
      <c r="AC2680">
        <v>37.5</v>
      </c>
      <c r="AD2680" t="s">
        <v>34</v>
      </c>
      <c r="AE2680">
        <v>0</v>
      </c>
      <c r="AF2680">
        <v>0</v>
      </c>
    </row>
    <row r="2681" spans="3:32" x14ac:dyDescent="0.35">
      <c r="C2681" s="1">
        <v>45056</v>
      </c>
      <c r="D2681" s="2">
        <v>45047</v>
      </c>
      <c r="E2681">
        <v>1541</v>
      </c>
      <c r="F2681" s="3">
        <v>4573.1899999999996</v>
      </c>
      <c r="G2681" s="3">
        <v>3445.29</v>
      </c>
      <c r="H2681" s="3">
        <v>1127.9000000000001</v>
      </c>
      <c r="I2681" s="3">
        <v>0.75</v>
      </c>
      <c r="J2681">
        <v>0.06</v>
      </c>
      <c r="K2681">
        <v>3403.07</v>
      </c>
      <c r="L2681" t="s">
        <v>30</v>
      </c>
      <c r="M2681">
        <v>642</v>
      </c>
      <c r="N2681">
        <v>0.35</v>
      </c>
      <c r="O2681" s="3">
        <v>670.77</v>
      </c>
      <c r="P2681" s="3">
        <v>0.15</v>
      </c>
      <c r="Q2681" s="3">
        <v>719.6</v>
      </c>
      <c r="R2681" s="3">
        <v>0.16</v>
      </c>
      <c r="S2681">
        <v>6</v>
      </c>
      <c r="T2681">
        <v>1172.33</v>
      </c>
      <c r="U2681">
        <v>67</v>
      </c>
      <c r="V2681">
        <v>0</v>
      </c>
      <c r="W2681">
        <v>389.18</v>
      </c>
      <c r="X2681">
        <v>2505.42</v>
      </c>
      <c r="Y2681" t="s">
        <v>49</v>
      </c>
      <c r="Z2681" s="3">
        <v>1979.87</v>
      </c>
      <c r="AA2681" t="s">
        <v>46</v>
      </c>
      <c r="AB2681" t="s">
        <v>33</v>
      </c>
      <c r="AC2681">
        <v>67.2</v>
      </c>
      <c r="AD2681" t="s">
        <v>43</v>
      </c>
      <c r="AE2681">
        <v>1127.9000000000001</v>
      </c>
      <c r="AF2681">
        <v>0</v>
      </c>
    </row>
    <row r="2682" spans="3:32" x14ac:dyDescent="0.35">
      <c r="C2682" s="1">
        <v>45056</v>
      </c>
      <c r="D2682" s="2">
        <v>45047</v>
      </c>
      <c r="E2682">
        <v>1377</v>
      </c>
      <c r="F2682" s="3">
        <v>4689.51</v>
      </c>
      <c r="G2682" s="3">
        <v>2125.4299999999998</v>
      </c>
      <c r="H2682" s="3">
        <v>2564.08</v>
      </c>
      <c r="I2682" s="3">
        <v>0.45</v>
      </c>
      <c r="J2682">
        <v>0.31</v>
      </c>
      <c r="K2682">
        <v>1688.49</v>
      </c>
      <c r="L2682" t="s">
        <v>39</v>
      </c>
      <c r="M2682">
        <v>595</v>
      </c>
      <c r="N2682">
        <v>0.41</v>
      </c>
      <c r="O2682" s="3">
        <v>981.17</v>
      </c>
      <c r="P2682" s="3">
        <v>0.21</v>
      </c>
      <c r="Q2682" s="3">
        <v>0</v>
      </c>
      <c r="R2682" s="3">
        <v>0</v>
      </c>
      <c r="S2682">
        <v>6</v>
      </c>
      <c r="T2682">
        <v>998.12</v>
      </c>
      <c r="U2682">
        <v>81</v>
      </c>
      <c r="V2682">
        <v>0</v>
      </c>
      <c r="W2682">
        <v>345.49</v>
      </c>
      <c r="X2682">
        <v>1690.71</v>
      </c>
      <c r="Y2682" t="s">
        <v>49</v>
      </c>
      <c r="Z2682" s="3">
        <v>884.5</v>
      </c>
      <c r="AA2682" t="s">
        <v>32</v>
      </c>
      <c r="AB2682" t="s">
        <v>33</v>
      </c>
      <c r="AC2682">
        <v>95.7</v>
      </c>
      <c r="AD2682" t="s">
        <v>34</v>
      </c>
      <c r="AE2682">
        <v>2564.08</v>
      </c>
      <c r="AF2682">
        <v>1</v>
      </c>
    </row>
    <row r="2683" spans="3:32" x14ac:dyDescent="0.35">
      <c r="C2683" s="1">
        <v>45056</v>
      </c>
      <c r="D2683" s="2">
        <v>45047</v>
      </c>
      <c r="E2683">
        <v>1968</v>
      </c>
      <c r="F2683" s="3">
        <v>3645.58</v>
      </c>
      <c r="G2683" s="3">
        <v>2968.09</v>
      </c>
      <c r="H2683" s="3">
        <v>677.49</v>
      </c>
      <c r="I2683" s="3">
        <v>0.81</v>
      </c>
      <c r="J2683">
        <v>0.33</v>
      </c>
      <c r="K2683">
        <v>2949.09</v>
      </c>
      <c r="L2683" t="s">
        <v>35</v>
      </c>
      <c r="M2683">
        <v>746</v>
      </c>
      <c r="N2683">
        <v>0.3</v>
      </c>
      <c r="O2683" s="3">
        <v>570.83000000000004</v>
      </c>
      <c r="P2683" s="3">
        <v>0.16</v>
      </c>
      <c r="Q2683" s="3">
        <v>152.15</v>
      </c>
      <c r="R2683" s="3">
        <v>0.04</v>
      </c>
      <c r="S2683">
        <v>1</v>
      </c>
      <c r="T2683">
        <v>2008.19</v>
      </c>
      <c r="U2683">
        <v>76</v>
      </c>
      <c r="V2683">
        <v>0</v>
      </c>
      <c r="W2683">
        <v>779.02</v>
      </c>
      <c r="X2683">
        <v>1876.21</v>
      </c>
      <c r="Y2683" t="s">
        <v>36</v>
      </c>
      <c r="Z2683" s="3">
        <v>1375.32</v>
      </c>
      <c r="AA2683" t="s">
        <v>40</v>
      </c>
      <c r="AB2683" t="s">
        <v>42</v>
      </c>
      <c r="AC2683">
        <v>88.4</v>
      </c>
      <c r="AD2683" t="s">
        <v>38</v>
      </c>
      <c r="AE2683">
        <v>677.49</v>
      </c>
      <c r="AF2683">
        <v>0</v>
      </c>
    </row>
    <row r="2684" spans="3:32" x14ac:dyDescent="0.35">
      <c r="C2684" s="1">
        <v>45056</v>
      </c>
      <c r="D2684" s="2">
        <v>45047</v>
      </c>
      <c r="E2684">
        <v>1673</v>
      </c>
      <c r="F2684" s="3">
        <v>4611.3999999999996</v>
      </c>
      <c r="G2684" s="3">
        <v>3742.02</v>
      </c>
      <c r="H2684" s="3">
        <v>869.38</v>
      </c>
      <c r="I2684" s="3">
        <v>0.81</v>
      </c>
      <c r="J2684">
        <v>0.12</v>
      </c>
      <c r="K2684">
        <v>2915.82</v>
      </c>
      <c r="L2684" t="s">
        <v>30</v>
      </c>
      <c r="M2684">
        <v>634</v>
      </c>
      <c r="N2684">
        <v>0.43</v>
      </c>
      <c r="O2684" s="3">
        <v>205.84</v>
      </c>
      <c r="P2684" s="3">
        <v>0.04</v>
      </c>
      <c r="Q2684" s="3">
        <v>462.3</v>
      </c>
      <c r="R2684" s="3">
        <v>0.1</v>
      </c>
      <c r="S2684">
        <v>3</v>
      </c>
      <c r="T2684">
        <v>0</v>
      </c>
      <c r="U2684">
        <v>59</v>
      </c>
      <c r="V2684">
        <v>0</v>
      </c>
      <c r="W2684">
        <v>123.18</v>
      </c>
      <c r="X2684">
        <v>2582.15</v>
      </c>
      <c r="Y2684" t="s">
        <v>36</v>
      </c>
      <c r="Z2684" s="3">
        <v>1399.46</v>
      </c>
      <c r="AA2684" t="s">
        <v>32</v>
      </c>
      <c r="AB2684" t="s">
        <v>33</v>
      </c>
      <c r="AC2684">
        <v>46.8</v>
      </c>
      <c r="AD2684" t="s">
        <v>38</v>
      </c>
      <c r="AE2684">
        <v>869.38</v>
      </c>
      <c r="AF2684">
        <v>0</v>
      </c>
    </row>
    <row r="2685" spans="3:32" x14ac:dyDescent="0.35">
      <c r="C2685" s="1">
        <v>45056</v>
      </c>
      <c r="D2685" s="2">
        <v>45047</v>
      </c>
      <c r="E2685">
        <v>1410</v>
      </c>
      <c r="F2685" s="3">
        <v>4529.43</v>
      </c>
      <c r="G2685" s="3">
        <v>4450.72</v>
      </c>
      <c r="H2685" s="3">
        <v>78.709999999999994</v>
      </c>
      <c r="I2685" s="3">
        <v>0.98</v>
      </c>
      <c r="J2685">
        <v>0.32</v>
      </c>
      <c r="K2685">
        <v>2843.32</v>
      </c>
      <c r="L2685" t="s">
        <v>35</v>
      </c>
      <c r="M2685">
        <v>706</v>
      </c>
      <c r="N2685">
        <v>0.3</v>
      </c>
      <c r="O2685" s="3">
        <v>509.29</v>
      </c>
      <c r="P2685" s="3">
        <v>0.11</v>
      </c>
      <c r="Q2685" s="3">
        <v>314.07</v>
      </c>
      <c r="R2685" s="3">
        <v>7.0000000000000007E-2</v>
      </c>
      <c r="S2685">
        <v>9</v>
      </c>
      <c r="T2685">
        <v>1267.8499999999999</v>
      </c>
      <c r="U2685">
        <v>76</v>
      </c>
      <c r="V2685">
        <v>0</v>
      </c>
      <c r="W2685">
        <v>68.48</v>
      </c>
      <c r="X2685">
        <v>2386.27</v>
      </c>
      <c r="Y2685" t="s">
        <v>36</v>
      </c>
      <c r="Z2685" s="3">
        <v>1395.53</v>
      </c>
      <c r="AA2685" t="s">
        <v>50</v>
      </c>
      <c r="AB2685" t="s">
        <v>33</v>
      </c>
      <c r="AC2685">
        <v>31.1</v>
      </c>
      <c r="AD2685" t="s">
        <v>43</v>
      </c>
      <c r="AE2685">
        <v>78.709999999999994</v>
      </c>
      <c r="AF2685">
        <v>0</v>
      </c>
    </row>
    <row r="2686" spans="3:32" x14ac:dyDescent="0.35">
      <c r="C2686" s="1">
        <v>45056</v>
      </c>
      <c r="D2686" s="2">
        <v>45047</v>
      </c>
      <c r="E2686">
        <v>1655</v>
      </c>
      <c r="F2686" s="3">
        <v>3875.66</v>
      </c>
      <c r="G2686" s="3">
        <v>2913.65</v>
      </c>
      <c r="H2686" s="3">
        <v>962.01</v>
      </c>
      <c r="I2686" s="3">
        <v>0.75</v>
      </c>
      <c r="J2686">
        <v>0.05</v>
      </c>
      <c r="K2686">
        <v>2568.94</v>
      </c>
      <c r="L2686" t="s">
        <v>30</v>
      </c>
      <c r="M2686">
        <v>683</v>
      </c>
      <c r="N2686">
        <v>0.42</v>
      </c>
      <c r="O2686" s="3">
        <v>878.33</v>
      </c>
      <c r="P2686" s="3">
        <v>0.23</v>
      </c>
      <c r="Q2686" s="3">
        <v>318.66000000000003</v>
      </c>
      <c r="R2686" s="3">
        <v>0.08</v>
      </c>
      <c r="S2686">
        <v>2</v>
      </c>
      <c r="T2686">
        <v>837.78</v>
      </c>
      <c r="U2686">
        <v>39</v>
      </c>
      <c r="V2686">
        <v>0</v>
      </c>
      <c r="W2686">
        <v>839.7</v>
      </c>
      <c r="X2686">
        <v>1498.21</v>
      </c>
      <c r="Y2686" t="s">
        <v>36</v>
      </c>
      <c r="Z2686" s="3">
        <v>1519.9</v>
      </c>
      <c r="AA2686" t="s">
        <v>47</v>
      </c>
      <c r="AB2686" t="s">
        <v>33</v>
      </c>
      <c r="AC2686">
        <v>22.7</v>
      </c>
      <c r="AD2686" t="s">
        <v>34</v>
      </c>
      <c r="AE2686">
        <v>962.01</v>
      </c>
      <c r="AF2686">
        <v>0</v>
      </c>
    </row>
    <row r="2687" spans="3:32" x14ac:dyDescent="0.35">
      <c r="C2687" s="1">
        <v>45056</v>
      </c>
      <c r="D2687" s="2">
        <v>45047</v>
      </c>
      <c r="E2687">
        <v>1825</v>
      </c>
      <c r="F2687" s="3">
        <v>3305.34</v>
      </c>
      <c r="G2687" s="3">
        <v>1863.51</v>
      </c>
      <c r="H2687" s="3">
        <v>1441.83</v>
      </c>
      <c r="I2687" s="3">
        <v>0.56000000000000005</v>
      </c>
      <c r="J2687">
        <v>0.14000000000000001</v>
      </c>
      <c r="K2687">
        <v>3610.13</v>
      </c>
      <c r="L2687" t="s">
        <v>35</v>
      </c>
      <c r="M2687">
        <v>671</v>
      </c>
      <c r="N2687">
        <v>0.23</v>
      </c>
      <c r="O2687" s="3">
        <v>645.11</v>
      </c>
      <c r="P2687" s="3">
        <v>0.2</v>
      </c>
      <c r="Q2687" s="3">
        <v>689.18</v>
      </c>
      <c r="R2687" s="3">
        <v>0.21</v>
      </c>
      <c r="S2687">
        <v>4</v>
      </c>
      <c r="T2687">
        <v>1923.36</v>
      </c>
      <c r="U2687">
        <v>67</v>
      </c>
      <c r="V2687">
        <v>0</v>
      </c>
      <c r="W2687">
        <v>237.07</v>
      </c>
      <c r="X2687">
        <v>2410.84</v>
      </c>
      <c r="Y2687" t="s">
        <v>49</v>
      </c>
      <c r="Z2687" s="3">
        <v>1456.45</v>
      </c>
      <c r="AA2687" t="s">
        <v>48</v>
      </c>
      <c r="AB2687" t="s">
        <v>33</v>
      </c>
      <c r="AC2687">
        <v>97.5</v>
      </c>
      <c r="AD2687" t="s">
        <v>34</v>
      </c>
      <c r="AE2687">
        <v>1441.83</v>
      </c>
      <c r="AF2687">
        <v>0</v>
      </c>
    </row>
    <row r="2688" spans="3:32" x14ac:dyDescent="0.35">
      <c r="C2688" s="1">
        <v>45056</v>
      </c>
      <c r="D2688" s="2">
        <v>45047</v>
      </c>
      <c r="E2688">
        <v>1930</v>
      </c>
      <c r="F2688" s="3">
        <v>4209.95</v>
      </c>
      <c r="G2688" s="3">
        <v>3947.05</v>
      </c>
      <c r="H2688" s="3">
        <v>262.89999999999998</v>
      </c>
      <c r="I2688" s="3">
        <v>0.94</v>
      </c>
      <c r="J2688">
        <v>0.3</v>
      </c>
      <c r="K2688">
        <v>3521.72</v>
      </c>
      <c r="L2688" t="s">
        <v>39</v>
      </c>
      <c r="M2688">
        <v>636</v>
      </c>
      <c r="N2688">
        <v>0.28000000000000003</v>
      </c>
      <c r="O2688" s="3">
        <v>145.19999999999999</v>
      </c>
      <c r="P2688" s="3">
        <v>0.03</v>
      </c>
      <c r="Q2688" s="3">
        <v>107.43</v>
      </c>
      <c r="R2688" s="3">
        <v>0.03</v>
      </c>
      <c r="S2688">
        <v>7</v>
      </c>
      <c r="T2688">
        <v>799.43</v>
      </c>
      <c r="U2688">
        <v>70</v>
      </c>
      <c r="V2688">
        <v>0</v>
      </c>
      <c r="W2688">
        <v>746.55</v>
      </c>
      <c r="X2688">
        <v>2882.91</v>
      </c>
      <c r="Y2688" t="s">
        <v>31</v>
      </c>
      <c r="Z2688" s="3">
        <v>1550.14</v>
      </c>
      <c r="AA2688" t="s">
        <v>47</v>
      </c>
      <c r="AB2688" t="s">
        <v>42</v>
      </c>
      <c r="AC2688">
        <v>19</v>
      </c>
      <c r="AD2688" t="s">
        <v>34</v>
      </c>
      <c r="AE2688">
        <v>262.89999999999998</v>
      </c>
      <c r="AF2688">
        <v>0</v>
      </c>
    </row>
    <row r="2689" spans="3:32" x14ac:dyDescent="0.35">
      <c r="C2689" s="1">
        <v>45056</v>
      </c>
      <c r="D2689" s="2">
        <v>45047</v>
      </c>
      <c r="E2689">
        <v>1058</v>
      </c>
      <c r="F2689" s="3">
        <v>4337.74</v>
      </c>
      <c r="G2689" s="3">
        <v>3579.39</v>
      </c>
      <c r="H2689" s="3">
        <v>758.35</v>
      </c>
      <c r="I2689" s="3">
        <v>0.83</v>
      </c>
      <c r="J2689">
        <v>0.12</v>
      </c>
      <c r="K2689">
        <v>2480.08</v>
      </c>
      <c r="L2689" t="s">
        <v>35</v>
      </c>
      <c r="M2689">
        <v>629</v>
      </c>
      <c r="N2689">
        <v>0.13</v>
      </c>
      <c r="O2689" s="3">
        <v>455.88</v>
      </c>
      <c r="P2689" s="3">
        <v>0.11</v>
      </c>
      <c r="Q2689" s="3">
        <v>558.82000000000005</v>
      </c>
      <c r="R2689" s="3">
        <v>0.13</v>
      </c>
      <c r="S2689">
        <v>5</v>
      </c>
      <c r="T2689">
        <v>1419.74</v>
      </c>
      <c r="U2689">
        <v>96</v>
      </c>
      <c r="V2689">
        <v>0</v>
      </c>
      <c r="W2689">
        <v>662.51</v>
      </c>
      <c r="X2689">
        <v>1886.22</v>
      </c>
      <c r="Y2689" t="s">
        <v>31</v>
      </c>
      <c r="Z2689" s="3">
        <v>1750.57</v>
      </c>
      <c r="AA2689" t="s">
        <v>47</v>
      </c>
      <c r="AB2689" t="s">
        <v>44</v>
      </c>
      <c r="AC2689">
        <v>98.1</v>
      </c>
      <c r="AD2689" t="s">
        <v>34</v>
      </c>
      <c r="AE2689">
        <v>758.35</v>
      </c>
      <c r="AF2689">
        <v>0</v>
      </c>
    </row>
    <row r="2690" spans="3:32" x14ac:dyDescent="0.35">
      <c r="C2690" s="1">
        <v>45056</v>
      </c>
      <c r="D2690" s="2">
        <v>45047</v>
      </c>
      <c r="E2690">
        <v>1448</v>
      </c>
      <c r="F2690" s="3">
        <v>4736.6499999999996</v>
      </c>
      <c r="G2690" s="3">
        <v>2455.46</v>
      </c>
      <c r="H2690" s="3">
        <v>2281.19</v>
      </c>
      <c r="I2690" s="3">
        <v>0.52</v>
      </c>
      <c r="J2690">
        <v>0.2</v>
      </c>
      <c r="K2690">
        <v>3009.34</v>
      </c>
      <c r="L2690" t="s">
        <v>35</v>
      </c>
      <c r="M2690">
        <v>712</v>
      </c>
      <c r="N2690">
        <v>0.18</v>
      </c>
      <c r="O2690" s="3">
        <v>380.85</v>
      </c>
      <c r="P2690" s="3">
        <v>0.08</v>
      </c>
      <c r="Q2690" s="3">
        <v>454.5</v>
      </c>
      <c r="R2690" s="3">
        <v>0.1</v>
      </c>
      <c r="S2690">
        <v>4</v>
      </c>
      <c r="T2690">
        <v>1390.19</v>
      </c>
      <c r="U2690">
        <v>95</v>
      </c>
      <c r="V2690">
        <v>0</v>
      </c>
      <c r="W2690">
        <v>529.9</v>
      </c>
      <c r="X2690">
        <v>2950.98</v>
      </c>
      <c r="Y2690" t="s">
        <v>36</v>
      </c>
      <c r="Z2690" s="3">
        <v>1650.98</v>
      </c>
      <c r="AA2690" t="s">
        <v>47</v>
      </c>
      <c r="AB2690" t="s">
        <v>33</v>
      </c>
      <c r="AC2690">
        <v>8.5</v>
      </c>
      <c r="AD2690" t="s">
        <v>43</v>
      </c>
      <c r="AE2690">
        <v>2281.19</v>
      </c>
      <c r="AF2690">
        <v>0</v>
      </c>
    </row>
    <row r="2691" spans="3:32" x14ac:dyDescent="0.35">
      <c r="C2691" s="1">
        <v>45056</v>
      </c>
      <c r="D2691" s="2">
        <v>45047</v>
      </c>
      <c r="E2691">
        <v>1507</v>
      </c>
      <c r="F2691" s="3">
        <v>4737.21</v>
      </c>
      <c r="G2691" s="3">
        <v>4143</v>
      </c>
      <c r="H2691" s="3">
        <v>594.21</v>
      </c>
      <c r="I2691" s="3">
        <v>0.87</v>
      </c>
      <c r="J2691">
        <v>0.06</v>
      </c>
      <c r="K2691">
        <v>3069.22</v>
      </c>
      <c r="L2691" t="s">
        <v>30</v>
      </c>
      <c r="M2691">
        <v>758</v>
      </c>
      <c r="N2691">
        <v>0.59</v>
      </c>
      <c r="O2691" s="3">
        <v>39.08</v>
      </c>
      <c r="P2691" s="3">
        <v>0.01</v>
      </c>
      <c r="Q2691" s="3">
        <v>837</v>
      </c>
      <c r="R2691" s="3">
        <v>0.18</v>
      </c>
      <c r="S2691">
        <v>5</v>
      </c>
      <c r="T2691">
        <v>530.17999999999995</v>
      </c>
      <c r="U2691">
        <v>71</v>
      </c>
      <c r="V2691">
        <v>1</v>
      </c>
      <c r="W2691">
        <v>587.47</v>
      </c>
      <c r="X2691">
        <v>2665.13</v>
      </c>
      <c r="Y2691" t="s">
        <v>49</v>
      </c>
      <c r="Z2691" s="3">
        <v>1051.04</v>
      </c>
      <c r="AA2691" t="s">
        <v>40</v>
      </c>
      <c r="AB2691" t="s">
        <v>33</v>
      </c>
      <c r="AC2691">
        <v>81.599999999999994</v>
      </c>
      <c r="AD2691" t="s">
        <v>34</v>
      </c>
      <c r="AE2691">
        <v>594.21</v>
      </c>
      <c r="AF2691">
        <v>0</v>
      </c>
    </row>
    <row r="2692" spans="3:32" x14ac:dyDescent="0.35">
      <c r="C2692" s="1">
        <v>45056</v>
      </c>
      <c r="D2692" s="2">
        <v>45047</v>
      </c>
      <c r="E2692">
        <v>1280</v>
      </c>
      <c r="F2692" s="3">
        <v>3970.14</v>
      </c>
      <c r="G2692" s="3">
        <v>2028.28</v>
      </c>
      <c r="H2692" s="3">
        <v>1941.86</v>
      </c>
      <c r="I2692" s="3">
        <v>0.51</v>
      </c>
      <c r="J2692">
        <v>0.1</v>
      </c>
      <c r="K2692">
        <v>1858.01</v>
      </c>
      <c r="L2692" t="s">
        <v>35</v>
      </c>
      <c r="M2692">
        <v>759</v>
      </c>
      <c r="N2692">
        <v>0.47</v>
      </c>
      <c r="O2692" s="3">
        <v>177.92</v>
      </c>
      <c r="P2692" s="3">
        <v>0.04</v>
      </c>
      <c r="Q2692" s="3">
        <v>0</v>
      </c>
      <c r="R2692" s="3">
        <v>0</v>
      </c>
      <c r="S2692">
        <v>1</v>
      </c>
      <c r="T2692">
        <v>1337.76</v>
      </c>
      <c r="U2692">
        <v>32</v>
      </c>
      <c r="V2692">
        <v>0</v>
      </c>
      <c r="W2692">
        <v>654.66</v>
      </c>
      <c r="X2692">
        <v>1278.1099999999999</v>
      </c>
      <c r="Y2692" t="s">
        <v>49</v>
      </c>
      <c r="Z2692" s="3">
        <v>1004.55</v>
      </c>
      <c r="AA2692" t="s">
        <v>40</v>
      </c>
      <c r="AB2692" t="s">
        <v>44</v>
      </c>
      <c r="AC2692">
        <v>22.1</v>
      </c>
      <c r="AD2692" t="s">
        <v>34</v>
      </c>
      <c r="AE2692">
        <v>1941.86</v>
      </c>
      <c r="AF2692">
        <v>1</v>
      </c>
    </row>
    <row r="2693" spans="3:32" x14ac:dyDescent="0.35">
      <c r="C2693" s="1">
        <v>45056</v>
      </c>
      <c r="D2693" s="2">
        <v>45047</v>
      </c>
      <c r="E2693">
        <v>1595</v>
      </c>
      <c r="F2693" s="3">
        <v>2529.91</v>
      </c>
      <c r="G2693" s="3">
        <v>3380.55</v>
      </c>
      <c r="H2693" s="3">
        <v>-850.64</v>
      </c>
      <c r="I2693" s="3">
        <v>1.34</v>
      </c>
      <c r="J2693">
        <v>0.27</v>
      </c>
      <c r="K2693">
        <v>2887.55</v>
      </c>
      <c r="L2693" t="s">
        <v>39</v>
      </c>
      <c r="M2693">
        <v>740</v>
      </c>
      <c r="N2693">
        <v>0.25</v>
      </c>
      <c r="O2693" s="3">
        <v>456.37</v>
      </c>
      <c r="P2693" s="3">
        <v>0.18</v>
      </c>
      <c r="Q2693" s="3">
        <v>212.81</v>
      </c>
      <c r="R2693" s="3">
        <v>0.08</v>
      </c>
      <c r="S2693">
        <v>5</v>
      </c>
      <c r="T2693">
        <v>1502.16</v>
      </c>
      <c r="U2693">
        <v>91</v>
      </c>
      <c r="V2693">
        <v>0</v>
      </c>
      <c r="W2693">
        <v>614.82000000000005</v>
      </c>
      <c r="X2693">
        <v>1520.28</v>
      </c>
      <c r="Y2693" t="s">
        <v>49</v>
      </c>
      <c r="Z2693" s="3">
        <v>1522.67</v>
      </c>
      <c r="AA2693" t="s">
        <v>46</v>
      </c>
      <c r="AB2693" t="s">
        <v>33</v>
      </c>
      <c r="AC2693">
        <v>72.900000000000006</v>
      </c>
      <c r="AD2693" t="s">
        <v>43</v>
      </c>
      <c r="AE2693">
        <v>0</v>
      </c>
      <c r="AF2693">
        <v>0</v>
      </c>
    </row>
    <row r="2694" spans="3:32" x14ac:dyDescent="0.35">
      <c r="C2694" s="1">
        <v>45056</v>
      </c>
      <c r="D2694" s="2">
        <v>45047</v>
      </c>
      <c r="E2694">
        <v>1161</v>
      </c>
      <c r="F2694" s="3">
        <v>4547.95</v>
      </c>
      <c r="G2694" s="3">
        <v>2299.35</v>
      </c>
      <c r="H2694" s="3">
        <v>2248.6</v>
      </c>
      <c r="I2694" s="3">
        <v>0.51</v>
      </c>
      <c r="J2694">
        <v>0.3</v>
      </c>
      <c r="K2694">
        <v>2629.86</v>
      </c>
      <c r="L2694" t="s">
        <v>39</v>
      </c>
      <c r="M2694">
        <v>695</v>
      </c>
      <c r="N2694">
        <v>0.44</v>
      </c>
      <c r="O2694" s="3">
        <v>420.01</v>
      </c>
      <c r="P2694" s="3">
        <v>0.09</v>
      </c>
      <c r="Q2694" s="3">
        <v>0</v>
      </c>
      <c r="R2694" s="3">
        <v>0</v>
      </c>
      <c r="S2694">
        <v>7</v>
      </c>
      <c r="T2694">
        <v>542.98</v>
      </c>
      <c r="U2694">
        <v>81</v>
      </c>
      <c r="V2694">
        <v>1</v>
      </c>
      <c r="W2694">
        <v>847.38</v>
      </c>
      <c r="X2694">
        <v>2394.54</v>
      </c>
      <c r="Y2694" t="s">
        <v>36</v>
      </c>
      <c r="Z2694" s="3">
        <v>1025.8800000000001</v>
      </c>
      <c r="AA2694" t="s">
        <v>50</v>
      </c>
      <c r="AB2694" t="s">
        <v>44</v>
      </c>
      <c r="AC2694">
        <v>22.3</v>
      </c>
      <c r="AD2694" t="s">
        <v>34</v>
      </c>
      <c r="AE2694">
        <v>2248.6</v>
      </c>
      <c r="AF2694">
        <v>0</v>
      </c>
    </row>
    <row r="2695" spans="3:32" x14ac:dyDescent="0.35">
      <c r="C2695" s="1">
        <v>45056</v>
      </c>
      <c r="D2695" s="2">
        <v>45047</v>
      </c>
      <c r="E2695">
        <v>1478</v>
      </c>
      <c r="F2695" s="3">
        <v>3870.58</v>
      </c>
      <c r="G2695" s="3">
        <v>2692.09</v>
      </c>
      <c r="H2695" s="3">
        <v>1178.49</v>
      </c>
      <c r="I2695" s="3">
        <v>0.7</v>
      </c>
      <c r="J2695">
        <v>0.09</v>
      </c>
      <c r="K2695">
        <v>2357.92</v>
      </c>
      <c r="L2695" t="s">
        <v>39</v>
      </c>
      <c r="M2695">
        <v>702</v>
      </c>
      <c r="N2695">
        <v>0.53</v>
      </c>
      <c r="O2695" s="3">
        <v>675.74</v>
      </c>
      <c r="P2695" s="3">
        <v>0.17</v>
      </c>
      <c r="Q2695" s="3">
        <v>261.88</v>
      </c>
      <c r="R2695" s="3">
        <v>7.0000000000000007E-2</v>
      </c>
      <c r="S2695">
        <v>7</v>
      </c>
      <c r="T2695">
        <v>911</v>
      </c>
      <c r="U2695">
        <v>82</v>
      </c>
      <c r="V2695">
        <v>0</v>
      </c>
      <c r="W2695">
        <v>739.19</v>
      </c>
      <c r="X2695">
        <v>1991.7</v>
      </c>
      <c r="Y2695" t="s">
        <v>36</v>
      </c>
      <c r="Z2695" s="3">
        <v>1084.94</v>
      </c>
      <c r="AA2695" t="s">
        <v>47</v>
      </c>
      <c r="AB2695" t="s">
        <v>33</v>
      </c>
      <c r="AC2695">
        <v>5.9</v>
      </c>
      <c r="AD2695" t="s">
        <v>34</v>
      </c>
      <c r="AE2695">
        <v>1178.49</v>
      </c>
      <c r="AF2695">
        <v>0</v>
      </c>
    </row>
    <row r="2696" spans="3:32" x14ac:dyDescent="0.35">
      <c r="C2696" s="1">
        <v>45056</v>
      </c>
      <c r="D2696" s="2">
        <v>45047</v>
      </c>
      <c r="E2696">
        <v>1236</v>
      </c>
      <c r="F2696" s="3">
        <v>3926.44</v>
      </c>
      <c r="G2696" s="3">
        <v>2339.91</v>
      </c>
      <c r="H2696" s="3">
        <v>1586.53</v>
      </c>
      <c r="I2696" s="3">
        <v>0.6</v>
      </c>
      <c r="J2696">
        <v>0.34</v>
      </c>
      <c r="K2696">
        <v>3052.81</v>
      </c>
      <c r="L2696" t="s">
        <v>39</v>
      </c>
      <c r="M2696">
        <v>618</v>
      </c>
      <c r="N2696">
        <v>0.47</v>
      </c>
      <c r="O2696" s="3">
        <v>221.04</v>
      </c>
      <c r="P2696" s="3">
        <v>0.06</v>
      </c>
      <c r="Q2696" s="3">
        <v>499.32</v>
      </c>
      <c r="R2696" s="3">
        <v>0.13</v>
      </c>
      <c r="S2696">
        <v>7</v>
      </c>
      <c r="T2696">
        <v>385.63</v>
      </c>
      <c r="U2696">
        <v>32</v>
      </c>
      <c r="V2696">
        <v>0</v>
      </c>
      <c r="W2696">
        <v>403.51</v>
      </c>
      <c r="X2696">
        <v>2459.9499999999998</v>
      </c>
      <c r="Y2696" t="s">
        <v>49</v>
      </c>
      <c r="Z2696" s="3">
        <v>495</v>
      </c>
      <c r="AA2696" t="s">
        <v>48</v>
      </c>
      <c r="AB2696" t="s">
        <v>33</v>
      </c>
      <c r="AC2696">
        <v>50.3</v>
      </c>
      <c r="AD2696" t="s">
        <v>34</v>
      </c>
      <c r="AE2696">
        <v>1586.53</v>
      </c>
      <c r="AF2696">
        <v>0</v>
      </c>
    </row>
    <row r="2697" spans="3:32" x14ac:dyDescent="0.35">
      <c r="C2697" s="1">
        <v>45056</v>
      </c>
      <c r="D2697" s="2">
        <v>45047</v>
      </c>
      <c r="E2697">
        <v>1807</v>
      </c>
      <c r="F2697" s="3">
        <v>4482.6499999999996</v>
      </c>
      <c r="G2697" s="3">
        <v>2778.98</v>
      </c>
      <c r="H2697" s="3">
        <v>1703.67</v>
      </c>
      <c r="I2697" s="3">
        <v>0.62</v>
      </c>
      <c r="J2697">
        <v>0.33</v>
      </c>
      <c r="K2697">
        <v>2849.01</v>
      </c>
      <c r="L2697" t="s">
        <v>35</v>
      </c>
      <c r="M2697">
        <v>733</v>
      </c>
      <c r="N2697">
        <v>0.11</v>
      </c>
      <c r="O2697" s="3">
        <v>542.55999999999995</v>
      </c>
      <c r="P2697" s="3">
        <v>0.12</v>
      </c>
      <c r="Q2697" s="3">
        <v>0</v>
      </c>
      <c r="R2697" s="3">
        <v>0</v>
      </c>
      <c r="S2697">
        <v>8</v>
      </c>
      <c r="T2697">
        <v>1256.6300000000001</v>
      </c>
      <c r="U2697">
        <v>34</v>
      </c>
      <c r="V2697">
        <v>0</v>
      </c>
      <c r="W2697">
        <v>405.33</v>
      </c>
      <c r="X2697">
        <v>3889.18</v>
      </c>
      <c r="Y2697" t="s">
        <v>36</v>
      </c>
      <c r="Z2697" s="3">
        <v>731.96</v>
      </c>
      <c r="AA2697" t="s">
        <v>46</v>
      </c>
      <c r="AB2697" t="s">
        <v>44</v>
      </c>
      <c r="AC2697">
        <v>8.9</v>
      </c>
      <c r="AD2697" t="s">
        <v>43</v>
      </c>
      <c r="AE2697">
        <v>1703.67</v>
      </c>
      <c r="AF2697">
        <v>0</v>
      </c>
    </row>
    <row r="2698" spans="3:32" x14ac:dyDescent="0.35">
      <c r="C2698" s="1">
        <v>45056</v>
      </c>
      <c r="D2698" s="2">
        <v>45047</v>
      </c>
      <c r="E2698">
        <v>1346</v>
      </c>
      <c r="F2698" s="3">
        <v>4001.4</v>
      </c>
      <c r="G2698" s="3">
        <v>3984.94</v>
      </c>
      <c r="H2698" s="3">
        <v>16.46</v>
      </c>
      <c r="I2698" s="3">
        <v>1</v>
      </c>
      <c r="J2698">
        <v>0.14000000000000001</v>
      </c>
      <c r="K2698">
        <v>3651.38</v>
      </c>
      <c r="L2698" t="s">
        <v>39</v>
      </c>
      <c r="M2698">
        <v>606</v>
      </c>
      <c r="N2698">
        <v>0.3</v>
      </c>
      <c r="O2698" s="3">
        <v>497.99</v>
      </c>
      <c r="P2698" s="3">
        <v>0.12</v>
      </c>
      <c r="Q2698" s="3">
        <v>357.93</v>
      </c>
      <c r="R2698" s="3">
        <v>0.09</v>
      </c>
      <c r="S2698">
        <v>6</v>
      </c>
      <c r="T2698">
        <v>1259.23</v>
      </c>
      <c r="U2698">
        <v>24</v>
      </c>
      <c r="V2698">
        <v>0</v>
      </c>
      <c r="W2698">
        <v>526.9</v>
      </c>
      <c r="X2698">
        <v>1804.4</v>
      </c>
      <c r="Y2698" t="s">
        <v>31</v>
      </c>
      <c r="Z2698" s="3">
        <v>1125.57</v>
      </c>
      <c r="AA2698" t="s">
        <v>47</v>
      </c>
      <c r="AB2698" t="s">
        <v>33</v>
      </c>
      <c r="AC2698">
        <v>27</v>
      </c>
      <c r="AD2698" t="s">
        <v>34</v>
      </c>
      <c r="AE2698">
        <v>16.46</v>
      </c>
      <c r="AF2698">
        <v>0</v>
      </c>
    </row>
    <row r="2699" spans="3:32" x14ac:dyDescent="0.35">
      <c r="C2699" s="1">
        <v>45056</v>
      </c>
      <c r="D2699" s="2">
        <v>45047</v>
      </c>
      <c r="E2699">
        <v>1250</v>
      </c>
      <c r="F2699" s="3">
        <v>6059.3</v>
      </c>
      <c r="G2699" s="3">
        <v>3231.19</v>
      </c>
      <c r="H2699" s="3">
        <v>2828.11</v>
      </c>
      <c r="I2699" s="3">
        <v>0.53</v>
      </c>
      <c r="J2699">
        <v>0.36</v>
      </c>
      <c r="K2699">
        <v>2913.89</v>
      </c>
      <c r="L2699" t="s">
        <v>39</v>
      </c>
      <c r="M2699">
        <v>698</v>
      </c>
      <c r="N2699">
        <v>0.48</v>
      </c>
      <c r="O2699" s="3">
        <v>276</v>
      </c>
      <c r="P2699" s="3">
        <v>0.05</v>
      </c>
      <c r="Q2699" s="3">
        <v>596.98</v>
      </c>
      <c r="R2699" s="3">
        <v>0.1</v>
      </c>
      <c r="S2699">
        <v>1</v>
      </c>
      <c r="T2699">
        <v>1499.32</v>
      </c>
      <c r="U2699">
        <v>83</v>
      </c>
      <c r="V2699">
        <v>0</v>
      </c>
      <c r="W2699">
        <v>686.98</v>
      </c>
      <c r="X2699">
        <v>2392.21</v>
      </c>
      <c r="Y2699" t="s">
        <v>31</v>
      </c>
      <c r="Z2699" s="3">
        <v>1741.81</v>
      </c>
      <c r="AA2699" t="s">
        <v>51</v>
      </c>
      <c r="AB2699" t="s">
        <v>44</v>
      </c>
      <c r="AC2699">
        <v>47.3</v>
      </c>
      <c r="AD2699" t="s">
        <v>34</v>
      </c>
      <c r="AE2699">
        <v>2828.11</v>
      </c>
      <c r="AF2699">
        <v>0</v>
      </c>
    </row>
    <row r="2700" spans="3:32" x14ac:dyDescent="0.35">
      <c r="C2700" s="1">
        <v>45056</v>
      </c>
      <c r="D2700" s="2">
        <v>45047</v>
      </c>
      <c r="E2700">
        <v>1152</v>
      </c>
      <c r="F2700" s="3">
        <v>4634.0200000000004</v>
      </c>
      <c r="G2700" s="3">
        <v>2889.31</v>
      </c>
      <c r="H2700" s="3">
        <v>1744.71</v>
      </c>
      <c r="I2700" s="3">
        <v>0.62</v>
      </c>
      <c r="J2700">
        <v>0.39</v>
      </c>
      <c r="K2700">
        <v>2527.64</v>
      </c>
      <c r="L2700" t="s">
        <v>30</v>
      </c>
      <c r="M2700">
        <v>672</v>
      </c>
      <c r="N2700">
        <v>0.12</v>
      </c>
      <c r="O2700" s="3">
        <v>787.72</v>
      </c>
      <c r="P2700" s="3">
        <v>0.17</v>
      </c>
      <c r="Q2700" s="3">
        <v>0</v>
      </c>
      <c r="R2700" s="3">
        <v>0</v>
      </c>
      <c r="S2700">
        <v>9</v>
      </c>
      <c r="T2700">
        <v>932.07</v>
      </c>
      <c r="U2700">
        <v>47</v>
      </c>
      <c r="V2700">
        <v>1</v>
      </c>
      <c r="W2700">
        <v>323.31</v>
      </c>
      <c r="X2700">
        <v>2075.98</v>
      </c>
      <c r="Y2700" t="s">
        <v>36</v>
      </c>
      <c r="Z2700" s="3">
        <v>1264.0899999999999</v>
      </c>
      <c r="AA2700" t="s">
        <v>41</v>
      </c>
      <c r="AB2700" t="s">
        <v>33</v>
      </c>
      <c r="AC2700">
        <v>45</v>
      </c>
      <c r="AD2700" t="s">
        <v>38</v>
      </c>
      <c r="AE2700">
        <v>1744.71</v>
      </c>
      <c r="AF2700">
        <v>0</v>
      </c>
    </row>
    <row r="2701" spans="3:32" x14ac:dyDescent="0.35">
      <c r="C2701" s="1">
        <v>45056</v>
      </c>
      <c r="D2701" s="2">
        <v>45047</v>
      </c>
      <c r="E2701">
        <v>1949</v>
      </c>
      <c r="F2701" s="3">
        <v>4199.2700000000004</v>
      </c>
      <c r="G2701" s="3">
        <v>1629</v>
      </c>
      <c r="H2701" s="3">
        <v>2570.27</v>
      </c>
      <c r="I2701" s="3">
        <v>0.39</v>
      </c>
      <c r="J2701">
        <v>0.32</v>
      </c>
      <c r="K2701">
        <v>2548.16</v>
      </c>
      <c r="L2701" t="s">
        <v>30</v>
      </c>
      <c r="M2701">
        <v>765</v>
      </c>
      <c r="N2701">
        <v>0.34</v>
      </c>
      <c r="O2701" s="3">
        <v>681.69</v>
      </c>
      <c r="P2701" s="3">
        <v>0.16</v>
      </c>
      <c r="Q2701" s="3">
        <v>0</v>
      </c>
      <c r="R2701" s="3">
        <v>0</v>
      </c>
      <c r="S2701">
        <v>6</v>
      </c>
      <c r="T2701">
        <v>1189.4100000000001</v>
      </c>
      <c r="U2701">
        <v>53</v>
      </c>
      <c r="V2701">
        <v>0</v>
      </c>
      <c r="W2701">
        <v>909.8</v>
      </c>
      <c r="X2701">
        <v>1946.65</v>
      </c>
      <c r="Y2701" t="s">
        <v>36</v>
      </c>
      <c r="Z2701" s="3">
        <v>1004.45</v>
      </c>
      <c r="AA2701" t="s">
        <v>46</v>
      </c>
      <c r="AB2701" t="s">
        <v>44</v>
      </c>
      <c r="AC2701">
        <v>51.2</v>
      </c>
      <c r="AD2701" t="s">
        <v>34</v>
      </c>
      <c r="AE2701">
        <v>2570.27</v>
      </c>
      <c r="AF2701">
        <v>1</v>
      </c>
    </row>
    <row r="2702" spans="3:32" x14ac:dyDescent="0.35">
      <c r="C2702" s="1">
        <v>45086</v>
      </c>
      <c r="D2702" s="2">
        <v>45078</v>
      </c>
      <c r="E2702">
        <v>1353</v>
      </c>
      <c r="F2702" s="3">
        <v>2800.92</v>
      </c>
      <c r="G2702" s="3">
        <v>1663.92</v>
      </c>
      <c r="H2702" s="3">
        <v>1137</v>
      </c>
      <c r="I2702" s="3">
        <v>0.59</v>
      </c>
      <c r="J2702">
        <v>0.24</v>
      </c>
      <c r="K2702">
        <v>2369.23</v>
      </c>
      <c r="L2702" t="s">
        <v>35</v>
      </c>
      <c r="M2702">
        <v>657</v>
      </c>
      <c r="N2702">
        <v>0.17</v>
      </c>
      <c r="O2702" s="3">
        <v>125.73</v>
      </c>
      <c r="P2702" s="3">
        <v>0.04</v>
      </c>
      <c r="Q2702" s="3">
        <v>553.6</v>
      </c>
      <c r="R2702" s="3">
        <v>0.2</v>
      </c>
      <c r="S2702">
        <v>4</v>
      </c>
      <c r="T2702">
        <v>1420.61</v>
      </c>
      <c r="U2702">
        <v>82</v>
      </c>
      <c r="V2702">
        <v>0</v>
      </c>
      <c r="W2702">
        <v>487.92</v>
      </c>
      <c r="X2702">
        <v>2253.56</v>
      </c>
      <c r="Y2702" t="s">
        <v>31</v>
      </c>
      <c r="Z2702" s="3">
        <v>1787.83</v>
      </c>
      <c r="AA2702" t="s">
        <v>46</v>
      </c>
      <c r="AB2702" t="s">
        <v>33</v>
      </c>
      <c r="AC2702">
        <v>23</v>
      </c>
      <c r="AD2702" t="s">
        <v>34</v>
      </c>
      <c r="AE2702">
        <v>1137</v>
      </c>
      <c r="AF2702">
        <v>0</v>
      </c>
    </row>
    <row r="2703" spans="3:32" x14ac:dyDescent="0.35">
      <c r="C2703" s="1">
        <v>45086</v>
      </c>
      <c r="D2703" s="2">
        <v>45078</v>
      </c>
      <c r="E2703">
        <v>1386</v>
      </c>
      <c r="F2703" s="3">
        <v>5111.08</v>
      </c>
      <c r="G2703" s="3">
        <v>3601.36</v>
      </c>
      <c r="H2703" s="3">
        <v>1509.72</v>
      </c>
      <c r="I2703" s="3">
        <v>0.7</v>
      </c>
      <c r="J2703">
        <v>0.12</v>
      </c>
      <c r="K2703">
        <v>2685.73</v>
      </c>
      <c r="L2703" t="s">
        <v>30</v>
      </c>
      <c r="M2703">
        <v>698</v>
      </c>
      <c r="N2703">
        <v>0.21</v>
      </c>
      <c r="O2703" s="3">
        <v>260.95</v>
      </c>
      <c r="P2703" s="3">
        <v>0.05</v>
      </c>
      <c r="Q2703" s="3">
        <v>278.3</v>
      </c>
      <c r="R2703" s="3">
        <v>0.05</v>
      </c>
      <c r="S2703">
        <v>3</v>
      </c>
      <c r="T2703">
        <v>1016.3</v>
      </c>
      <c r="U2703">
        <v>45</v>
      </c>
      <c r="V2703">
        <v>0</v>
      </c>
      <c r="W2703">
        <v>848.56</v>
      </c>
      <c r="X2703">
        <v>2091.46</v>
      </c>
      <c r="Y2703" t="s">
        <v>36</v>
      </c>
      <c r="Z2703" s="3">
        <v>660.59</v>
      </c>
      <c r="AA2703" t="s">
        <v>46</v>
      </c>
      <c r="AB2703" t="s">
        <v>42</v>
      </c>
      <c r="AC2703">
        <v>15.6</v>
      </c>
      <c r="AD2703" t="s">
        <v>43</v>
      </c>
      <c r="AE2703">
        <v>1509.72</v>
      </c>
      <c r="AF2703">
        <v>0</v>
      </c>
    </row>
    <row r="2704" spans="3:32" x14ac:dyDescent="0.35">
      <c r="C2704" s="1">
        <v>45086</v>
      </c>
      <c r="D2704" s="2">
        <v>45078</v>
      </c>
      <c r="E2704">
        <v>1722</v>
      </c>
      <c r="F2704" s="3">
        <v>5463.62</v>
      </c>
      <c r="G2704" s="3">
        <v>2816.29</v>
      </c>
      <c r="H2704" s="3">
        <v>2647.33</v>
      </c>
      <c r="I2704" s="3">
        <v>0.52</v>
      </c>
      <c r="J2704">
        <v>0.25</v>
      </c>
      <c r="K2704">
        <v>2446.48</v>
      </c>
      <c r="L2704" t="s">
        <v>35</v>
      </c>
      <c r="M2704">
        <v>739</v>
      </c>
      <c r="N2704">
        <v>0.46</v>
      </c>
      <c r="O2704" s="3">
        <v>580.65</v>
      </c>
      <c r="P2704" s="3">
        <v>0.11</v>
      </c>
      <c r="Q2704" s="3">
        <v>220.9</v>
      </c>
      <c r="R2704" s="3">
        <v>0.04</v>
      </c>
      <c r="S2704">
        <v>5</v>
      </c>
      <c r="T2704">
        <v>1519.15</v>
      </c>
      <c r="U2704">
        <v>86</v>
      </c>
      <c r="V2704">
        <v>0</v>
      </c>
      <c r="W2704">
        <v>842.28</v>
      </c>
      <c r="X2704">
        <v>2560.6999999999998</v>
      </c>
      <c r="Y2704" t="s">
        <v>31</v>
      </c>
      <c r="Z2704" s="3">
        <v>1018.91</v>
      </c>
      <c r="AA2704" t="s">
        <v>50</v>
      </c>
      <c r="AB2704" t="s">
        <v>42</v>
      </c>
      <c r="AC2704">
        <v>44.1</v>
      </c>
      <c r="AD2704" t="s">
        <v>34</v>
      </c>
      <c r="AE2704">
        <v>2647.33</v>
      </c>
      <c r="AF2704">
        <v>1</v>
      </c>
    </row>
    <row r="2705" spans="3:32" x14ac:dyDescent="0.35">
      <c r="C2705" s="1">
        <v>45086</v>
      </c>
      <c r="D2705" s="2">
        <v>45078</v>
      </c>
      <c r="E2705">
        <v>1822</v>
      </c>
      <c r="F2705" s="3">
        <v>3196.81</v>
      </c>
      <c r="G2705" s="3">
        <v>2748.36</v>
      </c>
      <c r="H2705" s="3">
        <v>448.45</v>
      </c>
      <c r="I2705" s="3">
        <v>0.86</v>
      </c>
      <c r="J2705">
        <v>0.24</v>
      </c>
      <c r="K2705">
        <v>2671.3</v>
      </c>
      <c r="L2705" t="s">
        <v>35</v>
      </c>
      <c r="M2705">
        <v>576</v>
      </c>
      <c r="N2705">
        <v>0.39</v>
      </c>
      <c r="O2705" s="3">
        <v>425.05</v>
      </c>
      <c r="P2705" s="3">
        <v>0.13</v>
      </c>
      <c r="Q2705" s="3">
        <v>341.02</v>
      </c>
      <c r="R2705" s="3">
        <v>0.11</v>
      </c>
      <c r="S2705">
        <v>7</v>
      </c>
      <c r="T2705">
        <v>2046.22</v>
      </c>
      <c r="U2705">
        <v>40</v>
      </c>
      <c r="V2705">
        <v>0</v>
      </c>
      <c r="W2705">
        <v>828.51</v>
      </c>
      <c r="X2705">
        <v>1608.31</v>
      </c>
      <c r="Y2705" t="s">
        <v>36</v>
      </c>
      <c r="Z2705" s="3">
        <v>1166.25</v>
      </c>
      <c r="AA2705" t="s">
        <v>48</v>
      </c>
      <c r="AB2705" t="s">
        <v>42</v>
      </c>
      <c r="AC2705">
        <v>12.3</v>
      </c>
      <c r="AD2705" t="s">
        <v>43</v>
      </c>
      <c r="AE2705">
        <v>448.45</v>
      </c>
      <c r="AF2705">
        <v>0</v>
      </c>
    </row>
    <row r="2706" spans="3:32" x14ac:dyDescent="0.35">
      <c r="C2706" s="1">
        <v>45086</v>
      </c>
      <c r="D2706" s="2">
        <v>45078</v>
      </c>
      <c r="E2706">
        <v>1390</v>
      </c>
      <c r="F2706" s="3">
        <v>2402.2399999999998</v>
      </c>
      <c r="G2706" s="3">
        <v>3288</v>
      </c>
      <c r="H2706" s="3">
        <v>-885.76</v>
      </c>
      <c r="I2706" s="3">
        <v>1.37</v>
      </c>
      <c r="J2706">
        <v>0.36</v>
      </c>
      <c r="K2706">
        <v>2014.06</v>
      </c>
      <c r="L2706" t="s">
        <v>39</v>
      </c>
      <c r="M2706">
        <v>639</v>
      </c>
      <c r="N2706">
        <v>0.25</v>
      </c>
      <c r="O2706" s="3">
        <v>509.11</v>
      </c>
      <c r="P2706" s="3">
        <v>0.21</v>
      </c>
      <c r="Q2706" s="3">
        <v>726.06</v>
      </c>
      <c r="R2706" s="3">
        <v>0.3</v>
      </c>
      <c r="S2706">
        <v>2</v>
      </c>
      <c r="T2706">
        <v>1072.47</v>
      </c>
      <c r="U2706">
        <v>84</v>
      </c>
      <c r="V2706">
        <v>0</v>
      </c>
      <c r="W2706">
        <v>321.86</v>
      </c>
      <c r="X2706">
        <v>3007.72</v>
      </c>
      <c r="Y2706" t="s">
        <v>49</v>
      </c>
      <c r="Z2706" s="3">
        <v>1671.95</v>
      </c>
      <c r="AA2706" t="s">
        <v>46</v>
      </c>
      <c r="AB2706" t="s">
        <v>44</v>
      </c>
      <c r="AC2706">
        <v>21.1</v>
      </c>
      <c r="AD2706" t="s">
        <v>43</v>
      </c>
      <c r="AE2706">
        <v>0</v>
      </c>
      <c r="AF2706">
        <v>0</v>
      </c>
    </row>
    <row r="2707" spans="3:32" x14ac:dyDescent="0.35">
      <c r="C2707" s="1">
        <v>45086</v>
      </c>
      <c r="D2707" s="2">
        <v>45078</v>
      </c>
      <c r="E2707">
        <v>1020</v>
      </c>
      <c r="F2707" s="3">
        <v>5407.44</v>
      </c>
      <c r="G2707" s="3">
        <v>4930.4799999999996</v>
      </c>
      <c r="H2707" s="3">
        <v>476.96</v>
      </c>
      <c r="I2707" s="3">
        <v>0.91</v>
      </c>
      <c r="J2707">
        <v>0.37</v>
      </c>
      <c r="K2707">
        <v>3287.49</v>
      </c>
      <c r="L2707" t="s">
        <v>39</v>
      </c>
      <c r="M2707">
        <v>663</v>
      </c>
      <c r="N2707">
        <v>0.49</v>
      </c>
      <c r="O2707" s="3">
        <v>523.72</v>
      </c>
      <c r="P2707" s="3">
        <v>0.1</v>
      </c>
      <c r="Q2707" s="3">
        <v>142.87</v>
      </c>
      <c r="R2707" s="3">
        <v>0.03</v>
      </c>
      <c r="S2707">
        <v>2</v>
      </c>
      <c r="T2707">
        <v>1709.57</v>
      </c>
      <c r="U2707">
        <v>71</v>
      </c>
      <c r="V2707">
        <v>0</v>
      </c>
      <c r="W2707">
        <v>483.69</v>
      </c>
      <c r="X2707">
        <v>2394.04</v>
      </c>
      <c r="Y2707" t="s">
        <v>36</v>
      </c>
      <c r="Z2707" s="3">
        <v>564.47</v>
      </c>
      <c r="AA2707" t="s">
        <v>48</v>
      </c>
      <c r="AB2707" t="s">
        <v>33</v>
      </c>
      <c r="AC2707">
        <v>40.9</v>
      </c>
      <c r="AD2707" t="s">
        <v>38</v>
      </c>
      <c r="AE2707">
        <v>476.96</v>
      </c>
      <c r="AF2707">
        <v>0</v>
      </c>
    </row>
    <row r="2708" spans="3:32" x14ac:dyDescent="0.35">
      <c r="C2708" s="1">
        <v>45086</v>
      </c>
      <c r="D2708" s="2">
        <v>45078</v>
      </c>
      <c r="E2708">
        <v>1433</v>
      </c>
      <c r="F2708" s="3">
        <v>2661.13</v>
      </c>
      <c r="G2708" s="3">
        <v>2019.9</v>
      </c>
      <c r="H2708" s="3">
        <v>641.23</v>
      </c>
      <c r="I2708" s="3">
        <v>0.76</v>
      </c>
      <c r="J2708">
        <v>0.08</v>
      </c>
      <c r="K2708">
        <v>2226.1799999999998</v>
      </c>
      <c r="L2708" t="s">
        <v>35</v>
      </c>
      <c r="M2708">
        <v>712</v>
      </c>
      <c r="N2708">
        <v>0.39</v>
      </c>
      <c r="O2708" s="3">
        <v>552.41999999999996</v>
      </c>
      <c r="P2708" s="3">
        <v>0.21</v>
      </c>
      <c r="Q2708" s="3">
        <v>728.89</v>
      </c>
      <c r="R2708" s="3">
        <v>0.27</v>
      </c>
      <c r="S2708">
        <v>5</v>
      </c>
      <c r="T2708">
        <v>710.44</v>
      </c>
      <c r="U2708">
        <v>72</v>
      </c>
      <c r="V2708">
        <v>0</v>
      </c>
      <c r="W2708">
        <v>556.46</v>
      </c>
      <c r="X2708">
        <v>2987.12</v>
      </c>
      <c r="Y2708" t="s">
        <v>31</v>
      </c>
      <c r="Z2708" s="3">
        <v>361.44</v>
      </c>
      <c r="AA2708" t="s">
        <v>41</v>
      </c>
      <c r="AB2708" t="s">
        <v>42</v>
      </c>
      <c r="AC2708">
        <v>24.9</v>
      </c>
      <c r="AD2708" t="s">
        <v>38</v>
      </c>
      <c r="AE2708">
        <v>641.23</v>
      </c>
      <c r="AF2708">
        <v>0</v>
      </c>
    </row>
    <row r="2709" spans="3:32" x14ac:dyDescent="0.35">
      <c r="C2709" s="1">
        <v>45086</v>
      </c>
      <c r="D2709" s="2">
        <v>45078</v>
      </c>
      <c r="E2709">
        <v>1868</v>
      </c>
      <c r="F2709" s="3">
        <v>4009.44</v>
      </c>
      <c r="G2709" s="3">
        <v>3236.55</v>
      </c>
      <c r="H2709" s="3">
        <v>772.89</v>
      </c>
      <c r="I2709" s="3">
        <v>0.81</v>
      </c>
      <c r="J2709">
        <v>0.1</v>
      </c>
      <c r="K2709">
        <v>3112.39</v>
      </c>
      <c r="L2709" t="s">
        <v>39</v>
      </c>
      <c r="M2709">
        <v>670</v>
      </c>
      <c r="N2709">
        <v>0.41</v>
      </c>
      <c r="O2709" s="3">
        <v>672.61</v>
      </c>
      <c r="P2709" s="3">
        <v>0.17</v>
      </c>
      <c r="Q2709" s="3">
        <v>366</v>
      </c>
      <c r="R2709" s="3">
        <v>0.09</v>
      </c>
      <c r="S2709">
        <v>9</v>
      </c>
      <c r="T2709">
        <v>205.52</v>
      </c>
      <c r="U2709">
        <v>92</v>
      </c>
      <c r="V2709">
        <v>0</v>
      </c>
      <c r="W2709">
        <v>646.82000000000005</v>
      </c>
      <c r="X2709">
        <v>3033.34</v>
      </c>
      <c r="Y2709" t="s">
        <v>49</v>
      </c>
      <c r="Z2709" s="3">
        <v>1660.83</v>
      </c>
      <c r="AA2709" t="s">
        <v>40</v>
      </c>
      <c r="AB2709" t="s">
        <v>33</v>
      </c>
      <c r="AC2709">
        <v>71.400000000000006</v>
      </c>
      <c r="AD2709" t="s">
        <v>43</v>
      </c>
      <c r="AE2709">
        <v>772.89</v>
      </c>
      <c r="AF2709">
        <v>0</v>
      </c>
    </row>
    <row r="2710" spans="3:32" x14ac:dyDescent="0.35">
      <c r="C2710" s="1">
        <v>45086</v>
      </c>
      <c r="D2710" s="2">
        <v>45078</v>
      </c>
      <c r="E2710">
        <v>1992</v>
      </c>
      <c r="F2710" s="3">
        <v>4200.26</v>
      </c>
      <c r="G2710" s="3">
        <v>3662.91</v>
      </c>
      <c r="H2710" s="3">
        <v>537.35</v>
      </c>
      <c r="I2710" s="3">
        <v>0.87</v>
      </c>
      <c r="J2710">
        <v>0.38</v>
      </c>
      <c r="K2710">
        <v>2892.95</v>
      </c>
      <c r="L2710" t="s">
        <v>39</v>
      </c>
      <c r="M2710">
        <v>736</v>
      </c>
      <c r="N2710">
        <v>0.6</v>
      </c>
      <c r="O2710" s="3">
        <v>482.51</v>
      </c>
      <c r="P2710" s="3">
        <v>0.11</v>
      </c>
      <c r="Q2710" s="3">
        <v>622.97</v>
      </c>
      <c r="R2710" s="3">
        <v>0.15</v>
      </c>
      <c r="S2710">
        <v>7</v>
      </c>
      <c r="T2710">
        <v>1223.6300000000001</v>
      </c>
      <c r="U2710">
        <v>56</v>
      </c>
      <c r="V2710">
        <v>0</v>
      </c>
      <c r="W2710">
        <v>311.95</v>
      </c>
      <c r="X2710">
        <v>1871.07</v>
      </c>
      <c r="Y2710" t="s">
        <v>36</v>
      </c>
      <c r="Z2710" s="3">
        <v>1464.87</v>
      </c>
      <c r="AA2710" t="s">
        <v>41</v>
      </c>
      <c r="AB2710" t="s">
        <v>44</v>
      </c>
      <c r="AC2710">
        <v>78.599999999999994</v>
      </c>
      <c r="AD2710" t="s">
        <v>34</v>
      </c>
      <c r="AE2710">
        <v>537.35</v>
      </c>
      <c r="AF2710">
        <v>0</v>
      </c>
    </row>
    <row r="2711" spans="3:32" x14ac:dyDescent="0.35">
      <c r="C2711" s="1">
        <v>45086</v>
      </c>
      <c r="D2711" s="2">
        <v>45078</v>
      </c>
      <c r="E2711">
        <v>1683</v>
      </c>
      <c r="F2711" s="3">
        <v>4741.8999999999996</v>
      </c>
      <c r="G2711" s="3">
        <v>3116.86</v>
      </c>
      <c r="H2711" s="3">
        <v>1625.04</v>
      </c>
      <c r="I2711" s="3">
        <v>0.66</v>
      </c>
      <c r="J2711">
        <v>0.26</v>
      </c>
      <c r="K2711">
        <v>3120.58</v>
      </c>
      <c r="L2711" t="s">
        <v>30</v>
      </c>
      <c r="M2711">
        <v>630</v>
      </c>
      <c r="N2711">
        <v>0.44</v>
      </c>
      <c r="O2711" s="3">
        <v>222.7</v>
      </c>
      <c r="P2711" s="3">
        <v>0.05</v>
      </c>
      <c r="Q2711" s="3">
        <v>424.96</v>
      </c>
      <c r="R2711" s="3">
        <v>0.09</v>
      </c>
      <c r="S2711">
        <v>5</v>
      </c>
      <c r="T2711">
        <v>1815.05</v>
      </c>
      <c r="U2711">
        <v>53</v>
      </c>
      <c r="V2711">
        <v>0</v>
      </c>
      <c r="W2711">
        <v>639.51</v>
      </c>
      <c r="X2711">
        <v>2999.14</v>
      </c>
      <c r="Y2711" t="s">
        <v>36</v>
      </c>
      <c r="Z2711" s="3">
        <v>1114.07</v>
      </c>
      <c r="AA2711" t="s">
        <v>45</v>
      </c>
      <c r="AB2711" t="s">
        <v>44</v>
      </c>
      <c r="AC2711">
        <v>48.4</v>
      </c>
      <c r="AD2711" t="s">
        <v>34</v>
      </c>
      <c r="AE2711">
        <v>1625.04</v>
      </c>
      <c r="AF2711">
        <v>0</v>
      </c>
    </row>
    <row r="2712" spans="3:32" x14ac:dyDescent="0.35">
      <c r="C2712" s="1">
        <v>45086</v>
      </c>
      <c r="D2712" s="2">
        <v>45078</v>
      </c>
      <c r="E2712">
        <v>1167</v>
      </c>
      <c r="F2712" s="3">
        <v>3715.42</v>
      </c>
      <c r="G2712" s="3">
        <v>2113.27</v>
      </c>
      <c r="H2712" s="3">
        <v>1602.15</v>
      </c>
      <c r="I2712" s="3">
        <v>0.56999999999999995</v>
      </c>
      <c r="J2712">
        <v>0.36</v>
      </c>
      <c r="K2712">
        <v>2840.06</v>
      </c>
      <c r="L2712" t="s">
        <v>35</v>
      </c>
      <c r="M2712">
        <v>654</v>
      </c>
      <c r="N2712">
        <v>0.42</v>
      </c>
      <c r="O2712" s="3">
        <v>476.82</v>
      </c>
      <c r="P2712" s="3">
        <v>0.13</v>
      </c>
      <c r="Q2712" s="3">
        <v>482.24</v>
      </c>
      <c r="R2712" s="3">
        <v>0.13</v>
      </c>
      <c r="S2712">
        <v>3</v>
      </c>
      <c r="T2712">
        <v>271.77999999999997</v>
      </c>
      <c r="U2712">
        <v>55</v>
      </c>
      <c r="V2712">
        <v>0</v>
      </c>
      <c r="W2712">
        <v>333.01</v>
      </c>
      <c r="X2712">
        <v>2215.34</v>
      </c>
      <c r="Y2712" t="s">
        <v>36</v>
      </c>
      <c r="Z2712" s="3">
        <v>1254.6600000000001</v>
      </c>
      <c r="AA2712" t="s">
        <v>50</v>
      </c>
      <c r="AB2712" t="s">
        <v>42</v>
      </c>
      <c r="AC2712">
        <v>87</v>
      </c>
      <c r="AD2712" t="s">
        <v>34</v>
      </c>
      <c r="AE2712">
        <v>1602.15</v>
      </c>
      <c r="AF2712">
        <v>0</v>
      </c>
    </row>
    <row r="2713" spans="3:32" x14ac:dyDescent="0.35">
      <c r="C2713" s="1">
        <v>45086</v>
      </c>
      <c r="D2713" s="2">
        <v>45078</v>
      </c>
      <c r="E2713">
        <v>1516</v>
      </c>
      <c r="F2713" s="3">
        <v>3319.65</v>
      </c>
      <c r="G2713" s="3">
        <v>3477.78</v>
      </c>
      <c r="H2713" s="3">
        <v>-158.13</v>
      </c>
      <c r="I2713" s="3">
        <v>1.05</v>
      </c>
      <c r="J2713">
        <v>0.24</v>
      </c>
      <c r="K2713">
        <v>2981.45</v>
      </c>
      <c r="L2713" t="s">
        <v>35</v>
      </c>
      <c r="M2713">
        <v>743</v>
      </c>
      <c r="N2713">
        <v>0.32</v>
      </c>
      <c r="O2713" s="3">
        <v>374.91</v>
      </c>
      <c r="P2713" s="3">
        <v>0.11</v>
      </c>
      <c r="Q2713" s="3">
        <v>94.32</v>
      </c>
      <c r="R2713" s="3">
        <v>0.03</v>
      </c>
      <c r="S2713">
        <v>4</v>
      </c>
      <c r="T2713">
        <v>0</v>
      </c>
      <c r="U2713">
        <v>88</v>
      </c>
      <c r="V2713">
        <v>0</v>
      </c>
      <c r="W2713">
        <v>491.15</v>
      </c>
      <c r="X2713">
        <v>1967.68</v>
      </c>
      <c r="Y2713" t="s">
        <v>36</v>
      </c>
      <c r="Z2713" s="3">
        <v>1414.09</v>
      </c>
      <c r="AA2713" t="s">
        <v>47</v>
      </c>
      <c r="AB2713" t="s">
        <v>44</v>
      </c>
      <c r="AC2713">
        <v>33.799999999999997</v>
      </c>
      <c r="AD2713" t="s">
        <v>34</v>
      </c>
      <c r="AE2713">
        <v>0</v>
      </c>
      <c r="AF2713">
        <v>0</v>
      </c>
    </row>
    <row r="2714" spans="3:32" x14ac:dyDescent="0.35">
      <c r="C2714" s="1">
        <v>45086</v>
      </c>
      <c r="D2714" s="2">
        <v>45078</v>
      </c>
      <c r="E2714">
        <v>1868</v>
      </c>
      <c r="F2714" s="3">
        <v>5455.2</v>
      </c>
      <c r="G2714" s="3">
        <v>2106.54</v>
      </c>
      <c r="H2714" s="3">
        <v>3348.66</v>
      </c>
      <c r="I2714" s="3">
        <v>0.39</v>
      </c>
      <c r="J2714">
        <v>0.34</v>
      </c>
      <c r="K2714">
        <v>2359.56</v>
      </c>
      <c r="L2714" t="s">
        <v>39</v>
      </c>
      <c r="M2714">
        <v>682</v>
      </c>
      <c r="N2714">
        <v>0.2</v>
      </c>
      <c r="O2714" s="3">
        <v>820.72</v>
      </c>
      <c r="P2714" s="3">
        <v>0.15</v>
      </c>
      <c r="Q2714" s="3">
        <v>372.95</v>
      </c>
      <c r="R2714" s="3">
        <v>7.0000000000000007E-2</v>
      </c>
      <c r="S2714">
        <v>1</v>
      </c>
      <c r="T2714">
        <v>1072.8900000000001</v>
      </c>
      <c r="U2714">
        <v>25</v>
      </c>
      <c r="V2714">
        <v>0</v>
      </c>
      <c r="W2714">
        <v>917.6</v>
      </c>
      <c r="X2714">
        <v>2009.81</v>
      </c>
      <c r="Y2714" t="s">
        <v>36</v>
      </c>
      <c r="Z2714" s="3">
        <v>1433.9</v>
      </c>
      <c r="AA2714" t="s">
        <v>41</v>
      </c>
      <c r="AB2714" t="s">
        <v>42</v>
      </c>
      <c r="AC2714">
        <v>80.5</v>
      </c>
      <c r="AD2714" t="s">
        <v>43</v>
      </c>
      <c r="AE2714">
        <v>3348.66</v>
      </c>
      <c r="AF2714">
        <v>1</v>
      </c>
    </row>
    <row r="2715" spans="3:32" x14ac:dyDescent="0.35">
      <c r="C2715" s="1">
        <v>45086</v>
      </c>
      <c r="D2715" s="2">
        <v>45078</v>
      </c>
      <c r="E2715">
        <v>1787</v>
      </c>
      <c r="F2715" s="3">
        <v>3366.81</v>
      </c>
      <c r="G2715" s="3">
        <v>2423.0300000000002</v>
      </c>
      <c r="H2715" s="3">
        <v>943.78</v>
      </c>
      <c r="I2715" s="3">
        <v>0.72</v>
      </c>
      <c r="J2715">
        <v>0.18</v>
      </c>
      <c r="K2715">
        <v>2697.98</v>
      </c>
      <c r="L2715" t="s">
        <v>39</v>
      </c>
      <c r="M2715">
        <v>694</v>
      </c>
      <c r="N2715">
        <v>0.57999999999999996</v>
      </c>
      <c r="O2715" s="3">
        <v>468.85</v>
      </c>
      <c r="P2715" s="3">
        <v>0.14000000000000001</v>
      </c>
      <c r="Q2715" s="3">
        <v>592.6</v>
      </c>
      <c r="R2715" s="3">
        <v>0.18</v>
      </c>
      <c r="S2715">
        <v>7</v>
      </c>
      <c r="T2715">
        <v>233.59</v>
      </c>
      <c r="U2715">
        <v>51</v>
      </c>
      <c r="V2715">
        <v>0</v>
      </c>
      <c r="W2715">
        <v>392.11</v>
      </c>
      <c r="X2715">
        <v>2152.75</v>
      </c>
      <c r="Y2715" t="s">
        <v>49</v>
      </c>
      <c r="Z2715" s="3">
        <v>1047.42</v>
      </c>
      <c r="AA2715" t="s">
        <v>32</v>
      </c>
      <c r="AB2715" t="s">
        <v>33</v>
      </c>
      <c r="AC2715">
        <v>96</v>
      </c>
      <c r="AD2715" t="s">
        <v>38</v>
      </c>
      <c r="AE2715">
        <v>943.78</v>
      </c>
      <c r="AF2715">
        <v>0</v>
      </c>
    </row>
    <row r="2716" spans="3:32" x14ac:dyDescent="0.35">
      <c r="C2716" s="1">
        <v>45086</v>
      </c>
      <c r="D2716" s="2">
        <v>45078</v>
      </c>
      <c r="E2716">
        <v>1567</v>
      </c>
      <c r="F2716" s="3">
        <v>5623.07</v>
      </c>
      <c r="G2716" s="3">
        <v>3345.52</v>
      </c>
      <c r="H2716" s="3">
        <v>2277.5500000000002</v>
      </c>
      <c r="I2716" s="3">
        <v>0.59</v>
      </c>
      <c r="J2716">
        <v>0.08</v>
      </c>
      <c r="K2716">
        <v>2198.7800000000002</v>
      </c>
      <c r="L2716" t="s">
        <v>39</v>
      </c>
      <c r="M2716">
        <v>706</v>
      </c>
      <c r="N2716">
        <v>0.49</v>
      </c>
      <c r="O2716" s="3">
        <v>514.39</v>
      </c>
      <c r="P2716" s="3">
        <v>0.09</v>
      </c>
      <c r="Q2716" s="3">
        <v>924.76</v>
      </c>
      <c r="R2716" s="3">
        <v>0.16</v>
      </c>
      <c r="S2716">
        <v>2</v>
      </c>
      <c r="T2716">
        <v>828.07</v>
      </c>
      <c r="U2716">
        <v>26</v>
      </c>
      <c r="V2716">
        <v>0</v>
      </c>
      <c r="W2716">
        <v>691.44</v>
      </c>
      <c r="X2716">
        <v>3169.35</v>
      </c>
      <c r="Y2716" t="s">
        <v>36</v>
      </c>
      <c r="Z2716" s="3">
        <v>1437.06</v>
      </c>
      <c r="AA2716" t="s">
        <v>45</v>
      </c>
      <c r="AB2716" t="s">
        <v>42</v>
      </c>
      <c r="AC2716">
        <v>36.1</v>
      </c>
      <c r="AD2716" t="s">
        <v>34</v>
      </c>
      <c r="AE2716">
        <v>2277.5500000000002</v>
      </c>
      <c r="AF2716">
        <v>1</v>
      </c>
    </row>
    <row r="2717" spans="3:32" x14ac:dyDescent="0.35">
      <c r="C2717" s="1">
        <v>45086</v>
      </c>
      <c r="D2717" s="2">
        <v>45078</v>
      </c>
      <c r="E2717">
        <v>1060</v>
      </c>
      <c r="F2717" s="3">
        <v>4480.67</v>
      </c>
      <c r="G2717" s="3">
        <v>2492.7399999999998</v>
      </c>
      <c r="H2717" s="3">
        <v>1987.93</v>
      </c>
      <c r="I2717" s="3">
        <v>0.56000000000000005</v>
      </c>
      <c r="J2717">
        <v>0.09</v>
      </c>
      <c r="K2717">
        <v>2720.17</v>
      </c>
      <c r="L2717" t="s">
        <v>35</v>
      </c>
      <c r="M2717">
        <v>644</v>
      </c>
      <c r="N2717">
        <v>0.4</v>
      </c>
      <c r="O2717" s="3">
        <v>536.79</v>
      </c>
      <c r="P2717" s="3">
        <v>0.12</v>
      </c>
      <c r="Q2717" s="3">
        <v>547.42999999999995</v>
      </c>
      <c r="R2717" s="3">
        <v>0.12</v>
      </c>
      <c r="S2717">
        <v>7</v>
      </c>
      <c r="T2717">
        <v>434.1</v>
      </c>
      <c r="U2717">
        <v>35</v>
      </c>
      <c r="V2717">
        <v>0</v>
      </c>
      <c r="W2717">
        <v>470.69</v>
      </c>
      <c r="X2717">
        <v>1478.47</v>
      </c>
      <c r="Y2717" t="s">
        <v>36</v>
      </c>
      <c r="Z2717" s="3">
        <v>1202.74</v>
      </c>
      <c r="AA2717" t="s">
        <v>32</v>
      </c>
      <c r="AB2717" t="s">
        <v>33</v>
      </c>
      <c r="AC2717">
        <v>80.5</v>
      </c>
      <c r="AD2717" t="s">
        <v>43</v>
      </c>
      <c r="AE2717">
        <v>1987.93</v>
      </c>
      <c r="AF2717">
        <v>0</v>
      </c>
    </row>
    <row r="2718" spans="3:32" x14ac:dyDescent="0.35">
      <c r="C2718" s="1">
        <v>45086</v>
      </c>
      <c r="D2718" s="2">
        <v>45078</v>
      </c>
      <c r="E2718">
        <v>1186</v>
      </c>
      <c r="F2718" s="3">
        <v>5002.97</v>
      </c>
      <c r="G2718" s="3">
        <v>2638.45</v>
      </c>
      <c r="H2718" s="3">
        <v>2364.52</v>
      </c>
      <c r="I2718" s="3">
        <v>0.53</v>
      </c>
      <c r="J2718">
        <v>0.06</v>
      </c>
      <c r="K2718">
        <v>3402.58</v>
      </c>
      <c r="L2718" t="s">
        <v>35</v>
      </c>
      <c r="M2718">
        <v>689</v>
      </c>
      <c r="N2718">
        <v>0.39</v>
      </c>
      <c r="O2718" s="3">
        <v>522.86</v>
      </c>
      <c r="P2718" s="3">
        <v>0.1</v>
      </c>
      <c r="Q2718" s="3">
        <v>381</v>
      </c>
      <c r="R2718" s="3">
        <v>0.08</v>
      </c>
      <c r="S2718">
        <v>1</v>
      </c>
      <c r="T2718">
        <v>762.97</v>
      </c>
      <c r="U2718">
        <v>43</v>
      </c>
      <c r="V2718">
        <v>0</v>
      </c>
      <c r="W2718">
        <v>807.95</v>
      </c>
      <c r="X2718">
        <v>3985.5</v>
      </c>
      <c r="Y2718" t="s">
        <v>36</v>
      </c>
      <c r="Z2718" s="3">
        <v>1930.57</v>
      </c>
      <c r="AA2718" t="s">
        <v>41</v>
      </c>
      <c r="AB2718" t="s">
        <v>44</v>
      </c>
      <c r="AC2718">
        <v>70.099999999999994</v>
      </c>
      <c r="AD2718" t="s">
        <v>43</v>
      </c>
      <c r="AE2718">
        <v>2364.52</v>
      </c>
      <c r="AF2718">
        <v>0</v>
      </c>
    </row>
    <row r="2719" spans="3:32" x14ac:dyDescent="0.35">
      <c r="C2719" s="1">
        <v>45086</v>
      </c>
      <c r="D2719" s="2">
        <v>45078</v>
      </c>
      <c r="E2719">
        <v>1407</v>
      </c>
      <c r="F2719" s="3">
        <v>3875.22</v>
      </c>
      <c r="G2719" s="3">
        <v>2333.25</v>
      </c>
      <c r="H2719" s="3">
        <v>1541.97</v>
      </c>
      <c r="I2719" s="3">
        <v>0.6</v>
      </c>
      <c r="J2719">
        <v>0.22</v>
      </c>
      <c r="K2719">
        <v>3223.4</v>
      </c>
      <c r="L2719" t="s">
        <v>35</v>
      </c>
      <c r="M2719">
        <v>702</v>
      </c>
      <c r="N2719">
        <v>0.56999999999999995</v>
      </c>
      <c r="O2719" s="3">
        <v>632.05999999999995</v>
      </c>
      <c r="P2719" s="3">
        <v>0.16</v>
      </c>
      <c r="Q2719" s="3">
        <v>384.07</v>
      </c>
      <c r="R2719" s="3">
        <v>0.1</v>
      </c>
      <c r="S2719">
        <v>2</v>
      </c>
      <c r="T2719">
        <v>1425.48</v>
      </c>
      <c r="U2719">
        <v>47</v>
      </c>
      <c r="V2719">
        <v>0</v>
      </c>
      <c r="W2719">
        <v>736.18</v>
      </c>
      <c r="X2719">
        <v>2802.01</v>
      </c>
      <c r="Y2719" t="s">
        <v>36</v>
      </c>
      <c r="Z2719" s="3">
        <v>1465.31</v>
      </c>
      <c r="AA2719" t="s">
        <v>46</v>
      </c>
      <c r="AB2719" t="s">
        <v>33</v>
      </c>
      <c r="AC2719">
        <v>53.9</v>
      </c>
      <c r="AD2719" t="s">
        <v>43</v>
      </c>
      <c r="AE2719">
        <v>1541.97</v>
      </c>
      <c r="AF2719">
        <v>0</v>
      </c>
    </row>
    <row r="2720" spans="3:32" x14ac:dyDescent="0.35">
      <c r="C2720" s="1">
        <v>45086</v>
      </c>
      <c r="D2720" s="2">
        <v>45078</v>
      </c>
      <c r="E2720">
        <v>1841</v>
      </c>
      <c r="F2720" s="3">
        <v>4204.2299999999996</v>
      </c>
      <c r="G2720" s="3">
        <v>2972.51</v>
      </c>
      <c r="H2720" s="3">
        <v>1231.72</v>
      </c>
      <c r="I2720" s="3">
        <v>0.71</v>
      </c>
      <c r="J2720">
        <v>0.34</v>
      </c>
      <c r="K2720">
        <v>2436.48</v>
      </c>
      <c r="L2720" t="s">
        <v>35</v>
      </c>
      <c r="M2720">
        <v>726</v>
      </c>
      <c r="N2720">
        <v>0.28000000000000003</v>
      </c>
      <c r="O2720" s="3">
        <v>377.21</v>
      </c>
      <c r="P2720" s="3">
        <v>0.09</v>
      </c>
      <c r="Q2720" s="3">
        <v>741.09</v>
      </c>
      <c r="R2720" s="3">
        <v>0.18</v>
      </c>
      <c r="S2720">
        <v>6</v>
      </c>
      <c r="T2720">
        <v>760.8</v>
      </c>
      <c r="U2720">
        <v>30</v>
      </c>
      <c r="V2720">
        <v>0</v>
      </c>
      <c r="W2720">
        <v>840.83</v>
      </c>
      <c r="X2720">
        <v>2603.14</v>
      </c>
      <c r="Y2720" t="s">
        <v>36</v>
      </c>
      <c r="Z2720" s="3">
        <v>613.26</v>
      </c>
      <c r="AA2720" t="s">
        <v>47</v>
      </c>
      <c r="AB2720" t="s">
        <v>33</v>
      </c>
      <c r="AC2720">
        <v>79.3</v>
      </c>
      <c r="AD2720" t="s">
        <v>34</v>
      </c>
      <c r="AE2720">
        <v>1231.72</v>
      </c>
      <c r="AF2720">
        <v>0</v>
      </c>
    </row>
    <row r="2721" spans="3:32" x14ac:dyDescent="0.35">
      <c r="C2721" s="1">
        <v>45086</v>
      </c>
      <c r="D2721" s="2">
        <v>45078</v>
      </c>
      <c r="E2721">
        <v>1028</v>
      </c>
      <c r="F2721" s="3">
        <v>3041.88</v>
      </c>
      <c r="G2721" s="3">
        <v>1357.22</v>
      </c>
      <c r="H2721" s="3">
        <v>1684.66</v>
      </c>
      <c r="I2721" s="3">
        <v>0.45</v>
      </c>
      <c r="J2721">
        <v>0.33</v>
      </c>
      <c r="K2721">
        <v>3334.79</v>
      </c>
      <c r="L2721" t="s">
        <v>35</v>
      </c>
      <c r="M2721">
        <v>725</v>
      </c>
      <c r="N2721">
        <v>0.28000000000000003</v>
      </c>
      <c r="O2721" s="3">
        <v>428.2</v>
      </c>
      <c r="P2721" s="3">
        <v>0.14000000000000001</v>
      </c>
      <c r="Q2721" s="3">
        <v>154.88</v>
      </c>
      <c r="R2721" s="3">
        <v>0.05</v>
      </c>
      <c r="S2721">
        <v>5</v>
      </c>
      <c r="T2721">
        <v>1261.02</v>
      </c>
      <c r="U2721">
        <v>63</v>
      </c>
      <c r="V2721">
        <v>0</v>
      </c>
      <c r="W2721">
        <v>499.92</v>
      </c>
      <c r="X2721">
        <v>2451.77</v>
      </c>
      <c r="Y2721" t="s">
        <v>36</v>
      </c>
      <c r="Z2721" s="3">
        <v>1465.22</v>
      </c>
      <c r="AA2721" t="s">
        <v>37</v>
      </c>
      <c r="AB2721" t="s">
        <v>44</v>
      </c>
      <c r="AC2721">
        <v>39.5</v>
      </c>
      <c r="AD2721" t="s">
        <v>38</v>
      </c>
      <c r="AE2721">
        <v>1684.66</v>
      </c>
      <c r="AF2721">
        <v>0</v>
      </c>
    </row>
    <row r="2722" spans="3:32" x14ac:dyDescent="0.35">
      <c r="C2722" s="1">
        <v>45086</v>
      </c>
      <c r="D2722" s="2">
        <v>45078</v>
      </c>
      <c r="E2722">
        <v>1066</v>
      </c>
      <c r="F2722" s="3">
        <v>4067.52</v>
      </c>
      <c r="G2722" s="3">
        <v>2794.36</v>
      </c>
      <c r="H2722" s="3">
        <v>1273.1600000000001</v>
      </c>
      <c r="I2722" s="3">
        <v>0.69</v>
      </c>
      <c r="J2722">
        <v>0.08</v>
      </c>
      <c r="K2722">
        <v>2498.59</v>
      </c>
      <c r="L2722" t="s">
        <v>39</v>
      </c>
      <c r="M2722">
        <v>695</v>
      </c>
      <c r="N2722">
        <v>0.24</v>
      </c>
      <c r="O2722" s="3">
        <v>486.25</v>
      </c>
      <c r="P2722" s="3">
        <v>0.12</v>
      </c>
      <c r="Q2722" s="3">
        <v>345.76</v>
      </c>
      <c r="R2722" s="3">
        <v>0.09</v>
      </c>
      <c r="S2722">
        <v>9</v>
      </c>
      <c r="T2722">
        <v>1306.22</v>
      </c>
      <c r="U2722">
        <v>20</v>
      </c>
      <c r="V2722">
        <v>0</v>
      </c>
      <c r="W2722">
        <v>439.88</v>
      </c>
      <c r="X2722">
        <v>2369.63</v>
      </c>
      <c r="Y2722" t="s">
        <v>36</v>
      </c>
      <c r="Z2722" s="3">
        <v>1339.18</v>
      </c>
      <c r="AA2722" t="s">
        <v>40</v>
      </c>
      <c r="AB2722" t="s">
        <v>33</v>
      </c>
      <c r="AC2722">
        <v>33.9</v>
      </c>
      <c r="AD2722" t="s">
        <v>38</v>
      </c>
      <c r="AE2722">
        <v>1273.1600000000001</v>
      </c>
      <c r="AF2722">
        <v>0</v>
      </c>
    </row>
    <row r="2723" spans="3:32" x14ac:dyDescent="0.35">
      <c r="C2723" s="1">
        <v>45086</v>
      </c>
      <c r="D2723" s="2">
        <v>45078</v>
      </c>
      <c r="E2723">
        <v>1074</v>
      </c>
      <c r="F2723" s="3">
        <v>3982.13</v>
      </c>
      <c r="G2723" s="3">
        <v>2534.66</v>
      </c>
      <c r="H2723" s="3">
        <v>1447.47</v>
      </c>
      <c r="I2723" s="3">
        <v>0.64</v>
      </c>
      <c r="J2723">
        <v>0.16</v>
      </c>
      <c r="K2723">
        <v>2466.2800000000002</v>
      </c>
      <c r="L2723" t="s">
        <v>35</v>
      </c>
      <c r="M2723">
        <v>638</v>
      </c>
      <c r="N2723">
        <v>0.18</v>
      </c>
      <c r="O2723" s="3">
        <v>735.88</v>
      </c>
      <c r="P2723" s="3">
        <v>0.18</v>
      </c>
      <c r="Q2723" s="3">
        <v>527.95000000000005</v>
      </c>
      <c r="R2723" s="3">
        <v>0.13</v>
      </c>
      <c r="S2723">
        <v>5</v>
      </c>
      <c r="T2723">
        <v>963.46</v>
      </c>
      <c r="U2723">
        <v>76</v>
      </c>
      <c r="V2723">
        <v>0</v>
      </c>
      <c r="W2723">
        <v>271.3</v>
      </c>
      <c r="X2723">
        <v>3498.46</v>
      </c>
      <c r="Y2723" t="s">
        <v>36</v>
      </c>
      <c r="Z2723" s="3">
        <v>1024.55</v>
      </c>
      <c r="AA2723" t="s">
        <v>50</v>
      </c>
      <c r="AB2723" t="s">
        <v>42</v>
      </c>
      <c r="AC2723">
        <v>42.8</v>
      </c>
      <c r="AD2723" t="s">
        <v>43</v>
      </c>
      <c r="AE2723">
        <v>1447.47</v>
      </c>
      <c r="AF2723">
        <v>0</v>
      </c>
    </row>
    <row r="2724" spans="3:32" x14ac:dyDescent="0.35">
      <c r="C2724" s="1">
        <v>45086</v>
      </c>
      <c r="D2724" s="2">
        <v>45078</v>
      </c>
      <c r="E2724">
        <v>1738</v>
      </c>
      <c r="F2724" s="3">
        <v>5741.66</v>
      </c>
      <c r="G2724" s="3">
        <v>2394.88</v>
      </c>
      <c r="H2724" s="3">
        <v>3346.78</v>
      </c>
      <c r="I2724" s="3">
        <v>0.42</v>
      </c>
      <c r="J2724">
        <v>0.32</v>
      </c>
      <c r="K2724">
        <v>2947.47</v>
      </c>
      <c r="L2724" t="s">
        <v>35</v>
      </c>
      <c r="M2724">
        <v>706</v>
      </c>
      <c r="N2724">
        <v>0.54</v>
      </c>
      <c r="O2724" s="3">
        <v>548.53</v>
      </c>
      <c r="P2724" s="3">
        <v>0.1</v>
      </c>
      <c r="Q2724" s="3">
        <v>694.92</v>
      </c>
      <c r="R2724" s="3">
        <v>0.12</v>
      </c>
      <c r="S2724">
        <v>7</v>
      </c>
      <c r="T2724">
        <v>1337.56</v>
      </c>
      <c r="U2724">
        <v>72</v>
      </c>
      <c r="V2724">
        <v>0</v>
      </c>
      <c r="W2724">
        <v>412.24</v>
      </c>
      <c r="X2724">
        <v>3188.04</v>
      </c>
      <c r="Y2724" t="s">
        <v>36</v>
      </c>
      <c r="Z2724" s="3">
        <v>853.71</v>
      </c>
      <c r="AA2724" t="s">
        <v>40</v>
      </c>
      <c r="AB2724" t="s">
        <v>33</v>
      </c>
      <c r="AC2724">
        <v>33.200000000000003</v>
      </c>
      <c r="AD2724" t="s">
        <v>43</v>
      </c>
      <c r="AE2724">
        <v>3346.78</v>
      </c>
      <c r="AF2724">
        <v>1</v>
      </c>
    </row>
    <row r="2725" spans="3:32" x14ac:dyDescent="0.35">
      <c r="C2725" s="1">
        <v>45086</v>
      </c>
      <c r="D2725" s="2">
        <v>45078</v>
      </c>
      <c r="E2725">
        <v>1956</v>
      </c>
      <c r="F2725" s="3">
        <v>4961.34</v>
      </c>
      <c r="G2725" s="3">
        <v>4506.68</v>
      </c>
      <c r="H2725" s="3">
        <v>454.66</v>
      </c>
      <c r="I2725" s="3">
        <v>0.91</v>
      </c>
      <c r="J2725">
        <v>0.19</v>
      </c>
      <c r="K2725">
        <v>2142.29</v>
      </c>
      <c r="L2725" t="s">
        <v>39</v>
      </c>
      <c r="M2725">
        <v>634</v>
      </c>
      <c r="N2725">
        <v>0.28000000000000003</v>
      </c>
      <c r="O2725" s="3">
        <v>402.84</v>
      </c>
      <c r="P2725" s="3">
        <v>0.08</v>
      </c>
      <c r="Q2725" s="3">
        <v>465.62</v>
      </c>
      <c r="R2725" s="3">
        <v>0.09</v>
      </c>
      <c r="S2725">
        <v>4</v>
      </c>
      <c r="T2725">
        <v>1400.45</v>
      </c>
      <c r="U2725">
        <v>27</v>
      </c>
      <c r="V2725">
        <v>0</v>
      </c>
      <c r="W2725">
        <v>480.03</v>
      </c>
      <c r="X2725">
        <v>2206.9699999999998</v>
      </c>
      <c r="Y2725" t="s">
        <v>31</v>
      </c>
      <c r="Z2725" s="3">
        <v>1215.8</v>
      </c>
      <c r="AA2725" t="s">
        <v>40</v>
      </c>
      <c r="AB2725" t="s">
        <v>44</v>
      </c>
      <c r="AC2725">
        <v>37.4</v>
      </c>
      <c r="AD2725" t="s">
        <v>34</v>
      </c>
      <c r="AE2725">
        <v>454.66</v>
      </c>
      <c r="AF2725">
        <v>0</v>
      </c>
    </row>
    <row r="2726" spans="3:32" x14ac:dyDescent="0.35">
      <c r="C2726" s="1">
        <v>45086</v>
      </c>
      <c r="D2726" s="2">
        <v>45078</v>
      </c>
      <c r="E2726">
        <v>1860</v>
      </c>
      <c r="F2726" s="3">
        <v>4325.3500000000004</v>
      </c>
      <c r="G2726" s="3">
        <v>3511.59</v>
      </c>
      <c r="H2726" s="3">
        <v>813.76</v>
      </c>
      <c r="I2726" s="3">
        <v>0.81</v>
      </c>
      <c r="J2726">
        <v>0.34</v>
      </c>
      <c r="K2726">
        <v>3236.06</v>
      </c>
      <c r="L2726" t="s">
        <v>35</v>
      </c>
      <c r="M2726">
        <v>628</v>
      </c>
      <c r="N2726">
        <v>0.18</v>
      </c>
      <c r="O2726" s="3">
        <v>547.04999999999995</v>
      </c>
      <c r="P2726" s="3">
        <v>0.13</v>
      </c>
      <c r="Q2726" s="3">
        <v>845.94</v>
      </c>
      <c r="R2726" s="3">
        <v>0.2</v>
      </c>
      <c r="S2726">
        <v>6</v>
      </c>
      <c r="T2726">
        <v>747.19</v>
      </c>
      <c r="U2726">
        <v>29</v>
      </c>
      <c r="V2726">
        <v>0</v>
      </c>
      <c r="W2726">
        <v>359.72</v>
      </c>
      <c r="X2726">
        <v>1471.13</v>
      </c>
      <c r="Y2726" t="s">
        <v>36</v>
      </c>
      <c r="Z2726" s="3">
        <v>1549.11</v>
      </c>
      <c r="AA2726" t="s">
        <v>48</v>
      </c>
      <c r="AB2726" t="s">
        <v>33</v>
      </c>
      <c r="AC2726">
        <v>75.2</v>
      </c>
      <c r="AD2726" t="s">
        <v>34</v>
      </c>
      <c r="AE2726">
        <v>813.76</v>
      </c>
      <c r="AF2726">
        <v>0</v>
      </c>
    </row>
    <row r="2727" spans="3:32" x14ac:dyDescent="0.35">
      <c r="C2727" s="1">
        <v>45086</v>
      </c>
      <c r="D2727" s="2">
        <v>45078</v>
      </c>
      <c r="E2727">
        <v>1242</v>
      </c>
      <c r="F2727" s="3">
        <v>4842.62</v>
      </c>
      <c r="G2727" s="3">
        <v>3266.11</v>
      </c>
      <c r="H2727" s="3">
        <v>1576.51</v>
      </c>
      <c r="I2727" s="3">
        <v>0.67</v>
      </c>
      <c r="J2727">
        <v>0.1</v>
      </c>
      <c r="K2727">
        <v>4274.4399999999996</v>
      </c>
      <c r="L2727" t="s">
        <v>35</v>
      </c>
      <c r="M2727">
        <v>665</v>
      </c>
      <c r="N2727">
        <v>0.32</v>
      </c>
      <c r="O2727" s="3">
        <v>419.24</v>
      </c>
      <c r="P2727" s="3">
        <v>0.09</v>
      </c>
      <c r="Q2727" s="3">
        <v>783.27</v>
      </c>
      <c r="R2727" s="3">
        <v>0.16</v>
      </c>
      <c r="S2727">
        <v>4</v>
      </c>
      <c r="T2727">
        <v>783.15</v>
      </c>
      <c r="U2727">
        <v>31</v>
      </c>
      <c r="V2727">
        <v>0</v>
      </c>
      <c r="W2727">
        <v>368.01</v>
      </c>
      <c r="X2727">
        <v>1750.69</v>
      </c>
      <c r="Y2727" t="s">
        <v>36</v>
      </c>
      <c r="Z2727" s="3">
        <v>1276.29</v>
      </c>
      <c r="AA2727" t="s">
        <v>41</v>
      </c>
      <c r="AB2727" t="s">
        <v>42</v>
      </c>
      <c r="AC2727">
        <v>30.7</v>
      </c>
      <c r="AD2727" t="s">
        <v>34</v>
      </c>
      <c r="AE2727">
        <v>1576.51</v>
      </c>
      <c r="AF2727">
        <v>0</v>
      </c>
    </row>
    <row r="2728" spans="3:32" x14ac:dyDescent="0.35">
      <c r="C2728" s="1">
        <v>45086</v>
      </c>
      <c r="D2728" s="2">
        <v>45078</v>
      </c>
      <c r="E2728">
        <v>1982</v>
      </c>
      <c r="F2728" s="3">
        <v>4127</v>
      </c>
      <c r="G2728" s="3">
        <v>2245.2199999999998</v>
      </c>
      <c r="H2728" s="3">
        <v>1881.78</v>
      </c>
      <c r="I2728" s="3">
        <v>0.54</v>
      </c>
      <c r="J2728">
        <v>0.08</v>
      </c>
      <c r="K2728">
        <v>2412.52</v>
      </c>
      <c r="L2728" t="s">
        <v>39</v>
      </c>
      <c r="M2728">
        <v>637</v>
      </c>
      <c r="N2728">
        <v>0.25</v>
      </c>
      <c r="O2728" s="3">
        <v>683.2</v>
      </c>
      <c r="P2728" s="3">
        <v>0.17</v>
      </c>
      <c r="Q2728" s="3">
        <v>700.22</v>
      </c>
      <c r="R2728" s="3">
        <v>0.17</v>
      </c>
      <c r="S2728">
        <v>9</v>
      </c>
      <c r="T2728">
        <v>679.31</v>
      </c>
      <c r="U2728">
        <v>26</v>
      </c>
      <c r="V2728">
        <v>0</v>
      </c>
      <c r="W2728">
        <v>598.07000000000005</v>
      </c>
      <c r="X2728">
        <v>2167.09</v>
      </c>
      <c r="Y2728" t="s">
        <v>36</v>
      </c>
      <c r="Z2728" s="3">
        <v>348.28</v>
      </c>
      <c r="AA2728" t="s">
        <v>50</v>
      </c>
      <c r="AB2728" t="s">
        <v>33</v>
      </c>
      <c r="AC2728">
        <v>40.799999999999997</v>
      </c>
      <c r="AD2728" t="s">
        <v>43</v>
      </c>
      <c r="AE2728">
        <v>1881.78</v>
      </c>
      <c r="AF2728">
        <v>0</v>
      </c>
    </row>
    <row r="2729" spans="3:32" x14ac:dyDescent="0.35">
      <c r="C2729" s="1">
        <v>45086</v>
      </c>
      <c r="D2729" s="2">
        <v>45078</v>
      </c>
      <c r="E2729">
        <v>1205</v>
      </c>
      <c r="F2729" s="3">
        <v>6335.87</v>
      </c>
      <c r="G2729" s="3">
        <v>2852.62</v>
      </c>
      <c r="H2729" s="3">
        <v>3483.25</v>
      </c>
      <c r="I2729" s="3">
        <v>0.45</v>
      </c>
      <c r="J2729">
        <v>0.09</v>
      </c>
      <c r="K2729">
        <v>2414.6999999999998</v>
      </c>
      <c r="L2729" t="s">
        <v>35</v>
      </c>
      <c r="M2729">
        <v>620</v>
      </c>
      <c r="N2729">
        <v>0.12</v>
      </c>
      <c r="O2729" s="3">
        <v>401.83</v>
      </c>
      <c r="P2729" s="3">
        <v>0.06</v>
      </c>
      <c r="Q2729" s="3">
        <v>289.67</v>
      </c>
      <c r="R2729" s="3">
        <v>0.05</v>
      </c>
      <c r="S2729">
        <v>5</v>
      </c>
      <c r="T2729">
        <v>0</v>
      </c>
      <c r="U2729">
        <v>28</v>
      </c>
      <c r="V2729">
        <v>0</v>
      </c>
      <c r="W2729">
        <v>738.65</v>
      </c>
      <c r="X2729">
        <v>1884.42</v>
      </c>
      <c r="Y2729" t="s">
        <v>31</v>
      </c>
      <c r="Z2729" s="3">
        <v>1154.75</v>
      </c>
      <c r="AA2729" t="s">
        <v>32</v>
      </c>
      <c r="AB2729" t="s">
        <v>33</v>
      </c>
      <c r="AC2729">
        <v>33.6</v>
      </c>
      <c r="AD2729" t="s">
        <v>34</v>
      </c>
      <c r="AE2729">
        <v>3483.25</v>
      </c>
      <c r="AF2729">
        <v>1</v>
      </c>
    </row>
    <row r="2730" spans="3:32" x14ac:dyDescent="0.35">
      <c r="C2730" s="1">
        <v>45086</v>
      </c>
      <c r="D2730" s="2">
        <v>45078</v>
      </c>
      <c r="E2730">
        <v>1415</v>
      </c>
      <c r="F2730" s="3">
        <v>3142.27</v>
      </c>
      <c r="G2730" s="3">
        <v>3718.34</v>
      </c>
      <c r="H2730" s="3">
        <v>-576.07000000000005</v>
      </c>
      <c r="I2730" s="3">
        <v>1.18</v>
      </c>
      <c r="J2730">
        <v>0.05</v>
      </c>
      <c r="K2730">
        <v>2967.22</v>
      </c>
      <c r="L2730" t="s">
        <v>39</v>
      </c>
      <c r="M2730">
        <v>691</v>
      </c>
      <c r="N2730">
        <v>0.52</v>
      </c>
      <c r="O2730" s="3">
        <v>840.2</v>
      </c>
      <c r="P2730" s="3">
        <v>0.27</v>
      </c>
      <c r="Q2730" s="3">
        <v>270.62</v>
      </c>
      <c r="R2730" s="3">
        <v>0.09</v>
      </c>
      <c r="S2730">
        <v>6</v>
      </c>
      <c r="T2730">
        <v>1129.55</v>
      </c>
      <c r="U2730">
        <v>53</v>
      </c>
      <c r="V2730">
        <v>0</v>
      </c>
      <c r="W2730">
        <v>292.66000000000003</v>
      </c>
      <c r="X2730">
        <v>1947.45</v>
      </c>
      <c r="Y2730" t="s">
        <v>36</v>
      </c>
      <c r="Z2730" s="3">
        <v>356.25</v>
      </c>
      <c r="AA2730" t="s">
        <v>46</v>
      </c>
      <c r="AB2730" t="s">
        <v>33</v>
      </c>
      <c r="AC2730">
        <v>2.5</v>
      </c>
      <c r="AD2730" t="s">
        <v>34</v>
      </c>
      <c r="AE2730">
        <v>0</v>
      </c>
      <c r="AF2730">
        <v>0</v>
      </c>
    </row>
    <row r="2731" spans="3:32" x14ac:dyDescent="0.35">
      <c r="C2731" s="1">
        <v>45086</v>
      </c>
      <c r="D2731" s="2">
        <v>45078</v>
      </c>
      <c r="E2731">
        <v>1746</v>
      </c>
      <c r="F2731" s="3">
        <v>2675.59</v>
      </c>
      <c r="G2731" s="3">
        <v>3161.37</v>
      </c>
      <c r="H2731" s="3">
        <v>-485.78</v>
      </c>
      <c r="I2731" s="3">
        <v>1.18</v>
      </c>
      <c r="J2731">
        <v>0.21</v>
      </c>
      <c r="K2731">
        <v>3754.86</v>
      </c>
      <c r="L2731" t="s">
        <v>35</v>
      </c>
      <c r="M2731">
        <v>679</v>
      </c>
      <c r="N2731">
        <v>0.21</v>
      </c>
      <c r="O2731" s="3">
        <v>306.99</v>
      </c>
      <c r="P2731" s="3">
        <v>0.11</v>
      </c>
      <c r="Q2731" s="3">
        <v>418.89</v>
      </c>
      <c r="R2731" s="3">
        <v>0.16</v>
      </c>
      <c r="S2731">
        <v>9</v>
      </c>
      <c r="T2731">
        <v>134.47999999999999</v>
      </c>
      <c r="U2731">
        <v>54</v>
      </c>
      <c r="V2731">
        <v>0</v>
      </c>
      <c r="W2731">
        <v>248.63</v>
      </c>
      <c r="X2731">
        <v>1759.86</v>
      </c>
      <c r="Y2731" t="s">
        <v>36</v>
      </c>
      <c r="Z2731" s="3">
        <v>1496.01</v>
      </c>
      <c r="AA2731" t="s">
        <v>45</v>
      </c>
      <c r="AB2731" t="s">
        <v>33</v>
      </c>
      <c r="AC2731">
        <v>46.2</v>
      </c>
      <c r="AD2731" t="s">
        <v>38</v>
      </c>
      <c r="AE2731">
        <v>0</v>
      </c>
      <c r="AF2731">
        <v>0</v>
      </c>
    </row>
    <row r="2732" spans="3:32" x14ac:dyDescent="0.35">
      <c r="C2732" s="1">
        <v>45086</v>
      </c>
      <c r="D2732" s="2">
        <v>45078</v>
      </c>
      <c r="E2732">
        <v>1455</v>
      </c>
      <c r="F2732" s="3">
        <v>2806.32</v>
      </c>
      <c r="G2732" s="3">
        <v>4093.23</v>
      </c>
      <c r="H2732" s="3">
        <v>-1286.9100000000001</v>
      </c>
      <c r="I2732" s="3">
        <v>1.46</v>
      </c>
      <c r="J2732">
        <v>0.21</v>
      </c>
      <c r="K2732">
        <v>3950.56</v>
      </c>
      <c r="L2732" t="s">
        <v>35</v>
      </c>
      <c r="M2732">
        <v>585</v>
      </c>
      <c r="N2732">
        <v>0.31</v>
      </c>
      <c r="O2732" s="3">
        <v>304.26</v>
      </c>
      <c r="P2732" s="3">
        <v>0.11</v>
      </c>
      <c r="Q2732" s="3">
        <v>430.75</v>
      </c>
      <c r="R2732" s="3">
        <v>0.15</v>
      </c>
      <c r="S2732">
        <v>6</v>
      </c>
      <c r="T2732">
        <v>1935.16</v>
      </c>
      <c r="U2732">
        <v>51</v>
      </c>
      <c r="V2732">
        <v>0</v>
      </c>
      <c r="W2732">
        <v>461.79</v>
      </c>
      <c r="X2732">
        <v>1971.24</v>
      </c>
      <c r="Y2732" t="s">
        <v>36</v>
      </c>
      <c r="Z2732" s="3">
        <v>986.77</v>
      </c>
      <c r="AA2732" t="s">
        <v>50</v>
      </c>
      <c r="AB2732" t="s">
        <v>33</v>
      </c>
      <c r="AC2732">
        <v>50.5</v>
      </c>
      <c r="AD2732" t="s">
        <v>34</v>
      </c>
      <c r="AE2732">
        <v>0</v>
      </c>
      <c r="AF2732">
        <v>0</v>
      </c>
    </row>
    <row r="2733" spans="3:32" x14ac:dyDescent="0.35">
      <c r="C2733" s="1">
        <v>45086</v>
      </c>
      <c r="D2733" s="2">
        <v>45078</v>
      </c>
      <c r="E2733">
        <v>1999</v>
      </c>
      <c r="F2733" s="3">
        <v>4728.4399999999996</v>
      </c>
      <c r="G2733" s="3">
        <v>1798.07</v>
      </c>
      <c r="H2733" s="3">
        <v>2930.37</v>
      </c>
      <c r="I2733" s="3">
        <v>0.38</v>
      </c>
      <c r="J2733">
        <v>0.27</v>
      </c>
      <c r="K2733">
        <v>3081.71</v>
      </c>
      <c r="L2733" t="s">
        <v>35</v>
      </c>
      <c r="M2733">
        <v>755</v>
      </c>
      <c r="N2733">
        <v>0.42</v>
      </c>
      <c r="O2733" s="3">
        <v>476.9</v>
      </c>
      <c r="P2733" s="3">
        <v>0.1</v>
      </c>
      <c r="Q2733" s="3">
        <v>373.93</v>
      </c>
      <c r="R2733" s="3">
        <v>0.08</v>
      </c>
      <c r="S2733">
        <v>4</v>
      </c>
      <c r="T2733">
        <v>831.68</v>
      </c>
      <c r="U2733">
        <v>87</v>
      </c>
      <c r="V2733">
        <v>0</v>
      </c>
      <c r="W2733">
        <v>289.86</v>
      </c>
      <c r="X2733">
        <v>2583.3000000000002</v>
      </c>
      <c r="Y2733" t="s">
        <v>36</v>
      </c>
      <c r="Z2733" s="3">
        <v>1572.94</v>
      </c>
      <c r="AA2733" t="s">
        <v>51</v>
      </c>
      <c r="AB2733" t="s">
        <v>33</v>
      </c>
      <c r="AC2733">
        <v>50.2</v>
      </c>
      <c r="AD2733" t="s">
        <v>34</v>
      </c>
      <c r="AE2733">
        <v>2930.37</v>
      </c>
      <c r="AF2733">
        <v>0</v>
      </c>
    </row>
    <row r="2734" spans="3:32" x14ac:dyDescent="0.35">
      <c r="C2734" s="1">
        <v>45086</v>
      </c>
      <c r="D2734" s="2">
        <v>45078</v>
      </c>
      <c r="E2734">
        <v>1692</v>
      </c>
      <c r="F2734" s="3">
        <v>4930.42</v>
      </c>
      <c r="G2734" s="3">
        <v>2902.08</v>
      </c>
      <c r="H2734" s="3">
        <v>2028.34</v>
      </c>
      <c r="I2734" s="3">
        <v>0.59</v>
      </c>
      <c r="J2734">
        <v>0.31</v>
      </c>
      <c r="K2734">
        <v>2682.24</v>
      </c>
      <c r="L2734" t="s">
        <v>35</v>
      </c>
      <c r="M2734">
        <v>573</v>
      </c>
      <c r="N2734">
        <v>0.34</v>
      </c>
      <c r="O2734" s="3">
        <v>738.85</v>
      </c>
      <c r="P2734" s="3">
        <v>0.15</v>
      </c>
      <c r="Q2734" s="3">
        <v>467.89</v>
      </c>
      <c r="R2734" s="3">
        <v>0.09</v>
      </c>
      <c r="S2734">
        <v>8</v>
      </c>
      <c r="T2734">
        <v>866.16</v>
      </c>
      <c r="U2734">
        <v>85</v>
      </c>
      <c r="V2734">
        <v>0</v>
      </c>
      <c r="W2734">
        <v>160.07</v>
      </c>
      <c r="X2734">
        <v>2534.1799999999998</v>
      </c>
      <c r="Y2734" t="s">
        <v>36</v>
      </c>
      <c r="Z2734" s="3">
        <v>1906.96</v>
      </c>
      <c r="AA2734" t="s">
        <v>47</v>
      </c>
      <c r="AB2734" t="s">
        <v>44</v>
      </c>
      <c r="AC2734">
        <v>68.599999999999994</v>
      </c>
      <c r="AD2734" t="s">
        <v>34</v>
      </c>
      <c r="AE2734">
        <v>2028.34</v>
      </c>
      <c r="AF2734">
        <v>0</v>
      </c>
    </row>
    <row r="2735" spans="3:32" x14ac:dyDescent="0.35">
      <c r="C2735" s="1">
        <v>45086</v>
      </c>
      <c r="D2735" s="2">
        <v>45078</v>
      </c>
      <c r="E2735">
        <v>1221</v>
      </c>
      <c r="F2735" s="3">
        <v>2276.96</v>
      </c>
      <c r="G2735" s="3">
        <v>4029.34</v>
      </c>
      <c r="H2735" s="3">
        <v>-1752.38</v>
      </c>
      <c r="I2735" s="3">
        <v>1.77</v>
      </c>
      <c r="J2735">
        <v>0.38</v>
      </c>
      <c r="K2735">
        <v>2488.14</v>
      </c>
      <c r="L2735" t="s">
        <v>30</v>
      </c>
      <c r="M2735">
        <v>791</v>
      </c>
      <c r="N2735">
        <v>0.27</v>
      </c>
      <c r="O2735" s="3">
        <v>556.08000000000004</v>
      </c>
      <c r="P2735" s="3">
        <v>0.24</v>
      </c>
      <c r="Q2735" s="3">
        <v>181.76</v>
      </c>
      <c r="R2735" s="3">
        <v>0.08</v>
      </c>
      <c r="S2735">
        <v>3</v>
      </c>
      <c r="T2735">
        <v>1792.75</v>
      </c>
      <c r="U2735">
        <v>98</v>
      </c>
      <c r="V2735">
        <v>0</v>
      </c>
      <c r="W2735">
        <v>668.93</v>
      </c>
      <c r="X2735">
        <v>1924.56</v>
      </c>
      <c r="Y2735" t="s">
        <v>36</v>
      </c>
      <c r="Z2735" s="3">
        <v>1099.42</v>
      </c>
      <c r="AA2735" t="s">
        <v>46</v>
      </c>
      <c r="AB2735" t="s">
        <v>42</v>
      </c>
      <c r="AC2735">
        <v>1.7</v>
      </c>
      <c r="AD2735" t="s">
        <v>34</v>
      </c>
      <c r="AE2735">
        <v>0</v>
      </c>
      <c r="AF2735">
        <v>0</v>
      </c>
    </row>
    <row r="2736" spans="3:32" x14ac:dyDescent="0.35">
      <c r="C2736" s="1">
        <v>45086</v>
      </c>
      <c r="D2736" s="2">
        <v>45078</v>
      </c>
      <c r="E2736">
        <v>1602</v>
      </c>
      <c r="F2736" s="3">
        <v>4318.05</v>
      </c>
      <c r="G2736" s="3">
        <v>4362.03</v>
      </c>
      <c r="H2736" s="3">
        <v>-43.98</v>
      </c>
      <c r="I2736" s="3">
        <v>1.01</v>
      </c>
      <c r="J2736">
        <v>0.13</v>
      </c>
      <c r="K2736">
        <v>3770.67</v>
      </c>
      <c r="L2736" t="s">
        <v>35</v>
      </c>
      <c r="M2736">
        <v>653</v>
      </c>
      <c r="N2736">
        <v>0.53</v>
      </c>
      <c r="O2736" s="3">
        <v>8.49</v>
      </c>
      <c r="P2736" s="3">
        <v>0</v>
      </c>
      <c r="Q2736" s="3">
        <v>392.54</v>
      </c>
      <c r="R2736" s="3">
        <v>0.09</v>
      </c>
      <c r="S2736">
        <v>1</v>
      </c>
      <c r="T2736">
        <v>1122.06</v>
      </c>
      <c r="U2736">
        <v>75</v>
      </c>
      <c r="V2736">
        <v>0</v>
      </c>
      <c r="W2736">
        <v>439.68</v>
      </c>
      <c r="X2736">
        <v>2286.5500000000002</v>
      </c>
      <c r="Y2736" t="s">
        <v>31</v>
      </c>
      <c r="Z2736" s="3">
        <v>1587.7</v>
      </c>
      <c r="AA2736" t="s">
        <v>37</v>
      </c>
      <c r="AB2736" t="s">
        <v>44</v>
      </c>
      <c r="AC2736">
        <v>57.6</v>
      </c>
      <c r="AD2736" t="s">
        <v>38</v>
      </c>
      <c r="AE2736">
        <v>0</v>
      </c>
      <c r="AF2736">
        <v>0</v>
      </c>
    </row>
    <row r="2737" spans="3:32" x14ac:dyDescent="0.35">
      <c r="C2737" s="1">
        <v>45086</v>
      </c>
      <c r="D2737" s="2">
        <v>45078</v>
      </c>
      <c r="E2737">
        <v>1436</v>
      </c>
      <c r="F2737" s="3">
        <v>5027.1099999999997</v>
      </c>
      <c r="G2737" s="3">
        <v>3672.37</v>
      </c>
      <c r="H2737" s="3">
        <v>1354.74</v>
      </c>
      <c r="I2737" s="3">
        <v>0.73</v>
      </c>
      <c r="J2737">
        <v>0.05</v>
      </c>
      <c r="K2737">
        <v>2886.51</v>
      </c>
      <c r="L2737" t="s">
        <v>35</v>
      </c>
      <c r="M2737">
        <v>688</v>
      </c>
      <c r="N2737">
        <v>0.6</v>
      </c>
      <c r="O2737" s="3">
        <v>251.19</v>
      </c>
      <c r="P2737" s="3">
        <v>0.05</v>
      </c>
      <c r="Q2737" s="3">
        <v>165.75</v>
      </c>
      <c r="R2737" s="3">
        <v>0.03</v>
      </c>
      <c r="S2737">
        <v>9</v>
      </c>
      <c r="T2737">
        <v>1151.1600000000001</v>
      </c>
      <c r="U2737">
        <v>86</v>
      </c>
      <c r="V2737">
        <v>0</v>
      </c>
      <c r="W2737">
        <v>330.35</v>
      </c>
      <c r="X2737">
        <v>2616.5300000000002</v>
      </c>
      <c r="Y2737" t="s">
        <v>36</v>
      </c>
      <c r="Z2737" s="3">
        <v>1318.21</v>
      </c>
      <c r="AA2737" t="s">
        <v>45</v>
      </c>
      <c r="AB2737" t="s">
        <v>44</v>
      </c>
      <c r="AC2737">
        <v>28.6</v>
      </c>
      <c r="AD2737" t="s">
        <v>43</v>
      </c>
      <c r="AE2737">
        <v>1354.74</v>
      </c>
      <c r="AF2737">
        <v>0</v>
      </c>
    </row>
    <row r="2738" spans="3:32" x14ac:dyDescent="0.35">
      <c r="C2738" s="1">
        <v>45086</v>
      </c>
      <c r="D2738" s="2">
        <v>45078</v>
      </c>
      <c r="E2738">
        <v>1993</v>
      </c>
      <c r="F2738" s="3">
        <v>4454.33</v>
      </c>
      <c r="G2738" s="3">
        <v>2760.33</v>
      </c>
      <c r="H2738" s="3">
        <v>1694</v>
      </c>
      <c r="I2738" s="3">
        <v>0.62</v>
      </c>
      <c r="J2738">
        <v>0.21</v>
      </c>
      <c r="K2738">
        <v>3128.55</v>
      </c>
      <c r="L2738" t="s">
        <v>39</v>
      </c>
      <c r="M2738">
        <v>630</v>
      </c>
      <c r="N2738">
        <v>0.47</v>
      </c>
      <c r="O2738" s="3">
        <v>172.88</v>
      </c>
      <c r="P2738" s="3">
        <v>0.04</v>
      </c>
      <c r="Q2738" s="3">
        <v>271.02999999999997</v>
      </c>
      <c r="R2738" s="3">
        <v>0.06</v>
      </c>
      <c r="S2738">
        <v>6</v>
      </c>
      <c r="T2738">
        <v>1020.89</v>
      </c>
      <c r="U2738">
        <v>57</v>
      </c>
      <c r="V2738">
        <v>0</v>
      </c>
      <c r="W2738">
        <v>647.48</v>
      </c>
      <c r="X2738">
        <v>1360.5</v>
      </c>
      <c r="Y2738" t="s">
        <v>36</v>
      </c>
      <c r="Z2738" s="3">
        <v>1416.99</v>
      </c>
      <c r="AA2738" t="s">
        <v>40</v>
      </c>
      <c r="AB2738" t="s">
        <v>33</v>
      </c>
      <c r="AC2738">
        <v>69.8</v>
      </c>
      <c r="AD2738" t="s">
        <v>34</v>
      </c>
      <c r="AE2738">
        <v>1694</v>
      </c>
      <c r="AF2738">
        <v>0</v>
      </c>
    </row>
    <row r="2739" spans="3:32" x14ac:dyDescent="0.35">
      <c r="C2739" s="1">
        <v>45086</v>
      </c>
      <c r="D2739" s="2">
        <v>45078</v>
      </c>
      <c r="E2739">
        <v>1140</v>
      </c>
      <c r="F2739" s="3">
        <v>5821.89</v>
      </c>
      <c r="G2739" s="3">
        <v>1317.78</v>
      </c>
      <c r="H2739" s="3">
        <v>4504.1099999999997</v>
      </c>
      <c r="I2739" s="3">
        <v>0.23</v>
      </c>
      <c r="J2739">
        <v>0.4</v>
      </c>
      <c r="K2739">
        <v>2351.54</v>
      </c>
      <c r="L2739" t="s">
        <v>30</v>
      </c>
      <c r="M2739">
        <v>667</v>
      </c>
      <c r="N2739">
        <v>0.55000000000000004</v>
      </c>
      <c r="O2739" s="3">
        <v>283.45</v>
      </c>
      <c r="P2739" s="3">
        <v>0.05</v>
      </c>
      <c r="Q2739" s="3">
        <v>368.32</v>
      </c>
      <c r="R2739" s="3">
        <v>0.06</v>
      </c>
      <c r="S2739">
        <v>3</v>
      </c>
      <c r="T2739">
        <v>640.04</v>
      </c>
      <c r="U2739">
        <v>96</v>
      </c>
      <c r="V2739">
        <v>0</v>
      </c>
      <c r="W2739">
        <v>486.38</v>
      </c>
      <c r="X2739">
        <v>2117.7199999999998</v>
      </c>
      <c r="Y2739" t="s">
        <v>36</v>
      </c>
      <c r="Z2739" s="3">
        <v>1848.54</v>
      </c>
      <c r="AA2739" t="s">
        <v>32</v>
      </c>
      <c r="AB2739" t="s">
        <v>33</v>
      </c>
      <c r="AC2739">
        <v>56.1</v>
      </c>
      <c r="AD2739" t="s">
        <v>38</v>
      </c>
      <c r="AE2739">
        <v>4504.1099999999997</v>
      </c>
      <c r="AF2739">
        <v>1</v>
      </c>
    </row>
    <row r="2740" spans="3:32" x14ac:dyDescent="0.35">
      <c r="C2740" s="1">
        <v>45086</v>
      </c>
      <c r="D2740" s="2">
        <v>45078</v>
      </c>
      <c r="E2740">
        <v>1756</v>
      </c>
      <c r="F2740" s="3">
        <v>6148.28</v>
      </c>
      <c r="G2740" s="3">
        <v>3945.64</v>
      </c>
      <c r="H2740" s="3">
        <v>2202.64</v>
      </c>
      <c r="I2740" s="3">
        <v>0.64</v>
      </c>
      <c r="J2740">
        <v>0.26</v>
      </c>
      <c r="K2740">
        <v>3289</v>
      </c>
      <c r="L2740" t="s">
        <v>35</v>
      </c>
      <c r="M2740">
        <v>761</v>
      </c>
      <c r="N2740">
        <v>0.36</v>
      </c>
      <c r="O2740" s="3">
        <v>695.02</v>
      </c>
      <c r="P2740" s="3">
        <v>0.11</v>
      </c>
      <c r="Q2740" s="3">
        <v>373.6</v>
      </c>
      <c r="R2740" s="3">
        <v>0.06</v>
      </c>
      <c r="S2740">
        <v>7</v>
      </c>
      <c r="T2740">
        <v>1334.54</v>
      </c>
      <c r="U2740">
        <v>53</v>
      </c>
      <c r="V2740">
        <v>0</v>
      </c>
      <c r="W2740">
        <v>459.14</v>
      </c>
      <c r="X2740">
        <v>2733.34</v>
      </c>
      <c r="Y2740" t="s">
        <v>31</v>
      </c>
      <c r="Z2740" s="3">
        <v>971.39</v>
      </c>
      <c r="AA2740" t="s">
        <v>32</v>
      </c>
      <c r="AB2740" t="s">
        <v>42</v>
      </c>
      <c r="AC2740">
        <v>35.5</v>
      </c>
      <c r="AD2740" t="s">
        <v>34</v>
      </c>
      <c r="AE2740">
        <v>2202.64</v>
      </c>
      <c r="AF2740">
        <v>0</v>
      </c>
    </row>
    <row r="2741" spans="3:32" x14ac:dyDescent="0.35">
      <c r="C2741" s="1">
        <v>45086</v>
      </c>
      <c r="D2741" s="2">
        <v>45078</v>
      </c>
      <c r="E2741">
        <v>1639</v>
      </c>
      <c r="F2741" s="3">
        <v>2916.65</v>
      </c>
      <c r="G2741" s="3">
        <v>2782.99</v>
      </c>
      <c r="H2741" s="3">
        <v>133.66</v>
      </c>
      <c r="I2741" s="3">
        <v>0.95</v>
      </c>
      <c r="J2741">
        <v>0.09</v>
      </c>
      <c r="K2741">
        <v>3034</v>
      </c>
      <c r="L2741" t="s">
        <v>35</v>
      </c>
      <c r="M2741">
        <v>633</v>
      </c>
      <c r="N2741">
        <v>0.56000000000000005</v>
      </c>
      <c r="O2741" s="3">
        <v>292.5</v>
      </c>
      <c r="P2741" s="3">
        <v>0.1</v>
      </c>
      <c r="Q2741" s="3">
        <v>479.27</v>
      </c>
      <c r="R2741" s="3">
        <v>0.16</v>
      </c>
      <c r="S2741">
        <v>2</v>
      </c>
      <c r="T2741">
        <v>1296.3499999999999</v>
      </c>
      <c r="U2741">
        <v>23</v>
      </c>
      <c r="V2741">
        <v>0</v>
      </c>
      <c r="W2741">
        <v>242.31</v>
      </c>
      <c r="X2741">
        <v>2895.38</v>
      </c>
      <c r="Y2741" t="s">
        <v>36</v>
      </c>
      <c r="Z2741" s="3">
        <v>1054.44</v>
      </c>
      <c r="AA2741" t="s">
        <v>50</v>
      </c>
      <c r="AB2741" t="s">
        <v>42</v>
      </c>
      <c r="AC2741">
        <v>92.2</v>
      </c>
      <c r="AD2741" t="s">
        <v>34</v>
      </c>
      <c r="AE2741">
        <v>133.66</v>
      </c>
      <c r="AF2741">
        <v>0</v>
      </c>
    </row>
    <row r="2742" spans="3:32" x14ac:dyDescent="0.35">
      <c r="C2742" s="1">
        <v>45086</v>
      </c>
      <c r="D2742" s="2">
        <v>45078</v>
      </c>
      <c r="E2742">
        <v>1035</v>
      </c>
      <c r="F2742" s="3">
        <v>4539.13</v>
      </c>
      <c r="G2742" s="3">
        <v>2054.2399999999998</v>
      </c>
      <c r="H2742" s="3">
        <v>2484.89</v>
      </c>
      <c r="I2742" s="3">
        <v>0.45</v>
      </c>
      <c r="J2742">
        <v>0.28000000000000003</v>
      </c>
      <c r="K2742">
        <v>2903.91</v>
      </c>
      <c r="L2742" t="s">
        <v>39</v>
      </c>
      <c r="M2742">
        <v>722</v>
      </c>
      <c r="N2742">
        <v>0.37</v>
      </c>
      <c r="O2742" s="3">
        <v>234.02</v>
      </c>
      <c r="P2742" s="3">
        <v>0.05</v>
      </c>
      <c r="Q2742" s="3">
        <v>200.67</v>
      </c>
      <c r="R2742" s="3">
        <v>0.04</v>
      </c>
      <c r="S2742">
        <v>3</v>
      </c>
      <c r="T2742">
        <v>961.32</v>
      </c>
      <c r="U2742">
        <v>91</v>
      </c>
      <c r="V2742">
        <v>0</v>
      </c>
      <c r="W2742">
        <v>271.68</v>
      </c>
      <c r="X2742">
        <v>2101.08</v>
      </c>
      <c r="Y2742" t="s">
        <v>36</v>
      </c>
      <c r="Z2742" s="3">
        <v>1373.14</v>
      </c>
      <c r="AA2742" t="s">
        <v>46</v>
      </c>
      <c r="AB2742" t="s">
        <v>44</v>
      </c>
      <c r="AC2742">
        <v>41.5</v>
      </c>
      <c r="AD2742" t="s">
        <v>34</v>
      </c>
      <c r="AE2742">
        <v>2484.89</v>
      </c>
      <c r="AF2742">
        <v>0</v>
      </c>
    </row>
    <row r="2743" spans="3:32" x14ac:dyDescent="0.35">
      <c r="C2743" s="1">
        <v>45086</v>
      </c>
      <c r="D2743" s="2">
        <v>45078</v>
      </c>
      <c r="E2743">
        <v>1984</v>
      </c>
      <c r="F2743" s="3">
        <v>4376.63</v>
      </c>
      <c r="G2743" s="3">
        <v>2224.34</v>
      </c>
      <c r="H2743" s="3">
        <v>2152.29</v>
      </c>
      <c r="I2743" s="3">
        <v>0.51</v>
      </c>
      <c r="J2743">
        <v>0.13</v>
      </c>
      <c r="K2743">
        <v>3019.67</v>
      </c>
      <c r="L2743" t="s">
        <v>30</v>
      </c>
      <c r="M2743">
        <v>660</v>
      </c>
      <c r="N2743">
        <v>0.14000000000000001</v>
      </c>
      <c r="O2743" s="3">
        <v>779.2</v>
      </c>
      <c r="P2743" s="3">
        <v>0.18</v>
      </c>
      <c r="Q2743" s="3">
        <v>777.94</v>
      </c>
      <c r="R2743" s="3">
        <v>0.18</v>
      </c>
      <c r="S2743">
        <v>5</v>
      </c>
      <c r="T2743">
        <v>1066.5</v>
      </c>
      <c r="U2743">
        <v>70</v>
      </c>
      <c r="V2743">
        <v>0</v>
      </c>
      <c r="W2743">
        <v>424.02</v>
      </c>
      <c r="X2743">
        <v>2735.93</v>
      </c>
      <c r="Y2743" t="s">
        <v>36</v>
      </c>
      <c r="Z2743" s="3">
        <v>1043.83</v>
      </c>
      <c r="AA2743" t="s">
        <v>47</v>
      </c>
      <c r="AB2743" t="s">
        <v>33</v>
      </c>
      <c r="AC2743">
        <v>8.4</v>
      </c>
      <c r="AD2743" t="s">
        <v>34</v>
      </c>
      <c r="AE2743">
        <v>2152.29</v>
      </c>
      <c r="AF2743">
        <v>0</v>
      </c>
    </row>
    <row r="2744" spans="3:32" x14ac:dyDescent="0.35">
      <c r="C2744" s="1">
        <v>45086</v>
      </c>
      <c r="D2744" s="2">
        <v>45078</v>
      </c>
      <c r="E2744">
        <v>1304</v>
      </c>
      <c r="F2744" s="3">
        <v>2774.17</v>
      </c>
      <c r="G2744" s="3">
        <v>2898.15</v>
      </c>
      <c r="H2744" s="3">
        <v>-123.98</v>
      </c>
      <c r="I2744" s="3">
        <v>1.04</v>
      </c>
      <c r="J2744">
        <v>0.34</v>
      </c>
      <c r="K2744">
        <v>2875.4</v>
      </c>
      <c r="L2744" t="s">
        <v>35</v>
      </c>
      <c r="M2744">
        <v>638</v>
      </c>
      <c r="N2744">
        <v>0.43</v>
      </c>
      <c r="O2744" s="3">
        <v>645.61</v>
      </c>
      <c r="P2744" s="3">
        <v>0.23</v>
      </c>
      <c r="Q2744" s="3">
        <v>809.62</v>
      </c>
      <c r="R2744" s="3">
        <v>0.28999999999999998</v>
      </c>
      <c r="S2744">
        <v>5</v>
      </c>
      <c r="T2744">
        <v>1270.6099999999999</v>
      </c>
      <c r="U2744">
        <v>84</v>
      </c>
      <c r="V2744">
        <v>0</v>
      </c>
      <c r="W2744">
        <v>554.37</v>
      </c>
      <c r="X2744">
        <v>2406.7800000000002</v>
      </c>
      <c r="Y2744" t="s">
        <v>36</v>
      </c>
      <c r="Z2744" s="3">
        <v>661.78</v>
      </c>
      <c r="AA2744" t="s">
        <v>47</v>
      </c>
      <c r="AB2744" t="s">
        <v>33</v>
      </c>
      <c r="AC2744">
        <v>0.5</v>
      </c>
      <c r="AD2744" t="s">
        <v>34</v>
      </c>
      <c r="AE2744">
        <v>0</v>
      </c>
      <c r="AF2744">
        <v>0</v>
      </c>
    </row>
    <row r="2745" spans="3:32" x14ac:dyDescent="0.35">
      <c r="C2745" s="1">
        <v>45086</v>
      </c>
      <c r="D2745" s="2">
        <v>45078</v>
      </c>
      <c r="E2745">
        <v>1259</v>
      </c>
      <c r="F2745" s="3">
        <v>5208.09</v>
      </c>
      <c r="G2745" s="3">
        <v>2593.6799999999998</v>
      </c>
      <c r="H2745" s="3">
        <v>2614.41</v>
      </c>
      <c r="I2745" s="3">
        <v>0.5</v>
      </c>
      <c r="J2745">
        <v>0.16</v>
      </c>
      <c r="K2745">
        <v>2931.37</v>
      </c>
      <c r="L2745" t="s">
        <v>30</v>
      </c>
      <c r="M2745">
        <v>754</v>
      </c>
      <c r="N2745">
        <v>0.41</v>
      </c>
      <c r="O2745" s="3">
        <v>550.98</v>
      </c>
      <c r="P2745" s="3">
        <v>0.11</v>
      </c>
      <c r="Q2745" s="3">
        <v>448.71</v>
      </c>
      <c r="R2745" s="3">
        <v>0.09</v>
      </c>
      <c r="S2745">
        <v>1</v>
      </c>
      <c r="T2745">
        <v>1748.03</v>
      </c>
      <c r="U2745">
        <v>92</v>
      </c>
      <c r="V2745">
        <v>0</v>
      </c>
      <c r="W2745">
        <v>579.29999999999995</v>
      </c>
      <c r="X2745">
        <v>2205.41</v>
      </c>
      <c r="Y2745" t="s">
        <v>36</v>
      </c>
      <c r="Z2745" s="3">
        <v>1075.27</v>
      </c>
      <c r="AA2745" t="s">
        <v>41</v>
      </c>
      <c r="AB2745" t="s">
        <v>42</v>
      </c>
      <c r="AC2745">
        <v>47.6</v>
      </c>
      <c r="AD2745" t="s">
        <v>43</v>
      </c>
      <c r="AE2745">
        <v>2614.41</v>
      </c>
      <c r="AF2745">
        <v>0</v>
      </c>
    </row>
    <row r="2746" spans="3:32" x14ac:dyDescent="0.35">
      <c r="C2746" s="1">
        <v>45086</v>
      </c>
      <c r="D2746" s="2">
        <v>45078</v>
      </c>
      <c r="E2746">
        <v>1919</v>
      </c>
      <c r="F2746" s="3">
        <v>3439.29</v>
      </c>
      <c r="G2746" s="3">
        <v>3526.43</v>
      </c>
      <c r="H2746" s="3">
        <v>-87.14</v>
      </c>
      <c r="I2746" s="3">
        <v>1.03</v>
      </c>
      <c r="J2746">
        <v>0.18</v>
      </c>
      <c r="K2746">
        <v>2635.15</v>
      </c>
      <c r="L2746" t="s">
        <v>35</v>
      </c>
      <c r="M2746">
        <v>593</v>
      </c>
      <c r="N2746">
        <v>0.18</v>
      </c>
      <c r="O2746" s="3">
        <v>650.91999999999996</v>
      </c>
      <c r="P2746" s="3">
        <v>0.19</v>
      </c>
      <c r="Q2746" s="3">
        <v>365.01</v>
      </c>
      <c r="R2746" s="3">
        <v>0.11</v>
      </c>
      <c r="S2746">
        <v>4</v>
      </c>
      <c r="T2746">
        <v>1765.09</v>
      </c>
      <c r="U2746">
        <v>83</v>
      </c>
      <c r="V2746">
        <v>0</v>
      </c>
      <c r="W2746">
        <v>432.86</v>
      </c>
      <c r="X2746">
        <v>1938.33</v>
      </c>
      <c r="Y2746" t="s">
        <v>36</v>
      </c>
      <c r="Z2746" s="3">
        <v>916.6</v>
      </c>
      <c r="AA2746" t="s">
        <v>45</v>
      </c>
      <c r="AB2746" t="s">
        <v>33</v>
      </c>
      <c r="AC2746">
        <v>32.700000000000003</v>
      </c>
      <c r="AD2746" t="s">
        <v>34</v>
      </c>
      <c r="AE2746">
        <v>0</v>
      </c>
      <c r="AF2746">
        <v>0</v>
      </c>
    </row>
    <row r="2747" spans="3:32" x14ac:dyDescent="0.35">
      <c r="C2747" s="1">
        <v>45086</v>
      </c>
      <c r="D2747" s="2">
        <v>45078</v>
      </c>
      <c r="E2747">
        <v>1628</v>
      </c>
      <c r="F2747" s="3">
        <v>4505.88</v>
      </c>
      <c r="G2747" s="3">
        <v>3163.56</v>
      </c>
      <c r="H2747" s="3">
        <v>1342.32</v>
      </c>
      <c r="I2747" s="3">
        <v>0.7</v>
      </c>
      <c r="J2747">
        <v>0.28999999999999998</v>
      </c>
      <c r="K2747">
        <v>2157.48</v>
      </c>
      <c r="L2747" t="s">
        <v>39</v>
      </c>
      <c r="M2747">
        <v>759</v>
      </c>
      <c r="N2747">
        <v>0.27</v>
      </c>
      <c r="O2747" s="3">
        <v>135.88999999999999</v>
      </c>
      <c r="P2747" s="3">
        <v>0.03</v>
      </c>
      <c r="Q2747" s="3">
        <v>917.85</v>
      </c>
      <c r="R2747" s="3">
        <v>0.2</v>
      </c>
      <c r="S2747">
        <v>3</v>
      </c>
      <c r="T2747">
        <v>957.09</v>
      </c>
      <c r="U2747">
        <v>79</v>
      </c>
      <c r="V2747">
        <v>0</v>
      </c>
      <c r="W2747">
        <v>1053.5999999999999</v>
      </c>
      <c r="X2747">
        <v>2116.9499999999998</v>
      </c>
      <c r="Y2747" t="s">
        <v>36</v>
      </c>
      <c r="Z2747" s="3">
        <v>948.3</v>
      </c>
      <c r="AA2747" t="s">
        <v>48</v>
      </c>
      <c r="AB2747" t="s">
        <v>44</v>
      </c>
      <c r="AC2747">
        <v>0.2</v>
      </c>
      <c r="AD2747" t="s">
        <v>34</v>
      </c>
      <c r="AE2747">
        <v>1342.32</v>
      </c>
      <c r="AF2747">
        <v>0</v>
      </c>
    </row>
    <row r="2748" spans="3:32" x14ac:dyDescent="0.35">
      <c r="C2748" s="1">
        <v>45086</v>
      </c>
      <c r="D2748" s="2">
        <v>45078</v>
      </c>
      <c r="E2748">
        <v>1367</v>
      </c>
      <c r="F2748" s="3">
        <v>5792.43</v>
      </c>
      <c r="G2748" s="3">
        <v>3796.08</v>
      </c>
      <c r="H2748" s="3">
        <v>1996.35</v>
      </c>
      <c r="I2748" s="3">
        <v>0.66</v>
      </c>
      <c r="J2748">
        <v>0.4</v>
      </c>
      <c r="K2748">
        <v>2173.0300000000002</v>
      </c>
      <c r="L2748" t="s">
        <v>35</v>
      </c>
      <c r="M2748">
        <v>682</v>
      </c>
      <c r="N2748">
        <v>0.16</v>
      </c>
      <c r="O2748" s="3">
        <v>424.06</v>
      </c>
      <c r="P2748" s="3">
        <v>7.0000000000000007E-2</v>
      </c>
      <c r="Q2748" s="3">
        <v>213.55</v>
      </c>
      <c r="R2748" s="3">
        <v>0.04</v>
      </c>
      <c r="S2748">
        <v>3</v>
      </c>
      <c r="T2748">
        <v>1345.83</v>
      </c>
      <c r="U2748">
        <v>36</v>
      </c>
      <c r="V2748">
        <v>0</v>
      </c>
      <c r="W2748">
        <v>721.06</v>
      </c>
      <c r="X2748">
        <v>2176.12</v>
      </c>
      <c r="Y2748" t="s">
        <v>36</v>
      </c>
      <c r="Z2748" s="3">
        <v>748.25</v>
      </c>
      <c r="AA2748" t="s">
        <v>48</v>
      </c>
      <c r="AB2748" t="s">
        <v>33</v>
      </c>
      <c r="AC2748">
        <v>80.900000000000006</v>
      </c>
      <c r="AD2748" t="s">
        <v>38</v>
      </c>
      <c r="AE2748">
        <v>1996.35</v>
      </c>
      <c r="AF2748">
        <v>0</v>
      </c>
    </row>
    <row r="2749" spans="3:32" x14ac:dyDescent="0.35">
      <c r="C2749" s="1">
        <v>45086</v>
      </c>
      <c r="D2749" s="2">
        <v>45078</v>
      </c>
      <c r="E2749">
        <v>1525</v>
      </c>
      <c r="F2749" s="3">
        <v>4407.4399999999996</v>
      </c>
      <c r="G2749" s="3">
        <v>2683.39</v>
      </c>
      <c r="H2749" s="3">
        <v>1724.05</v>
      </c>
      <c r="I2749" s="3">
        <v>0.61</v>
      </c>
      <c r="J2749">
        <v>0.13</v>
      </c>
      <c r="K2749">
        <v>2545.35</v>
      </c>
      <c r="L2749" t="s">
        <v>35</v>
      </c>
      <c r="M2749">
        <v>625</v>
      </c>
      <c r="N2749">
        <v>0.44</v>
      </c>
      <c r="O2749" s="3">
        <v>442.04</v>
      </c>
      <c r="P2749" s="3">
        <v>0.1</v>
      </c>
      <c r="Q2749" s="3">
        <v>547.04</v>
      </c>
      <c r="R2749" s="3">
        <v>0.12</v>
      </c>
      <c r="S2749">
        <v>4</v>
      </c>
      <c r="T2749">
        <v>209.57</v>
      </c>
      <c r="U2749">
        <v>45</v>
      </c>
      <c r="V2749">
        <v>0</v>
      </c>
      <c r="W2749">
        <v>349.12</v>
      </c>
      <c r="X2749">
        <v>2416.0500000000002</v>
      </c>
      <c r="Y2749" t="s">
        <v>36</v>
      </c>
      <c r="Z2749" s="3">
        <v>1150.3800000000001</v>
      </c>
      <c r="AA2749" t="s">
        <v>46</v>
      </c>
      <c r="AB2749" t="s">
        <v>33</v>
      </c>
      <c r="AC2749">
        <v>60.6</v>
      </c>
      <c r="AD2749" t="s">
        <v>34</v>
      </c>
      <c r="AE2749">
        <v>1724.05</v>
      </c>
      <c r="AF2749">
        <v>0</v>
      </c>
    </row>
    <row r="2750" spans="3:32" x14ac:dyDescent="0.35">
      <c r="C2750" s="1">
        <v>45086</v>
      </c>
      <c r="D2750" s="2">
        <v>45078</v>
      </c>
      <c r="E2750">
        <v>1137</v>
      </c>
      <c r="F2750" s="3">
        <v>5069.41</v>
      </c>
      <c r="G2750" s="3">
        <v>3163.55</v>
      </c>
      <c r="H2750" s="3">
        <v>1905.86</v>
      </c>
      <c r="I2750" s="3">
        <v>0.62</v>
      </c>
      <c r="J2750">
        <v>0.35</v>
      </c>
      <c r="K2750">
        <v>2332.08</v>
      </c>
      <c r="L2750" t="s">
        <v>39</v>
      </c>
      <c r="M2750">
        <v>636</v>
      </c>
      <c r="N2750">
        <v>0.59</v>
      </c>
      <c r="O2750" s="3">
        <v>895.85</v>
      </c>
      <c r="P2750" s="3">
        <v>0.18</v>
      </c>
      <c r="Q2750" s="3">
        <v>0</v>
      </c>
      <c r="R2750" s="3">
        <v>0</v>
      </c>
      <c r="S2750">
        <v>9</v>
      </c>
      <c r="T2750">
        <v>934.81</v>
      </c>
      <c r="U2750">
        <v>81</v>
      </c>
      <c r="V2750">
        <v>0</v>
      </c>
      <c r="W2750">
        <v>370.07</v>
      </c>
      <c r="X2750">
        <v>2682.15</v>
      </c>
      <c r="Y2750" t="s">
        <v>36</v>
      </c>
      <c r="Z2750" s="3">
        <v>1185.6199999999999</v>
      </c>
      <c r="AA2750" t="s">
        <v>41</v>
      </c>
      <c r="AB2750" t="s">
        <v>33</v>
      </c>
      <c r="AC2750">
        <v>31</v>
      </c>
      <c r="AD2750" t="s">
        <v>34</v>
      </c>
      <c r="AE2750">
        <v>1905.86</v>
      </c>
      <c r="AF2750">
        <v>0</v>
      </c>
    </row>
    <row r="2751" spans="3:32" x14ac:dyDescent="0.35">
      <c r="C2751" s="1">
        <v>45086</v>
      </c>
      <c r="D2751" s="2">
        <v>45078</v>
      </c>
      <c r="E2751">
        <v>1967</v>
      </c>
      <c r="F2751" s="3">
        <v>4158.12</v>
      </c>
      <c r="G2751" s="3">
        <v>4342.91</v>
      </c>
      <c r="H2751" s="3">
        <v>-184.79</v>
      </c>
      <c r="I2751" s="3">
        <v>1.04</v>
      </c>
      <c r="J2751">
        <v>0.13</v>
      </c>
      <c r="K2751">
        <v>2856.85</v>
      </c>
      <c r="L2751" t="s">
        <v>35</v>
      </c>
      <c r="M2751">
        <v>722</v>
      </c>
      <c r="N2751">
        <v>0.55000000000000004</v>
      </c>
      <c r="O2751" s="3">
        <v>412.76</v>
      </c>
      <c r="P2751" s="3">
        <v>0.1</v>
      </c>
      <c r="Q2751" s="3">
        <v>383.22</v>
      </c>
      <c r="R2751" s="3">
        <v>0.09</v>
      </c>
      <c r="S2751">
        <v>3</v>
      </c>
      <c r="T2751">
        <v>1623.24</v>
      </c>
      <c r="U2751">
        <v>20</v>
      </c>
      <c r="V2751">
        <v>0</v>
      </c>
      <c r="W2751">
        <v>576.14</v>
      </c>
      <c r="X2751">
        <v>1125.19</v>
      </c>
      <c r="Y2751" t="s">
        <v>36</v>
      </c>
      <c r="Z2751" s="3">
        <v>839.25</v>
      </c>
      <c r="AA2751" t="s">
        <v>47</v>
      </c>
      <c r="AB2751" t="s">
        <v>33</v>
      </c>
      <c r="AC2751">
        <v>9.6</v>
      </c>
      <c r="AD2751" t="s">
        <v>34</v>
      </c>
      <c r="AE2751">
        <v>0</v>
      </c>
      <c r="AF2751">
        <v>0</v>
      </c>
    </row>
    <row r="2752" spans="3:32" x14ac:dyDescent="0.35">
      <c r="C2752" s="1">
        <v>45116</v>
      </c>
      <c r="D2752" s="2">
        <v>45108</v>
      </c>
      <c r="E2752">
        <v>1477</v>
      </c>
      <c r="F2752" s="3">
        <v>5578.55</v>
      </c>
      <c r="G2752" s="3">
        <v>2600.71</v>
      </c>
      <c r="H2752" s="3">
        <v>2977.84</v>
      </c>
      <c r="I2752" s="3">
        <v>0.47</v>
      </c>
      <c r="J2752">
        <v>0.06</v>
      </c>
      <c r="K2752">
        <v>1942.39</v>
      </c>
      <c r="L2752" t="s">
        <v>39</v>
      </c>
      <c r="M2752">
        <v>700</v>
      </c>
      <c r="N2752">
        <v>0.45</v>
      </c>
      <c r="O2752" s="3">
        <v>262.58</v>
      </c>
      <c r="P2752" s="3">
        <v>0.05</v>
      </c>
      <c r="Q2752" s="3">
        <v>813.12</v>
      </c>
      <c r="R2752" s="3">
        <v>0.15</v>
      </c>
      <c r="S2752">
        <v>3</v>
      </c>
      <c r="T2752">
        <v>1379.9</v>
      </c>
      <c r="U2752">
        <v>74</v>
      </c>
      <c r="V2752">
        <v>0</v>
      </c>
      <c r="W2752">
        <v>473.79</v>
      </c>
      <c r="X2752">
        <v>2580.5700000000002</v>
      </c>
      <c r="Y2752" t="s">
        <v>31</v>
      </c>
      <c r="Z2752" s="3">
        <v>1051.48</v>
      </c>
      <c r="AA2752" t="s">
        <v>47</v>
      </c>
      <c r="AB2752" t="s">
        <v>44</v>
      </c>
      <c r="AC2752">
        <v>53.8</v>
      </c>
      <c r="AD2752" t="s">
        <v>43</v>
      </c>
      <c r="AE2752">
        <v>2977.84</v>
      </c>
      <c r="AF2752">
        <v>1</v>
      </c>
    </row>
    <row r="2753" spans="3:32" x14ac:dyDescent="0.35">
      <c r="C2753" s="1">
        <v>45116</v>
      </c>
      <c r="D2753" s="2">
        <v>45108</v>
      </c>
      <c r="E2753">
        <v>1962</v>
      </c>
      <c r="F2753" s="3">
        <v>5514.81</v>
      </c>
      <c r="G2753" s="3">
        <v>2614.04</v>
      </c>
      <c r="H2753" s="3">
        <v>2900.77</v>
      </c>
      <c r="I2753" s="3">
        <v>0.47</v>
      </c>
      <c r="J2753">
        <v>0.08</v>
      </c>
      <c r="K2753">
        <v>3259.67</v>
      </c>
      <c r="L2753" t="s">
        <v>35</v>
      </c>
      <c r="M2753">
        <v>703</v>
      </c>
      <c r="N2753">
        <v>0.11</v>
      </c>
      <c r="O2753" s="3">
        <v>809.86</v>
      </c>
      <c r="P2753" s="3">
        <v>0.15</v>
      </c>
      <c r="Q2753" s="3">
        <v>28.65</v>
      </c>
      <c r="R2753" s="3">
        <v>0.01</v>
      </c>
      <c r="S2753">
        <v>3</v>
      </c>
      <c r="T2753">
        <v>1074.75</v>
      </c>
      <c r="U2753">
        <v>81</v>
      </c>
      <c r="V2753">
        <v>0</v>
      </c>
      <c r="W2753">
        <v>450.6</v>
      </c>
      <c r="X2753">
        <v>2559.54</v>
      </c>
      <c r="Y2753" t="s">
        <v>31</v>
      </c>
      <c r="Z2753" s="3">
        <v>1385.43</v>
      </c>
      <c r="AA2753" t="s">
        <v>50</v>
      </c>
      <c r="AB2753" t="s">
        <v>33</v>
      </c>
      <c r="AC2753">
        <v>58.3</v>
      </c>
      <c r="AD2753" t="s">
        <v>34</v>
      </c>
      <c r="AE2753">
        <v>2900.77</v>
      </c>
      <c r="AF2753">
        <v>0</v>
      </c>
    </row>
    <row r="2754" spans="3:32" x14ac:dyDescent="0.35">
      <c r="C2754" s="1">
        <v>45116</v>
      </c>
      <c r="D2754" s="2">
        <v>45108</v>
      </c>
      <c r="E2754">
        <v>1351</v>
      </c>
      <c r="F2754" s="3">
        <v>5500.56</v>
      </c>
      <c r="G2754" s="3">
        <v>2501.94</v>
      </c>
      <c r="H2754" s="3">
        <v>2998.62</v>
      </c>
      <c r="I2754" s="3">
        <v>0.45</v>
      </c>
      <c r="J2754">
        <v>0.34</v>
      </c>
      <c r="K2754">
        <v>3216.31</v>
      </c>
      <c r="L2754" t="s">
        <v>35</v>
      </c>
      <c r="M2754">
        <v>678</v>
      </c>
      <c r="N2754">
        <v>0.17</v>
      </c>
      <c r="O2754" s="3">
        <v>131.91999999999999</v>
      </c>
      <c r="P2754" s="3">
        <v>0.02</v>
      </c>
      <c r="Q2754" s="3">
        <v>0</v>
      </c>
      <c r="R2754" s="3">
        <v>0</v>
      </c>
      <c r="S2754">
        <v>1</v>
      </c>
      <c r="T2754">
        <v>479.11</v>
      </c>
      <c r="U2754">
        <v>41</v>
      </c>
      <c r="V2754">
        <v>0</v>
      </c>
      <c r="W2754">
        <v>416.96</v>
      </c>
      <c r="X2754">
        <v>1793.33</v>
      </c>
      <c r="Y2754" t="s">
        <v>36</v>
      </c>
      <c r="Z2754" s="3">
        <v>739.18</v>
      </c>
      <c r="AA2754" t="s">
        <v>40</v>
      </c>
      <c r="AB2754" t="s">
        <v>33</v>
      </c>
      <c r="AC2754">
        <v>49.5</v>
      </c>
      <c r="AD2754" t="s">
        <v>34</v>
      </c>
      <c r="AE2754">
        <v>2998.62</v>
      </c>
      <c r="AF2754">
        <v>0</v>
      </c>
    </row>
    <row r="2755" spans="3:32" x14ac:dyDescent="0.35">
      <c r="C2755" s="1">
        <v>45116</v>
      </c>
      <c r="D2755" s="2">
        <v>45108</v>
      </c>
      <c r="E2755">
        <v>1623</v>
      </c>
      <c r="F2755" s="3">
        <v>3884.77</v>
      </c>
      <c r="G2755" s="3">
        <v>3691.02</v>
      </c>
      <c r="H2755" s="3">
        <v>193.75</v>
      </c>
      <c r="I2755" s="3">
        <v>0.95</v>
      </c>
      <c r="J2755">
        <v>0.34</v>
      </c>
      <c r="K2755">
        <v>3562.9</v>
      </c>
      <c r="L2755" t="s">
        <v>39</v>
      </c>
      <c r="M2755">
        <v>640</v>
      </c>
      <c r="N2755">
        <v>0.22</v>
      </c>
      <c r="O2755" s="3">
        <v>762.35</v>
      </c>
      <c r="P2755" s="3">
        <v>0.2</v>
      </c>
      <c r="Q2755" s="3">
        <v>545.5</v>
      </c>
      <c r="R2755" s="3">
        <v>0.14000000000000001</v>
      </c>
      <c r="S2755">
        <v>5</v>
      </c>
      <c r="T2755">
        <v>660.4</v>
      </c>
      <c r="U2755">
        <v>34</v>
      </c>
      <c r="V2755">
        <v>0</v>
      </c>
      <c r="W2755">
        <v>494.58</v>
      </c>
      <c r="X2755">
        <v>2567.83</v>
      </c>
      <c r="Y2755" t="s">
        <v>36</v>
      </c>
      <c r="Z2755" s="3">
        <v>1713.33</v>
      </c>
      <c r="AA2755" t="s">
        <v>47</v>
      </c>
      <c r="AB2755" t="s">
        <v>33</v>
      </c>
      <c r="AC2755">
        <v>16.600000000000001</v>
      </c>
      <c r="AD2755" t="s">
        <v>34</v>
      </c>
      <c r="AE2755">
        <v>193.75</v>
      </c>
      <c r="AF2755">
        <v>0</v>
      </c>
    </row>
    <row r="2756" spans="3:32" x14ac:dyDescent="0.35">
      <c r="C2756" s="1">
        <v>45116</v>
      </c>
      <c r="D2756" s="2">
        <v>45108</v>
      </c>
      <c r="E2756">
        <v>1502</v>
      </c>
      <c r="F2756" s="3">
        <v>3919.48</v>
      </c>
      <c r="G2756" s="3">
        <v>4018.3</v>
      </c>
      <c r="H2756" s="3">
        <v>-98.82</v>
      </c>
      <c r="I2756" s="3">
        <v>1.03</v>
      </c>
      <c r="J2756">
        <v>0.38</v>
      </c>
      <c r="K2756">
        <v>3114.94</v>
      </c>
      <c r="L2756" t="s">
        <v>35</v>
      </c>
      <c r="M2756">
        <v>636</v>
      </c>
      <c r="N2756">
        <v>0.49</v>
      </c>
      <c r="O2756" s="3">
        <v>505.75</v>
      </c>
      <c r="P2756" s="3">
        <v>0.13</v>
      </c>
      <c r="Q2756" s="3">
        <v>751.48</v>
      </c>
      <c r="R2756" s="3">
        <v>0.19</v>
      </c>
      <c r="S2756">
        <v>4</v>
      </c>
      <c r="T2756">
        <v>776.84</v>
      </c>
      <c r="U2756">
        <v>53</v>
      </c>
      <c r="V2756">
        <v>0</v>
      </c>
      <c r="W2756">
        <v>569.04999999999995</v>
      </c>
      <c r="X2756">
        <v>1844.03</v>
      </c>
      <c r="Y2756" t="s">
        <v>36</v>
      </c>
      <c r="Z2756" s="3">
        <v>844.06</v>
      </c>
      <c r="AA2756" t="s">
        <v>37</v>
      </c>
      <c r="AB2756" t="s">
        <v>42</v>
      </c>
      <c r="AC2756">
        <v>98.9</v>
      </c>
      <c r="AD2756" t="s">
        <v>34</v>
      </c>
      <c r="AE2756">
        <v>0</v>
      </c>
      <c r="AF2756">
        <v>0</v>
      </c>
    </row>
    <row r="2757" spans="3:32" x14ac:dyDescent="0.35">
      <c r="C2757" s="1">
        <v>45116</v>
      </c>
      <c r="D2757" s="2">
        <v>45108</v>
      </c>
      <c r="E2757">
        <v>1264</v>
      </c>
      <c r="F2757" s="3">
        <v>3799.96</v>
      </c>
      <c r="G2757" s="3">
        <v>2805.6</v>
      </c>
      <c r="H2757" s="3">
        <v>994.36</v>
      </c>
      <c r="I2757" s="3">
        <v>0.74</v>
      </c>
      <c r="J2757">
        <v>0.3</v>
      </c>
      <c r="K2757">
        <v>2303.62</v>
      </c>
      <c r="L2757" t="s">
        <v>35</v>
      </c>
      <c r="M2757">
        <v>680</v>
      </c>
      <c r="N2757">
        <v>0.23</v>
      </c>
      <c r="O2757" s="3">
        <v>620.46</v>
      </c>
      <c r="P2757" s="3">
        <v>0.16</v>
      </c>
      <c r="Q2757" s="3">
        <v>492.23</v>
      </c>
      <c r="R2757" s="3">
        <v>0.13</v>
      </c>
      <c r="S2757">
        <v>2</v>
      </c>
      <c r="T2757">
        <v>984.63</v>
      </c>
      <c r="U2757">
        <v>60</v>
      </c>
      <c r="V2757">
        <v>0</v>
      </c>
      <c r="W2757">
        <v>388.87</v>
      </c>
      <c r="X2757">
        <v>2869.47</v>
      </c>
      <c r="Y2757" t="s">
        <v>36</v>
      </c>
      <c r="Z2757" s="3">
        <v>1541.04</v>
      </c>
      <c r="AA2757" t="s">
        <v>41</v>
      </c>
      <c r="AB2757" t="s">
        <v>44</v>
      </c>
      <c r="AC2757">
        <v>81.599999999999994</v>
      </c>
      <c r="AD2757" t="s">
        <v>34</v>
      </c>
      <c r="AE2757">
        <v>994.36</v>
      </c>
      <c r="AF2757">
        <v>0</v>
      </c>
    </row>
    <row r="2758" spans="3:32" x14ac:dyDescent="0.35">
      <c r="C2758" s="1">
        <v>45116</v>
      </c>
      <c r="D2758" s="2">
        <v>45108</v>
      </c>
      <c r="E2758">
        <v>1116</v>
      </c>
      <c r="F2758" s="3">
        <v>3355.81</v>
      </c>
      <c r="G2758" s="3">
        <v>1753.15</v>
      </c>
      <c r="H2758" s="3">
        <v>1602.66</v>
      </c>
      <c r="I2758" s="3">
        <v>0.52</v>
      </c>
      <c r="J2758">
        <v>0.1</v>
      </c>
      <c r="K2758">
        <v>2842.88</v>
      </c>
      <c r="L2758" t="s">
        <v>35</v>
      </c>
      <c r="M2758">
        <v>693</v>
      </c>
      <c r="N2758">
        <v>0.18</v>
      </c>
      <c r="O2758" s="3">
        <v>402.8</v>
      </c>
      <c r="P2758" s="3">
        <v>0.12</v>
      </c>
      <c r="Q2758" s="3">
        <v>332.02</v>
      </c>
      <c r="R2758" s="3">
        <v>0.1</v>
      </c>
      <c r="S2758">
        <v>2</v>
      </c>
      <c r="T2758">
        <v>1025.8</v>
      </c>
      <c r="U2758">
        <v>23</v>
      </c>
      <c r="V2758">
        <v>0</v>
      </c>
      <c r="W2758">
        <v>704.16</v>
      </c>
      <c r="X2758">
        <v>1112.07</v>
      </c>
      <c r="Y2758" t="s">
        <v>36</v>
      </c>
      <c r="Z2758" s="3">
        <v>1382.81</v>
      </c>
      <c r="AA2758" t="s">
        <v>50</v>
      </c>
      <c r="AB2758" t="s">
        <v>33</v>
      </c>
      <c r="AC2758">
        <v>41.5</v>
      </c>
      <c r="AD2758" t="s">
        <v>34</v>
      </c>
      <c r="AE2758">
        <v>1602.66</v>
      </c>
      <c r="AF2758">
        <v>0</v>
      </c>
    </row>
    <row r="2759" spans="3:32" x14ac:dyDescent="0.35">
      <c r="C2759" s="1">
        <v>45116</v>
      </c>
      <c r="D2759" s="2">
        <v>45108</v>
      </c>
      <c r="E2759">
        <v>1434</v>
      </c>
      <c r="F2759" s="3">
        <v>4446.0200000000004</v>
      </c>
      <c r="G2759" s="3">
        <v>2300.56</v>
      </c>
      <c r="H2759" s="3">
        <v>2145.46</v>
      </c>
      <c r="I2759" s="3">
        <v>0.52</v>
      </c>
      <c r="J2759">
        <v>0.16</v>
      </c>
      <c r="K2759">
        <v>2752.25</v>
      </c>
      <c r="L2759" t="s">
        <v>35</v>
      </c>
      <c r="M2759">
        <v>686</v>
      </c>
      <c r="N2759">
        <v>0.26</v>
      </c>
      <c r="O2759" s="3">
        <v>674.53</v>
      </c>
      <c r="P2759" s="3">
        <v>0.15</v>
      </c>
      <c r="Q2759" s="3">
        <v>276.35000000000002</v>
      </c>
      <c r="R2759" s="3">
        <v>0.06</v>
      </c>
      <c r="S2759">
        <v>6</v>
      </c>
      <c r="T2759">
        <v>604.39</v>
      </c>
      <c r="U2759">
        <v>52</v>
      </c>
      <c r="V2759">
        <v>0</v>
      </c>
      <c r="W2759">
        <v>414.36</v>
      </c>
      <c r="X2759">
        <v>1584.9</v>
      </c>
      <c r="Y2759" t="s">
        <v>36</v>
      </c>
      <c r="Z2759" s="3">
        <v>901.47</v>
      </c>
      <c r="AA2759" t="s">
        <v>51</v>
      </c>
      <c r="AB2759" t="s">
        <v>44</v>
      </c>
      <c r="AC2759">
        <v>64.2</v>
      </c>
      <c r="AD2759" t="s">
        <v>34</v>
      </c>
      <c r="AE2759">
        <v>2145.46</v>
      </c>
      <c r="AF2759">
        <v>0</v>
      </c>
    </row>
    <row r="2760" spans="3:32" x14ac:dyDescent="0.35">
      <c r="C2760" s="1">
        <v>45116</v>
      </c>
      <c r="D2760" s="2">
        <v>45108</v>
      </c>
      <c r="E2760">
        <v>1771</v>
      </c>
      <c r="F2760" s="3">
        <v>1173.6099999999999</v>
      </c>
      <c r="G2760" s="3">
        <v>2401.41</v>
      </c>
      <c r="H2760" s="3">
        <v>-1227.8</v>
      </c>
      <c r="I2760" s="3">
        <v>2.0499999999999998</v>
      </c>
      <c r="J2760">
        <v>0.06</v>
      </c>
      <c r="K2760">
        <v>3050.65</v>
      </c>
      <c r="L2760" t="s">
        <v>30</v>
      </c>
      <c r="M2760">
        <v>624</v>
      </c>
      <c r="N2760">
        <v>0.48</v>
      </c>
      <c r="O2760" s="3">
        <v>243.72</v>
      </c>
      <c r="P2760" s="3">
        <v>0.21</v>
      </c>
      <c r="Q2760" s="3">
        <v>387.34</v>
      </c>
      <c r="R2760" s="3">
        <v>0.33</v>
      </c>
      <c r="S2760">
        <v>5</v>
      </c>
      <c r="T2760">
        <v>561.29999999999995</v>
      </c>
      <c r="U2760">
        <v>47</v>
      </c>
      <c r="V2760">
        <v>0</v>
      </c>
      <c r="W2760">
        <v>330</v>
      </c>
      <c r="X2760">
        <v>2337.4499999999998</v>
      </c>
      <c r="Y2760" t="s">
        <v>36</v>
      </c>
      <c r="Z2760" s="3">
        <v>1398.66</v>
      </c>
      <c r="AA2760" t="s">
        <v>46</v>
      </c>
      <c r="AB2760" t="s">
        <v>33</v>
      </c>
      <c r="AC2760">
        <v>4.3</v>
      </c>
      <c r="AD2760" t="s">
        <v>34</v>
      </c>
      <c r="AE2760">
        <v>0</v>
      </c>
      <c r="AF2760">
        <v>0</v>
      </c>
    </row>
    <row r="2761" spans="3:32" x14ac:dyDescent="0.35">
      <c r="C2761" s="1">
        <v>45116</v>
      </c>
      <c r="D2761" s="2">
        <v>45108</v>
      </c>
      <c r="E2761">
        <v>1160</v>
      </c>
      <c r="F2761" s="3">
        <v>3854.53</v>
      </c>
      <c r="G2761" s="3">
        <v>2141.09</v>
      </c>
      <c r="H2761" s="3">
        <v>1713.44</v>
      </c>
      <c r="I2761" s="3">
        <v>0.56000000000000005</v>
      </c>
      <c r="J2761">
        <v>0.31</v>
      </c>
      <c r="K2761">
        <v>2531.1</v>
      </c>
      <c r="L2761" t="s">
        <v>35</v>
      </c>
      <c r="M2761">
        <v>677</v>
      </c>
      <c r="N2761">
        <v>0.27</v>
      </c>
      <c r="O2761" s="3">
        <v>313.39999999999998</v>
      </c>
      <c r="P2761" s="3">
        <v>0.08</v>
      </c>
      <c r="Q2761" s="3">
        <v>27.85</v>
      </c>
      <c r="R2761" s="3">
        <v>0.01</v>
      </c>
      <c r="S2761">
        <v>3</v>
      </c>
      <c r="T2761">
        <v>108.19</v>
      </c>
      <c r="U2761">
        <v>43</v>
      </c>
      <c r="V2761">
        <v>0</v>
      </c>
      <c r="W2761">
        <v>656.06</v>
      </c>
      <c r="X2761">
        <v>2299.9</v>
      </c>
      <c r="Y2761" t="s">
        <v>36</v>
      </c>
      <c r="Z2761" s="3">
        <v>1082.03</v>
      </c>
      <c r="AA2761" t="s">
        <v>32</v>
      </c>
      <c r="AB2761" t="s">
        <v>33</v>
      </c>
      <c r="AC2761">
        <v>77.3</v>
      </c>
      <c r="AD2761" t="s">
        <v>34</v>
      </c>
      <c r="AE2761">
        <v>1713.44</v>
      </c>
      <c r="AF2761">
        <v>0</v>
      </c>
    </row>
    <row r="2762" spans="3:32" x14ac:dyDescent="0.35">
      <c r="C2762" s="1">
        <v>45116</v>
      </c>
      <c r="D2762" s="2">
        <v>45108</v>
      </c>
      <c r="E2762">
        <v>1164</v>
      </c>
      <c r="F2762" s="3">
        <v>5136.3100000000004</v>
      </c>
      <c r="G2762" s="3">
        <v>1769.91</v>
      </c>
      <c r="H2762" s="3">
        <v>3366.4</v>
      </c>
      <c r="I2762" s="3">
        <v>0.34</v>
      </c>
      <c r="J2762">
        <v>0.16</v>
      </c>
      <c r="K2762">
        <v>2880.24</v>
      </c>
      <c r="L2762" t="s">
        <v>35</v>
      </c>
      <c r="M2762">
        <v>664</v>
      </c>
      <c r="N2762">
        <v>0.19</v>
      </c>
      <c r="O2762" s="3">
        <v>534.33000000000004</v>
      </c>
      <c r="P2762" s="3">
        <v>0.1</v>
      </c>
      <c r="Q2762" s="3">
        <v>566.83000000000004</v>
      </c>
      <c r="R2762" s="3">
        <v>0.11</v>
      </c>
      <c r="S2762">
        <v>2</v>
      </c>
      <c r="T2762">
        <v>1868.06</v>
      </c>
      <c r="U2762">
        <v>56</v>
      </c>
      <c r="V2762">
        <v>0</v>
      </c>
      <c r="W2762">
        <v>525.61</v>
      </c>
      <c r="X2762">
        <v>3150.4</v>
      </c>
      <c r="Y2762" t="s">
        <v>49</v>
      </c>
      <c r="Z2762" s="3">
        <v>1501.18</v>
      </c>
      <c r="AA2762" t="s">
        <v>41</v>
      </c>
      <c r="AB2762" t="s">
        <v>33</v>
      </c>
      <c r="AC2762">
        <v>26.5</v>
      </c>
      <c r="AD2762" t="s">
        <v>34</v>
      </c>
      <c r="AE2762">
        <v>3366.4</v>
      </c>
      <c r="AF2762">
        <v>1</v>
      </c>
    </row>
    <row r="2763" spans="3:32" x14ac:dyDescent="0.35">
      <c r="C2763" s="1">
        <v>45116</v>
      </c>
      <c r="D2763" s="2">
        <v>45108</v>
      </c>
      <c r="E2763">
        <v>1232</v>
      </c>
      <c r="F2763" s="3">
        <v>4921.25</v>
      </c>
      <c r="G2763" s="3">
        <v>2742.33</v>
      </c>
      <c r="H2763" s="3">
        <v>2178.92</v>
      </c>
      <c r="I2763" s="3">
        <v>0.56000000000000005</v>
      </c>
      <c r="J2763">
        <v>0.31</v>
      </c>
      <c r="K2763">
        <v>2781.88</v>
      </c>
      <c r="L2763" t="s">
        <v>30</v>
      </c>
      <c r="M2763">
        <v>598</v>
      </c>
      <c r="N2763">
        <v>0.19</v>
      </c>
      <c r="O2763" s="3">
        <v>84.26</v>
      </c>
      <c r="P2763" s="3">
        <v>0.02</v>
      </c>
      <c r="Q2763" s="3">
        <v>488.71</v>
      </c>
      <c r="R2763" s="3">
        <v>0.1</v>
      </c>
      <c r="S2763">
        <v>1</v>
      </c>
      <c r="T2763">
        <v>1688.49</v>
      </c>
      <c r="U2763">
        <v>33</v>
      </c>
      <c r="V2763">
        <v>0</v>
      </c>
      <c r="W2763">
        <v>770.71</v>
      </c>
      <c r="X2763">
        <v>2036.08</v>
      </c>
      <c r="Y2763" t="s">
        <v>31</v>
      </c>
      <c r="Z2763" s="3">
        <v>1462.89</v>
      </c>
      <c r="AA2763" t="s">
        <v>47</v>
      </c>
      <c r="AB2763" t="s">
        <v>33</v>
      </c>
      <c r="AC2763">
        <v>15.6</v>
      </c>
      <c r="AD2763" t="s">
        <v>34</v>
      </c>
      <c r="AE2763">
        <v>2178.92</v>
      </c>
      <c r="AF2763">
        <v>0</v>
      </c>
    </row>
    <row r="2764" spans="3:32" x14ac:dyDescent="0.35">
      <c r="C2764" s="1">
        <v>45116</v>
      </c>
      <c r="D2764" s="2">
        <v>45108</v>
      </c>
      <c r="E2764">
        <v>1665</v>
      </c>
      <c r="F2764" s="3">
        <v>3671.09</v>
      </c>
      <c r="G2764" s="3">
        <v>2923.05</v>
      </c>
      <c r="H2764" s="3">
        <v>748.04</v>
      </c>
      <c r="I2764" s="3">
        <v>0.8</v>
      </c>
      <c r="J2764">
        <v>0.08</v>
      </c>
      <c r="K2764">
        <v>2535.11</v>
      </c>
      <c r="L2764" t="s">
        <v>35</v>
      </c>
      <c r="M2764">
        <v>682</v>
      </c>
      <c r="N2764">
        <v>0.38</v>
      </c>
      <c r="O2764" s="3">
        <v>831.75</v>
      </c>
      <c r="P2764" s="3">
        <v>0.23</v>
      </c>
      <c r="Q2764" s="3">
        <v>696.62</v>
      </c>
      <c r="R2764" s="3">
        <v>0.19</v>
      </c>
      <c r="S2764">
        <v>6</v>
      </c>
      <c r="T2764">
        <v>1679.63</v>
      </c>
      <c r="U2764">
        <v>22</v>
      </c>
      <c r="V2764">
        <v>0</v>
      </c>
      <c r="W2764">
        <v>571.75</v>
      </c>
      <c r="X2764">
        <v>2932.55</v>
      </c>
      <c r="Y2764" t="s">
        <v>36</v>
      </c>
      <c r="Z2764" s="3">
        <v>1680.64</v>
      </c>
      <c r="AA2764" t="s">
        <v>46</v>
      </c>
      <c r="AB2764" t="s">
        <v>33</v>
      </c>
      <c r="AC2764">
        <v>9.4</v>
      </c>
      <c r="AD2764" t="s">
        <v>34</v>
      </c>
      <c r="AE2764">
        <v>748.04</v>
      </c>
      <c r="AF2764">
        <v>0</v>
      </c>
    </row>
    <row r="2765" spans="3:32" x14ac:dyDescent="0.35">
      <c r="C2765" s="1">
        <v>45116</v>
      </c>
      <c r="D2765" s="2">
        <v>45108</v>
      </c>
      <c r="E2765">
        <v>1209</v>
      </c>
      <c r="F2765" s="3">
        <v>4549.54</v>
      </c>
      <c r="G2765" s="3">
        <v>1973.98</v>
      </c>
      <c r="H2765" s="3">
        <v>2575.56</v>
      </c>
      <c r="I2765" s="3">
        <v>0.43</v>
      </c>
      <c r="J2765">
        <v>0.19</v>
      </c>
      <c r="K2765">
        <v>2924.06</v>
      </c>
      <c r="L2765" t="s">
        <v>35</v>
      </c>
      <c r="M2765">
        <v>580</v>
      </c>
      <c r="N2765">
        <v>0.13</v>
      </c>
      <c r="O2765" s="3">
        <v>615.51</v>
      </c>
      <c r="P2765" s="3">
        <v>0.14000000000000001</v>
      </c>
      <c r="Q2765" s="3">
        <v>138.1</v>
      </c>
      <c r="R2765" s="3">
        <v>0.03</v>
      </c>
      <c r="S2765">
        <v>1</v>
      </c>
      <c r="T2765">
        <v>1656.05</v>
      </c>
      <c r="U2765">
        <v>59</v>
      </c>
      <c r="V2765">
        <v>0</v>
      </c>
      <c r="W2765">
        <v>739.52</v>
      </c>
      <c r="X2765">
        <v>2050.27</v>
      </c>
      <c r="Y2765" t="s">
        <v>31</v>
      </c>
      <c r="Z2765" s="3">
        <v>678.67</v>
      </c>
      <c r="AA2765" t="s">
        <v>37</v>
      </c>
      <c r="AB2765" t="s">
        <v>33</v>
      </c>
      <c r="AC2765">
        <v>80.400000000000006</v>
      </c>
      <c r="AD2765" t="s">
        <v>43</v>
      </c>
      <c r="AE2765">
        <v>2575.56</v>
      </c>
      <c r="AF2765">
        <v>0</v>
      </c>
    </row>
    <row r="2766" spans="3:32" x14ac:dyDescent="0.35">
      <c r="C2766" s="1">
        <v>45116</v>
      </c>
      <c r="D2766" s="2">
        <v>45108</v>
      </c>
      <c r="E2766">
        <v>1200</v>
      </c>
      <c r="F2766" s="3">
        <v>3856.03</v>
      </c>
      <c r="G2766" s="3">
        <v>2716.07</v>
      </c>
      <c r="H2766" s="3">
        <v>1139.96</v>
      </c>
      <c r="I2766" s="3">
        <v>0.7</v>
      </c>
      <c r="J2766">
        <v>0.22</v>
      </c>
      <c r="K2766">
        <v>3597.22</v>
      </c>
      <c r="L2766" t="s">
        <v>35</v>
      </c>
      <c r="M2766">
        <v>724</v>
      </c>
      <c r="N2766">
        <v>0.42</v>
      </c>
      <c r="O2766" s="3">
        <v>373.62</v>
      </c>
      <c r="P2766" s="3">
        <v>0.1</v>
      </c>
      <c r="Q2766" s="3">
        <v>47.13</v>
      </c>
      <c r="R2766" s="3">
        <v>0.01</v>
      </c>
      <c r="S2766">
        <v>6</v>
      </c>
      <c r="T2766">
        <v>1085.73</v>
      </c>
      <c r="U2766">
        <v>56</v>
      </c>
      <c r="V2766">
        <v>0</v>
      </c>
      <c r="W2766">
        <v>262.19</v>
      </c>
      <c r="X2766">
        <v>1709.08</v>
      </c>
      <c r="Y2766" t="s">
        <v>49</v>
      </c>
      <c r="Z2766" s="3">
        <v>733.62</v>
      </c>
      <c r="AA2766" t="s">
        <v>41</v>
      </c>
      <c r="AB2766" t="s">
        <v>44</v>
      </c>
      <c r="AC2766">
        <v>25.7</v>
      </c>
      <c r="AD2766" t="s">
        <v>34</v>
      </c>
      <c r="AE2766">
        <v>1139.96</v>
      </c>
      <c r="AF2766">
        <v>0</v>
      </c>
    </row>
    <row r="2767" spans="3:32" x14ac:dyDescent="0.35">
      <c r="C2767" s="1">
        <v>45116</v>
      </c>
      <c r="D2767" s="2">
        <v>45108</v>
      </c>
      <c r="E2767">
        <v>1372</v>
      </c>
      <c r="F2767" s="3">
        <v>4660.79</v>
      </c>
      <c r="G2767" s="3">
        <v>3880.61</v>
      </c>
      <c r="H2767" s="3">
        <v>780.18</v>
      </c>
      <c r="I2767" s="3">
        <v>0.83</v>
      </c>
      <c r="J2767">
        <v>0.3</v>
      </c>
      <c r="K2767">
        <v>3609.07</v>
      </c>
      <c r="L2767" t="s">
        <v>30</v>
      </c>
      <c r="M2767">
        <v>642</v>
      </c>
      <c r="N2767">
        <v>0.28999999999999998</v>
      </c>
      <c r="O2767" s="3">
        <v>461.27</v>
      </c>
      <c r="P2767" s="3">
        <v>0.1</v>
      </c>
      <c r="Q2767" s="3">
        <v>458.26</v>
      </c>
      <c r="R2767" s="3">
        <v>0.1</v>
      </c>
      <c r="S2767">
        <v>9</v>
      </c>
      <c r="T2767">
        <v>824.4</v>
      </c>
      <c r="U2767">
        <v>50</v>
      </c>
      <c r="V2767">
        <v>0</v>
      </c>
      <c r="W2767">
        <v>380.99</v>
      </c>
      <c r="X2767">
        <v>2688.15</v>
      </c>
      <c r="Y2767" t="s">
        <v>36</v>
      </c>
      <c r="Z2767" s="3">
        <v>1241.3699999999999</v>
      </c>
      <c r="AA2767" t="s">
        <v>47</v>
      </c>
      <c r="AB2767" t="s">
        <v>44</v>
      </c>
      <c r="AC2767">
        <v>46.6</v>
      </c>
      <c r="AD2767" t="s">
        <v>43</v>
      </c>
      <c r="AE2767">
        <v>780.18</v>
      </c>
      <c r="AF2767">
        <v>0</v>
      </c>
    </row>
    <row r="2768" spans="3:32" x14ac:dyDescent="0.35">
      <c r="C2768" s="1">
        <v>45116</v>
      </c>
      <c r="D2768" s="2">
        <v>45108</v>
      </c>
      <c r="E2768">
        <v>1953</v>
      </c>
      <c r="F2768" s="3">
        <v>5446.06</v>
      </c>
      <c r="G2768" s="3">
        <v>1940.35</v>
      </c>
      <c r="H2768" s="3">
        <v>3505.71</v>
      </c>
      <c r="I2768" s="3">
        <v>0.36</v>
      </c>
      <c r="J2768">
        <v>0.3</v>
      </c>
      <c r="K2768">
        <v>3573.82</v>
      </c>
      <c r="L2768" t="s">
        <v>35</v>
      </c>
      <c r="M2768">
        <v>691</v>
      </c>
      <c r="N2768">
        <v>0.39</v>
      </c>
      <c r="O2768" s="3">
        <v>701.93</v>
      </c>
      <c r="P2768" s="3">
        <v>0.13</v>
      </c>
      <c r="Q2768" s="3">
        <v>566.91999999999996</v>
      </c>
      <c r="R2768" s="3">
        <v>0.1</v>
      </c>
      <c r="S2768">
        <v>6</v>
      </c>
      <c r="T2768">
        <v>1754</v>
      </c>
      <c r="U2768">
        <v>72</v>
      </c>
      <c r="V2768">
        <v>1</v>
      </c>
      <c r="W2768">
        <v>404.45</v>
      </c>
      <c r="X2768">
        <v>1984.99</v>
      </c>
      <c r="Y2768" t="s">
        <v>36</v>
      </c>
      <c r="Z2768" s="3">
        <v>779.18</v>
      </c>
      <c r="AA2768" t="s">
        <v>32</v>
      </c>
      <c r="AB2768" t="s">
        <v>33</v>
      </c>
      <c r="AC2768">
        <v>67.3</v>
      </c>
      <c r="AD2768" t="s">
        <v>34</v>
      </c>
      <c r="AE2768">
        <v>3505.71</v>
      </c>
      <c r="AF2768">
        <v>0</v>
      </c>
    </row>
    <row r="2769" spans="3:32" x14ac:dyDescent="0.35">
      <c r="C2769" s="1">
        <v>45116</v>
      </c>
      <c r="D2769" s="2">
        <v>45108</v>
      </c>
      <c r="E2769">
        <v>1136</v>
      </c>
      <c r="F2769" s="3">
        <v>1614.72</v>
      </c>
      <c r="G2769" s="3">
        <v>2933.36</v>
      </c>
      <c r="H2769" s="3">
        <v>-1318.64</v>
      </c>
      <c r="I2769" s="3">
        <v>1.82</v>
      </c>
      <c r="J2769">
        <v>0.15</v>
      </c>
      <c r="K2769">
        <v>2805.56</v>
      </c>
      <c r="L2769" t="s">
        <v>39</v>
      </c>
      <c r="M2769">
        <v>714</v>
      </c>
      <c r="N2769">
        <v>0.26</v>
      </c>
      <c r="O2769" s="3">
        <v>350.78</v>
      </c>
      <c r="P2769" s="3">
        <v>0.22</v>
      </c>
      <c r="Q2769" s="3">
        <v>98.6</v>
      </c>
      <c r="R2769" s="3">
        <v>0.06</v>
      </c>
      <c r="S2769">
        <v>2</v>
      </c>
      <c r="T2769">
        <v>1839.47</v>
      </c>
      <c r="U2769">
        <v>79</v>
      </c>
      <c r="V2769">
        <v>0</v>
      </c>
      <c r="W2769">
        <v>682.9</v>
      </c>
      <c r="X2769">
        <v>1868</v>
      </c>
      <c r="Y2769" t="s">
        <v>36</v>
      </c>
      <c r="Z2769" s="3">
        <v>1024.71</v>
      </c>
      <c r="AA2769" t="s">
        <v>41</v>
      </c>
      <c r="AB2769" t="s">
        <v>42</v>
      </c>
      <c r="AC2769">
        <v>48</v>
      </c>
      <c r="AD2769" t="s">
        <v>43</v>
      </c>
      <c r="AE2769">
        <v>0</v>
      </c>
      <c r="AF2769">
        <v>0</v>
      </c>
    </row>
    <row r="2770" spans="3:32" x14ac:dyDescent="0.35">
      <c r="C2770" s="1">
        <v>45116</v>
      </c>
      <c r="D2770" s="2">
        <v>45108</v>
      </c>
      <c r="E2770">
        <v>1445</v>
      </c>
      <c r="F2770" s="3">
        <v>4819.5200000000004</v>
      </c>
      <c r="G2770" s="3">
        <v>3501.91</v>
      </c>
      <c r="H2770" s="3">
        <v>1317.61</v>
      </c>
      <c r="I2770" s="3">
        <v>0.73</v>
      </c>
      <c r="J2770">
        <v>0.23</v>
      </c>
      <c r="K2770">
        <v>2376.83</v>
      </c>
      <c r="L2770" t="s">
        <v>35</v>
      </c>
      <c r="M2770">
        <v>727</v>
      </c>
      <c r="N2770">
        <v>0.26</v>
      </c>
      <c r="O2770" s="3">
        <v>489.85</v>
      </c>
      <c r="P2770" s="3">
        <v>0.1</v>
      </c>
      <c r="Q2770" s="3">
        <v>239.73</v>
      </c>
      <c r="R2770" s="3">
        <v>0.05</v>
      </c>
      <c r="S2770">
        <v>4</v>
      </c>
      <c r="T2770">
        <v>1206.69</v>
      </c>
      <c r="U2770">
        <v>48</v>
      </c>
      <c r="V2770">
        <v>0</v>
      </c>
      <c r="W2770">
        <v>733.42</v>
      </c>
      <c r="X2770">
        <v>2703.57</v>
      </c>
      <c r="Y2770" t="s">
        <v>36</v>
      </c>
      <c r="Z2770" s="3">
        <v>751.67</v>
      </c>
      <c r="AA2770" t="s">
        <v>40</v>
      </c>
      <c r="AB2770" t="s">
        <v>33</v>
      </c>
      <c r="AC2770">
        <v>61.6</v>
      </c>
      <c r="AD2770" t="s">
        <v>34</v>
      </c>
      <c r="AE2770">
        <v>1317.61</v>
      </c>
      <c r="AF2770">
        <v>0</v>
      </c>
    </row>
    <row r="2771" spans="3:32" x14ac:dyDescent="0.35">
      <c r="C2771" s="1">
        <v>45116</v>
      </c>
      <c r="D2771" s="2">
        <v>45108</v>
      </c>
      <c r="E2771">
        <v>1455</v>
      </c>
      <c r="F2771" s="3">
        <v>3413.57</v>
      </c>
      <c r="G2771" s="3">
        <v>2147.13</v>
      </c>
      <c r="H2771" s="3">
        <v>1266.44</v>
      </c>
      <c r="I2771" s="3">
        <v>0.63</v>
      </c>
      <c r="J2771">
        <v>0.38</v>
      </c>
      <c r="K2771">
        <v>3145.49</v>
      </c>
      <c r="L2771" t="s">
        <v>30</v>
      </c>
      <c r="M2771">
        <v>683</v>
      </c>
      <c r="N2771">
        <v>0.56000000000000005</v>
      </c>
      <c r="O2771" s="3">
        <v>547.79</v>
      </c>
      <c r="P2771" s="3">
        <v>0.16</v>
      </c>
      <c r="Q2771" s="3">
        <v>742.08</v>
      </c>
      <c r="R2771" s="3">
        <v>0.22</v>
      </c>
      <c r="S2771">
        <v>4</v>
      </c>
      <c r="T2771">
        <v>1708.4</v>
      </c>
      <c r="U2771">
        <v>27</v>
      </c>
      <c r="V2771">
        <v>0</v>
      </c>
      <c r="W2771">
        <v>362.01</v>
      </c>
      <c r="X2771">
        <v>1209.94</v>
      </c>
      <c r="Y2771" t="s">
        <v>36</v>
      </c>
      <c r="Z2771" s="3">
        <v>545.04</v>
      </c>
      <c r="AA2771" t="s">
        <v>46</v>
      </c>
      <c r="AB2771" t="s">
        <v>44</v>
      </c>
      <c r="AC2771">
        <v>68.2</v>
      </c>
      <c r="AD2771" t="s">
        <v>38</v>
      </c>
      <c r="AE2771">
        <v>1266.44</v>
      </c>
      <c r="AF2771">
        <v>0</v>
      </c>
    </row>
    <row r="2772" spans="3:32" x14ac:dyDescent="0.35">
      <c r="C2772" s="1">
        <v>45116</v>
      </c>
      <c r="D2772" s="2">
        <v>45108</v>
      </c>
      <c r="E2772">
        <v>1077</v>
      </c>
      <c r="F2772" s="3">
        <v>4526.3100000000004</v>
      </c>
      <c r="G2772" s="3">
        <v>3865.95</v>
      </c>
      <c r="H2772" s="3">
        <v>660.36</v>
      </c>
      <c r="I2772" s="3">
        <v>0.85</v>
      </c>
      <c r="J2772">
        <v>0.2</v>
      </c>
      <c r="K2772">
        <v>2535.6999999999998</v>
      </c>
      <c r="L2772" t="s">
        <v>35</v>
      </c>
      <c r="M2772">
        <v>634</v>
      </c>
      <c r="N2772">
        <v>0.18</v>
      </c>
      <c r="O2772" s="3">
        <v>424.93</v>
      </c>
      <c r="P2772" s="3">
        <v>0.09</v>
      </c>
      <c r="Q2772" s="3">
        <v>531.63</v>
      </c>
      <c r="R2772" s="3">
        <v>0.12</v>
      </c>
      <c r="S2772">
        <v>3</v>
      </c>
      <c r="T2772">
        <v>1338.79</v>
      </c>
      <c r="U2772">
        <v>76</v>
      </c>
      <c r="V2772">
        <v>0</v>
      </c>
      <c r="W2772">
        <v>365.54</v>
      </c>
      <c r="X2772">
        <v>1700.11</v>
      </c>
      <c r="Y2772" t="s">
        <v>36</v>
      </c>
      <c r="Z2772" s="3">
        <v>1568.28</v>
      </c>
      <c r="AA2772" t="s">
        <v>46</v>
      </c>
      <c r="AB2772" t="s">
        <v>33</v>
      </c>
      <c r="AC2772">
        <v>13.9</v>
      </c>
      <c r="AD2772" t="s">
        <v>34</v>
      </c>
      <c r="AE2772">
        <v>660.36</v>
      </c>
      <c r="AF2772">
        <v>0</v>
      </c>
    </row>
    <row r="2773" spans="3:32" x14ac:dyDescent="0.35">
      <c r="C2773" s="1">
        <v>45116</v>
      </c>
      <c r="D2773" s="2">
        <v>45108</v>
      </c>
      <c r="E2773">
        <v>1457</v>
      </c>
      <c r="F2773" s="3">
        <v>4367.8900000000003</v>
      </c>
      <c r="G2773" s="3">
        <v>4373.6099999999997</v>
      </c>
      <c r="H2773" s="3">
        <v>-5.72</v>
      </c>
      <c r="I2773" s="3">
        <v>1</v>
      </c>
      <c r="J2773">
        <v>0.1</v>
      </c>
      <c r="K2773">
        <v>2428.25</v>
      </c>
      <c r="L2773" t="s">
        <v>30</v>
      </c>
      <c r="M2773">
        <v>661</v>
      </c>
      <c r="N2773">
        <v>0.42</v>
      </c>
      <c r="O2773" s="3">
        <v>964.23</v>
      </c>
      <c r="P2773" s="3">
        <v>0.22</v>
      </c>
      <c r="Q2773" s="3">
        <v>168.69</v>
      </c>
      <c r="R2773" s="3">
        <v>0.04</v>
      </c>
      <c r="S2773">
        <v>4</v>
      </c>
      <c r="T2773">
        <v>617.96</v>
      </c>
      <c r="U2773">
        <v>51</v>
      </c>
      <c r="V2773">
        <v>0</v>
      </c>
      <c r="W2773">
        <v>174.09</v>
      </c>
      <c r="X2773">
        <v>2727.54</v>
      </c>
      <c r="Y2773" t="s">
        <v>31</v>
      </c>
      <c r="Z2773" s="3">
        <v>796.51</v>
      </c>
      <c r="AA2773" t="s">
        <v>40</v>
      </c>
      <c r="AB2773" t="s">
        <v>33</v>
      </c>
      <c r="AC2773">
        <v>2.7</v>
      </c>
      <c r="AD2773" t="s">
        <v>43</v>
      </c>
      <c r="AE2773">
        <v>0</v>
      </c>
      <c r="AF2773">
        <v>0</v>
      </c>
    </row>
    <row r="2774" spans="3:32" x14ac:dyDescent="0.35">
      <c r="C2774" s="1">
        <v>45116</v>
      </c>
      <c r="D2774" s="2">
        <v>45108</v>
      </c>
      <c r="E2774">
        <v>1885</v>
      </c>
      <c r="F2774" s="3">
        <v>4399.97</v>
      </c>
      <c r="G2774" s="3">
        <v>3064.82</v>
      </c>
      <c r="H2774" s="3">
        <v>1335.15</v>
      </c>
      <c r="I2774" s="3">
        <v>0.7</v>
      </c>
      <c r="J2774">
        <v>0.32</v>
      </c>
      <c r="K2774">
        <v>3290.92</v>
      </c>
      <c r="L2774" t="s">
        <v>30</v>
      </c>
      <c r="M2774">
        <v>713</v>
      </c>
      <c r="N2774">
        <v>0.35</v>
      </c>
      <c r="O2774" s="3">
        <v>505.86</v>
      </c>
      <c r="P2774" s="3">
        <v>0.11</v>
      </c>
      <c r="Q2774" s="3">
        <v>512.75</v>
      </c>
      <c r="R2774" s="3">
        <v>0.12</v>
      </c>
      <c r="S2774">
        <v>4</v>
      </c>
      <c r="T2774">
        <v>1337.81</v>
      </c>
      <c r="U2774">
        <v>41</v>
      </c>
      <c r="V2774">
        <v>0</v>
      </c>
      <c r="W2774">
        <v>475.47</v>
      </c>
      <c r="X2774">
        <v>2887.04</v>
      </c>
      <c r="Y2774" t="s">
        <v>36</v>
      </c>
      <c r="Z2774" s="3">
        <v>1768.93</v>
      </c>
      <c r="AA2774" t="s">
        <v>48</v>
      </c>
      <c r="AB2774" t="s">
        <v>33</v>
      </c>
      <c r="AC2774">
        <v>13.1</v>
      </c>
      <c r="AD2774" t="s">
        <v>34</v>
      </c>
      <c r="AE2774">
        <v>1335.15</v>
      </c>
      <c r="AF2774">
        <v>0</v>
      </c>
    </row>
    <row r="2775" spans="3:32" x14ac:dyDescent="0.35">
      <c r="C2775" s="1">
        <v>45116</v>
      </c>
      <c r="D2775" s="2">
        <v>45108</v>
      </c>
      <c r="E2775">
        <v>1963</v>
      </c>
      <c r="F2775" s="3">
        <v>4536.0200000000004</v>
      </c>
      <c r="G2775" s="3">
        <v>3238.7</v>
      </c>
      <c r="H2775" s="3">
        <v>1297.32</v>
      </c>
      <c r="I2775" s="3">
        <v>0.71</v>
      </c>
      <c r="J2775">
        <v>0.22</v>
      </c>
      <c r="K2775">
        <v>3440.09</v>
      </c>
      <c r="L2775" t="s">
        <v>35</v>
      </c>
      <c r="M2775">
        <v>739</v>
      </c>
      <c r="N2775">
        <v>0.57999999999999996</v>
      </c>
      <c r="O2775" s="3">
        <v>419.33</v>
      </c>
      <c r="P2775" s="3">
        <v>0.09</v>
      </c>
      <c r="Q2775" s="3">
        <v>0</v>
      </c>
      <c r="R2775" s="3">
        <v>0</v>
      </c>
      <c r="S2775">
        <v>8</v>
      </c>
      <c r="T2775">
        <v>1167.48</v>
      </c>
      <c r="U2775">
        <v>28</v>
      </c>
      <c r="V2775">
        <v>0</v>
      </c>
      <c r="W2775">
        <v>742.77</v>
      </c>
      <c r="X2775">
        <v>1663.02</v>
      </c>
      <c r="Y2775" t="s">
        <v>31</v>
      </c>
      <c r="Z2775" s="3">
        <v>558.91</v>
      </c>
      <c r="AA2775" t="s">
        <v>41</v>
      </c>
      <c r="AB2775" t="s">
        <v>33</v>
      </c>
      <c r="AC2775">
        <v>21.2</v>
      </c>
      <c r="AD2775" t="s">
        <v>38</v>
      </c>
      <c r="AE2775">
        <v>1297.32</v>
      </c>
      <c r="AF2775">
        <v>0</v>
      </c>
    </row>
    <row r="2776" spans="3:32" x14ac:dyDescent="0.35">
      <c r="C2776" s="1">
        <v>45116</v>
      </c>
      <c r="D2776" s="2">
        <v>45108</v>
      </c>
      <c r="E2776">
        <v>1015</v>
      </c>
      <c r="F2776" s="3">
        <v>4943.74</v>
      </c>
      <c r="G2776" s="3">
        <v>2702.74</v>
      </c>
      <c r="H2776" s="3">
        <v>2241</v>
      </c>
      <c r="I2776" s="3">
        <v>0.55000000000000004</v>
      </c>
      <c r="J2776">
        <v>0.24</v>
      </c>
      <c r="K2776">
        <v>2492.64</v>
      </c>
      <c r="L2776" t="s">
        <v>35</v>
      </c>
      <c r="M2776">
        <v>697</v>
      </c>
      <c r="N2776">
        <v>0.36</v>
      </c>
      <c r="O2776" s="3">
        <v>360.77</v>
      </c>
      <c r="P2776" s="3">
        <v>7.0000000000000007E-2</v>
      </c>
      <c r="Q2776" s="3">
        <v>515.63</v>
      </c>
      <c r="R2776" s="3">
        <v>0.1</v>
      </c>
      <c r="S2776">
        <v>9</v>
      </c>
      <c r="T2776">
        <v>922.69</v>
      </c>
      <c r="U2776">
        <v>56</v>
      </c>
      <c r="V2776">
        <v>0</v>
      </c>
      <c r="W2776">
        <v>376.04</v>
      </c>
      <c r="X2776">
        <v>2128.69</v>
      </c>
      <c r="Y2776" t="s">
        <v>36</v>
      </c>
      <c r="Z2776" s="3">
        <v>1027.55</v>
      </c>
      <c r="AA2776" t="s">
        <v>50</v>
      </c>
      <c r="AB2776" t="s">
        <v>33</v>
      </c>
      <c r="AC2776">
        <v>41.7</v>
      </c>
      <c r="AD2776" t="s">
        <v>38</v>
      </c>
      <c r="AE2776">
        <v>2241</v>
      </c>
      <c r="AF2776">
        <v>0</v>
      </c>
    </row>
    <row r="2777" spans="3:32" x14ac:dyDescent="0.35">
      <c r="C2777" s="1">
        <v>45116</v>
      </c>
      <c r="D2777" s="2">
        <v>45108</v>
      </c>
      <c r="E2777">
        <v>1482</v>
      </c>
      <c r="F2777" s="3">
        <v>4848.42</v>
      </c>
      <c r="G2777" s="3">
        <v>2249.9899999999998</v>
      </c>
      <c r="H2777" s="3">
        <v>2598.4299999999998</v>
      </c>
      <c r="I2777" s="3">
        <v>0.46</v>
      </c>
      <c r="J2777">
        <v>0.35</v>
      </c>
      <c r="K2777">
        <v>4187.3</v>
      </c>
      <c r="L2777" t="s">
        <v>35</v>
      </c>
      <c r="M2777">
        <v>660</v>
      </c>
      <c r="N2777">
        <v>0.19</v>
      </c>
      <c r="O2777" s="3">
        <v>209.79</v>
      </c>
      <c r="P2777" s="3">
        <v>0.04</v>
      </c>
      <c r="Q2777" s="3">
        <v>818.79</v>
      </c>
      <c r="R2777" s="3">
        <v>0.17</v>
      </c>
      <c r="S2777">
        <v>6</v>
      </c>
      <c r="T2777">
        <v>973.52</v>
      </c>
      <c r="U2777">
        <v>85</v>
      </c>
      <c r="V2777">
        <v>0</v>
      </c>
      <c r="W2777">
        <v>606.61</v>
      </c>
      <c r="X2777">
        <v>2530.02</v>
      </c>
      <c r="Y2777" t="s">
        <v>36</v>
      </c>
      <c r="Z2777" s="3">
        <v>1299.04</v>
      </c>
      <c r="AA2777" t="s">
        <v>47</v>
      </c>
      <c r="AB2777" t="s">
        <v>33</v>
      </c>
      <c r="AC2777">
        <v>71.2</v>
      </c>
      <c r="AD2777" t="s">
        <v>34</v>
      </c>
      <c r="AE2777">
        <v>2598.4299999999998</v>
      </c>
      <c r="AF2777">
        <v>0</v>
      </c>
    </row>
    <row r="2778" spans="3:32" x14ac:dyDescent="0.35">
      <c r="C2778" s="1">
        <v>45116</v>
      </c>
      <c r="D2778" s="2">
        <v>45108</v>
      </c>
      <c r="E2778">
        <v>1041</v>
      </c>
      <c r="F2778" s="3">
        <v>3716.17</v>
      </c>
      <c r="G2778" s="3">
        <v>3544.98</v>
      </c>
      <c r="H2778" s="3">
        <v>171.19</v>
      </c>
      <c r="I2778" s="3">
        <v>0.95</v>
      </c>
      <c r="J2778">
        <v>0.05</v>
      </c>
      <c r="K2778">
        <v>3161.94</v>
      </c>
      <c r="L2778" t="s">
        <v>35</v>
      </c>
      <c r="M2778">
        <v>722</v>
      </c>
      <c r="N2778">
        <v>0.13</v>
      </c>
      <c r="O2778" s="3">
        <v>612.74</v>
      </c>
      <c r="P2778" s="3">
        <v>0.16</v>
      </c>
      <c r="Q2778" s="3">
        <v>383.06</v>
      </c>
      <c r="R2778" s="3">
        <v>0.1</v>
      </c>
      <c r="S2778">
        <v>2</v>
      </c>
      <c r="T2778">
        <v>251.83</v>
      </c>
      <c r="U2778">
        <v>85</v>
      </c>
      <c r="V2778">
        <v>0</v>
      </c>
      <c r="W2778">
        <v>628.02</v>
      </c>
      <c r="X2778">
        <v>2551.4699999999998</v>
      </c>
      <c r="Y2778" t="s">
        <v>36</v>
      </c>
      <c r="Z2778" s="3">
        <v>1084.3699999999999</v>
      </c>
      <c r="AA2778" t="s">
        <v>48</v>
      </c>
      <c r="AB2778" t="s">
        <v>33</v>
      </c>
      <c r="AC2778">
        <v>95.6</v>
      </c>
      <c r="AD2778" t="s">
        <v>34</v>
      </c>
      <c r="AE2778">
        <v>171.19</v>
      </c>
      <c r="AF2778">
        <v>0</v>
      </c>
    </row>
    <row r="2779" spans="3:32" x14ac:dyDescent="0.35">
      <c r="C2779" s="1">
        <v>45116</v>
      </c>
      <c r="D2779" s="2">
        <v>45108</v>
      </c>
      <c r="E2779">
        <v>1465</v>
      </c>
      <c r="F2779" s="3">
        <v>3947.97</v>
      </c>
      <c r="G2779" s="3">
        <v>3503.65</v>
      </c>
      <c r="H2779" s="3">
        <v>444.32</v>
      </c>
      <c r="I2779" s="3">
        <v>0.89</v>
      </c>
      <c r="J2779">
        <v>0.16</v>
      </c>
      <c r="K2779">
        <v>3010.65</v>
      </c>
      <c r="L2779" t="s">
        <v>35</v>
      </c>
      <c r="M2779">
        <v>664</v>
      </c>
      <c r="N2779">
        <v>0.3</v>
      </c>
      <c r="O2779" s="3">
        <v>242.14</v>
      </c>
      <c r="P2779" s="3">
        <v>0.06</v>
      </c>
      <c r="Q2779" s="3">
        <v>147.58000000000001</v>
      </c>
      <c r="R2779" s="3">
        <v>0.04</v>
      </c>
      <c r="S2779">
        <v>5</v>
      </c>
      <c r="T2779">
        <v>198.02</v>
      </c>
      <c r="U2779">
        <v>59</v>
      </c>
      <c r="V2779">
        <v>0</v>
      </c>
      <c r="W2779">
        <v>711.65</v>
      </c>
      <c r="X2779">
        <v>1320.08</v>
      </c>
      <c r="Y2779" t="s">
        <v>36</v>
      </c>
      <c r="Z2779" s="3">
        <v>855.14</v>
      </c>
      <c r="AA2779" t="s">
        <v>47</v>
      </c>
      <c r="AB2779" t="s">
        <v>33</v>
      </c>
      <c r="AC2779">
        <v>56.6</v>
      </c>
      <c r="AD2779" t="s">
        <v>34</v>
      </c>
      <c r="AE2779">
        <v>444.32</v>
      </c>
      <c r="AF2779">
        <v>0</v>
      </c>
    </row>
    <row r="2780" spans="3:32" x14ac:dyDescent="0.35">
      <c r="C2780" s="1">
        <v>45116</v>
      </c>
      <c r="D2780" s="2">
        <v>45108</v>
      </c>
      <c r="E2780">
        <v>1584</v>
      </c>
      <c r="F2780" s="3">
        <v>3614.02</v>
      </c>
      <c r="G2780" s="3">
        <v>4034.21</v>
      </c>
      <c r="H2780" s="3">
        <v>-420.19</v>
      </c>
      <c r="I2780" s="3">
        <v>1.1200000000000001</v>
      </c>
      <c r="J2780">
        <v>0.21</v>
      </c>
      <c r="K2780">
        <v>2963.34</v>
      </c>
      <c r="L2780" t="s">
        <v>30</v>
      </c>
      <c r="M2780">
        <v>766</v>
      </c>
      <c r="N2780">
        <v>0.13</v>
      </c>
      <c r="O2780" s="3">
        <v>181.87</v>
      </c>
      <c r="P2780" s="3">
        <v>0.05</v>
      </c>
      <c r="Q2780" s="3">
        <v>687.02</v>
      </c>
      <c r="R2780" s="3">
        <v>0.19</v>
      </c>
      <c r="S2780">
        <v>3</v>
      </c>
      <c r="T2780">
        <v>1434.48</v>
      </c>
      <c r="U2780">
        <v>62</v>
      </c>
      <c r="V2780">
        <v>0</v>
      </c>
      <c r="W2780">
        <v>637.82000000000005</v>
      </c>
      <c r="X2780">
        <v>4245.8999999999996</v>
      </c>
      <c r="Y2780" t="s">
        <v>36</v>
      </c>
      <c r="Z2780" s="3">
        <v>1470.3</v>
      </c>
      <c r="AA2780" t="s">
        <v>48</v>
      </c>
      <c r="AB2780" t="s">
        <v>33</v>
      </c>
      <c r="AC2780">
        <v>4.9000000000000004</v>
      </c>
      <c r="AD2780" t="s">
        <v>43</v>
      </c>
      <c r="AE2780">
        <v>0</v>
      </c>
      <c r="AF2780">
        <v>0</v>
      </c>
    </row>
    <row r="2781" spans="3:32" x14ac:dyDescent="0.35">
      <c r="C2781" s="1">
        <v>45116</v>
      </c>
      <c r="D2781" s="2">
        <v>45108</v>
      </c>
      <c r="E2781">
        <v>1654</v>
      </c>
      <c r="F2781" s="3">
        <v>2206.67</v>
      </c>
      <c r="G2781" s="3">
        <v>3300</v>
      </c>
      <c r="H2781" s="3">
        <v>-1093.33</v>
      </c>
      <c r="I2781" s="3">
        <v>1.5</v>
      </c>
      <c r="J2781">
        <v>0.06</v>
      </c>
      <c r="K2781">
        <v>2431.5700000000002</v>
      </c>
      <c r="L2781" t="s">
        <v>35</v>
      </c>
      <c r="M2781">
        <v>659</v>
      </c>
      <c r="N2781">
        <v>0.56999999999999995</v>
      </c>
      <c r="O2781" s="3">
        <v>672.7</v>
      </c>
      <c r="P2781" s="3">
        <v>0.3</v>
      </c>
      <c r="Q2781" s="3">
        <v>327.69</v>
      </c>
      <c r="R2781" s="3">
        <v>0.15</v>
      </c>
      <c r="S2781">
        <v>7</v>
      </c>
      <c r="T2781">
        <v>1004.94</v>
      </c>
      <c r="U2781">
        <v>34</v>
      </c>
      <c r="V2781">
        <v>0</v>
      </c>
      <c r="W2781">
        <v>89.76</v>
      </c>
      <c r="X2781">
        <v>1114.99</v>
      </c>
      <c r="Y2781" t="s">
        <v>36</v>
      </c>
      <c r="Z2781" s="3">
        <v>748.39</v>
      </c>
      <c r="AA2781" t="s">
        <v>37</v>
      </c>
      <c r="AB2781" t="s">
        <v>33</v>
      </c>
      <c r="AC2781">
        <v>28.1</v>
      </c>
      <c r="AD2781" t="s">
        <v>34</v>
      </c>
      <c r="AE2781">
        <v>0</v>
      </c>
      <c r="AF2781">
        <v>0</v>
      </c>
    </row>
    <row r="2782" spans="3:32" x14ac:dyDescent="0.35">
      <c r="C2782" s="1">
        <v>45116</v>
      </c>
      <c r="D2782" s="2">
        <v>45108</v>
      </c>
      <c r="E2782">
        <v>1395</v>
      </c>
      <c r="F2782" s="3">
        <v>4840.18</v>
      </c>
      <c r="G2782" s="3">
        <v>2825</v>
      </c>
      <c r="H2782" s="3">
        <v>2015.18</v>
      </c>
      <c r="I2782" s="3">
        <v>0.57999999999999996</v>
      </c>
      <c r="J2782">
        <v>0.16</v>
      </c>
      <c r="K2782">
        <v>3034.11</v>
      </c>
      <c r="L2782" t="s">
        <v>30</v>
      </c>
      <c r="M2782">
        <v>622</v>
      </c>
      <c r="N2782">
        <v>0.49</v>
      </c>
      <c r="O2782" s="3">
        <v>154.44999999999999</v>
      </c>
      <c r="P2782" s="3">
        <v>0.03</v>
      </c>
      <c r="Q2782" s="3">
        <v>128.43</v>
      </c>
      <c r="R2782" s="3">
        <v>0.03</v>
      </c>
      <c r="S2782">
        <v>4</v>
      </c>
      <c r="T2782">
        <v>692.75</v>
      </c>
      <c r="U2782">
        <v>35</v>
      </c>
      <c r="V2782">
        <v>0</v>
      </c>
      <c r="W2782">
        <v>838.39</v>
      </c>
      <c r="X2782">
        <v>1863.48</v>
      </c>
      <c r="Y2782" t="s">
        <v>36</v>
      </c>
      <c r="Z2782" s="3">
        <v>992.18</v>
      </c>
      <c r="AA2782" t="s">
        <v>41</v>
      </c>
      <c r="AB2782" t="s">
        <v>42</v>
      </c>
      <c r="AC2782">
        <v>24.6</v>
      </c>
      <c r="AD2782" t="s">
        <v>34</v>
      </c>
      <c r="AE2782">
        <v>2015.18</v>
      </c>
      <c r="AF2782">
        <v>0</v>
      </c>
    </row>
    <row r="2783" spans="3:32" x14ac:dyDescent="0.35">
      <c r="C2783" s="1">
        <v>45116</v>
      </c>
      <c r="D2783" s="2">
        <v>45108</v>
      </c>
      <c r="E2783">
        <v>1242</v>
      </c>
      <c r="F2783" s="3">
        <v>6435.12</v>
      </c>
      <c r="G2783" s="3">
        <v>5077.7</v>
      </c>
      <c r="H2783" s="3">
        <v>1357.42</v>
      </c>
      <c r="I2783" s="3">
        <v>0.79</v>
      </c>
      <c r="J2783">
        <v>7.0000000000000007E-2</v>
      </c>
      <c r="K2783">
        <v>2607.25</v>
      </c>
      <c r="L2783" t="s">
        <v>35</v>
      </c>
      <c r="M2783">
        <v>802</v>
      </c>
      <c r="N2783">
        <v>0.34</v>
      </c>
      <c r="O2783" s="3">
        <v>829.01</v>
      </c>
      <c r="P2783" s="3">
        <v>0.13</v>
      </c>
      <c r="Q2783" s="3">
        <v>0</v>
      </c>
      <c r="R2783" s="3">
        <v>0</v>
      </c>
      <c r="S2783">
        <v>9</v>
      </c>
      <c r="T2783">
        <v>1636.82</v>
      </c>
      <c r="U2783">
        <v>75</v>
      </c>
      <c r="V2783">
        <v>0</v>
      </c>
      <c r="W2783">
        <v>691.55</v>
      </c>
      <c r="X2783">
        <v>2624.96</v>
      </c>
      <c r="Y2783" t="s">
        <v>36</v>
      </c>
      <c r="Z2783" s="3">
        <v>1690.72</v>
      </c>
      <c r="AA2783" t="s">
        <v>46</v>
      </c>
      <c r="AB2783" t="s">
        <v>33</v>
      </c>
      <c r="AC2783">
        <v>35.4</v>
      </c>
      <c r="AD2783" t="s">
        <v>34</v>
      </c>
      <c r="AE2783">
        <v>1357.42</v>
      </c>
      <c r="AF2783">
        <v>0</v>
      </c>
    </row>
    <row r="2784" spans="3:32" x14ac:dyDescent="0.35">
      <c r="C2784" s="1">
        <v>45116</v>
      </c>
      <c r="D2784" s="2">
        <v>45108</v>
      </c>
      <c r="E2784">
        <v>1371</v>
      </c>
      <c r="F2784" s="3">
        <v>4209.37</v>
      </c>
      <c r="G2784" s="3">
        <v>2557.44</v>
      </c>
      <c r="H2784" s="3">
        <v>1651.93</v>
      </c>
      <c r="I2784" s="3">
        <v>0.61</v>
      </c>
      <c r="J2784">
        <v>0.21</v>
      </c>
      <c r="K2784">
        <v>3182.91</v>
      </c>
      <c r="L2784" t="s">
        <v>35</v>
      </c>
      <c r="M2784">
        <v>676</v>
      </c>
      <c r="N2784">
        <v>0.51</v>
      </c>
      <c r="O2784" s="3">
        <v>717.16</v>
      </c>
      <c r="P2784" s="3">
        <v>0.17</v>
      </c>
      <c r="Q2784" s="3">
        <v>434.54</v>
      </c>
      <c r="R2784" s="3">
        <v>0.1</v>
      </c>
      <c r="S2784">
        <v>5</v>
      </c>
      <c r="T2784">
        <v>908.53</v>
      </c>
      <c r="U2784">
        <v>78</v>
      </c>
      <c r="V2784">
        <v>0</v>
      </c>
      <c r="W2784">
        <v>731.13</v>
      </c>
      <c r="X2784">
        <v>2444.06</v>
      </c>
      <c r="Y2784" t="s">
        <v>36</v>
      </c>
      <c r="Z2784" s="3">
        <v>300</v>
      </c>
      <c r="AA2784" t="s">
        <v>41</v>
      </c>
      <c r="AB2784" t="s">
        <v>42</v>
      </c>
      <c r="AC2784">
        <v>94.6</v>
      </c>
      <c r="AD2784" t="s">
        <v>43</v>
      </c>
      <c r="AE2784">
        <v>1651.93</v>
      </c>
      <c r="AF2784">
        <v>0</v>
      </c>
    </row>
    <row r="2785" spans="3:32" x14ac:dyDescent="0.35">
      <c r="C2785" s="1">
        <v>45116</v>
      </c>
      <c r="D2785" s="2">
        <v>45108</v>
      </c>
      <c r="E2785">
        <v>1876</v>
      </c>
      <c r="F2785" s="3">
        <v>4342.3</v>
      </c>
      <c r="G2785" s="3">
        <v>3491.66</v>
      </c>
      <c r="H2785" s="3">
        <v>850.64</v>
      </c>
      <c r="I2785" s="3">
        <v>0.8</v>
      </c>
      <c r="J2785">
        <v>0.28999999999999998</v>
      </c>
      <c r="K2785">
        <v>2995.77</v>
      </c>
      <c r="L2785" t="s">
        <v>35</v>
      </c>
      <c r="M2785">
        <v>615</v>
      </c>
      <c r="N2785">
        <v>0.21</v>
      </c>
      <c r="O2785" s="3">
        <v>640.89</v>
      </c>
      <c r="P2785" s="3">
        <v>0.15</v>
      </c>
      <c r="Q2785" s="3">
        <v>352.05</v>
      </c>
      <c r="R2785" s="3">
        <v>0.08</v>
      </c>
      <c r="S2785">
        <v>2</v>
      </c>
      <c r="T2785">
        <v>452.29</v>
      </c>
      <c r="U2785">
        <v>49</v>
      </c>
      <c r="V2785">
        <v>0</v>
      </c>
      <c r="W2785">
        <v>280.95</v>
      </c>
      <c r="X2785">
        <v>1873.48</v>
      </c>
      <c r="Y2785" t="s">
        <v>36</v>
      </c>
      <c r="Z2785" s="3">
        <v>1713.66</v>
      </c>
      <c r="AA2785" t="s">
        <v>45</v>
      </c>
      <c r="AB2785" t="s">
        <v>44</v>
      </c>
      <c r="AC2785">
        <v>5</v>
      </c>
      <c r="AD2785" t="s">
        <v>34</v>
      </c>
      <c r="AE2785">
        <v>850.64</v>
      </c>
      <c r="AF2785">
        <v>0</v>
      </c>
    </row>
    <row r="2786" spans="3:32" x14ac:dyDescent="0.35">
      <c r="C2786" s="1">
        <v>45116</v>
      </c>
      <c r="D2786" s="2">
        <v>45108</v>
      </c>
      <c r="E2786">
        <v>1663</v>
      </c>
      <c r="F2786" s="3">
        <v>4622.04</v>
      </c>
      <c r="G2786" s="3">
        <v>3672.59</v>
      </c>
      <c r="H2786" s="3">
        <v>949.45</v>
      </c>
      <c r="I2786" s="3">
        <v>0.79</v>
      </c>
      <c r="J2786">
        <v>0.38</v>
      </c>
      <c r="K2786">
        <v>2211.71</v>
      </c>
      <c r="L2786" t="s">
        <v>35</v>
      </c>
      <c r="M2786">
        <v>721</v>
      </c>
      <c r="N2786">
        <v>0.5</v>
      </c>
      <c r="O2786" s="3">
        <v>479.66</v>
      </c>
      <c r="P2786" s="3">
        <v>0.1</v>
      </c>
      <c r="Q2786" s="3">
        <v>126.85</v>
      </c>
      <c r="R2786" s="3">
        <v>0.03</v>
      </c>
      <c r="S2786">
        <v>8</v>
      </c>
      <c r="T2786">
        <v>181.29</v>
      </c>
      <c r="U2786">
        <v>46</v>
      </c>
      <c r="V2786">
        <v>0</v>
      </c>
      <c r="W2786">
        <v>511.89</v>
      </c>
      <c r="X2786">
        <v>1957.16</v>
      </c>
      <c r="Y2786" t="s">
        <v>36</v>
      </c>
      <c r="Z2786" s="3">
        <v>1190.49</v>
      </c>
      <c r="AA2786" t="s">
        <v>45</v>
      </c>
      <c r="AB2786" t="s">
        <v>33</v>
      </c>
      <c r="AC2786">
        <v>94.1</v>
      </c>
      <c r="AD2786" t="s">
        <v>34</v>
      </c>
      <c r="AE2786">
        <v>949.45</v>
      </c>
      <c r="AF2786">
        <v>0</v>
      </c>
    </row>
    <row r="2787" spans="3:32" x14ac:dyDescent="0.35">
      <c r="C2787" s="1">
        <v>45116</v>
      </c>
      <c r="D2787" s="2">
        <v>45108</v>
      </c>
      <c r="E2787">
        <v>1239</v>
      </c>
      <c r="F2787" s="3">
        <v>3322.21</v>
      </c>
      <c r="G2787" s="3">
        <v>1825.45</v>
      </c>
      <c r="H2787" s="3">
        <v>1496.76</v>
      </c>
      <c r="I2787" s="3">
        <v>0.55000000000000004</v>
      </c>
      <c r="J2787">
        <v>0.18</v>
      </c>
      <c r="K2787">
        <v>3622.46</v>
      </c>
      <c r="L2787" t="s">
        <v>39</v>
      </c>
      <c r="M2787">
        <v>637</v>
      </c>
      <c r="N2787">
        <v>0.51</v>
      </c>
      <c r="O2787" s="3">
        <v>435.77</v>
      </c>
      <c r="P2787" s="3">
        <v>0.13</v>
      </c>
      <c r="Q2787" s="3">
        <v>718.74</v>
      </c>
      <c r="R2787" s="3">
        <v>0.22</v>
      </c>
      <c r="S2787">
        <v>5</v>
      </c>
      <c r="T2787">
        <v>512.91999999999996</v>
      </c>
      <c r="U2787">
        <v>55</v>
      </c>
      <c r="V2787">
        <v>0</v>
      </c>
      <c r="W2787">
        <v>728.83</v>
      </c>
      <c r="X2787">
        <v>2678.66</v>
      </c>
      <c r="Y2787" t="s">
        <v>36</v>
      </c>
      <c r="Z2787" s="3">
        <v>1611.63</v>
      </c>
      <c r="AA2787" t="s">
        <v>41</v>
      </c>
      <c r="AB2787" t="s">
        <v>33</v>
      </c>
      <c r="AC2787">
        <v>4.3</v>
      </c>
      <c r="AD2787" t="s">
        <v>38</v>
      </c>
      <c r="AE2787">
        <v>1496.76</v>
      </c>
      <c r="AF2787">
        <v>0</v>
      </c>
    </row>
    <row r="2788" spans="3:32" x14ac:dyDescent="0.35">
      <c r="C2788" s="1">
        <v>45116</v>
      </c>
      <c r="D2788" s="2">
        <v>45108</v>
      </c>
      <c r="E2788">
        <v>1975</v>
      </c>
      <c r="F2788" s="3">
        <v>3561.18</v>
      </c>
      <c r="G2788" s="3">
        <v>4136.58</v>
      </c>
      <c r="H2788" s="3">
        <v>-575.4</v>
      </c>
      <c r="I2788" s="3">
        <v>1.1599999999999999</v>
      </c>
      <c r="J2788">
        <v>0.28999999999999998</v>
      </c>
      <c r="K2788">
        <v>2836.7</v>
      </c>
      <c r="L2788" t="s">
        <v>39</v>
      </c>
      <c r="M2788">
        <v>605</v>
      </c>
      <c r="N2788">
        <v>0.25</v>
      </c>
      <c r="O2788" s="3">
        <v>677.76</v>
      </c>
      <c r="P2788" s="3">
        <v>0.19</v>
      </c>
      <c r="Q2788" s="3">
        <v>397.47</v>
      </c>
      <c r="R2788" s="3">
        <v>0.11</v>
      </c>
      <c r="S2788">
        <v>6</v>
      </c>
      <c r="T2788">
        <v>20.88</v>
      </c>
      <c r="U2788">
        <v>77</v>
      </c>
      <c r="V2788">
        <v>0</v>
      </c>
      <c r="W2788">
        <v>441.87</v>
      </c>
      <c r="X2788">
        <v>2538.1999999999998</v>
      </c>
      <c r="Y2788" t="s">
        <v>31</v>
      </c>
      <c r="Z2788" s="3">
        <v>802.56</v>
      </c>
      <c r="AA2788" t="s">
        <v>40</v>
      </c>
      <c r="AB2788" t="s">
        <v>44</v>
      </c>
      <c r="AC2788">
        <v>59.8</v>
      </c>
      <c r="AD2788" t="s">
        <v>34</v>
      </c>
      <c r="AE2788">
        <v>0</v>
      </c>
      <c r="AF2788">
        <v>0</v>
      </c>
    </row>
    <row r="2789" spans="3:32" x14ac:dyDescent="0.35">
      <c r="C2789" s="1">
        <v>45116</v>
      </c>
      <c r="D2789" s="2">
        <v>45108</v>
      </c>
      <c r="E2789">
        <v>1353</v>
      </c>
      <c r="F2789" s="3">
        <v>4405.97</v>
      </c>
      <c r="G2789" s="3">
        <v>3392.62</v>
      </c>
      <c r="H2789" s="3">
        <v>1013.35</v>
      </c>
      <c r="I2789" s="3">
        <v>0.77</v>
      </c>
      <c r="J2789">
        <v>0.15</v>
      </c>
      <c r="K2789">
        <v>2937.88</v>
      </c>
      <c r="L2789" t="s">
        <v>35</v>
      </c>
      <c r="M2789">
        <v>677</v>
      </c>
      <c r="N2789">
        <v>0.55000000000000004</v>
      </c>
      <c r="O2789" s="3">
        <v>608.55999999999995</v>
      </c>
      <c r="P2789" s="3">
        <v>0.14000000000000001</v>
      </c>
      <c r="Q2789" s="3">
        <v>277.5</v>
      </c>
      <c r="R2789" s="3">
        <v>0.06</v>
      </c>
      <c r="S2789">
        <v>5</v>
      </c>
      <c r="T2789">
        <v>512.58000000000004</v>
      </c>
      <c r="U2789">
        <v>33</v>
      </c>
      <c r="V2789">
        <v>0</v>
      </c>
      <c r="W2789">
        <v>682.62</v>
      </c>
      <c r="X2789">
        <v>2173.5700000000002</v>
      </c>
      <c r="Y2789" t="s">
        <v>49</v>
      </c>
      <c r="Z2789" s="3">
        <v>1028.8699999999999</v>
      </c>
      <c r="AA2789" t="s">
        <v>50</v>
      </c>
      <c r="AB2789" t="s">
        <v>33</v>
      </c>
      <c r="AC2789">
        <v>47</v>
      </c>
      <c r="AD2789" t="s">
        <v>43</v>
      </c>
      <c r="AE2789">
        <v>1013.35</v>
      </c>
      <c r="AF2789">
        <v>0</v>
      </c>
    </row>
    <row r="2790" spans="3:32" x14ac:dyDescent="0.35">
      <c r="C2790" s="1">
        <v>45116</v>
      </c>
      <c r="D2790" s="2">
        <v>45108</v>
      </c>
      <c r="E2790">
        <v>1659</v>
      </c>
      <c r="F2790" s="3">
        <v>4462.55</v>
      </c>
      <c r="G2790" s="3">
        <v>4639.18</v>
      </c>
      <c r="H2790" s="3">
        <v>-176.63</v>
      </c>
      <c r="I2790" s="3">
        <v>1.04</v>
      </c>
      <c r="J2790">
        <v>0.1</v>
      </c>
      <c r="K2790">
        <v>2682.7</v>
      </c>
      <c r="L2790" t="s">
        <v>35</v>
      </c>
      <c r="M2790">
        <v>680</v>
      </c>
      <c r="N2790">
        <v>0.22</v>
      </c>
      <c r="O2790" s="3">
        <v>689.91</v>
      </c>
      <c r="P2790" s="3">
        <v>0.15</v>
      </c>
      <c r="Q2790" s="3">
        <v>0</v>
      </c>
      <c r="R2790" s="3">
        <v>0</v>
      </c>
      <c r="S2790">
        <v>2</v>
      </c>
      <c r="T2790">
        <v>913.65</v>
      </c>
      <c r="U2790">
        <v>32</v>
      </c>
      <c r="V2790">
        <v>0</v>
      </c>
      <c r="W2790">
        <v>301.58</v>
      </c>
      <c r="X2790">
        <v>3260.77</v>
      </c>
      <c r="Y2790" t="s">
        <v>36</v>
      </c>
      <c r="Z2790" s="3">
        <v>1265.32</v>
      </c>
      <c r="AA2790" t="s">
        <v>37</v>
      </c>
      <c r="AB2790" t="s">
        <v>42</v>
      </c>
      <c r="AC2790">
        <v>15.6</v>
      </c>
      <c r="AD2790" t="s">
        <v>34</v>
      </c>
      <c r="AE2790">
        <v>0</v>
      </c>
      <c r="AF2790">
        <v>0</v>
      </c>
    </row>
    <row r="2791" spans="3:32" x14ac:dyDescent="0.35">
      <c r="C2791" s="1">
        <v>45116</v>
      </c>
      <c r="D2791" s="2">
        <v>45108</v>
      </c>
      <c r="E2791">
        <v>1793</v>
      </c>
      <c r="F2791" s="3">
        <v>6342.43</v>
      </c>
      <c r="G2791" s="3">
        <v>1223.08</v>
      </c>
      <c r="H2791" s="3">
        <v>5119.3500000000004</v>
      </c>
      <c r="I2791" s="3">
        <v>0.19</v>
      </c>
      <c r="J2791">
        <v>0.37</v>
      </c>
      <c r="K2791">
        <v>3950.61</v>
      </c>
      <c r="L2791" t="s">
        <v>35</v>
      </c>
      <c r="M2791">
        <v>610</v>
      </c>
      <c r="N2791">
        <v>0.48</v>
      </c>
      <c r="O2791" s="3">
        <v>1.42</v>
      </c>
      <c r="P2791" s="3">
        <v>0</v>
      </c>
      <c r="Q2791" s="3">
        <v>112.71</v>
      </c>
      <c r="R2791" s="3">
        <v>0.02</v>
      </c>
      <c r="S2791">
        <v>4</v>
      </c>
      <c r="T2791">
        <v>1107.9000000000001</v>
      </c>
      <c r="U2791">
        <v>53</v>
      </c>
      <c r="V2791">
        <v>0</v>
      </c>
      <c r="W2791">
        <v>616.54</v>
      </c>
      <c r="X2791">
        <v>2704.38</v>
      </c>
      <c r="Y2791" t="s">
        <v>36</v>
      </c>
      <c r="Z2791" s="3">
        <v>1355.08</v>
      </c>
      <c r="AA2791" t="s">
        <v>40</v>
      </c>
      <c r="AB2791" t="s">
        <v>33</v>
      </c>
      <c r="AC2791">
        <v>99.5</v>
      </c>
      <c r="AD2791" t="s">
        <v>38</v>
      </c>
      <c r="AE2791">
        <v>5119.3500000000004</v>
      </c>
      <c r="AF2791">
        <v>1</v>
      </c>
    </row>
    <row r="2792" spans="3:32" x14ac:dyDescent="0.35">
      <c r="C2792" s="1">
        <v>45116</v>
      </c>
      <c r="D2792" s="2">
        <v>45108</v>
      </c>
      <c r="E2792">
        <v>1309</v>
      </c>
      <c r="F2792" s="3">
        <v>3224.41</v>
      </c>
      <c r="G2792" s="3">
        <v>2870.57</v>
      </c>
      <c r="H2792" s="3">
        <v>353.84</v>
      </c>
      <c r="I2792" s="3">
        <v>0.89</v>
      </c>
      <c r="J2792">
        <v>0.28999999999999998</v>
      </c>
      <c r="K2792">
        <v>3700.82</v>
      </c>
      <c r="L2792" t="s">
        <v>39</v>
      </c>
      <c r="M2792">
        <v>629</v>
      </c>
      <c r="N2792">
        <v>0.26</v>
      </c>
      <c r="O2792" s="3">
        <v>534.85</v>
      </c>
      <c r="P2792" s="3">
        <v>0.17</v>
      </c>
      <c r="Q2792" s="3">
        <v>420.45</v>
      </c>
      <c r="R2792" s="3">
        <v>0.13</v>
      </c>
      <c r="S2792">
        <v>2</v>
      </c>
      <c r="T2792">
        <v>36.93</v>
      </c>
      <c r="U2792">
        <v>53</v>
      </c>
      <c r="V2792">
        <v>0</v>
      </c>
      <c r="W2792">
        <v>434.01</v>
      </c>
      <c r="X2792">
        <v>2192.0700000000002</v>
      </c>
      <c r="Y2792" t="s">
        <v>36</v>
      </c>
      <c r="Z2792" s="3">
        <v>1573.99</v>
      </c>
      <c r="AA2792" t="s">
        <v>41</v>
      </c>
      <c r="AB2792" t="s">
        <v>33</v>
      </c>
      <c r="AC2792">
        <v>43.1</v>
      </c>
      <c r="AD2792" t="s">
        <v>43</v>
      </c>
      <c r="AE2792">
        <v>353.84</v>
      </c>
      <c r="AF2792">
        <v>0</v>
      </c>
    </row>
    <row r="2793" spans="3:32" x14ac:dyDescent="0.35">
      <c r="C2793" s="1">
        <v>45116</v>
      </c>
      <c r="D2793" s="2">
        <v>45108</v>
      </c>
      <c r="E2793">
        <v>1551</v>
      </c>
      <c r="F2793" s="3">
        <v>2644.66</v>
      </c>
      <c r="G2793" s="3">
        <v>2935.91</v>
      </c>
      <c r="H2793" s="3">
        <v>-291.25</v>
      </c>
      <c r="I2793" s="3">
        <v>1.1100000000000001</v>
      </c>
      <c r="J2793">
        <v>7.0000000000000007E-2</v>
      </c>
      <c r="K2793">
        <v>2925.37</v>
      </c>
      <c r="L2793" t="s">
        <v>35</v>
      </c>
      <c r="M2793">
        <v>652</v>
      </c>
      <c r="N2793">
        <v>0.46</v>
      </c>
      <c r="O2793" s="3">
        <v>478.86</v>
      </c>
      <c r="P2793" s="3">
        <v>0.18</v>
      </c>
      <c r="Q2793" s="3">
        <v>59.36</v>
      </c>
      <c r="R2793" s="3">
        <v>0.02</v>
      </c>
      <c r="S2793">
        <v>6</v>
      </c>
      <c r="T2793">
        <v>1470.41</v>
      </c>
      <c r="U2793">
        <v>58</v>
      </c>
      <c r="V2793">
        <v>0</v>
      </c>
      <c r="W2793">
        <v>429.12</v>
      </c>
      <c r="X2793">
        <v>1658.34</v>
      </c>
      <c r="Y2793" t="s">
        <v>36</v>
      </c>
      <c r="Z2793" s="3">
        <v>1568.88</v>
      </c>
      <c r="AA2793" t="s">
        <v>32</v>
      </c>
      <c r="AB2793" t="s">
        <v>33</v>
      </c>
      <c r="AC2793">
        <v>12.5</v>
      </c>
      <c r="AD2793" t="s">
        <v>38</v>
      </c>
      <c r="AE2793">
        <v>0</v>
      </c>
      <c r="AF2793">
        <v>0</v>
      </c>
    </row>
    <row r="2794" spans="3:32" x14ac:dyDescent="0.35">
      <c r="C2794" s="1">
        <v>45116</v>
      </c>
      <c r="D2794" s="2">
        <v>45108</v>
      </c>
      <c r="E2794">
        <v>1591</v>
      </c>
      <c r="F2794" s="3">
        <v>3730.02</v>
      </c>
      <c r="G2794" s="3">
        <v>4492.34</v>
      </c>
      <c r="H2794" s="3">
        <v>-762.32</v>
      </c>
      <c r="I2794" s="3">
        <v>1.2</v>
      </c>
      <c r="J2794">
        <v>0.31</v>
      </c>
      <c r="K2794">
        <v>2924.68</v>
      </c>
      <c r="L2794" t="s">
        <v>39</v>
      </c>
      <c r="M2794">
        <v>726</v>
      </c>
      <c r="N2794">
        <v>0.45</v>
      </c>
      <c r="O2794" s="3">
        <v>428.84</v>
      </c>
      <c r="P2794" s="3">
        <v>0.11</v>
      </c>
      <c r="Q2794" s="3">
        <v>347.77</v>
      </c>
      <c r="R2794" s="3">
        <v>0.09</v>
      </c>
      <c r="S2794">
        <v>5</v>
      </c>
      <c r="T2794">
        <v>1355.17</v>
      </c>
      <c r="U2794">
        <v>52</v>
      </c>
      <c r="V2794">
        <v>0</v>
      </c>
      <c r="W2794">
        <v>469.43</v>
      </c>
      <c r="X2794">
        <v>2242.6799999999998</v>
      </c>
      <c r="Y2794" t="s">
        <v>49</v>
      </c>
      <c r="Z2794" s="3">
        <v>816.87</v>
      </c>
      <c r="AA2794" t="s">
        <v>45</v>
      </c>
      <c r="AB2794" t="s">
        <v>42</v>
      </c>
      <c r="AC2794">
        <v>6.3</v>
      </c>
      <c r="AD2794" t="s">
        <v>43</v>
      </c>
      <c r="AE2794">
        <v>0</v>
      </c>
      <c r="AF2794">
        <v>0</v>
      </c>
    </row>
    <row r="2795" spans="3:32" x14ac:dyDescent="0.35">
      <c r="C2795" s="1">
        <v>45116</v>
      </c>
      <c r="D2795" s="2">
        <v>45108</v>
      </c>
      <c r="E2795">
        <v>1708</v>
      </c>
      <c r="F2795" s="3">
        <v>4772.57</v>
      </c>
      <c r="G2795" s="3">
        <v>3599.06</v>
      </c>
      <c r="H2795" s="3">
        <v>1173.51</v>
      </c>
      <c r="I2795" s="3">
        <v>0.75</v>
      </c>
      <c r="J2795">
        <v>0.35</v>
      </c>
      <c r="K2795">
        <v>2110.13</v>
      </c>
      <c r="L2795" t="s">
        <v>35</v>
      </c>
      <c r="M2795">
        <v>796</v>
      </c>
      <c r="N2795">
        <v>0.11</v>
      </c>
      <c r="O2795" s="3">
        <v>388.87</v>
      </c>
      <c r="P2795" s="3">
        <v>0.08</v>
      </c>
      <c r="Q2795" s="3">
        <v>508.79</v>
      </c>
      <c r="R2795" s="3">
        <v>0.11</v>
      </c>
      <c r="S2795">
        <v>8</v>
      </c>
      <c r="T2795">
        <v>1169.3399999999999</v>
      </c>
      <c r="U2795">
        <v>83</v>
      </c>
      <c r="V2795">
        <v>0</v>
      </c>
      <c r="W2795">
        <v>581.25</v>
      </c>
      <c r="X2795">
        <v>2752.12</v>
      </c>
      <c r="Y2795" t="s">
        <v>36</v>
      </c>
      <c r="Z2795" s="3">
        <v>873.5</v>
      </c>
      <c r="AA2795" t="s">
        <v>45</v>
      </c>
      <c r="AB2795" t="s">
        <v>42</v>
      </c>
      <c r="AC2795">
        <v>64.3</v>
      </c>
      <c r="AD2795" t="s">
        <v>34</v>
      </c>
      <c r="AE2795">
        <v>1173.51</v>
      </c>
      <c r="AF2795">
        <v>0</v>
      </c>
    </row>
    <row r="2796" spans="3:32" x14ac:dyDescent="0.35">
      <c r="C2796" s="1">
        <v>45116</v>
      </c>
      <c r="D2796" s="2">
        <v>45108</v>
      </c>
      <c r="E2796">
        <v>1368</v>
      </c>
      <c r="F2796" s="3">
        <v>2715.23</v>
      </c>
      <c r="G2796" s="3">
        <v>1976.34</v>
      </c>
      <c r="H2796" s="3">
        <v>738.89</v>
      </c>
      <c r="I2796" s="3">
        <v>0.73</v>
      </c>
      <c r="J2796">
        <v>0.31</v>
      </c>
      <c r="K2796">
        <v>2803.53</v>
      </c>
      <c r="L2796" t="s">
        <v>35</v>
      </c>
      <c r="M2796">
        <v>749</v>
      </c>
      <c r="N2796">
        <v>0.54</v>
      </c>
      <c r="O2796" s="3">
        <v>276.48</v>
      </c>
      <c r="P2796" s="3">
        <v>0.1</v>
      </c>
      <c r="Q2796" s="3">
        <v>422.8</v>
      </c>
      <c r="R2796" s="3">
        <v>0.16</v>
      </c>
      <c r="S2796">
        <v>2</v>
      </c>
      <c r="T2796">
        <v>0</v>
      </c>
      <c r="U2796">
        <v>43</v>
      </c>
      <c r="V2796">
        <v>1</v>
      </c>
      <c r="W2796">
        <v>474.65</v>
      </c>
      <c r="X2796">
        <v>1844.53</v>
      </c>
      <c r="Y2796" t="s">
        <v>36</v>
      </c>
      <c r="Z2796" s="3">
        <v>1262.3699999999999</v>
      </c>
      <c r="AA2796" t="s">
        <v>51</v>
      </c>
      <c r="AB2796" t="s">
        <v>33</v>
      </c>
      <c r="AC2796">
        <v>62.3</v>
      </c>
      <c r="AD2796" t="s">
        <v>34</v>
      </c>
      <c r="AE2796">
        <v>738.89</v>
      </c>
      <c r="AF2796">
        <v>0</v>
      </c>
    </row>
    <row r="2797" spans="3:32" x14ac:dyDescent="0.35">
      <c r="C2797" s="1">
        <v>45116</v>
      </c>
      <c r="D2797" s="2">
        <v>45108</v>
      </c>
      <c r="E2797">
        <v>1256</v>
      </c>
      <c r="F2797" s="3">
        <v>3700.6</v>
      </c>
      <c r="G2797" s="3">
        <v>3883.78</v>
      </c>
      <c r="H2797" s="3">
        <v>-183.18</v>
      </c>
      <c r="I2797" s="3">
        <v>1.05</v>
      </c>
      <c r="J2797">
        <v>0.12</v>
      </c>
      <c r="K2797">
        <v>2798.97</v>
      </c>
      <c r="L2797" t="s">
        <v>35</v>
      </c>
      <c r="M2797">
        <v>795</v>
      </c>
      <c r="N2797">
        <v>0.11</v>
      </c>
      <c r="O2797" s="3">
        <v>230.12</v>
      </c>
      <c r="P2797" s="3">
        <v>0.06</v>
      </c>
      <c r="Q2797" s="3">
        <v>380.85</v>
      </c>
      <c r="R2797" s="3">
        <v>0.1</v>
      </c>
      <c r="S2797">
        <v>1</v>
      </c>
      <c r="T2797">
        <v>839</v>
      </c>
      <c r="U2797">
        <v>35</v>
      </c>
      <c r="V2797">
        <v>0</v>
      </c>
      <c r="W2797">
        <v>367.45</v>
      </c>
      <c r="X2797">
        <v>2202.35</v>
      </c>
      <c r="Y2797" t="s">
        <v>36</v>
      </c>
      <c r="Z2797" s="3">
        <v>946.23</v>
      </c>
      <c r="AA2797" t="s">
        <v>45</v>
      </c>
      <c r="AB2797" t="s">
        <v>33</v>
      </c>
      <c r="AC2797">
        <v>95</v>
      </c>
      <c r="AD2797" t="s">
        <v>34</v>
      </c>
      <c r="AE2797">
        <v>0</v>
      </c>
      <c r="AF2797">
        <v>0</v>
      </c>
    </row>
    <row r="2798" spans="3:32" x14ac:dyDescent="0.35">
      <c r="C2798" s="1">
        <v>45116</v>
      </c>
      <c r="D2798" s="2">
        <v>45108</v>
      </c>
      <c r="E2798">
        <v>1304</v>
      </c>
      <c r="F2798" s="3">
        <v>3837.97</v>
      </c>
      <c r="G2798" s="3">
        <v>3080.73</v>
      </c>
      <c r="H2798" s="3">
        <v>757.24</v>
      </c>
      <c r="I2798" s="3">
        <v>0.8</v>
      </c>
      <c r="J2798">
        <v>0.18</v>
      </c>
      <c r="K2798">
        <v>2712.58</v>
      </c>
      <c r="L2798" t="s">
        <v>30</v>
      </c>
      <c r="M2798">
        <v>716</v>
      </c>
      <c r="N2798">
        <v>0.41</v>
      </c>
      <c r="O2798" s="3">
        <v>356.25</v>
      </c>
      <c r="P2798" s="3">
        <v>0.09</v>
      </c>
      <c r="Q2798" s="3">
        <v>352.43</v>
      </c>
      <c r="R2798" s="3">
        <v>0.09</v>
      </c>
      <c r="S2798">
        <v>2</v>
      </c>
      <c r="T2798">
        <v>1395.87</v>
      </c>
      <c r="U2798">
        <v>38</v>
      </c>
      <c r="V2798">
        <v>0</v>
      </c>
      <c r="W2798">
        <v>547.1</v>
      </c>
      <c r="X2798">
        <v>1500.55</v>
      </c>
      <c r="Y2798" t="s">
        <v>49</v>
      </c>
      <c r="Z2798" s="3">
        <v>1413.68</v>
      </c>
      <c r="AA2798" t="s">
        <v>40</v>
      </c>
      <c r="AB2798" t="s">
        <v>33</v>
      </c>
      <c r="AC2798">
        <v>65.900000000000006</v>
      </c>
      <c r="AD2798" t="s">
        <v>34</v>
      </c>
      <c r="AE2798">
        <v>757.24</v>
      </c>
      <c r="AF2798">
        <v>0</v>
      </c>
    </row>
    <row r="2799" spans="3:32" x14ac:dyDescent="0.35">
      <c r="C2799" s="1">
        <v>45116</v>
      </c>
      <c r="D2799" s="2">
        <v>45108</v>
      </c>
      <c r="E2799">
        <v>1201</v>
      </c>
      <c r="F2799" s="3">
        <v>3883.83</v>
      </c>
      <c r="G2799" s="3">
        <v>3041.49</v>
      </c>
      <c r="H2799" s="3">
        <v>842.34</v>
      </c>
      <c r="I2799" s="3">
        <v>0.78</v>
      </c>
      <c r="J2799">
        <v>0.12</v>
      </c>
      <c r="K2799">
        <v>3322.87</v>
      </c>
      <c r="L2799" t="s">
        <v>35</v>
      </c>
      <c r="M2799">
        <v>694</v>
      </c>
      <c r="N2799">
        <v>0.24</v>
      </c>
      <c r="O2799" s="3">
        <v>631.29999999999995</v>
      </c>
      <c r="P2799" s="3">
        <v>0.16</v>
      </c>
      <c r="Q2799" s="3">
        <v>237.93</v>
      </c>
      <c r="R2799" s="3">
        <v>0.06</v>
      </c>
      <c r="S2799">
        <v>5</v>
      </c>
      <c r="T2799">
        <v>1983.97</v>
      </c>
      <c r="U2799">
        <v>93</v>
      </c>
      <c r="V2799">
        <v>0</v>
      </c>
      <c r="W2799">
        <v>302.36</v>
      </c>
      <c r="X2799">
        <v>2766.93</v>
      </c>
      <c r="Y2799" t="s">
        <v>31</v>
      </c>
      <c r="Z2799" s="3">
        <v>907.76</v>
      </c>
      <c r="AA2799" t="s">
        <v>37</v>
      </c>
      <c r="AB2799" t="s">
        <v>33</v>
      </c>
      <c r="AC2799">
        <v>11.2</v>
      </c>
      <c r="AD2799" t="s">
        <v>34</v>
      </c>
      <c r="AE2799">
        <v>842.34</v>
      </c>
      <c r="AF2799">
        <v>0</v>
      </c>
    </row>
    <row r="2800" spans="3:32" x14ac:dyDescent="0.35">
      <c r="C2800" s="1">
        <v>45116</v>
      </c>
      <c r="D2800" s="2">
        <v>45108</v>
      </c>
      <c r="E2800">
        <v>1137</v>
      </c>
      <c r="F2800" s="3">
        <v>4923.67</v>
      </c>
      <c r="G2800" s="3">
        <v>2812.56</v>
      </c>
      <c r="H2800" s="3">
        <v>2111.11</v>
      </c>
      <c r="I2800" s="3">
        <v>0.56999999999999995</v>
      </c>
      <c r="J2800">
        <v>7.0000000000000007E-2</v>
      </c>
      <c r="K2800">
        <v>3242.19</v>
      </c>
      <c r="L2800" t="s">
        <v>35</v>
      </c>
      <c r="M2800">
        <v>689</v>
      </c>
      <c r="N2800">
        <v>0.59</v>
      </c>
      <c r="O2800" s="3">
        <v>227.65</v>
      </c>
      <c r="P2800" s="3">
        <v>0.05</v>
      </c>
      <c r="Q2800" s="3">
        <v>431.04</v>
      </c>
      <c r="R2800" s="3">
        <v>0.09</v>
      </c>
      <c r="S2800">
        <v>1</v>
      </c>
      <c r="T2800">
        <v>722.28</v>
      </c>
      <c r="U2800">
        <v>87</v>
      </c>
      <c r="V2800">
        <v>0</v>
      </c>
      <c r="W2800">
        <v>575.84</v>
      </c>
      <c r="X2800">
        <v>1953.72</v>
      </c>
      <c r="Y2800" t="s">
        <v>36</v>
      </c>
      <c r="Z2800" s="3">
        <v>1185.8900000000001</v>
      </c>
      <c r="AA2800" t="s">
        <v>50</v>
      </c>
      <c r="AB2800" t="s">
        <v>42</v>
      </c>
      <c r="AC2800">
        <v>90</v>
      </c>
      <c r="AD2800" t="s">
        <v>43</v>
      </c>
      <c r="AE2800">
        <v>2111.11</v>
      </c>
      <c r="AF2800">
        <v>0</v>
      </c>
    </row>
    <row r="2801" spans="3:32" x14ac:dyDescent="0.35">
      <c r="C2801" s="1">
        <v>45116</v>
      </c>
      <c r="D2801" s="2">
        <v>45108</v>
      </c>
      <c r="E2801">
        <v>1822</v>
      </c>
      <c r="F2801" s="3">
        <v>3254.55</v>
      </c>
      <c r="G2801" s="3">
        <v>3992.02</v>
      </c>
      <c r="H2801" s="3">
        <v>-737.47</v>
      </c>
      <c r="I2801" s="3">
        <v>1.23</v>
      </c>
      <c r="J2801">
        <v>0.17</v>
      </c>
      <c r="K2801">
        <v>2675.77</v>
      </c>
      <c r="L2801" t="s">
        <v>35</v>
      </c>
      <c r="M2801">
        <v>704</v>
      </c>
      <c r="N2801">
        <v>0.3</v>
      </c>
      <c r="O2801" s="3">
        <v>285.16000000000003</v>
      </c>
      <c r="P2801" s="3">
        <v>0.09</v>
      </c>
      <c r="Q2801" s="3">
        <v>597.74</v>
      </c>
      <c r="R2801" s="3">
        <v>0.18</v>
      </c>
      <c r="S2801">
        <v>9</v>
      </c>
      <c r="T2801">
        <v>466.11</v>
      </c>
      <c r="U2801">
        <v>81</v>
      </c>
      <c r="V2801">
        <v>0</v>
      </c>
      <c r="W2801">
        <v>408.23</v>
      </c>
      <c r="X2801">
        <v>2088.3200000000002</v>
      </c>
      <c r="Y2801" t="s">
        <v>49</v>
      </c>
      <c r="Z2801" s="3">
        <v>2079.9899999999998</v>
      </c>
      <c r="AA2801" t="s">
        <v>47</v>
      </c>
      <c r="AB2801" t="s">
        <v>33</v>
      </c>
      <c r="AC2801">
        <v>43.2</v>
      </c>
      <c r="AD2801" t="s">
        <v>34</v>
      </c>
      <c r="AE2801">
        <v>0</v>
      </c>
      <c r="AF2801">
        <v>0</v>
      </c>
    </row>
    <row r="2802" spans="3:32" x14ac:dyDescent="0.35">
      <c r="C2802" s="1">
        <v>45146</v>
      </c>
      <c r="D2802" s="2">
        <v>45139</v>
      </c>
      <c r="E2802">
        <v>1657</v>
      </c>
      <c r="F2802" s="3">
        <v>4078.42</v>
      </c>
      <c r="G2802" s="3">
        <v>2546.59</v>
      </c>
      <c r="H2802" s="3">
        <v>1531.83</v>
      </c>
      <c r="I2802" s="3">
        <v>0.62</v>
      </c>
      <c r="J2802">
        <v>0.33</v>
      </c>
      <c r="K2802">
        <v>2892.13</v>
      </c>
      <c r="L2802" t="s">
        <v>39</v>
      </c>
      <c r="M2802">
        <v>630</v>
      </c>
      <c r="N2802">
        <v>0.37</v>
      </c>
      <c r="O2802" s="3">
        <v>589.78</v>
      </c>
      <c r="P2802" s="3">
        <v>0.14000000000000001</v>
      </c>
      <c r="Q2802" s="3">
        <v>690.28</v>
      </c>
      <c r="R2802" s="3">
        <v>0.17</v>
      </c>
      <c r="S2802">
        <v>8</v>
      </c>
      <c r="T2802">
        <v>1376.49</v>
      </c>
      <c r="U2802">
        <v>22</v>
      </c>
      <c r="V2802">
        <v>0</v>
      </c>
      <c r="W2802">
        <v>784.24</v>
      </c>
      <c r="X2802">
        <v>1158.3399999999999</v>
      </c>
      <c r="Y2802" t="s">
        <v>36</v>
      </c>
      <c r="Z2802" s="3">
        <v>1571.24</v>
      </c>
      <c r="AA2802" t="s">
        <v>48</v>
      </c>
      <c r="AB2802" t="s">
        <v>33</v>
      </c>
      <c r="AC2802">
        <v>6.3</v>
      </c>
      <c r="AD2802" t="s">
        <v>34</v>
      </c>
      <c r="AE2802">
        <v>1531.83</v>
      </c>
      <c r="AF2802">
        <v>0</v>
      </c>
    </row>
    <row r="2803" spans="3:32" x14ac:dyDescent="0.35">
      <c r="C2803" s="1">
        <v>45146</v>
      </c>
      <c r="D2803" s="2">
        <v>45139</v>
      </c>
      <c r="E2803">
        <v>1701</v>
      </c>
      <c r="F2803" s="3">
        <v>3737.87</v>
      </c>
      <c r="G2803" s="3">
        <v>3199.86</v>
      </c>
      <c r="H2803" s="3">
        <v>538.01</v>
      </c>
      <c r="I2803" s="3">
        <v>0.86</v>
      </c>
      <c r="J2803">
        <v>0.31</v>
      </c>
      <c r="K2803">
        <v>1513.22</v>
      </c>
      <c r="L2803" t="s">
        <v>35</v>
      </c>
      <c r="M2803">
        <v>647</v>
      </c>
      <c r="N2803">
        <v>0.18</v>
      </c>
      <c r="O2803" s="3">
        <v>345.65</v>
      </c>
      <c r="P2803" s="3">
        <v>0.09</v>
      </c>
      <c r="Q2803" s="3">
        <v>633.54999999999995</v>
      </c>
      <c r="R2803" s="3">
        <v>0.17</v>
      </c>
      <c r="S2803">
        <v>4</v>
      </c>
      <c r="T2803">
        <v>1414.24</v>
      </c>
      <c r="U2803">
        <v>74</v>
      </c>
      <c r="V2803">
        <v>0</v>
      </c>
      <c r="W2803">
        <v>611.22</v>
      </c>
      <c r="X2803">
        <v>2706.64</v>
      </c>
      <c r="Y2803" t="s">
        <v>36</v>
      </c>
      <c r="Z2803" s="3">
        <v>1378.12</v>
      </c>
      <c r="AA2803" t="s">
        <v>37</v>
      </c>
      <c r="AB2803" t="s">
        <v>33</v>
      </c>
      <c r="AC2803">
        <v>25.4</v>
      </c>
      <c r="AD2803" t="s">
        <v>34</v>
      </c>
      <c r="AE2803">
        <v>538.01</v>
      </c>
      <c r="AF2803">
        <v>0</v>
      </c>
    </row>
    <row r="2804" spans="3:32" x14ac:dyDescent="0.35">
      <c r="C2804" s="1">
        <v>45146</v>
      </c>
      <c r="D2804" s="2">
        <v>45139</v>
      </c>
      <c r="E2804">
        <v>1680</v>
      </c>
      <c r="F2804" s="3">
        <v>4786.28</v>
      </c>
      <c r="G2804" s="3">
        <v>2579.17</v>
      </c>
      <c r="H2804" s="3">
        <v>2207.11</v>
      </c>
      <c r="I2804" s="3">
        <v>0.54</v>
      </c>
      <c r="J2804">
        <v>0.24</v>
      </c>
      <c r="K2804">
        <v>3106.51</v>
      </c>
      <c r="L2804" t="s">
        <v>35</v>
      </c>
      <c r="M2804">
        <v>689</v>
      </c>
      <c r="N2804">
        <v>0.13</v>
      </c>
      <c r="O2804" s="3">
        <v>697.21</v>
      </c>
      <c r="P2804" s="3">
        <v>0.15</v>
      </c>
      <c r="Q2804" s="3">
        <v>728.56</v>
      </c>
      <c r="R2804" s="3">
        <v>0.15</v>
      </c>
      <c r="S2804">
        <v>7</v>
      </c>
      <c r="T2804">
        <v>1494.09</v>
      </c>
      <c r="U2804">
        <v>40</v>
      </c>
      <c r="V2804">
        <v>0</v>
      </c>
      <c r="W2804">
        <v>786.79</v>
      </c>
      <c r="X2804">
        <v>3247.95</v>
      </c>
      <c r="Y2804" t="s">
        <v>49</v>
      </c>
      <c r="Z2804" s="3">
        <v>1074.03</v>
      </c>
      <c r="AA2804" t="s">
        <v>41</v>
      </c>
      <c r="AB2804" t="s">
        <v>33</v>
      </c>
      <c r="AC2804">
        <v>45.6</v>
      </c>
      <c r="AD2804" t="s">
        <v>34</v>
      </c>
      <c r="AE2804">
        <v>2207.11</v>
      </c>
      <c r="AF2804">
        <v>0</v>
      </c>
    </row>
    <row r="2805" spans="3:32" x14ac:dyDescent="0.35">
      <c r="C2805" s="1">
        <v>45146</v>
      </c>
      <c r="D2805" s="2">
        <v>45139</v>
      </c>
      <c r="E2805">
        <v>1615</v>
      </c>
      <c r="F2805" s="3">
        <v>6303.25</v>
      </c>
      <c r="G2805" s="3">
        <v>2367.02</v>
      </c>
      <c r="H2805" s="3">
        <v>3936.23</v>
      </c>
      <c r="I2805" s="3">
        <v>0.38</v>
      </c>
      <c r="J2805">
        <v>0.39</v>
      </c>
      <c r="K2805">
        <v>3291.62</v>
      </c>
      <c r="L2805" t="s">
        <v>39</v>
      </c>
      <c r="M2805">
        <v>690</v>
      </c>
      <c r="N2805">
        <v>0.34</v>
      </c>
      <c r="O2805" s="3">
        <v>627.34</v>
      </c>
      <c r="P2805" s="3">
        <v>0.1</v>
      </c>
      <c r="Q2805" s="3">
        <v>371.63</v>
      </c>
      <c r="R2805" s="3">
        <v>0.06</v>
      </c>
      <c r="S2805">
        <v>1</v>
      </c>
      <c r="T2805">
        <v>74.489999999999995</v>
      </c>
      <c r="U2805">
        <v>48</v>
      </c>
      <c r="V2805">
        <v>0</v>
      </c>
      <c r="W2805">
        <v>462.13</v>
      </c>
      <c r="X2805">
        <v>1725.06</v>
      </c>
      <c r="Y2805" t="s">
        <v>31</v>
      </c>
      <c r="Z2805" s="3">
        <v>1114.01</v>
      </c>
      <c r="AA2805" t="s">
        <v>41</v>
      </c>
      <c r="AB2805" t="s">
        <v>42</v>
      </c>
      <c r="AC2805">
        <v>10.199999999999999</v>
      </c>
      <c r="AD2805" t="s">
        <v>43</v>
      </c>
      <c r="AE2805">
        <v>3936.23</v>
      </c>
      <c r="AF2805">
        <v>1</v>
      </c>
    </row>
    <row r="2806" spans="3:32" x14ac:dyDescent="0.35">
      <c r="C2806" s="1">
        <v>45146</v>
      </c>
      <c r="D2806" s="2">
        <v>45139</v>
      </c>
      <c r="E2806">
        <v>1036</v>
      </c>
      <c r="F2806" s="3">
        <v>4850.12</v>
      </c>
      <c r="G2806" s="3">
        <v>1752.14</v>
      </c>
      <c r="H2806" s="3">
        <v>3097.98</v>
      </c>
      <c r="I2806" s="3">
        <v>0.36</v>
      </c>
      <c r="J2806">
        <v>0.14000000000000001</v>
      </c>
      <c r="K2806">
        <v>3573.38</v>
      </c>
      <c r="L2806" t="s">
        <v>35</v>
      </c>
      <c r="M2806">
        <v>703</v>
      </c>
      <c r="N2806">
        <v>0.32</v>
      </c>
      <c r="O2806" s="3">
        <v>512.53</v>
      </c>
      <c r="P2806" s="3">
        <v>0.11</v>
      </c>
      <c r="Q2806" s="3">
        <v>627.08000000000004</v>
      </c>
      <c r="R2806" s="3">
        <v>0.13</v>
      </c>
      <c r="S2806">
        <v>1</v>
      </c>
      <c r="T2806">
        <v>1163.01</v>
      </c>
      <c r="U2806">
        <v>24</v>
      </c>
      <c r="V2806">
        <v>0</v>
      </c>
      <c r="W2806">
        <v>368.38</v>
      </c>
      <c r="X2806">
        <v>2357.52</v>
      </c>
      <c r="Y2806" t="s">
        <v>36</v>
      </c>
      <c r="Z2806" s="3">
        <v>889.28</v>
      </c>
      <c r="AA2806" t="s">
        <v>47</v>
      </c>
      <c r="AB2806" t="s">
        <v>33</v>
      </c>
      <c r="AC2806">
        <v>95.4</v>
      </c>
      <c r="AD2806" t="s">
        <v>43</v>
      </c>
      <c r="AE2806">
        <v>3097.98</v>
      </c>
      <c r="AF2806">
        <v>0</v>
      </c>
    </row>
    <row r="2807" spans="3:32" x14ac:dyDescent="0.35">
      <c r="C2807" s="1">
        <v>45146</v>
      </c>
      <c r="D2807" s="2">
        <v>45139</v>
      </c>
      <c r="E2807">
        <v>1341</v>
      </c>
      <c r="F2807" s="3">
        <v>4895.09</v>
      </c>
      <c r="G2807" s="3">
        <v>2957.16</v>
      </c>
      <c r="H2807" s="3">
        <v>1937.93</v>
      </c>
      <c r="I2807" s="3">
        <v>0.6</v>
      </c>
      <c r="J2807">
        <v>0.15</v>
      </c>
      <c r="K2807">
        <v>2389.1799999999998</v>
      </c>
      <c r="L2807" t="s">
        <v>39</v>
      </c>
      <c r="M2807">
        <v>599</v>
      </c>
      <c r="N2807">
        <v>0.37</v>
      </c>
      <c r="O2807" s="3">
        <v>652.79999999999995</v>
      </c>
      <c r="P2807" s="3">
        <v>0.13</v>
      </c>
      <c r="Q2807" s="3">
        <v>587.98</v>
      </c>
      <c r="R2807" s="3">
        <v>0.12</v>
      </c>
      <c r="S2807">
        <v>1</v>
      </c>
      <c r="T2807">
        <v>944.6</v>
      </c>
      <c r="U2807">
        <v>80</v>
      </c>
      <c r="V2807">
        <v>0</v>
      </c>
      <c r="W2807">
        <v>444.77</v>
      </c>
      <c r="X2807">
        <v>1998.58</v>
      </c>
      <c r="Y2807" t="s">
        <v>49</v>
      </c>
      <c r="Z2807" s="3">
        <v>1203.17</v>
      </c>
      <c r="AA2807" t="s">
        <v>37</v>
      </c>
      <c r="AB2807" t="s">
        <v>44</v>
      </c>
      <c r="AC2807">
        <v>82.6</v>
      </c>
      <c r="AD2807" t="s">
        <v>43</v>
      </c>
      <c r="AE2807">
        <v>1937.93</v>
      </c>
      <c r="AF2807">
        <v>0</v>
      </c>
    </row>
    <row r="2808" spans="3:32" x14ac:dyDescent="0.35">
      <c r="C2808" s="1">
        <v>45146</v>
      </c>
      <c r="D2808" s="2">
        <v>45139</v>
      </c>
      <c r="E2808">
        <v>1309</v>
      </c>
      <c r="F2808" s="3">
        <v>3757.85</v>
      </c>
      <c r="G2808" s="3">
        <v>3208.4</v>
      </c>
      <c r="H2808" s="3">
        <v>549.45000000000005</v>
      </c>
      <c r="I2808" s="3">
        <v>0.85</v>
      </c>
      <c r="J2808">
        <v>0.36</v>
      </c>
      <c r="K2808">
        <v>2481.69</v>
      </c>
      <c r="L2808" t="s">
        <v>35</v>
      </c>
      <c r="M2808">
        <v>682</v>
      </c>
      <c r="N2808">
        <v>0.12</v>
      </c>
      <c r="O2808" s="3">
        <v>510.76</v>
      </c>
      <c r="P2808" s="3">
        <v>0.14000000000000001</v>
      </c>
      <c r="Q2808" s="3">
        <v>553.42999999999995</v>
      </c>
      <c r="R2808" s="3">
        <v>0.15</v>
      </c>
      <c r="S2808">
        <v>8</v>
      </c>
      <c r="T2808">
        <v>1261.81</v>
      </c>
      <c r="U2808">
        <v>88</v>
      </c>
      <c r="V2808">
        <v>0</v>
      </c>
      <c r="W2808">
        <v>604.83000000000004</v>
      </c>
      <c r="X2808">
        <v>1996.91</v>
      </c>
      <c r="Y2808" t="s">
        <v>31</v>
      </c>
      <c r="Z2808" s="3">
        <v>1140.47</v>
      </c>
      <c r="AA2808" t="s">
        <v>51</v>
      </c>
      <c r="AB2808" t="s">
        <v>42</v>
      </c>
      <c r="AC2808">
        <v>89</v>
      </c>
      <c r="AD2808" t="s">
        <v>34</v>
      </c>
      <c r="AE2808">
        <v>549.45000000000005</v>
      </c>
      <c r="AF2808">
        <v>0</v>
      </c>
    </row>
    <row r="2809" spans="3:32" x14ac:dyDescent="0.35">
      <c r="C2809" s="1">
        <v>45146</v>
      </c>
      <c r="D2809" s="2">
        <v>45139</v>
      </c>
      <c r="E2809">
        <v>1370</v>
      </c>
      <c r="F2809" s="3">
        <v>1117.3599999999999</v>
      </c>
      <c r="G2809" s="3">
        <v>1329.43</v>
      </c>
      <c r="H2809" s="3">
        <v>-212.07</v>
      </c>
      <c r="I2809" s="3">
        <v>1.19</v>
      </c>
      <c r="J2809">
        <v>0.25</v>
      </c>
      <c r="K2809">
        <v>3901.15</v>
      </c>
      <c r="L2809" t="s">
        <v>35</v>
      </c>
      <c r="M2809">
        <v>758</v>
      </c>
      <c r="N2809">
        <v>0.31</v>
      </c>
      <c r="O2809" s="3">
        <v>574.36</v>
      </c>
      <c r="P2809" s="3">
        <v>0.51</v>
      </c>
      <c r="Q2809" s="3">
        <v>585.14</v>
      </c>
      <c r="R2809" s="3">
        <v>0.52</v>
      </c>
      <c r="S2809">
        <v>6</v>
      </c>
      <c r="T2809">
        <v>1259.6500000000001</v>
      </c>
      <c r="U2809">
        <v>36</v>
      </c>
      <c r="V2809">
        <v>0</v>
      </c>
      <c r="W2809">
        <v>668.95</v>
      </c>
      <c r="X2809">
        <v>2484.06</v>
      </c>
      <c r="Y2809" t="s">
        <v>36</v>
      </c>
      <c r="Z2809" s="3">
        <v>863.92</v>
      </c>
      <c r="AA2809" t="s">
        <v>48</v>
      </c>
      <c r="AB2809" t="s">
        <v>33</v>
      </c>
      <c r="AC2809">
        <v>59.7</v>
      </c>
      <c r="AD2809" t="s">
        <v>34</v>
      </c>
      <c r="AE2809">
        <v>0</v>
      </c>
      <c r="AF2809">
        <v>0</v>
      </c>
    </row>
    <row r="2810" spans="3:32" x14ac:dyDescent="0.35">
      <c r="C2810" s="1">
        <v>45146</v>
      </c>
      <c r="D2810" s="2">
        <v>45139</v>
      </c>
      <c r="E2810">
        <v>1141</v>
      </c>
      <c r="F2810" s="3">
        <v>2935.68</v>
      </c>
      <c r="G2810" s="3">
        <v>1007.42</v>
      </c>
      <c r="H2810" s="3">
        <v>1928.26</v>
      </c>
      <c r="I2810" s="3">
        <v>0.34</v>
      </c>
      <c r="J2810">
        <v>0.37</v>
      </c>
      <c r="K2810">
        <v>3462.66</v>
      </c>
      <c r="L2810" t="s">
        <v>35</v>
      </c>
      <c r="M2810">
        <v>634</v>
      </c>
      <c r="N2810">
        <v>0.14000000000000001</v>
      </c>
      <c r="O2810" s="3">
        <v>549.67999999999995</v>
      </c>
      <c r="P2810" s="3">
        <v>0.19</v>
      </c>
      <c r="Q2810" s="3">
        <v>439.11</v>
      </c>
      <c r="R2810" s="3">
        <v>0.15</v>
      </c>
      <c r="S2810">
        <v>1</v>
      </c>
      <c r="T2810">
        <v>758.8</v>
      </c>
      <c r="U2810">
        <v>51</v>
      </c>
      <c r="V2810">
        <v>0</v>
      </c>
      <c r="W2810">
        <v>473.1</v>
      </c>
      <c r="X2810">
        <v>3231.55</v>
      </c>
      <c r="Y2810" t="s">
        <v>36</v>
      </c>
      <c r="Z2810" s="3">
        <v>1230.6199999999999</v>
      </c>
      <c r="AA2810" t="s">
        <v>41</v>
      </c>
      <c r="AB2810" t="s">
        <v>44</v>
      </c>
      <c r="AC2810">
        <v>78</v>
      </c>
      <c r="AD2810" t="s">
        <v>43</v>
      </c>
      <c r="AE2810">
        <v>1928.26</v>
      </c>
      <c r="AF2810">
        <v>0</v>
      </c>
    </row>
    <row r="2811" spans="3:32" x14ac:dyDescent="0.35">
      <c r="C2811" s="1">
        <v>45146</v>
      </c>
      <c r="D2811" s="2">
        <v>45139</v>
      </c>
      <c r="E2811">
        <v>1734</v>
      </c>
      <c r="F2811" s="3">
        <v>3766.71</v>
      </c>
      <c r="G2811" s="3">
        <v>3621.94</v>
      </c>
      <c r="H2811" s="3">
        <v>144.77000000000001</v>
      </c>
      <c r="I2811" s="3">
        <v>0.96</v>
      </c>
      <c r="J2811">
        <v>0.23</v>
      </c>
      <c r="K2811">
        <v>2240.9299999999998</v>
      </c>
      <c r="L2811" t="s">
        <v>35</v>
      </c>
      <c r="M2811">
        <v>700</v>
      </c>
      <c r="N2811">
        <v>0.55000000000000004</v>
      </c>
      <c r="O2811" s="3">
        <v>508.37</v>
      </c>
      <c r="P2811" s="3">
        <v>0.13</v>
      </c>
      <c r="Q2811" s="3">
        <v>528.38</v>
      </c>
      <c r="R2811" s="3">
        <v>0.14000000000000001</v>
      </c>
      <c r="S2811">
        <v>2</v>
      </c>
      <c r="T2811">
        <v>1535.86</v>
      </c>
      <c r="U2811">
        <v>24</v>
      </c>
      <c r="V2811">
        <v>0</v>
      </c>
      <c r="W2811">
        <v>673.11</v>
      </c>
      <c r="X2811">
        <v>2852.3</v>
      </c>
      <c r="Y2811" t="s">
        <v>36</v>
      </c>
      <c r="Z2811" s="3">
        <v>642.87</v>
      </c>
      <c r="AA2811" t="s">
        <v>50</v>
      </c>
      <c r="AB2811" t="s">
        <v>33</v>
      </c>
      <c r="AC2811">
        <v>11.2</v>
      </c>
      <c r="AD2811" t="s">
        <v>43</v>
      </c>
      <c r="AE2811">
        <v>144.77000000000001</v>
      </c>
      <c r="AF2811">
        <v>0</v>
      </c>
    </row>
    <row r="2812" spans="3:32" x14ac:dyDescent="0.35">
      <c r="C2812" s="1">
        <v>45146</v>
      </c>
      <c r="D2812" s="2">
        <v>45139</v>
      </c>
      <c r="E2812">
        <v>1472</v>
      </c>
      <c r="F2812" s="3">
        <v>3962.23</v>
      </c>
      <c r="G2812" s="3">
        <v>3708.07</v>
      </c>
      <c r="H2812" s="3">
        <v>254.16</v>
      </c>
      <c r="I2812" s="3">
        <v>0.94</v>
      </c>
      <c r="J2812">
        <v>0.27</v>
      </c>
      <c r="K2812">
        <v>2791.84</v>
      </c>
      <c r="L2812" t="s">
        <v>39</v>
      </c>
      <c r="M2812">
        <v>748</v>
      </c>
      <c r="N2812">
        <v>0.31</v>
      </c>
      <c r="O2812" s="3">
        <v>413.41</v>
      </c>
      <c r="P2812" s="3">
        <v>0.1</v>
      </c>
      <c r="Q2812" s="3">
        <v>169.76</v>
      </c>
      <c r="R2812" s="3">
        <v>0.04</v>
      </c>
      <c r="S2812">
        <v>4</v>
      </c>
      <c r="T2812">
        <v>1330.26</v>
      </c>
      <c r="U2812">
        <v>94</v>
      </c>
      <c r="V2812">
        <v>0</v>
      </c>
      <c r="W2812">
        <v>569.85</v>
      </c>
      <c r="X2812">
        <v>1029.51</v>
      </c>
      <c r="Y2812" t="s">
        <v>36</v>
      </c>
      <c r="Z2812" s="3">
        <v>1290.04</v>
      </c>
      <c r="AA2812" t="s">
        <v>46</v>
      </c>
      <c r="AB2812" t="s">
        <v>33</v>
      </c>
      <c r="AC2812">
        <v>76.3</v>
      </c>
      <c r="AD2812" t="s">
        <v>43</v>
      </c>
      <c r="AE2812">
        <v>254.16</v>
      </c>
      <c r="AF2812">
        <v>0</v>
      </c>
    </row>
    <row r="2813" spans="3:32" x14ac:dyDescent="0.35">
      <c r="C2813" s="1">
        <v>45146</v>
      </c>
      <c r="D2813" s="2">
        <v>45139</v>
      </c>
      <c r="E2813">
        <v>1197</v>
      </c>
      <c r="F2813" s="3">
        <v>4446.87</v>
      </c>
      <c r="G2813" s="3">
        <v>2686.4</v>
      </c>
      <c r="H2813" s="3">
        <v>1760.47</v>
      </c>
      <c r="I2813" s="3">
        <v>0.6</v>
      </c>
      <c r="J2813">
        <v>0.34</v>
      </c>
      <c r="K2813">
        <v>3118.84</v>
      </c>
      <c r="L2813" t="s">
        <v>30</v>
      </c>
      <c r="M2813">
        <v>786</v>
      </c>
      <c r="N2813">
        <v>0.2</v>
      </c>
      <c r="O2813" s="3">
        <v>490.29</v>
      </c>
      <c r="P2813" s="3">
        <v>0.11</v>
      </c>
      <c r="Q2813" s="3">
        <v>784.74</v>
      </c>
      <c r="R2813" s="3">
        <v>0.18</v>
      </c>
      <c r="S2813">
        <v>3</v>
      </c>
      <c r="T2813">
        <v>1199.8800000000001</v>
      </c>
      <c r="U2813">
        <v>33</v>
      </c>
      <c r="V2813">
        <v>0</v>
      </c>
      <c r="W2813">
        <v>435.65</v>
      </c>
      <c r="X2813">
        <v>2935.56</v>
      </c>
      <c r="Y2813" t="s">
        <v>36</v>
      </c>
      <c r="Z2813" s="3">
        <v>1210.08</v>
      </c>
      <c r="AA2813" t="s">
        <v>51</v>
      </c>
      <c r="AB2813" t="s">
        <v>42</v>
      </c>
      <c r="AC2813">
        <v>74.099999999999994</v>
      </c>
      <c r="AD2813" t="s">
        <v>34</v>
      </c>
      <c r="AE2813">
        <v>1760.47</v>
      </c>
      <c r="AF2813">
        <v>0</v>
      </c>
    </row>
    <row r="2814" spans="3:32" x14ac:dyDescent="0.35">
      <c r="C2814" s="1">
        <v>45146</v>
      </c>
      <c r="D2814" s="2">
        <v>45139</v>
      </c>
      <c r="E2814">
        <v>1511</v>
      </c>
      <c r="F2814" s="3">
        <v>4197.88</v>
      </c>
      <c r="G2814" s="3">
        <v>4018.05</v>
      </c>
      <c r="H2814" s="3">
        <v>179.83</v>
      </c>
      <c r="I2814" s="3">
        <v>0.96</v>
      </c>
      <c r="J2814">
        <v>0.19</v>
      </c>
      <c r="K2814">
        <v>3251.07</v>
      </c>
      <c r="L2814" t="s">
        <v>35</v>
      </c>
      <c r="M2814">
        <v>755</v>
      </c>
      <c r="N2814">
        <v>0.24</v>
      </c>
      <c r="O2814" s="3">
        <v>644.13</v>
      </c>
      <c r="P2814" s="3">
        <v>0.15</v>
      </c>
      <c r="Q2814" s="3">
        <v>328.59</v>
      </c>
      <c r="R2814" s="3">
        <v>0.08</v>
      </c>
      <c r="S2814">
        <v>5</v>
      </c>
      <c r="T2814">
        <v>927.69</v>
      </c>
      <c r="U2814">
        <v>87</v>
      </c>
      <c r="V2814">
        <v>0</v>
      </c>
      <c r="W2814">
        <v>752.76</v>
      </c>
      <c r="X2814">
        <v>1726.36</v>
      </c>
      <c r="Y2814" t="s">
        <v>36</v>
      </c>
      <c r="Z2814" s="3">
        <v>866.47</v>
      </c>
      <c r="AA2814" t="s">
        <v>46</v>
      </c>
      <c r="AB2814" t="s">
        <v>42</v>
      </c>
      <c r="AC2814">
        <v>26.5</v>
      </c>
      <c r="AD2814" t="s">
        <v>34</v>
      </c>
      <c r="AE2814">
        <v>179.83</v>
      </c>
      <c r="AF2814">
        <v>0</v>
      </c>
    </row>
    <row r="2815" spans="3:32" x14ac:dyDescent="0.35">
      <c r="C2815" s="1">
        <v>45146</v>
      </c>
      <c r="D2815" s="2">
        <v>45139</v>
      </c>
      <c r="E2815">
        <v>1091</v>
      </c>
      <c r="F2815" s="3">
        <v>5808.44</v>
      </c>
      <c r="G2815" s="3">
        <v>1582.42</v>
      </c>
      <c r="H2815" s="3">
        <v>4226.0200000000004</v>
      </c>
      <c r="I2815" s="3">
        <v>0.27</v>
      </c>
      <c r="J2815">
        <v>0.1</v>
      </c>
      <c r="K2815">
        <v>2540.9899999999998</v>
      </c>
      <c r="L2815" t="s">
        <v>35</v>
      </c>
      <c r="M2815">
        <v>752</v>
      </c>
      <c r="N2815">
        <v>0.52</v>
      </c>
      <c r="O2815" s="3">
        <v>991.13</v>
      </c>
      <c r="P2815" s="3">
        <v>0.17</v>
      </c>
      <c r="Q2815" s="3">
        <v>372.37</v>
      </c>
      <c r="R2815" s="3">
        <v>0.06</v>
      </c>
      <c r="S2815">
        <v>4</v>
      </c>
      <c r="T2815">
        <v>1149.51</v>
      </c>
      <c r="U2815">
        <v>76</v>
      </c>
      <c r="V2815">
        <v>0</v>
      </c>
      <c r="W2815">
        <v>544.54</v>
      </c>
      <c r="X2815">
        <v>3008.7</v>
      </c>
      <c r="Y2815" t="s">
        <v>36</v>
      </c>
      <c r="Z2815" s="3">
        <v>908.81</v>
      </c>
      <c r="AA2815" t="s">
        <v>45</v>
      </c>
      <c r="AB2815" t="s">
        <v>42</v>
      </c>
      <c r="AC2815">
        <v>19.7</v>
      </c>
      <c r="AD2815" t="s">
        <v>34</v>
      </c>
      <c r="AE2815">
        <v>4226.0200000000004</v>
      </c>
      <c r="AF2815">
        <v>1</v>
      </c>
    </row>
    <row r="2816" spans="3:32" x14ac:dyDescent="0.35">
      <c r="C2816" s="1">
        <v>45146</v>
      </c>
      <c r="D2816" s="2">
        <v>45139</v>
      </c>
      <c r="E2816">
        <v>1674</v>
      </c>
      <c r="F2816" s="3">
        <v>3652.17</v>
      </c>
      <c r="G2816" s="3">
        <v>3353.63</v>
      </c>
      <c r="H2816" s="3">
        <v>298.54000000000002</v>
      </c>
      <c r="I2816" s="3">
        <v>0.92</v>
      </c>
      <c r="J2816">
        <v>0.33</v>
      </c>
      <c r="K2816">
        <v>2280.9499999999998</v>
      </c>
      <c r="L2816" t="s">
        <v>35</v>
      </c>
      <c r="M2816">
        <v>708</v>
      </c>
      <c r="N2816">
        <v>0.28999999999999998</v>
      </c>
      <c r="O2816" s="3">
        <v>781.52</v>
      </c>
      <c r="P2816" s="3">
        <v>0.21</v>
      </c>
      <c r="Q2816" s="3">
        <v>350.41</v>
      </c>
      <c r="R2816" s="3">
        <v>0.1</v>
      </c>
      <c r="S2816">
        <v>1</v>
      </c>
      <c r="T2816">
        <v>1388.89</v>
      </c>
      <c r="U2816">
        <v>60</v>
      </c>
      <c r="V2816">
        <v>0</v>
      </c>
      <c r="W2816">
        <v>438.48</v>
      </c>
      <c r="X2816">
        <v>2139.84</v>
      </c>
      <c r="Y2816" t="s">
        <v>36</v>
      </c>
      <c r="Z2816" s="3">
        <v>470.12</v>
      </c>
      <c r="AA2816" t="s">
        <v>32</v>
      </c>
      <c r="AB2816" t="s">
        <v>33</v>
      </c>
      <c r="AC2816">
        <v>40</v>
      </c>
      <c r="AD2816" t="s">
        <v>38</v>
      </c>
      <c r="AE2816">
        <v>298.54000000000002</v>
      </c>
      <c r="AF2816">
        <v>0</v>
      </c>
    </row>
    <row r="2817" spans="3:32" x14ac:dyDescent="0.35">
      <c r="C2817" s="1">
        <v>45146</v>
      </c>
      <c r="D2817" s="2">
        <v>45139</v>
      </c>
      <c r="E2817">
        <v>1408</v>
      </c>
      <c r="F2817" s="3">
        <v>4493.53</v>
      </c>
      <c r="G2817" s="3">
        <v>3739.58</v>
      </c>
      <c r="H2817" s="3">
        <v>753.95</v>
      </c>
      <c r="I2817" s="3">
        <v>0.83</v>
      </c>
      <c r="J2817">
        <v>0.25</v>
      </c>
      <c r="K2817">
        <v>2883.64</v>
      </c>
      <c r="L2817" t="s">
        <v>35</v>
      </c>
      <c r="M2817">
        <v>667</v>
      </c>
      <c r="N2817">
        <v>0.43</v>
      </c>
      <c r="O2817" s="3">
        <v>202.61</v>
      </c>
      <c r="P2817" s="3">
        <v>0.05</v>
      </c>
      <c r="Q2817" s="3">
        <v>468.63</v>
      </c>
      <c r="R2817" s="3">
        <v>0.1</v>
      </c>
      <c r="S2817">
        <v>3</v>
      </c>
      <c r="T2817">
        <v>662.25</v>
      </c>
      <c r="U2817">
        <v>73</v>
      </c>
      <c r="V2817">
        <v>0</v>
      </c>
      <c r="W2817">
        <v>464.97</v>
      </c>
      <c r="X2817">
        <v>2220.96</v>
      </c>
      <c r="Y2817" t="s">
        <v>36</v>
      </c>
      <c r="Z2817" s="3">
        <v>1481.26</v>
      </c>
      <c r="AA2817" t="s">
        <v>32</v>
      </c>
      <c r="AB2817" t="s">
        <v>42</v>
      </c>
      <c r="AC2817">
        <v>70.099999999999994</v>
      </c>
      <c r="AD2817" t="s">
        <v>34</v>
      </c>
      <c r="AE2817">
        <v>753.95</v>
      </c>
      <c r="AF2817">
        <v>0</v>
      </c>
    </row>
    <row r="2818" spans="3:32" x14ac:dyDescent="0.35">
      <c r="C2818" s="1">
        <v>45146</v>
      </c>
      <c r="D2818" s="2">
        <v>45139</v>
      </c>
      <c r="E2818">
        <v>1809</v>
      </c>
      <c r="F2818" s="3">
        <v>1394.59</v>
      </c>
      <c r="G2818" s="3">
        <v>2700.13</v>
      </c>
      <c r="H2818" s="3">
        <v>-1305.54</v>
      </c>
      <c r="I2818" s="3">
        <v>1.94</v>
      </c>
      <c r="J2818">
        <v>0.11</v>
      </c>
      <c r="K2818">
        <v>2217.87</v>
      </c>
      <c r="L2818" t="s">
        <v>30</v>
      </c>
      <c r="M2818">
        <v>705</v>
      </c>
      <c r="N2818">
        <v>0.36</v>
      </c>
      <c r="O2818" s="3">
        <v>731.79</v>
      </c>
      <c r="P2818" s="3">
        <v>0.52</v>
      </c>
      <c r="Q2818" s="3">
        <v>298.95</v>
      </c>
      <c r="R2818" s="3">
        <v>0.21</v>
      </c>
      <c r="S2818">
        <v>6</v>
      </c>
      <c r="T2818">
        <v>659.42</v>
      </c>
      <c r="U2818">
        <v>97</v>
      </c>
      <c r="V2818">
        <v>0</v>
      </c>
      <c r="W2818">
        <v>445.05</v>
      </c>
      <c r="X2818">
        <v>2832.5</v>
      </c>
      <c r="Y2818" t="s">
        <v>31</v>
      </c>
      <c r="Z2818" s="3">
        <v>1047.74</v>
      </c>
      <c r="AA2818" t="s">
        <v>45</v>
      </c>
      <c r="AB2818" t="s">
        <v>33</v>
      </c>
      <c r="AC2818">
        <v>33.4</v>
      </c>
      <c r="AD2818" t="s">
        <v>43</v>
      </c>
      <c r="AE2818">
        <v>0</v>
      </c>
      <c r="AF2818">
        <v>0</v>
      </c>
    </row>
    <row r="2819" spans="3:32" x14ac:dyDescent="0.35">
      <c r="C2819" s="1">
        <v>45146</v>
      </c>
      <c r="D2819" s="2">
        <v>45139</v>
      </c>
      <c r="E2819">
        <v>1337</v>
      </c>
      <c r="F2819" s="3">
        <v>6471.53</v>
      </c>
      <c r="G2819" s="3">
        <v>2312.5500000000002</v>
      </c>
      <c r="H2819" s="3">
        <v>4158.9799999999996</v>
      </c>
      <c r="I2819" s="3">
        <v>0.36</v>
      </c>
      <c r="J2819">
        <v>0.24</v>
      </c>
      <c r="K2819">
        <v>3434.23</v>
      </c>
      <c r="L2819" t="s">
        <v>39</v>
      </c>
      <c r="M2819">
        <v>688</v>
      </c>
      <c r="N2819">
        <v>0.21</v>
      </c>
      <c r="O2819" s="3">
        <v>607.48</v>
      </c>
      <c r="P2819" s="3">
        <v>0.09</v>
      </c>
      <c r="Q2819" s="3">
        <v>434.56</v>
      </c>
      <c r="R2819" s="3">
        <v>7.0000000000000007E-2</v>
      </c>
      <c r="S2819">
        <v>1</v>
      </c>
      <c r="T2819">
        <v>1361.49</v>
      </c>
      <c r="U2819">
        <v>64</v>
      </c>
      <c r="V2819">
        <v>0</v>
      </c>
      <c r="W2819">
        <v>336.47</v>
      </c>
      <c r="X2819">
        <v>2195.39</v>
      </c>
      <c r="Y2819" t="s">
        <v>36</v>
      </c>
      <c r="Z2819" s="3">
        <v>1056.24</v>
      </c>
      <c r="AA2819" t="s">
        <v>32</v>
      </c>
      <c r="AB2819" t="s">
        <v>44</v>
      </c>
      <c r="AC2819">
        <v>15.1</v>
      </c>
      <c r="AD2819" t="s">
        <v>34</v>
      </c>
      <c r="AE2819">
        <v>4158.9799999999996</v>
      </c>
      <c r="AF2819">
        <v>1</v>
      </c>
    </row>
    <row r="2820" spans="3:32" x14ac:dyDescent="0.35">
      <c r="C2820" s="1">
        <v>45146</v>
      </c>
      <c r="D2820" s="2">
        <v>45139</v>
      </c>
      <c r="E2820">
        <v>1270</v>
      </c>
      <c r="F2820" s="3">
        <v>3710.49</v>
      </c>
      <c r="G2820" s="3">
        <v>3633.41</v>
      </c>
      <c r="H2820" s="3">
        <v>77.08</v>
      </c>
      <c r="I2820" s="3">
        <v>0.98</v>
      </c>
      <c r="J2820">
        <v>0.27</v>
      </c>
      <c r="K2820">
        <v>2624.29</v>
      </c>
      <c r="L2820" t="s">
        <v>35</v>
      </c>
      <c r="M2820">
        <v>705</v>
      </c>
      <c r="N2820">
        <v>0.38</v>
      </c>
      <c r="O2820" s="3">
        <v>796.19</v>
      </c>
      <c r="P2820" s="3">
        <v>0.21</v>
      </c>
      <c r="Q2820" s="3">
        <v>692.52</v>
      </c>
      <c r="R2820" s="3">
        <v>0.19</v>
      </c>
      <c r="S2820">
        <v>8</v>
      </c>
      <c r="T2820">
        <v>2042.46</v>
      </c>
      <c r="U2820">
        <v>89</v>
      </c>
      <c r="V2820">
        <v>0</v>
      </c>
      <c r="W2820">
        <v>221.77</v>
      </c>
      <c r="X2820">
        <v>2364.33</v>
      </c>
      <c r="Y2820" t="s">
        <v>36</v>
      </c>
      <c r="Z2820" s="3">
        <v>1317.92</v>
      </c>
      <c r="AA2820" t="s">
        <v>48</v>
      </c>
      <c r="AB2820" t="s">
        <v>33</v>
      </c>
      <c r="AC2820">
        <v>86.4</v>
      </c>
      <c r="AD2820" t="s">
        <v>38</v>
      </c>
      <c r="AE2820">
        <v>77.08</v>
      </c>
      <c r="AF2820">
        <v>0</v>
      </c>
    </row>
    <row r="2821" spans="3:32" x14ac:dyDescent="0.35">
      <c r="C2821" s="1">
        <v>45146</v>
      </c>
      <c r="D2821" s="2">
        <v>45139</v>
      </c>
      <c r="E2821">
        <v>1142</v>
      </c>
      <c r="F2821" s="3">
        <v>3619.99</v>
      </c>
      <c r="G2821" s="3">
        <v>4167.6000000000004</v>
      </c>
      <c r="H2821" s="3">
        <v>-547.61</v>
      </c>
      <c r="I2821" s="3">
        <v>1.1499999999999999</v>
      </c>
      <c r="J2821">
        <v>0.22</v>
      </c>
      <c r="K2821">
        <v>3705.39</v>
      </c>
      <c r="L2821" t="s">
        <v>39</v>
      </c>
      <c r="M2821">
        <v>653</v>
      </c>
      <c r="N2821">
        <v>0.33</v>
      </c>
      <c r="O2821" s="3">
        <v>789.42</v>
      </c>
      <c r="P2821" s="3">
        <v>0.22</v>
      </c>
      <c r="Q2821" s="3">
        <v>538.44000000000005</v>
      </c>
      <c r="R2821" s="3">
        <v>0.15</v>
      </c>
      <c r="S2821">
        <v>9</v>
      </c>
      <c r="T2821">
        <v>1431.28</v>
      </c>
      <c r="U2821">
        <v>32</v>
      </c>
      <c r="V2821">
        <v>0</v>
      </c>
      <c r="W2821">
        <v>400.46</v>
      </c>
      <c r="X2821">
        <v>2061.58</v>
      </c>
      <c r="Y2821" t="s">
        <v>49</v>
      </c>
      <c r="Z2821" s="3">
        <v>1342.33</v>
      </c>
      <c r="AA2821" t="s">
        <v>46</v>
      </c>
      <c r="AB2821" t="s">
        <v>33</v>
      </c>
      <c r="AC2821">
        <v>98.7</v>
      </c>
      <c r="AD2821" t="s">
        <v>34</v>
      </c>
      <c r="AE2821">
        <v>0</v>
      </c>
      <c r="AF2821">
        <v>0</v>
      </c>
    </row>
    <row r="2822" spans="3:32" x14ac:dyDescent="0.35">
      <c r="C2822" s="1">
        <v>45146</v>
      </c>
      <c r="D2822" s="2">
        <v>45139</v>
      </c>
      <c r="E2822">
        <v>1743</v>
      </c>
      <c r="F2822" s="3">
        <v>5448.36</v>
      </c>
      <c r="G2822" s="3">
        <v>2540.96</v>
      </c>
      <c r="H2822" s="3">
        <v>2907.4</v>
      </c>
      <c r="I2822" s="3">
        <v>0.47</v>
      </c>
      <c r="J2822">
        <v>0.38</v>
      </c>
      <c r="K2822">
        <v>3504.31</v>
      </c>
      <c r="L2822" t="s">
        <v>30</v>
      </c>
      <c r="M2822">
        <v>696</v>
      </c>
      <c r="N2822">
        <v>0.13</v>
      </c>
      <c r="O2822" s="3">
        <v>438.69</v>
      </c>
      <c r="P2822" s="3">
        <v>0.08</v>
      </c>
      <c r="Q2822" s="3">
        <v>526.54999999999995</v>
      </c>
      <c r="R2822" s="3">
        <v>0.1</v>
      </c>
      <c r="S2822">
        <v>2</v>
      </c>
      <c r="T2822">
        <v>866.29</v>
      </c>
      <c r="U2822">
        <v>21</v>
      </c>
      <c r="V2822">
        <v>0</v>
      </c>
      <c r="W2822">
        <v>826.63</v>
      </c>
      <c r="X2822">
        <v>2770.96</v>
      </c>
      <c r="Y2822" t="s">
        <v>36</v>
      </c>
      <c r="Z2822" s="3">
        <v>695.86</v>
      </c>
      <c r="AA2822" t="s">
        <v>51</v>
      </c>
      <c r="AB2822" t="s">
        <v>33</v>
      </c>
      <c r="AC2822">
        <v>85.6</v>
      </c>
      <c r="AD2822" t="s">
        <v>43</v>
      </c>
      <c r="AE2822">
        <v>2907.4</v>
      </c>
      <c r="AF2822">
        <v>0</v>
      </c>
    </row>
    <row r="2823" spans="3:32" x14ac:dyDescent="0.35">
      <c r="C2823" s="1">
        <v>45146</v>
      </c>
      <c r="D2823" s="2">
        <v>45139</v>
      </c>
      <c r="E2823">
        <v>1190</v>
      </c>
      <c r="F2823" s="3">
        <v>1891.95</v>
      </c>
      <c r="G2823" s="3">
        <v>3224.88</v>
      </c>
      <c r="H2823" s="3">
        <v>-1332.93</v>
      </c>
      <c r="I2823" s="3">
        <v>1.7</v>
      </c>
      <c r="J2823">
        <v>0.1</v>
      </c>
      <c r="K2823">
        <v>2797.4</v>
      </c>
      <c r="L2823" t="s">
        <v>35</v>
      </c>
      <c r="M2823">
        <v>602</v>
      </c>
      <c r="N2823">
        <v>0.53</v>
      </c>
      <c r="O2823" s="3">
        <v>119.92</v>
      </c>
      <c r="P2823" s="3">
        <v>0.06</v>
      </c>
      <c r="Q2823" s="3">
        <v>426.44</v>
      </c>
      <c r="R2823" s="3">
        <v>0.23</v>
      </c>
      <c r="S2823">
        <v>8</v>
      </c>
      <c r="T2823">
        <v>645.16</v>
      </c>
      <c r="U2823">
        <v>94</v>
      </c>
      <c r="V2823">
        <v>0</v>
      </c>
      <c r="W2823">
        <v>655.84</v>
      </c>
      <c r="X2823">
        <v>2527.0300000000002</v>
      </c>
      <c r="Y2823" t="s">
        <v>49</v>
      </c>
      <c r="Z2823" s="3">
        <v>566.80999999999995</v>
      </c>
      <c r="AA2823" t="s">
        <v>50</v>
      </c>
      <c r="AB2823" t="s">
        <v>42</v>
      </c>
      <c r="AC2823">
        <v>70</v>
      </c>
      <c r="AD2823" t="s">
        <v>34</v>
      </c>
      <c r="AE2823">
        <v>0</v>
      </c>
      <c r="AF2823">
        <v>0</v>
      </c>
    </row>
    <row r="2824" spans="3:32" x14ac:dyDescent="0.35">
      <c r="C2824" s="1">
        <v>45146</v>
      </c>
      <c r="D2824" s="2">
        <v>45139</v>
      </c>
      <c r="E2824">
        <v>1961</v>
      </c>
      <c r="F2824" s="3">
        <v>3422.26</v>
      </c>
      <c r="G2824" s="3">
        <v>3461.29</v>
      </c>
      <c r="H2824" s="3">
        <v>-39.03</v>
      </c>
      <c r="I2824" s="3">
        <v>1.01</v>
      </c>
      <c r="J2824">
        <v>0.25</v>
      </c>
      <c r="K2824">
        <v>2636.77</v>
      </c>
      <c r="L2824" t="s">
        <v>30</v>
      </c>
      <c r="M2824">
        <v>658</v>
      </c>
      <c r="N2824">
        <v>0.18</v>
      </c>
      <c r="O2824" s="3">
        <v>802.82</v>
      </c>
      <c r="P2824" s="3">
        <v>0.23</v>
      </c>
      <c r="Q2824" s="3">
        <v>481.17</v>
      </c>
      <c r="R2824" s="3">
        <v>0.14000000000000001</v>
      </c>
      <c r="S2824">
        <v>6</v>
      </c>
      <c r="T2824">
        <v>1057.28</v>
      </c>
      <c r="U2824">
        <v>58</v>
      </c>
      <c r="V2824">
        <v>0</v>
      </c>
      <c r="W2824">
        <v>387.11</v>
      </c>
      <c r="X2824">
        <v>2462.29</v>
      </c>
      <c r="Y2824" t="s">
        <v>36</v>
      </c>
      <c r="Z2824" s="3">
        <v>878.44</v>
      </c>
      <c r="AA2824" t="s">
        <v>48</v>
      </c>
      <c r="AB2824" t="s">
        <v>44</v>
      </c>
      <c r="AC2824">
        <v>18</v>
      </c>
      <c r="AD2824" t="s">
        <v>43</v>
      </c>
      <c r="AE2824">
        <v>0</v>
      </c>
      <c r="AF2824">
        <v>0</v>
      </c>
    </row>
    <row r="2825" spans="3:32" x14ac:dyDescent="0.35">
      <c r="C2825" s="1">
        <v>45146</v>
      </c>
      <c r="D2825" s="2">
        <v>45139</v>
      </c>
      <c r="E2825">
        <v>1018</v>
      </c>
      <c r="F2825" s="3">
        <v>5457.51</v>
      </c>
      <c r="G2825" s="3">
        <v>2791.36</v>
      </c>
      <c r="H2825" s="3">
        <v>2666.15</v>
      </c>
      <c r="I2825" s="3">
        <v>0.51</v>
      </c>
      <c r="J2825">
        <v>0.39</v>
      </c>
      <c r="K2825">
        <v>2594.66</v>
      </c>
      <c r="L2825" t="s">
        <v>35</v>
      </c>
      <c r="M2825">
        <v>713</v>
      </c>
      <c r="N2825">
        <v>0.39</v>
      </c>
      <c r="O2825" s="3">
        <v>806.09</v>
      </c>
      <c r="P2825" s="3">
        <v>0.15</v>
      </c>
      <c r="Q2825" s="3">
        <v>567.96</v>
      </c>
      <c r="R2825" s="3">
        <v>0.1</v>
      </c>
      <c r="S2825">
        <v>8</v>
      </c>
      <c r="T2825">
        <v>1658.62</v>
      </c>
      <c r="U2825">
        <v>42</v>
      </c>
      <c r="V2825">
        <v>0</v>
      </c>
      <c r="W2825">
        <v>744.37</v>
      </c>
      <c r="X2825">
        <v>2540.16</v>
      </c>
      <c r="Y2825" t="s">
        <v>36</v>
      </c>
      <c r="Z2825" s="3">
        <v>1112.8499999999999</v>
      </c>
      <c r="AA2825" t="s">
        <v>46</v>
      </c>
      <c r="AB2825" t="s">
        <v>42</v>
      </c>
      <c r="AC2825">
        <v>71.900000000000006</v>
      </c>
      <c r="AD2825" t="s">
        <v>34</v>
      </c>
      <c r="AE2825">
        <v>2666.15</v>
      </c>
      <c r="AF2825">
        <v>1</v>
      </c>
    </row>
    <row r="2826" spans="3:32" x14ac:dyDescent="0.35">
      <c r="C2826" s="1">
        <v>45146</v>
      </c>
      <c r="D2826" s="2">
        <v>45139</v>
      </c>
      <c r="E2826">
        <v>1532</v>
      </c>
      <c r="F2826" s="3">
        <v>3916.11</v>
      </c>
      <c r="G2826" s="3">
        <v>1925.52</v>
      </c>
      <c r="H2826" s="3">
        <v>1990.59</v>
      </c>
      <c r="I2826" s="3">
        <v>0.49</v>
      </c>
      <c r="J2826">
        <v>0.15</v>
      </c>
      <c r="K2826">
        <v>3150.33</v>
      </c>
      <c r="L2826" t="s">
        <v>35</v>
      </c>
      <c r="M2826">
        <v>693</v>
      </c>
      <c r="N2826">
        <v>0.34</v>
      </c>
      <c r="O2826" s="3">
        <v>465.08</v>
      </c>
      <c r="P2826" s="3">
        <v>0.12</v>
      </c>
      <c r="Q2826" s="3">
        <v>428.08</v>
      </c>
      <c r="R2826" s="3">
        <v>0.11</v>
      </c>
      <c r="S2826">
        <v>3</v>
      </c>
      <c r="T2826">
        <v>1225.3699999999999</v>
      </c>
      <c r="U2826">
        <v>41</v>
      </c>
      <c r="V2826">
        <v>0</v>
      </c>
      <c r="W2826">
        <v>345.46</v>
      </c>
      <c r="X2826">
        <v>1660.54</v>
      </c>
      <c r="Y2826" t="s">
        <v>36</v>
      </c>
      <c r="Z2826" s="3">
        <v>1753.47</v>
      </c>
      <c r="AA2826" t="s">
        <v>48</v>
      </c>
      <c r="AB2826" t="s">
        <v>44</v>
      </c>
      <c r="AC2826">
        <v>29.9</v>
      </c>
      <c r="AD2826" t="s">
        <v>43</v>
      </c>
      <c r="AE2826">
        <v>1990.59</v>
      </c>
      <c r="AF2826">
        <v>0</v>
      </c>
    </row>
    <row r="2827" spans="3:32" x14ac:dyDescent="0.35">
      <c r="C2827" s="1">
        <v>45146</v>
      </c>
      <c r="D2827" s="2">
        <v>45139</v>
      </c>
      <c r="E2827">
        <v>1396</v>
      </c>
      <c r="F2827" s="3">
        <v>4041.81</v>
      </c>
      <c r="G2827" s="3">
        <v>3759.39</v>
      </c>
      <c r="H2827" s="3">
        <v>282.42</v>
      </c>
      <c r="I2827" s="3">
        <v>0.93</v>
      </c>
      <c r="J2827">
        <v>0.22</v>
      </c>
      <c r="K2827">
        <v>2618.54</v>
      </c>
      <c r="L2827" t="s">
        <v>30</v>
      </c>
      <c r="M2827">
        <v>726</v>
      </c>
      <c r="N2827">
        <v>0.2</v>
      </c>
      <c r="O2827" s="3">
        <v>437.52</v>
      </c>
      <c r="P2827" s="3">
        <v>0.11</v>
      </c>
      <c r="Q2827" s="3">
        <v>259.77999999999997</v>
      </c>
      <c r="R2827" s="3">
        <v>0.06</v>
      </c>
      <c r="S2827">
        <v>5</v>
      </c>
      <c r="T2827">
        <v>1103</v>
      </c>
      <c r="U2827">
        <v>57</v>
      </c>
      <c r="V2827">
        <v>0</v>
      </c>
      <c r="W2827">
        <v>937.03</v>
      </c>
      <c r="X2827">
        <v>1717.98</v>
      </c>
      <c r="Y2827" t="s">
        <v>49</v>
      </c>
      <c r="Z2827" s="3">
        <v>1447.43</v>
      </c>
      <c r="AA2827" t="s">
        <v>50</v>
      </c>
      <c r="AB2827" t="s">
        <v>33</v>
      </c>
      <c r="AC2827">
        <v>36.1</v>
      </c>
      <c r="AD2827" t="s">
        <v>43</v>
      </c>
      <c r="AE2827">
        <v>282.42</v>
      </c>
      <c r="AF2827">
        <v>0</v>
      </c>
    </row>
    <row r="2828" spans="3:32" x14ac:dyDescent="0.35">
      <c r="C2828" s="1">
        <v>45146</v>
      </c>
      <c r="D2828" s="2">
        <v>45139</v>
      </c>
      <c r="E2828">
        <v>1596</v>
      </c>
      <c r="F2828" s="3">
        <v>4472.59</v>
      </c>
      <c r="G2828" s="3">
        <v>3789.99</v>
      </c>
      <c r="H2828" s="3">
        <v>682.6</v>
      </c>
      <c r="I2828" s="3">
        <v>0.85</v>
      </c>
      <c r="J2828">
        <v>0.24</v>
      </c>
      <c r="K2828">
        <v>2348.0100000000002</v>
      </c>
      <c r="L2828" t="s">
        <v>35</v>
      </c>
      <c r="M2828">
        <v>757</v>
      </c>
      <c r="N2828">
        <v>0.33</v>
      </c>
      <c r="O2828" s="3">
        <v>543.4</v>
      </c>
      <c r="P2828" s="3">
        <v>0.12</v>
      </c>
      <c r="Q2828" s="3">
        <v>720.54</v>
      </c>
      <c r="R2828" s="3">
        <v>0.16</v>
      </c>
      <c r="S2828">
        <v>3</v>
      </c>
      <c r="T2828">
        <v>1153.8499999999999</v>
      </c>
      <c r="U2828">
        <v>88</v>
      </c>
      <c r="V2828">
        <v>0</v>
      </c>
      <c r="W2828">
        <v>119.54</v>
      </c>
      <c r="X2828">
        <v>1201.72</v>
      </c>
      <c r="Y2828" t="s">
        <v>31</v>
      </c>
      <c r="Z2828" s="3">
        <v>814.9</v>
      </c>
      <c r="AA2828" t="s">
        <v>46</v>
      </c>
      <c r="AB2828" t="s">
        <v>33</v>
      </c>
      <c r="AC2828">
        <v>4.0999999999999996</v>
      </c>
      <c r="AD2828" t="s">
        <v>34</v>
      </c>
      <c r="AE2828">
        <v>682.6</v>
      </c>
      <c r="AF2828">
        <v>0</v>
      </c>
    </row>
    <row r="2829" spans="3:32" x14ac:dyDescent="0.35">
      <c r="C2829" s="1">
        <v>45146</v>
      </c>
      <c r="D2829" s="2">
        <v>45139</v>
      </c>
      <c r="E2829">
        <v>1171</v>
      </c>
      <c r="F2829" s="3">
        <v>3587.21</v>
      </c>
      <c r="G2829" s="3">
        <v>3986.1</v>
      </c>
      <c r="H2829" s="3">
        <v>-398.89</v>
      </c>
      <c r="I2829" s="3">
        <v>1.1100000000000001</v>
      </c>
      <c r="J2829">
        <v>0.34</v>
      </c>
      <c r="K2829">
        <v>2110.84</v>
      </c>
      <c r="L2829" t="s">
        <v>39</v>
      </c>
      <c r="M2829">
        <v>664</v>
      </c>
      <c r="N2829">
        <v>0.31</v>
      </c>
      <c r="O2829" s="3">
        <v>368.31</v>
      </c>
      <c r="P2829" s="3">
        <v>0.1</v>
      </c>
      <c r="Q2829" s="3">
        <v>318.10000000000002</v>
      </c>
      <c r="R2829" s="3">
        <v>0.09</v>
      </c>
      <c r="S2829">
        <v>2</v>
      </c>
      <c r="T2829">
        <v>1086.6199999999999</v>
      </c>
      <c r="U2829">
        <v>49</v>
      </c>
      <c r="V2829">
        <v>0</v>
      </c>
      <c r="W2829">
        <v>845.3</v>
      </c>
      <c r="X2829">
        <v>1944.1</v>
      </c>
      <c r="Y2829" t="s">
        <v>36</v>
      </c>
      <c r="Z2829" s="3">
        <v>1380.23</v>
      </c>
      <c r="AA2829" t="s">
        <v>45</v>
      </c>
      <c r="AB2829" t="s">
        <v>33</v>
      </c>
      <c r="AC2829">
        <v>46.9</v>
      </c>
      <c r="AD2829" t="s">
        <v>34</v>
      </c>
      <c r="AE2829">
        <v>0</v>
      </c>
      <c r="AF2829">
        <v>0</v>
      </c>
    </row>
    <row r="2830" spans="3:32" x14ac:dyDescent="0.35">
      <c r="C2830" s="1">
        <v>45146</v>
      </c>
      <c r="D2830" s="2">
        <v>45139</v>
      </c>
      <c r="E2830">
        <v>1791</v>
      </c>
      <c r="F2830" s="3">
        <v>2779.88</v>
      </c>
      <c r="G2830" s="3">
        <v>2458.8200000000002</v>
      </c>
      <c r="H2830" s="3">
        <v>321.06</v>
      </c>
      <c r="I2830" s="3">
        <v>0.88</v>
      </c>
      <c r="J2830">
        <v>0.26</v>
      </c>
      <c r="K2830">
        <v>2574.65</v>
      </c>
      <c r="L2830" t="s">
        <v>35</v>
      </c>
      <c r="M2830">
        <v>703</v>
      </c>
      <c r="N2830">
        <v>0.32</v>
      </c>
      <c r="O2830" s="3">
        <v>632.16999999999996</v>
      </c>
      <c r="P2830" s="3">
        <v>0.23</v>
      </c>
      <c r="Q2830" s="3">
        <v>421.24</v>
      </c>
      <c r="R2830" s="3">
        <v>0.15</v>
      </c>
      <c r="S2830">
        <v>6</v>
      </c>
      <c r="T2830">
        <v>909.8</v>
      </c>
      <c r="U2830">
        <v>96</v>
      </c>
      <c r="V2830">
        <v>0</v>
      </c>
      <c r="W2830">
        <v>177.98</v>
      </c>
      <c r="X2830">
        <v>2107.0300000000002</v>
      </c>
      <c r="Y2830" t="s">
        <v>36</v>
      </c>
      <c r="Z2830" s="3">
        <v>300</v>
      </c>
      <c r="AA2830" t="s">
        <v>40</v>
      </c>
      <c r="AB2830" t="s">
        <v>33</v>
      </c>
      <c r="AC2830">
        <v>76.599999999999994</v>
      </c>
      <c r="AD2830" t="s">
        <v>38</v>
      </c>
      <c r="AE2830">
        <v>321.06</v>
      </c>
      <c r="AF2830">
        <v>0</v>
      </c>
    </row>
    <row r="2831" spans="3:32" x14ac:dyDescent="0.35">
      <c r="C2831" s="1">
        <v>45146</v>
      </c>
      <c r="D2831" s="2">
        <v>45139</v>
      </c>
      <c r="E2831">
        <v>1598</v>
      </c>
      <c r="F2831" s="3">
        <v>4274.7700000000004</v>
      </c>
      <c r="G2831" s="3">
        <v>2949.71</v>
      </c>
      <c r="H2831" s="3">
        <v>1325.06</v>
      </c>
      <c r="I2831" s="3">
        <v>0.69</v>
      </c>
      <c r="J2831">
        <v>0.34</v>
      </c>
      <c r="K2831">
        <v>3259.04</v>
      </c>
      <c r="L2831" t="s">
        <v>35</v>
      </c>
      <c r="M2831">
        <v>607</v>
      </c>
      <c r="N2831">
        <v>0.16</v>
      </c>
      <c r="O2831" s="3">
        <v>159.55000000000001</v>
      </c>
      <c r="P2831" s="3">
        <v>0.04</v>
      </c>
      <c r="Q2831" s="3">
        <v>734.49</v>
      </c>
      <c r="R2831" s="3">
        <v>0.17</v>
      </c>
      <c r="S2831">
        <v>8</v>
      </c>
      <c r="T2831">
        <v>895.15</v>
      </c>
      <c r="U2831">
        <v>52</v>
      </c>
      <c r="V2831">
        <v>0</v>
      </c>
      <c r="W2831">
        <v>822.67</v>
      </c>
      <c r="X2831">
        <v>2285.4</v>
      </c>
      <c r="Y2831" t="s">
        <v>31</v>
      </c>
      <c r="Z2831" s="3">
        <v>1331.74</v>
      </c>
      <c r="AA2831" t="s">
        <v>47</v>
      </c>
      <c r="AB2831" t="s">
        <v>33</v>
      </c>
      <c r="AC2831">
        <v>24.4</v>
      </c>
      <c r="AD2831" t="s">
        <v>43</v>
      </c>
      <c r="AE2831">
        <v>1325.06</v>
      </c>
      <c r="AF2831">
        <v>0</v>
      </c>
    </row>
    <row r="2832" spans="3:32" x14ac:dyDescent="0.35">
      <c r="C2832" s="1">
        <v>45146</v>
      </c>
      <c r="D2832" s="2">
        <v>45139</v>
      </c>
      <c r="E2832">
        <v>1271</v>
      </c>
      <c r="F2832" s="3">
        <v>4240.5200000000004</v>
      </c>
      <c r="G2832" s="3">
        <v>2912.07</v>
      </c>
      <c r="H2832" s="3">
        <v>1328.45</v>
      </c>
      <c r="I2832" s="3">
        <v>0.69</v>
      </c>
      <c r="J2832">
        <v>0.21</v>
      </c>
      <c r="K2832">
        <v>2375.8200000000002</v>
      </c>
      <c r="L2832" t="s">
        <v>35</v>
      </c>
      <c r="M2832">
        <v>727</v>
      </c>
      <c r="N2832">
        <v>0.14000000000000001</v>
      </c>
      <c r="O2832" s="3">
        <v>552.05999999999995</v>
      </c>
      <c r="P2832" s="3">
        <v>0.13</v>
      </c>
      <c r="Q2832" s="3">
        <v>577.55999999999995</v>
      </c>
      <c r="R2832" s="3">
        <v>0.14000000000000001</v>
      </c>
      <c r="S2832">
        <v>2</v>
      </c>
      <c r="T2832">
        <v>1481.37</v>
      </c>
      <c r="U2832">
        <v>30</v>
      </c>
      <c r="V2832">
        <v>0</v>
      </c>
      <c r="W2832">
        <v>812.38</v>
      </c>
      <c r="X2832">
        <v>2010.91</v>
      </c>
      <c r="Y2832" t="s">
        <v>31</v>
      </c>
      <c r="Z2832" s="3">
        <v>1478.18</v>
      </c>
      <c r="AA2832" t="s">
        <v>37</v>
      </c>
      <c r="AB2832" t="s">
        <v>42</v>
      </c>
      <c r="AC2832">
        <v>67.5</v>
      </c>
      <c r="AD2832" t="s">
        <v>38</v>
      </c>
      <c r="AE2832">
        <v>1328.45</v>
      </c>
      <c r="AF2832">
        <v>0</v>
      </c>
    </row>
    <row r="2833" spans="3:32" x14ac:dyDescent="0.35">
      <c r="C2833" s="1">
        <v>45146</v>
      </c>
      <c r="D2833" s="2">
        <v>45139</v>
      </c>
      <c r="E2833">
        <v>1474</v>
      </c>
      <c r="F2833" s="3">
        <v>2835.33</v>
      </c>
      <c r="G2833" s="3">
        <v>3496.97</v>
      </c>
      <c r="H2833" s="3">
        <v>-661.64</v>
      </c>
      <c r="I2833" s="3">
        <v>1.23</v>
      </c>
      <c r="J2833">
        <v>7.0000000000000007E-2</v>
      </c>
      <c r="K2833">
        <v>2906.09</v>
      </c>
      <c r="L2833" t="s">
        <v>39</v>
      </c>
      <c r="M2833">
        <v>578</v>
      </c>
      <c r="N2833">
        <v>0.47</v>
      </c>
      <c r="O2833" s="3">
        <v>1142.46</v>
      </c>
      <c r="P2833" s="3">
        <v>0.4</v>
      </c>
      <c r="Q2833" s="3">
        <v>630.16999999999996</v>
      </c>
      <c r="R2833" s="3">
        <v>0.22</v>
      </c>
      <c r="S2833">
        <v>5</v>
      </c>
      <c r="T2833">
        <v>503.58</v>
      </c>
      <c r="U2833">
        <v>49</v>
      </c>
      <c r="V2833">
        <v>0</v>
      </c>
      <c r="W2833">
        <v>319.39999999999998</v>
      </c>
      <c r="X2833">
        <v>3108.26</v>
      </c>
      <c r="Y2833" t="s">
        <v>36</v>
      </c>
      <c r="Z2833" s="3">
        <v>1646.87</v>
      </c>
      <c r="AA2833" t="s">
        <v>51</v>
      </c>
      <c r="AB2833" t="s">
        <v>33</v>
      </c>
      <c r="AC2833">
        <v>45.4</v>
      </c>
      <c r="AD2833" t="s">
        <v>34</v>
      </c>
      <c r="AE2833">
        <v>0</v>
      </c>
      <c r="AF2833">
        <v>0</v>
      </c>
    </row>
    <row r="2834" spans="3:32" x14ac:dyDescent="0.35">
      <c r="C2834" s="1">
        <v>45146</v>
      </c>
      <c r="D2834" s="2">
        <v>45139</v>
      </c>
      <c r="E2834">
        <v>1799</v>
      </c>
      <c r="F2834" s="3">
        <v>5678.31</v>
      </c>
      <c r="G2834" s="3">
        <v>1290.51</v>
      </c>
      <c r="H2834" s="3">
        <v>4387.8</v>
      </c>
      <c r="I2834" s="3">
        <v>0.23</v>
      </c>
      <c r="J2834">
        <v>0.38</v>
      </c>
      <c r="K2834">
        <v>2190.38</v>
      </c>
      <c r="L2834" t="s">
        <v>39</v>
      </c>
      <c r="M2834">
        <v>771</v>
      </c>
      <c r="N2834">
        <v>0.11</v>
      </c>
      <c r="O2834" s="3">
        <v>683.47</v>
      </c>
      <c r="P2834" s="3">
        <v>0.12</v>
      </c>
      <c r="Q2834" s="3">
        <v>514.79999999999995</v>
      </c>
      <c r="R2834" s="3">
        <v>0.09</v>
      </c>
      <c r="S2834">
        <v>7</v>
      </c>
      <c r="T2834">
        <v>1266.8599999999999</v>
      </c>
      <c r="U2834">
        <v>42</v>
      </c>
      <c r="V2834">
        <v>0</v>
      </c>
      <c r="W2834">
        <v>434.06</v>
      </c>
      <c r="X2834">
        <v>1750.29</v>
      </c>
      <c r="Y2834" t="s">
        <v>36</v>
      </c>
      <c r="Z2834" s="3">
        <v>757.71</v>
      </c>
      <c r="AA2834" t="s">
        <v>45</v>
      </c>
      <c r="AB2834" t="s">
        <v>42</v>
      </c>
      <c r="AC2834">
        <v>93.8</v>
      </c>
      <c r="AD2834" t="s">
        <v>38</v>
      </c>
      <c r="AE2834">
        <v>4387.8</v>
      </c>
      <c r="AF2834">
        <v>1</v>
      </c>
    </row>
    <row r="2835" spans="3:32" x14ac:dyDescent="0.35">
      <c r="C2835" s="1">
        <v>45146</v>
      </c>
      <c r="D2835" s="2">
        <v>45139</v>
      </c>
      <c r="E2835">
        <v>1195</v>
      </c>
      <c r="F2835" s="3">
        <v>6240.8</v>
      </c>
      <c r="G2835" s="3">
        <v>2557.1</v>
      </c>
      <c r="H2835" s="3">
        <v>3683.7</v>
      </c>
      <c r="I2835" s="3">
        <v>0.41</v>
      </c>
      <c r="J2835">
        <v>0.06</v>
      </c>
      <c r="K2835">
        <v>3059.61</v>
      </c>
      <c r="L2835" t="s">
        <v>35</v>
      </c>
      <c r="M2835">
        <v>654</v>
      </c>
      <c r="N2835">
        <v>0.37</v>
      </c>
      <c r="O2835" s="3">
        <v>619.80999999999995</v>
      </c>
      <c r="P2835" s="3">
        <v>0.1</v>
      </c>
      <c r="Q2835" s="3">
        <v>305.23</v>
      </c>
      <c r="R2835" s="3">
        <v>0.05</v>
      </c>
      <c r="S2835">
        <v>3</v>
      </c>
      <c r="T2835">
        <v>1124.19</v>
      </c>
      <c r="U2835">
        <v>65</v>
      </c>
      <c r="V2835">
        <v>0</v>
      </c>
      <c r="W2835">
        <v>199.16</v>
      </c>
      <c r="X2835">
        <v>2364.27</v>
      </c>
      <c r="Y2835" t="s">
        <v>36</v>
      </c>
      <c r="Z2835" s="3">
        <v>1127.04</v>
      </c>
      <c r="AA2835" t="s">
        <v>40</v>
      </c>
      <c r="AB2835" t="s">
        <v>42</v>
      </c>
      <c r="AC2835">
        <v>4.3</v>
      </c>
      <c r="AD2835" t="s">
        <v>38</v>
      </c>
      <c r="AE2835">
        <v>3683.7</v>
      </c>
      <c r="AF2835">
        <v>1</v>
      </c>
    </row>
    <row r="2836" spans="3:32" x14ac:dyDescent="0.35">
      <c r="C2836" s="1">
        <v>45146</v>
      </c>
      <c r="D2836" s="2">
        <v>45139</v>
      </c>
      <c r="E2836">
        <v>1302</v>
      </c>
      <c r="F2836" s="3">
        <v>2918.32</v>
      </c>
      <c r="G2836" s="3">
        <v>4694.2299999999996</v>
      </c>
      <c r="H2836" s="3">
        <v>-1775.91</v>
      </c>
      <c r="I2836" s="3">
        <v>1.61</v>
      </c>
      <c r="J2836">
        <v>0.25</v>
      </c>
      <c r="K2836">
        <v>2721.8</v>
      </c>
      <c r="L2836" t="s">
        <v>35</v>
      </c>
      <c r="M2836">
        <v>763</v>
      </c>
      <c r="N2836">
        <v>0.31</v>
      </c>
      <c r="O2836" s="3">
        <v>288.01</v>
      </c>
      <c r="P2836" s="3">
        <v>0.1</v>
      </c>
      <c r="Q2836" s="3">
        <v>736.59</v>
      </c>
      <c r="R2836" s="3">
        <v>0.25</v>
      </c>
      <c r="S2836">
        <v>6</v>
      </c>
      <c r="T2836">
        <v>726.7</v>
      </c>
      <c r="U2836">
        <v>27</v>
      </c>
      <c r="V2836">
        <v>0</v>
      </c>
      <c r="W2836">
        <v>392.29</v>
      </c>
      <c r="X2836">
        <v>1181.08</v>
      </c>
      <c r="Y2836" t="s">
        <v>36</v>
      </c>
      <c r="Z2836" s="3">
        <v>1269.83</v>
      </c>
      <c r="AA2836" t="s">
        <v>48</v>
      </c>
      <c r="AB2836" t="s">
        <v>33</v>
      </c>
      <c r="AC2836">
        <v>47.2</v>
      </c>
      <c r="AD2836" t="s">
        <v>43</v>
      </c>
      <c r="AE2836">
        <v>0</v>
      </c>
      <c r="AF2836">
        <v>0</v>
      </c>
    </row>
    <row r="2837" spans="3:32" x14ac:dyDescent="0.35">
      <c r="C2837" s="1">
        <v>45146</v>
      </c>
      <c r="D2837" s="2">
        <v>45139</v>
      </c>
      <c r="E2837">
        <v>1794</v>
      </c>
      <c r="F2837" s="3">
        <v>2223.1</v>
      </c>
      <c r="G2837" s="3">
        <v>2972.23</v>
      </c>
      <c r="H2837" s="3">
        <v>-749.13</v>
      </c>
      <c r="I2837" s="3">
        <v>1.34</v>
      </c>
      <c r="J2837">
        <v>0.14000000000000001</v>
      </c>
      <c r="K2837">
        <v>2995.5</v>
      </c>
      <c r="L2837" t="s">
        <v>30</v>
      </c>
      <c r="M2837">
        <v>693</v>
      </c>
      <c r="N2837">
        <v>0.47</v>
      </c>
      <c r="O2837" s="3">
        <v>428.64</v>
      </c>
      <c r="P2837" s="3">
        <v>0.19</v>
      </c>
      <c r="Q2837" s="3">
        <v>388.98</v>
      </c>
      <c r="R2837" s="3">
        <v>0.17</v>
      </c>
      <c r="S2837">
        <v>1</v>
      </c>
      <c r="T2837">
        <v>777.08</v>
      </c>
      <c r="U2837">
        <v>96</v>
      </c>
      <c r="V2837">
        <v>0</v>
      </c>
      <c r="W2837">
        <v>171.35</v>
      </c>
      <c r="X2837">
        <v>1420.16</v>
      </c>
      <c r="Y2837" t="s">
        <v>36</v>
      </c>
      <c r="Z2837" s="3">
        <v>1685.53</v>
      </c>
      <c r="AA2837" t="s">
        <v>51</v>
      </c>
      <c r="AB2837" t="s">
        <v>42</v>
      </c>
      <c r="AC2837">
        <v>78.5</v>
      </c>
      <c r="AD2837" t="s">
        <v>43</v>
      </c>
      <c r="AE2837">
        <v>0</v>
      </c>
      <c r="AF2837">
        <v>0</v>
      </c>
    </row>
    <row r="2838" spans="3:32" x14ac:dyDescent="0.35">
      <c r="C2838" s="1">
        <v>45146</v>
      </c>
      <c r="D2838" s="2">
        <v>45139</v>
      </c>
      <c r="E2838">
        <v>1426</v>
      </c>
      <c r="F2838" s="3">
        <v>3750.76</v>
      </c>
      <c r="G2838" s="3">
        <v>3956.7</v>
      </c>
      <c r="H2838" s="3">
        <v>-205.94</v>
      </c>
      <c r="I2838" s="3">
        <v>1.05</v>
      </c>
      <c r="J2838">
        <v>0.39</v>
      </c>
      <c r="K2838">
        <v>1764.11</v>
      </c>
      <c r="L2838" t="s">
        <v>35</v>
      </c>
      <c r="M2838">
        <v>665</v>
      </c>
      <c r="N2838">
        <v>0.59</v>
      </c>
      <c r="O2838" s="3">
        <v>112.4</v>
      </c>
      <c r="P2838" s="3">
        <v>0.03</v>
      </c>
      <c r="Q2838" s="3">
        <v>487.28</v>
      </c>
      <c r="R2838" s="3">
        <v>0.13</v>
      </c>
      <c r="S2838">
        <v>5</v>
      </c>
      <c r="T2838">
        <v>1886.76</v>
      </c>
      <c r="U2838">
        <v>35</v>
      </c>
      <c r="V2838">
        <v>0</v>
      </c>
      <c r="W2838">
        <v>415.56</v>
      </c>
      <c r="X2838">
        <v>2190.62</v>
      </c>
      <c r="Y2838" t="s">
        <v>36</v>
      </c>
      <c r="Z2838" s="3">
        <v>1325.88</v>
      </c>
      <c r="AA2838" t="s">
        <v>50</v>
      </c>
      <c r="AB2838" t="s">
        <v>33</v>
      </c>
      <c r="AC2838">
        <v>17.7</v>
      </c>
      <c r="AD2838" t="s">
        <v>34</v>
      </c>
      <c r="AE2838">
        <v>0</v>
      </c>
      <c r="AF2838">
        <v>0</v>
      </c>
    </row>
    <row r="2839" spans="3:32" x14ac:dyDescent="0.35">
      <c r="C2839" s="1">
        <v>45146</v>
      </c>
      <c r="D2839" s="2">
        <v>45139</v>
      </c>
      <c r="E2839">
        <v>1798</v>
      </c>
      <c r="F2839" s="3">
        <v>3650.9</v>
      </c>
      <c r="G2839" s="3">
        <v>3311.91</v>
      </c>
      <c r="H2839" s="3">
        <v>338.99</v>
      </c>
      <c r="I2839" s="3">
        <v>0.91</v>
      </c>
      <c r="J2839">
        <v>7.0000000000000007E-2</v>
      </c>
      <c r="K2839">
        <v>2036.34</v>
      </c>
      <c r="L2839" t="s">
        <v>35</v>
      </c>
      <c r="M2839">
        <v>727</v>
      </c>
      <c r="N2839">
        <v>0.59</v>
      </c>
      <c r="O2839" s="3">
        <v>691.54</v>
      </c>
      <c r="P2839" s="3">
        <v>0.19</v>
      </c>
      <c r="Q2839" s="3">
        <v>809.59</v>
      </c>
      <c r="R2839" s="3">
        <v>0.22</v>
      </c>
      <c r="S2839">
        <v>2</v>
      </c>
      <c r="T2839">
        <v>548.05999999999995</v>
      </c>
      <c r="U2839">
        <v>87</v>
      </c>
      <c r="V2839">
        <v>0</v>
      </c>
      <c r="W2839">
        <v>635.1</v>
      </c>
      <c r="X2839">
        <v>2353.4699999999998</v>
      </c>
      <c r="Y2839" t="s">
        <v>49</v>
      </c>
      <c r="Z2839" s="3">
        <v>2056.85</v>
      </c>
      <c r="AA2839" t="s">
        <v>37</v>
      </c>
      <c r="AB2839" t="s">
        <v>42</v>
      </c>
      <c r="AC2839">
        <v>54.7</v>
      </c>
      <c r="AD2839" t="s">
        <v>34</v>
      </c>
      <c r="AE2839">
        <v>338.99</v>
      </c>
      <c r="AF2839">
        <v>0</v>
      </c>
    </row>
    <row r="2840" spans="3:32" x14ac:dyDescent="0.35">
      <c r="C2840" s="1">
        <v>45146</v>
      </c>
      <c r="D2840" s="2">
        <v>45139</v>
      </c>
      <c r="E2840">
        <v>1683</v>
      </c>
      <c r="F2840" s="3">
        <v>2970.75</v>
      </c>
      <c r="G2840" s="3">
        <v>2041.94</v>
      </c>
      <c r="H2840" s="3">
        <v>928.81</v>
      </c>
      <c r="I2840" s="3">
        <v>0.69</v>
      </c>
      <c r="J2840">
        <v>0.33</v>
      </c>
      <c r="K2840">
        <v>1940.09</v>
      </c>
      <c r="L2840" t="s">
        <v>39</v>
      </c>
      <c r="M2840">
        <v>619</v>
      </c>
      <c r="N2840">
        <v>0.44</v>
      </c>
      <c r="O2840" s="3">
        <v>577.04</v>
      </c>
      <c r="P2840" s="3">
        <v>0.19</v>
      </c>
      <c r="Q2840" s="3">
        <v>363.51</v>
      </c>
      <c r="R2840" s="3">
        <v>0.12</v>
      </c>
      <c r="S2840">
        <v>7</v>
      </c>
      <c r="T2840">
        <v>731.09</v>
      </c>
      <c r="U2840">
        <v>50</v>
      </c>
      <c r="V2840">
        <v>0</v>
      </c>
      <c r="W2840">
        <v>338.43</v>
      </c>
      <c r="X2840">
        <v>1324.33</v>
      </c>
      <c r="Y2840" t="s">
        <v>36</v>
      </c>
      <c r="Z2840" s="3">
        <v>1263.22</v>
      </c>
      <c r="AA2840" t="s">
        <v>41</v>
      </c>
      <c r="AB2840" t="s">
        <v>33</v>
      </c>
      <c r="AC2840">
        <v>84.7</v>
      </c>
      <c r="AD2840" t="s">
        <v>34</v>
      </c>
      <c r="AE2840">
        <v>928.81</v>
      </c>
      <c r="AF2840">
        <v>0</v>
      </c>
    </row>
    <row r="2841" spans="3:32" x14ac:dyDescent="0.35">
      <c r="C2841" s="1">
        <v>45146</v>
      </c>
      <c r="D2841" s="2">
        <v>45139</v>
      </c>
      <c r="E2841">
        <v>1819</v>
      </c>
      <c r="F2841" s="3">
        <v>4214.54</v>
      </c>
      <c r="G2841" s="3">
        <v>4802.08</v>
      </c>
      <c r="H2841" s="3">
        <v>-587.54</v>
      </c>
      <c r="I2841" s="3">
        <v>1.1399999999999999</v>
      </c>
      <c r="J2841">
        <v>0.08</v>
      </c>
      <c r="K2841">
        <v>2808.24</v>
      </c>
      <c r="L2841" t="s">
        <v>30</v>
      </c>
      <c r="M2841">
        <v>747</v>
      </c>
      <c r="N2841">
        <v>0.45</v>
      </c>
      <c r="O2841" s="3">
        <v>491.23</v>
      </c>
      <c r="P2841" s="3">
        <v>0.12</v>
      </c>
      <c r="Q2841" s="3">
        <v>293.27</v>
      </c>
      <c r="R2841" s="3">
        <v>7.0000000000000007E-2</v>
      </c>
      <c r="S2841">
        <v>7</v>
      </c>
      <c r="T2841">
        <v>394.34</v>
      </c>
      <c r="U2841">
        <v>61</v>
      </c>
      <c r="V2841">
        <v>0</v>
      </c>
      <c r="W2841">
        <v>586.9</v>
      </c>
      <c r="X2841">
        <v>1809.31</v>
      </c>
      <c r="Y2841" t="s">
        <v>36</v>
      </c>
      <c r="Z2841" s="3">
        <v>1376.76</v>
      </c>
      <c r="AA2841" t="s">
        <v>51</v>
      </c>
      <c r="AB2841" t="s">
        <v>33</v>
      </c>
      <c r="AC2841">
        <v>67.8</v>
      </c>
      <c r="AD2841" t="s">
        <v>34</v>
      </c>
      <c r="AE2841">
        <v>0</v>
      </c>
      <c r="AF2841">
        <v>0</v>
      </c>
    </row>
    <row r="2842" spans="3:32" x14ac:dyDescent="0.35">
      <c r="C2842" s="1">
        <v>45146</v>
      </c>
      <c r="D2842" s="2">
        <v>45139</v>
      </c>
      <c r="E2842">
        <v>1152</v>
      </c>
      <c r="F2842" s="3">
        <v>4001.96</v>
      </c>
      <c r="G2842" s="3">
        <v>1599.82</v>
      </c>
      <c r="H2842" s="3">
        <v>2402.14</v>
      </c>
      <c r="I2842" s="3">
        <v>0.4</v>
      </c>
      <c r="J2842">
        <v>0.36</v>
      </c>
      <c r="K2842">
        <v>3159.82</v>
      </c>
      <c r="L2842" t="s">
        <v>35</v>
      </c>
      <c r="M2842">
        <v>758</v>
      </c>
      <c r="N2842">
        <v>0.51</v>
      </c>
      <c r="O2842" s="3">
        <v>512.79</v>
      </c>
      <c r="P2842" s="3">
        <v>0.13</v>
      </c>
      <c r="Q2842" s="3">
        <v>390.54</v>
      </c>
      <c r="R2842" s="3">
        <v>0.1</v>
      </c>
      <c r="S2842">
        <v>5</v>
      </c>
      <c r="T2842">
        <v>267.73</v>
      </c>
      <c r="U2842">
        <v>27</v>
      </c>
      <c r="V2842">
        <v>0</v>
      </c>
      <c r="W2842">
        <v>236.77</v>
      </c>
      <c r="X2842">
        <v>2706.4</v>
      </c>
      <c r="Y2842" t="s">
        <v>36</v>
      </c>
      <c r="Z2842" s="3">
        <v>1337.23</v>
      </c>
      <c r="AA2842" t="s">
        <v>50</v>
      </c>
      <c r="AB2842" t="s">
        <v>42</v>
      </c>
      <c r="AC2842">
        <v>93</v>
      </c>
      <c r="AD2842" t="s">
        <v>38</v>
      </c>
      <c r="AE2842">
        <v>2402.14</v>
      </c>
      <c r="AF2842">
        <v>0</v>
      </c>
    </row>
    <row r="2843" spans="3:32" x14ac:dyDescent="0.35">
      <c r="C2843" s="1">
        <v>45146</v>
      </c>
      <c r="D2843" s="2">
        <v>45139</v>
      </c>
      <c r="E2843">
        <v>1797</v>
      </c>
      <c r="F2843" s="3">
        <v>4602.82</v>
      </c>
      <c r="G2843" s="3">
        <v>2194.77</v>
      </c>
      <c r="H2843" s="3">
        <v>2408.0500000000002</v>
      </c>
      <c r="I2843" s="3">
        <v>0.48</v>
      </c>
      <c r="J2843">
        <v>0.16</v>
      </c>
      <c r="K2843">
        <v>1583.86</v>
      </c>
      <c r="L2843" t="s">
        <v>35</v>
      </c>
      <c r="M2843">
        <v>635</v>
      </c>
      <c r="N2843">
        <v>0.54</v>
      </c>
      <c r="O2843" s="3">
        <v>680.48</v>
      </c>
      <c r="P2843" s="3">
        <v>0.15</v>
      </c>
      <c r="Q2843" s="3">
        <v>655.68</v>
      </c>
      <c r="R2843" s="3">
        <v>0.14000000000000001</v>
      </c>
      <c r="S2843">
        <v>5</v>
      </c>
      <c r="T2843">
        <v>1689.36</v>
      </c>
      <c r="U2843">
        <v>35</v>
      </c>
      <c r="V2843">
        <v>0</v>
      </c>
      <c r="W2843">
        <v>857.37</v>
      </c>
      <c r="X2843">
        <v>1000</v>
      </c>
      <c r="Y2843" t="s">
        <v>36</v>
      </c>
      <c r="Z2843" s="3">
        <v>1131.17</v>
      </c>
      <c r="AA2843" t="s">
        <v>50</v>
      </c>
      <c r="AB2843" t="s">
        <v>44</v>
      </c>
      <c r="AC2843">
        <v>34.6</v>
      </c>
      <c r="AD2843" t="s">
        <v>43</v>
      </c>
      <c r="AE2843">
        <v>2408.0500000000002</v>
      </c>
      <c r="AF2843">
        <v>1</v>
      </c>
    </row>
    <row r="2844" spans="3:32" x14ac:dyDescent="0.35">
      <c r="C2844" s="1">
        <v>45146</v>
      </c>
      <c r="D2844" s="2">
        <v>45139</v>
      </c>
      <c r="E2844">
        <v>1120</v>
      </c>
      <c r="F2844" s="3">
        <v>3620.67</v>
      </c>
      <c r="G2844" s="3">
        <v>3033.36</v>
      </c>
      <c r="H2844" s="3">
        <v>587.30999999999995</v>
      </c>
      <c r="I2844" s="3">
        <v>0.84</v>
      </c>
      <c r="J2844">
        <v>0.16</v>
      </c>
      <c r="K2844">
        <v>2898.03</v>
      </c>
      <c r="L2844" t="s">
        <v>39</v>
      </c>
      <c r="M2844">
        <v>639</v>
      </c>
      <c r="N2844">
        <v>0.28999999999999998</v>
      </c>
      <c r="O2844" s="3">
        <v>611</v>
      </c>
      <c r="P2844" s="3">
        <v>0.17</v>
      </c>
      <c r="Q2844" s="3">
        <v>322.29000000000002</v>
      </c>
      <c r="R2844" s="3">
        <v>0.09</v>
      </c>
      <c r="S2844">
        <v>2</v>
      </c>
      <c r="T2844">
        <v>943</v>
      </c>
      <c r="U2844">
        <v>34</v>
      </c>
      <c r="V2844">
        <v>0</v>
      </c>
      <c r="W2844">
        <v>479.69</v>
      </c>
      <c r="X2844">
        <v>2088.64</v>
      </c>
      <c r="Y2844" t="s">
        <v>36</v>
      </c>
      <c r="Z2844" s="3">
        <v>1124.8699999999999</v>
      </c>
      <c r="AA2844" t="s">
        <v>41</v>
      </c>
      <c r="AB2844" t="s">
        <v>44</v>
      </c>
      <c r="AC2844">
        <v>57.1</v>
      </c>
      <c r="AD2844" t="s">
        <v>43</v>
      </c>
      <c r="AE2844">
        <v>587.30999999999995</v>
      </c>
      <c r="AF2844">
        <v>0</v>
      </c>
    </row>
    <row r="2845" spans="3:32" x14ac:dyDescent="0.35">
      <c r="C2845" s="1">
        <v>45146</v>
      </c>
      <c r="D2845" s="2">
        <v>45139</v>
      </c>
      <c r="E2845">
        <v>1941</v>
      </c>
      <c r="F2845" s="3">
        <v>4170.43</v>
      </c>
      <c r="G2845" s="3">
        <v>2618.63</v>
      </c>
      <c r="H2845" s="3">
        <v>1551.8</v>
      </c>
      <c r="I2845" s="3">
        <v>0.63</v>
      </c>
      <c r="J2845">
        <v>0.14000000000000001</v>
      </c>
      <c r="K2845">
        <v>3802.89</v>
      </c>
      <c r="L2845" t="s">
        <v>39</v>
      </c>
      <c r="M2845">
        <v>669</v>
      </c>
      <c r="N2845">
        <v>0.2</v>
      </c>
      <c r="O2845" s="3">
        <v>510.04</v>
      </c>
      <c r="P2845" s="3">
        <v>0.12</v>
      </c>
      <c r="Q2845" s="3">
        <v>790.35</v>
      </c>
      <c r="R2845" s="3">
        <v>0.19</v>
      </c>
      <c r="S2845">
        <v>6</v>
      </c>
      <c r="T2845">
        <v>500.54</v>
      </c>
      <c r="U2845">
        <v>24</v>
      </c>
      <c r="V2845">
        <v>0</v>
      </c>
      <c r="W2845">
        <v>494.61</v>
      </c>
      <c r="X2845">
        <v>2817.76</v>
      </c>
      <c r="Y2845" t="s">
        <v>36</v>
      </c>
      <c r="Z2845" s="3">
        <v>948.45</v>
      </c>
      <c r="AA2845" t="s">
        <v>48</v>
      </c>
      <c r="AB2845" t="s">
        <v>33</v>
      </c>
      <c r="AC2845">
        <v>0.2</v>
      </c>
      <c r="AD2845" t="s">
        <v>34</v>
      </c>
      <c r="AE2845">
        <v>1551.8</v>
      </c>
      <c r="AF2845">
        <v>0</v>
      </c>
    </row>
    <row r="2846" spans="3:32" x14ac:dyDescent="0.35">
      <c r="C2846" s="1">
        <v>45146</v>
      </c>
      <c r="D2846" s="2">
        <v>45139</v>
      </c>
      <c r="E2846">
        <v>1597</v>
      </c>
      <c r="F2846" s="3">
        <v>5583.22</v>
      </c>
      <c r="G2846" s="3">
        <v>3617.96</v>
      </c>
      <c r="H2846" s="3">
        <v>1965.26</v>
      </c>
      <c r="I2846" s="3">
        <v>0.65</v>
      </c>
      <c r="J2846">
        <v>0.12</v>
      </c>
      <c r="K2846">
        <v>2848.01</v>
      </c>
      <c r="L2846" t="s">
        <v>35</v>
      </c>
      <c r="M2846">
        <v>620</v>
      </c>
      <c r="N2846">
        <v>0.42</v>
      </c>
      <c r="O2846" s="3">
        <v>151.38</v>
      </c>
      <c r="P2846" s="3">
        <v>0.03</v>
      </c>
      <c r="Q2846" s="3">
        <v>224.26</v>
      </c>
      <c r="R2846" s="3">
        <v>0.04</v>
      </c>
      <c r="S2846">
        <v>9</v>
      </c>
      <c r="T2846">
        <v>653.17999999999995</v>
      </c>
      <c r="U2846">
        <v>75</v>
      </c>
      <c r="V2846">
        <v>0</v>
      </c>
      <c r="W2846">
        <v>391.85</v>
      </c>
      <c r="X2846">
        <v>1603.89</v>
      </c>
      <c r="Y2846" t="s">
        <v>49</v>
      </c>
      <c r="Z2846" s="3">
        <v>1117.1600000000001</v>
      </c>
      <c r="AA2846" t="s">
        <v>40</v>
      </c>
      <c r="AB2846" t="s">
        <v>33</v>
      </c>
      <c r="AC2846">
        <v>95.2</v>
      </c>
      <c r="AD2846" t="s">
        <v>34</v>
      </c>
      <c r="AE2846">
        <v>1965.26</v>
      </c>
      <c r="AF2846">
        <v>0</v>
      </c>
    </row>
    <row r="2847" spans="3:32" x14ac:dyDescent="0.35">
      <c r="C2847" s="1">
        <v>45146</v>
      </c>
      <c r="D2847" s="2">
        <v>45139</v>
      </c>
      <c r="E2847">
        <v>1737</v>
      </c>
      <c r="F2847" s="3">
        <v>2410.85</v>
      </c>
      <c r="G2847" s="3">
        <v>2662.64</v>
      </c>
      <c r="H2847" s="3">
        <v>-251.79</v>
      </c>
      <c r="I2847" s="3">
        <v>1.1000000000000001</v>
      </c>
      <c r="J2847">
        <v>0.14000000000000001</v>
      </c>
      <c r="K2847">
        <v>3478.9</v>
      </c>
      <c r="L2847" t="s">
        <v>30</v>
      </c>
      <c r="M2847">
        <v>757</v>
      </c>
      <c r="N2847">
        <v>0.34</v>
      </c>
      <c r="O2847" s="3">
        <v>430.99</v>
      </c>
      <c r="P2847" s="3">
        <v>0.18</v>
      </c>
      <c r="Q2847" s="3">
        <v>454.46</v>
      </c>
      <c r="R2847" s="3">
        <v>0.19</v>
      </c>
      <c r="S2847">
        <v>7</v>
      </c>
      <c r="T2847">
        <v>1216.32</v>
      </c>
      <c r="U2847">
        <v>29</v>
      </c>
      <c r="V2847">
        <v>0</v>
      </c>
      <c r="W2847">
        <v>500.57</v>
      </c>
      <c r="X2847">
        <v>2090.4699999999998</v>
      </c>
      <c r="Y2847" t="s">
        <v>36</v>
      </c>
      <c r="Z2847" s="3">
        <v>1451.78</v>
      </c>
      <c r="AA2847" t="s">
        <v>48</v>
      </c>
      <c r="AB2847" t="s">
        <v>33</v>
      </c>
      <c r="AC2847">
        <v>42.6</v>
      </c>
      <c r="AD2847" t="s">
        <v>34</v>
      </c>
      <c r="AE2847">
        <v>0</v>
      </c>
      <c r="AF2847">
        <v>0</v>
      </c>
    </row>
    <row r="2848" spans="3:32" x14ac:dyDescent="0.35">
      <c r="C2848" s="1">
        <v>45146</v>
      </c>
      <c r="D2848" s="2">
        <v>45139</v>
      </c>
      <c r="E2848">
        <v>1076</v>
      </c>
      <c r="F2848" s="3">
        <v>3718.44</v>
      </c>
      <c r="G2848" s="3">
        <v>2933.86</v>
      </c>
      <c r="H2848" s="3">
        <v>784.58</v>
      </c>
      <c r="I2848" s="3">
        <v>0.79</v>
      </c>
      <c r="J2848">
        <v>0.19</v>
      </c>
      <c r="K2848">
        <v>2358.98</v>
      </c>
      <c r="L2848" t="s">
        <v>35</v>
      </c>
      <c r="M2848">
        <v>680</v>
      </c>
      <c r="N2848">
        <v>0.59</v>
      </c>
      <c r="O2848" s="3">
        <v>365.27</v>
      </c>
      <c r="P2848" s="3">
        <v>0.1</v>
      </c>
      <c r="Q2848" s="3">
        <v>0</v>
      </c>
      <c r="R2848" s="3">
        <v>0</v>
      </c>
      <c r="S2848">
        <v>6</v>
      </c>
      <c r="T2848">
        <v>1793.79</v>
      </c>
      <c r="U2848">
        <v>37</v>
      </c>
      <c r="V2848">
        <v>0</v>
      </c>
      <c r="W2848">
        <v>406.21</v>
      </c>
      <c r="X2848">
        <v>2921.71</v>
      </c>
      <c r="Y2848" t="s">
        <v>36</v>
      </c>
      <c r="Z2848" s="3">
        <v>1716.73</v>
      </c>
      <c r="AA2848" t="s">
        <v>37</v>
      </c>
      <c r="AB2848" t="s">
        <v>33</v>
      </c>
      <c r="AC2848">
        <v>69.599999999999994</v>
      </c>
      <c r="AD2848" t="s">
        <v>43</v>
      </c>
      <c r="AE2848">
        <v>784.58</v>
      </c>
      <c r="AF2848">
        <v>0</v>
      </c>
    </row>
    <row r="2849" spans="3:32" x14ac:dyDescent="0.35">
      <c r="C2849" s="1">
        <v>45146</v>
      </c>
      <c r="D2849" s="2">
        <v>45139</v>
      </c>
      <c r="E2849">
        <v>1275</v>
      </c>
      <c r="F2849" s="3">
        <v>4335.66</v>
      </c>
      <c r="G2849" s="3">
        <v>3006.87</v>
      </c>
      <c r="H2849" s="3">
        <v>1328.79</v>
      </c>
      <c r="I2849" s="3">
        <v>0.69</v>
      </c>
      <c r="J2849">
        <v>0.36</v>
      </c>
      <c r="K2849">
        <v>2935.92</v>
      </c>
      <c r="L2849" t="s">
        <v>39</v>
      </c>
      <c r="M2849">
        <v>795</v>
      </c>
      <c r="N2849">
        <v>0.21</v>
      </c>
      <c r="O2849" s="3">
        <v>586.96</v>
      </c>
      <c r="P2849" s="3">
        <v>0.14000000000000001</v>
      </c>
      <c r="Q2849" s="3">
        <v>370.94</v>
      </c>
      <c r="R2849" s="3">
        <v>0.09</v>
      </c>
      <c r="S2849">
        <v>3</v>
      </c>
      <c r="T2849">
        <v>551.27</v>
      </c>
      <c r="U2849">
        <v>94</v>
      </c>
      <c r="V2849">
        <v>0</v>
      </c>
      <c r="W2849">
        <v>253.69</v>
      </c>
      <c r="X2849">
        <v>2878.82</v>
      </c>
      <c r="Y2849" t="s">
        <v>36</v>
      </c>
      <c r="Z2849" s="3">
        <v>1316.88</v>
      </c>
      <c r="AA2849" t="s">
        <v>50</v>
      </c>
      <c r="AB2849" t="s">
        <v>33</v>
      </c>
      <c r="AC2849">
        <v>9</v>
      </c>
      <c r="AD2849" t="s">
        <v>38</v>
      </c>
      <c r="AE2849">
        <v>1328.79</v>
      </c>
      <c r="AF2849">
        <v>0</v>
      </c>
    </row>
    <row r="2850" spans="3:32" x14ac:dyDescent="0.35">
      <c r="C2850" s="1">
        <v>45146</v>
      </c>
      <c r="D2850" s="2">
        <v>45139</v>
      </c>
      <c r="E2850">
        <v>1292</v>
      </c>
      <c r="F2850" s="3">
        <v>4335.1499999999996</v>
      </c>
      <c r="G2850" s="3">
        <v>2725.2</v>
      </c>
      <c r="H2850" s="3">
        <v>1609.95</v>
      </c>
      <c r="I2850" s="3">
        <v>0.63</v>
      </c>
      <c r="J2850">
        <v>0.28000000000000003</v>
      </c>
      <c r="K2850">
        <v>2305</v>
      </c>
      <c r="L2850" t="s">
        <v>35</v>
      </c>
      <c r="M2850">
        <v>792</v>
      </c>
      <c r="N2850">
        <v>0.33</v>
      </c>
      <c r="O2850" s="3">
        <v>706.76</v>
      </c>
      <c r="P2850" s="3">
        <v>0.16</v>
      </c>
      <c r="Q2850" s="3">
        <v>5.8</v>
      </c>
      <c r="R2850" s="3">
        <v>0</v>
      </c>
      <c r="S2850">
        <v>2</v>
      </c>
      <c r="T2850">
        <v>1044.93</v>
      </c>
      <c r="U2850">
        <v>44</v>
      </c>
      <c r="V2850">
        <v>0</v>
      </c>
      <c r="W2850">
        <v>351.12</v>
      </c>
      <c r="X2850">
        <v>2410.9699999999998</v>
      </c>
      <c r="Y2850" t="s">
        <v>36</v>
      </c>
      <c r="Z2850" s="3">
        <v>1392.54</v>
      </c>
      <c r="AA2850" t="s">
        <v>45</v>
      </c>
      <c r="AB2850" t="s">
        <v>44</v>
      </c>
      <c r="AC2850">
        <v>33.1</v>
      </c>
      <c r="AD2850" t="s">
        <v>34</v>
      </c>
      <c r="AE2850">
        <v>1609.95</v>
      </c>
      <c r="AF2850">
        <v>0</v>
      </c>
    </row>
    <row r="2851" spans="3:32" x14ac:dyDescent="0.35">
      <c r="C2851" s="1">
        <v>45146</v>
      </c>
      <c r="D2851" s="2">
        <v>45139</v>
      </c>
      <c r="E2851">
        <v>1907</v>
      </c>
      <c r="F2851" s="3">
        <v>2752.78</v>
      </c>
      <c r="G2851" s="3">
        <v>5685.18</v>
      </c>
      <c r="H2851" s="3">
        <v>-2932.4</v>
      </c>
      <c r="I2851" s="3">
        <v>2.0699999999999998</v>
      </c>
      <c r="J2851">
        <v>0.26</v>
      </c>
      <c r="K2851">
        <v>2682.99</v>
      </c>
      <c r="L2851" t="s">
        <v>39</v>
      </c>
      <c r="M2851">
        <v>697</v>
      </c>
      <c r="N2851">
        <v>0.12</v>
      </c>
      <c r="O2851" s="3">
        <v>417.06</v>
      </c>
      <c r="P2851" s="3">
        <v>0.15</v>
      </c>
      <c r="Q2851" s="3">
        <v>587.44000000000005</v>
      </c>
      <c r="R2851" s="3">
        <v>0.21</v>
      </c>
      <c r="S2851">
        <v>7</v>
      </c>
      <c r="T2851">
        <v>807.86</v>
      </c>
      <c r="U2851">
        <v>21</v>
      </c>
      <c r="V2851">
        <v>0</v>
      </c>
      <c r="W2851">
        <v>167.78</v>
      </c>
      <c r="X2851">
        <v>2445.34</v>
      </c>
      <c r="Y2851" t="s">
        <v>36</v>
      </c>
      <c r="Z2851" s="3">
        <v>832.95</v>
      </c>
      <c r="AA2851" t="s">
        <v>51</v>
      </c>
      <c r="AB2851" t="s">
        <v>42</v>
      </c>
      <c r="AC2851">
        <v>46</v>
      </c>
      <c r="AD2851" t="s">
        <v>34</v>
      </c>
      <c r="AE2851">
        <v>0</v>
      </c>
      <c r="AF2851">
        <v>0</v>
      </c>
    </row>
    <row r="2852" spans="3:32" x14ac:dyDescent="0.35">
      <c r="C2852" s="1">
        <v>45176</v>
      </c>
      <c r="D2852" s="2">
        <v>45170</v>
      </c>
      <c r="E2852">
        <v>1275</v>
      </c>
      <c r="F2852" s="3">
        <v>4116.03</v>
      </c>
      <c r="G2852" s="3">
        <v>2919.91</v>
      </c>
      <c r="H2852" s="3">
        <v>1196.1199999999999</v>
      </c>
      <c r="I2852" s="3">
        <v>0.71</v>
      </c>
      <c r="J2852">
        <v>0.14000000000000001</v>
      </c>
      <c r="K2852">
        <v>2697.48</v>
      </c>
      <c r="L2852" t="s">
        <v>35</v>
      </c>
      <c r="M2852">
        <v>688</v>
      </c>
      <c r="N2852">
        <v>0.53</v>
      </c>
      <c r="O2852" s="3">
        <v>485.74</v>
      </c>
      <c r="P2852" s="3">
        <v>0.12</v>
      </c>
      <c r="Q2852" s="3">
        <v>386.86</v>
      </c>
      <c r="R2852" s="3">
        <v>0.09</v>
      </c>
      <c r="S2852">
        <v>9</v>
      </c>
      <c r="T2852">
        <v>897.14</v>
      </c>
      <c r="U2852">
        <v>76</v>
      </c>
      <c r="V2852">
        <v>0</v>
      </c>
      <c r="W2852">
        <v>228.4</v>
      </c>
      <c r="X2852">
        <v>2745.38</v>
      </c>
      <c r="Y2852" t="s">
        <v>36</v>
      </c>
      <c r="Z2852" s="3">
        <v>916.7</v>
      </c>
      <c r="AA2852" t="s">
        <v>47</v>
      </c>
      <c r="AB2852" t="s">
        <v>33</v>
      </c>
      <c r="AC2852">
        <v>64.099999999999994</v>
      </c>
      <c r="AD2852" t="s">
        <v>34</v>
      </c>
      <c r="AE2852">
        <v>1196.1199999999999</v>
      </c>
      <c r="AF2852">
        <v>0</v>
      </c>
    </row>
    <row r="2853" spans="3:32" x14ac:dyDescent="0.35">
      <c r="C2853" s="1">
        <v>45176</v>
      </c>
      <c r="D2853" s="2">
        <v>45170</v>
      </c>
      <c r="E2853">
        <v>1978</v>
      </c>
      <c r="F2853" s="3">
        <v>2788.49</v>
      </c>
      <c r="G2853" s="3">
        <v>2128.48</v>
      </c>
      <c r="H2853" s="3">
        <v>660.01</v>
      </c>
      <c r="I2853" s="3">
        <v>0.76</v>
      </c>
      <c r="J2853">
        <v>0.19</v>
      </c>
      <c r="K2853">
        <v>2728.76</v>
      </c>
      <c r="L2853" t="s">
        <v>35</v>
      </c>
      <c r="M2853">
        <v>671</v>
      </c>
      <c r="N2853">
        <v>0.14000000000000001</v>
      </c>
      <c r="O2853" s="3">
        <v>921.83</v>
      </c>
      <c r="P2853" s="3">
        <v>0.33</v>
      </c>
      <c r="Q2853" s="3">
        <v>394.93</v>
      </c>
      <c r="R2853" s="3">
        <v>0.14000000000000001</v>
      </c>
      <c r="S2853">
        <v>5</v>
      </c>
      <c r="T2853">
        <v>640.45000000000005</v>
      </c>
      <c r="U2853">
        <v>64</v>
      </c>
      <c r="V2853">
        <v>0</v>
      </c>
      <c r="W2853">
        <v>487.03</v>
      </c>
      <c r="X2853">
        <v>1893.97</v>
      </c>
      <c r="Y2853" t="s">
        <v>31</v>
      </c>
      <c r="Z2853" s="3">
        <v>856.72</v>
      </c>
      <c r="AA2853" t="s">
        <v>51</v>
      </c>
      <c r="AB2853" t="s">
        <v>33</v>
      </c>
      <c r="AC2853">
        <v>11.4</v>
      </c>
      <c r="AD2853" t="s">
        <v>34</v>
      </c>
      <c r="AE2853">
        <v>660.01</v>
      </c>
      <c r="AF2853">
        <v>0</v>
      </c>
    </row>
    <row r="2854" spans="3:32" x14ac:dyDescent="0.35">
      <c r="C2854" s="1">
        <v>45176</v>
      </c>
      <c r="D2854" s="2">
        <v>45170</v>
      </c>
      <c r="E2854">
        <v>1432</v>
      </c>
      <c r="F2854" s="3">
        <v>3035.68</v>
      </c>
      <c r="G2854" s="3">
        <v>2846.88</v>
      </c>
      <c r="H2854" s="3">
        <v>188.8</v>
      </c>
      <c r="I2854" s="3">
        <v>0.94</v>
      </c>
      <c r="J2854">
        <v>0.4</v>
      </c>
      <c r="K2854">
        <v>2889.28</v>
      </c>
      <c r="L2854" t="s">
        <v>30</v>
      </c>
      <c r="M2854">
        <v>631</v>
      </c>
      <c r="N2854">
        <v>0.53</v>
      </c>
      <c r="O2854" s="3">
        <v>610.9</v>
      </c>
      <c r="P2854" s="3">
        <v>0.2</v>
      </c>
      <c r="Q2854" s="3">
        <v>344.4</v>
      </c>
      <c r="R2854" s="3">
        <v>0.11</v>
      </c>
      <c r="S2854">
        <v>3</v>
      </c>
      <c r="T2854">
        <v>1150.27</v>
      </c>
      <c r="U2854">
        <v>50</v>
      </c>
      <c r="V2854">
        <v>0</v>
      </c>
      <c r="W2854">
        <v>897.23</v>
      </c>
      <c r="X2854">
        <v>1452.31</v>
      </c>
      <c r="Y2854" t="s">
        <v>36</v>
      </c>
      <c r="Z2854" s="3">
        <v>1335.64</v>
      </c>
      <c r="AA2854" t="s">
        <v>50</v>
      </c>
      <c r="AB2854" t="s">
        <v>33</v>
      </c>
      <c r="AC2854">
        <v>79.599999999999994</v>
      </c>
      <c r="AD2854" t="s">
        <v>38</v>
      </c>
      <c r="AE2854">
        <v>188.8</v>
      </c>
      <c r="AF2854">
        <v>0</v>
      </c>
    </row>
    <row r="2855" spans="3:32" x14ac:dyDescent="0.35">
      <c r="C2855" s="1">
        <v>45176</v>
      </c>
      <c r="D2855" s="2">
        <v>45170</v>
      </c>
      <c r="E2855">
        <v>1161</v>
      </c>
      <c r="F2855" s="3">
        <v>6580.84</v>
      </c>
      <c r="G2855" s="3">
        <v>2714.76</v>
      </c>
      <c r="H2855" s="3">
        <v>3866.08</v>
      </c>
      <c r="I2855" s="3">
        <v>0.41</v>
      </c>
      <c r="J2855">
        <v>0.12</v>
      </c>
      <c r="K2855">
        <v>2997.07</v>
      </c>
      <c r="L2855" t="s">
        <v>39</v>
      </c>
      <c r="M2855">
        <v>657</v>
      </c>
      <c r="N2855">
        <v>0.47</v>
      </c>
      <c r="O2855" s="3">
        <v>232.56</v>
      </c>
      <c r="P2855" s="3">
        <v>0.04</v>
      </c>
      <c r="Q2855" s="3">
        <v>50.39</v>
      </c>
      <c r="R2855" s="3">
        <v>0.01</v>
      </c>
      <c r="S2855">
        <v>3</v>
      </c>
      <c r="T2855">
        <v>1815.1</v>
      </c>
      <c r="U2855">
        <v>93</v>
      </c>
      <c r="V2855">
        <v>0</v>
      </c>
      <c r="W2855">
        <v>473.14</v>
      </c>
      <c r="X2855">
        <v>1752.62</v>
      </c>
      <c r="Y2855" t="s">
        <v>36</v>
      </c>
      <c r="Z2855" s="3">
        <v>981.29</v>
      </c>
      <c r="AA2855" t="s">
        <v>32</v>
      </c>
      <c r="AB2855" t="s">
        <v>33</v>
      </c>
      <c r="AC2855">
        <v>4.7</v>
      </c>
      <c r="AD2855" t="s">
        <v>34</v>
      </c>
      <c r="AE2855">
        <v>3866.08</v>
      </c>
      <c r="AF2855">
        <v>1</v>
      </c>
    </row>
    <row r="2856" spans="3:32" x14ac:dyDescent="0.35">
      <c r="C2856" s="1">
        <v>45176</v>
      </c>
      <c r="D2856" s="2">
        <v>45170</v>
      </c>
      <c r="E2856">
        <v>1743</v>
      </c>
      <c r="F2856" s="3">
        <v>3969.26</v>
      </c>
      <c r="G2856" s="3">
        <v>2561.17</v>
      </c>
      <c r="H2856" s="3">
        <v>1408.09</v>
      </c>
      <c r="I2856" s="3">
        <v>0.65</v>
      </c>
      <c r="J2856">
        <v>0.06</v>
      </c>
      <c r="K2856">
        <v>2352.2199999999998</v>
      </c>
      <c r="L2856" t="s">
        <v>35</v>
      </c>
      <c r="M2856">
        <v>734</v>
      </c>
      <c r="N2856">
        <v>0.27</v>
      </c>
      <c r="O2856" s="3">
        <v>429.39</v>
      </c>
      <c r="P2856" s="3">
        <v>0.11</v>
      </c>
      <c r="Q2856" s="3">
        <v>718.78</v>
      </c>
      <c r="R2856" s="3">
        <v>0.18</v>
      </c>
      <c r="S2856">
        <v>7</v>
      </c>
      <c r="T2856">
        <v>1281.54</v>
      </c>
      <c r="U2856">
        <v>55</v>
      </c>
      <c r="V2856">
        <v>0</v>
      </c>
      <c r="W2856">
        <v>906.02</v>
      </c>
      <c r="X2856">
        <v>1636.05</v>
      </c>
      <c r="Y2856" t="s">
        <v>36</v>
      </c>
      <c r="Z2856" s="3">
        <v>907.71</v>
      </c>
      <c r="AA2856" t="s">
        <v>51</v>
      </c>
      <c r="AB2856" t="s">
        <v>44</v>
      </c>
      <c r="AC2856">
        <v>15.8</v>
      </c>
      <c r="AD2856" t="s">
        <v>34</v>
      </c>
      <c r="AE2856">
        <v>1408.09</v>
      </c>
      <c r="AF2856">
        <v>0</v>
      </c>
    </row>
    <row r="2857" spans="3:32" x14ac:dyDescent="0.35">
      <c r="C2857" s="1">
        <v>45176</v>
      </c>
      <c r="D2857" s="2">
        <v>45170</v>
      </c>
      <c r="E2857">
        <v>1442</v>
      </c>
      <c r="F2857" s="3">
        <v>4766.88</v>
      </c>
      <c r="G2857" s="3">
        <v>4324.96</v>
      </c>
      <c r="H2857" s="3">
        <v>441.92</v>
      </c>
      <c r="I2857" s="3">
        <v>0.91</v>
      </c>
      <c r="J2857">
        <v>0.12</v>
      </c>
      <c r="K2857">
        <v>3764.44</v>
      </c>
      <c r="L2857" t="s">
        <v>39</v>
      </c>
      <c r="M2857">
        <v>586</v>
      </c>
      <c r="N2857">
        <v>0.33</v>
      </c>
      <c r="O2857" s="3">
        <v>519.27</v>
      </c>
      <c r="P2857" s="3">
        <v>0.11</v>
      </c>
      <c r="Q2857" s="3">
        <v>141.16</v>
      </c>
      <c r="R2857" s="3">
        <v>0.03</v>
      </c>
      <c r="S2857">
        <v>7</v>
      </c>
      <c r="T2857">
        <v>532.95000000000005</v>
      </c>
      <c r="U2857">
        <v>87</v>
      </c>
      <c r="V2857">
        <v>0</v>
      </c>
      <c r="W2857">
        <v>629.11</v>
      </c>
      <c r="X2857">
        <v>2139.9899999999998</v>
      </c>
      <c r="Y2857" t="s">
        <v>31</v>
      </c>
      <c r="Z2857" s="3">
        <v>1658.96</v>
      </c>
      <c r="AA2857" t="s">
        <v>47</v>
      </c>
      <c r="AB2857" t="s">
        <v>42</v>
      </c>
      <c r="AC2857">
        <v>36.200000000000003</v>
      </c>
      <c r="AD2857" t="s">
        <v>43</v>
      </c>
      <c r="AE2857">
        <v>441.92</v>
      </c>
      <c r="AF2857">
        <v>0</v>
      </c>
    </row>
    <row r="2858" spans="3:32" x14ac:dyDescent="0.35">
      <c r="C2858" s="1">
        <v>45176</v>
      </c>
      <c r="D2858" s="2">
        <v>45170</v>
      </c>
      <c r="E2858">
        <v>1921</v>
      </c>
      <c r="F2858" s="3">
        <v>3305.48</v>
      </c>
      <c r="G2858" s="3">
        <v>3667.31</v>
      </c>
      <c r="H2858" s="3">
        <v>-361.83</v>
      </c>
      <c r="I2858" s="3">
        <v>1.1100000000000001</v>
      </c>
      <c r="J2858">
        <v>0.34</v>
      </c>
      <c r="K2858">
        <v>2968.81</v>
      </c>
      <c r="L2858" t="s">
        <v>35</v>
      </c>
      <c r="M2858">
        <v>688</v>
      </c>
      <c r="N2858">
        <v>0.39</v>
      </c>
      <c r="O2858" s="3">
        <v>601.17999999999995</v>
      </c>
      <c r="P2858" s="3">
        <v>0.18</v>
      </c>
      <c r="Q2858" s="3">
        <v>302.12</v>
      </c>
      <c r="R2858" s="3">
        <v>0.09</v>
      </c>
      <c r="S2858">
        <v>8</v>
      </c>
      <c r="T2858">
        <v>398.15</v>
      </c>
      <c r="U2858">
        <v>79</v>
      </c>
      <c r="V2858">
        <v>0</v>
      </c>
      <c r="W2858">
        <v>294.62</v>
      </c>
      <c r="X2858">
        <v>2408.33</v>
      </c>
      <c r="Y2858" t="s">
        <v>31</v>
      </c>
      <c r="Z2858" s="3">
        <v>1161.8900000000001</v>
      </c>
      <c r="AA2858" t="s">
        <v>41</v>
      </c>
      <c r="AB2858" t="s">
        <v>33</v>
      </c>
      <c r="AC2858">
        <v>61.8</v>
      </c>
      <c r="AD2858" t="s">
        <v>34</v>
      </c>
      <c r="AE2858">
        <v>0</v>
      </c>
      <c r="AF2858">
        <v>0</v>
      </c>
    </row>
    <row r="2859" spans="3:32" x14ac:dyDescent="0.35">
      <c r="C2859" s="1">
        <v>45176</v>
      </c>
      <c r="D2859" s="2">
        <v>45170</v>
      </c>
      <c r="E2859">
        <v>1201</v>
      </c>
      <c r="F2859" s="3">
        <v>3982.86</v>
      </c>
      <c r="G2859" s="3">
        <v>3612.94</v>
      </c>
      <c r="H2859" s="3">
        <v>369.92</v>
      </c>
      <c r="I2859" s="3">
        <v>0.91</v>
      </c>
      <c r="J2859">
        <v>0.4</v>
      </c>
      <c r="K2859">
        <v>2743.04</v>
      </c>
      <c r="L2859" t="s">
        <v>35</v>
      </c>
      <c r="M2859">
        <v>670</v>
      </c>
      <c r="N2859">
        <v>0.56999999999999995</v>
      </c>
      <c r="O2859" s="3">
        <v>477.46</v>
      </c>
      <c r="P2859" s="3">
        <v>0.12</v>
      </c>
      <c r="Q2859" s="3">
        <v>299.86</v>
      </c>
      <c r="R2859" s="3">
        <v>0.08</v>
      </c>
      <c r="S2859">
        <v>4</v>
      </c>
      <c r="T2859">
        <v>1767.97</v>
      </c>
      <c r="U2859">
        <v>24</v>
      </c>
      <c r="V2859">
        <v>0</v>
      </c>
      <c r="W2859">
        <v>845.02</v>
      </c>
      <c r="X2859">
        <v>2875.94</v>
      </c>
      <c r="Y2859" t="s">
        <v>36</v>
      </c>
      <c r="Z2859" s="3">
        <v>750.68</v>
      </c>
      <c r="AA2859" t="s">
        <v>40</v>
      </c>
      <c r="AB2859" t="s">
        <v>33</v>
      </c>
      <c r="AC2859">
        <v>37.9</v>
      </c>
      <c r="AD2859" t="s">
        <v>43</v>
      </c>
      <c r="AE2859">
        <v>369.92</v>
      </c>
      <c r="AF2859">
        <v>0</v>
      </c>
    </row>
    <row r="2860" spans="3:32" x14ac:dyDescent="0.35">
      <c r="C2860" s="1">
        <v>45176</v>
      </c>
      <c r="D2860" s="2">
        <v>45170</v>
      </c>
      <c r="E2860">
        <v>1267</v>
      </c>
      <c r="F2860" s="3">
        <v>3354.92</v>
      </c>
      <c r="G2860" s="3">
        <v>2615.7800000000002</v>
      </c>
      <c r="H2860" s="3">
        <v>739.14</v>
      </c>
      <c r="I2860" s="3">
        <v>0.78</v>
      </c>
      <c r="J2860">
        <v>0.4</v>
      </c>
      <c r="K2860">
        <v>3568.93</v>
      </c>
      <c r="L2860" t="s">
        <v>35</v>
      </c>
      <c r="M2860">
        <v>738</v>
      </c>
      <c r="N2860">
        <v>0.53</v>
      </c>
      <c r="O2860" s="3">
        <v>272.13</v>
      </c>
      <c r="P2860" s="3">
        <v>0.08</v>
      </c>
      <c r="Q2860" s="3">
        <v>273.44</v>
      </c>
      <c r="R2860" s="3">
        <v>0.08</v>
      </c>
      <c r="S2860">
        <v>9</v>
      </c>
      <c r="T2860">
        <v>930.39</v>
      </c>
      <c r="U2860">
        <v>70</v>
      </c>
      <c r="V2860">
        <v>0</v>
      </c>
      <c r="W2860">
        <v>656.16</v>
      </c>
      <c r="X2860">
        <v>2296.69</v>
      </c>
      <c r="Y2860" t="s">
        <v>36</v>
      </c>
      <c r="Z2860" s="3">
        <v>1179.3499999999999</v>
      </c>
      <c r="AA2860" t="s">
        <v>46</v>
      </c>
      <c r="AB2860" t="s">
        <v>33</v>
      </c>
      <c r="AC2860">
        <v>51.9</v>
      </c>
      <c r="AD2860" t="s">
        <v>43</v>
      </c>
      <c r="AE2860">
        <v>739.14</v>
      </c>
      <c r="AF2860">
        <v>0</v>
      </c>
    </row>
    <row r="2861" spans="3:32" x14ac:dyDescent="0.35">
      <c r="C2861" s="1">
        <v>45176</v>
      </c>
      <c r="D2861" s="2">
        <v>45170</v>
      </c>
      <c r="E2861">
        <v>1203</v>
      </c>
      <c r="F2861" s="3">
        <v>5214.41</v>
      </c>
      <c r="G2861" s="3">
        <v>2166.4899999999998</v>
      </c>
      <c r="H2861" s="3">
        <v>3047.92</v>
      </c>
      <c r="I2861" s="3">
        <v>0.42</v>
      </c>
      <c r="J2861">
        <v>0.22</v>
      </c>
      <c r="K2861">
        <v>2550.9699999999998</v>
      </c>
      <c r="L2861" t="s">
        <v>35</v>
      </c>
      <c r="M2861">
        <v>770</v>
      </c>
      <c r="N2861">
        <v>0.47</v>
      </c>
      <c r="O2861" s="3">
        <v>572.45000000000005</v>
      </c>
      <c r="P2861" s="3">
        <v>0.11</v>
      </c>
      <c r="Q2861" s="3">
        <v>792.44</v>
      </c>
      <c r="R2861" s="3">
        <v>0.15</v>
      </c>
      <c r="S2861">
        <v>9</v>
      </c>
      <c r="T2861">
        <v>743.84</v>
      </c>
      <c r="U2861">
        <v>31</v>
      </c>
      <c r="V2861">
        <v>0</v>
      </c>
      <c r="W2861">
        <v>452.21</v>
      </c>
      <c r="X2861">
        <v>2536.46</v>
      </c>
      <c r="Y2861" t="s">
        <v>36</v>
      </c>
      <c r="Z2861" s="3">
        <v>1219.21</v>
      </c>
      <c r="AA2861" t="s">
        <v>51</v>
      </c>
      <c r="AB2861" t="s">
        <v>33</v>
      </c>
      <c r="AC2861">
        <v>97.8</v>
      </c>
      <c r="AD2861" t="s">
        <v>43</v>
      </c>
      <c r="AE2861">
        <v>3047.92</v>
      </c>
      <c r="AF2861">
        <v>1</v>
      </c>
    </row>
    <row r="2862" spans="3:32" x14ac:dyDescent="0.35">
      <c r="C2862" s="1">
        <v>45176</v>
      </c>
      <c r="D2862" s="2">
        <v>45170</v>
      </c>
      <c r="E2862">
        <v>1397</v>
      </c>
      <c r="F2862" s="3">
        <v>4400.3100000000004</v>
      </c>
      <c r="G2862" s="3">
        <v>3471.66</v>
      </c>
      <c r="H2862" s="3">
        <v>928.65</v>
      </c>
      <c r="I2862" s="3">
        <v>0.79</v>
      </c>
      <c r="J2862">
        <v>0.08</v>
      </c>
      <c r="K2862">
        <v>2275.42</v>
      </c>
      <c r="L2862" t="s">
        <v>35</v>
      </c>
      <c r="M2862">
        <v>674</v>
      </c>
      <c r="N2862">
        <v>0.15</v>
      </c>
      <c r="O2862" s="3">
        <v>561.82000000000005</v>
      </c>
      <c r="P2862" s="3">
        <v>0.13</v>
      </c>
      <c r="Q2862" s="3">
        <v>0</v>
      </c>
      <c r="R2862" s="3">
        <v>0</v>
      </c>
      <c r="S2862">
        <v>1</v>
      </c>
      <c r="T2862">
        <v>893.96</v>
      </c>
      <c r="U2862">
        <v>95</v>
      </c>
      <c r="V2862">
        <v>0</v>
      </c>
      <c r="W2862">
        <v>455.39</v>
      </c>
      <c r="X2862">
        <v>2141.02</v>
      </c>
      <c r="Y2862" t="s">
        <v>31</v>
      </c>
      <c r="Z2862" s="3">
        <v>1631.4</v>
      </c>
      <c r="AA2862" t="s">
        <v>46</v>
      </c>
      <c r="AB2862" t="s">
        <v>42</v>
      </c>
      <c r="AC2862">
        <v>59</v>
      </c>
      <c r="AD2862" t="s">
        <v>34</v>
      </c>
      <c r="AE2862">
        <v>928.65</v>
      </c>
      <c r="AF2862">
        <v>0</v>
      </c>
    </row>
    <row r="2863" spans="3:32" x14ac:dyDescent="0.35">
      <c r="C2863" s="1">
        <v>45176</v>
      </c>
      <c r="D2863" s="2">
        <v>45170</v>
      </c>
      <c r="E2863">
        <v>1422</v>
      </c>
      <c r="F2863" s="3">
        <v>2833.25</v>
      </c>
      <c r="G2863" s="3">
        <v>3489.9</v>
      </c>
      <c r="H2863" s="3">
        <v>-656.65</v>
      </c>
      <c r="I2863" s="3">
        <v>1.23</v>
      </c>
      <c r="J2863">
        <v>0.31</v>
      </c>
      <c r="K2863">
        <v>3128.3</v>
      </c>
      <c r="L2863" t="s">
        <v>30</v>
      </c>
      <c r="M2863">
        <v>690</v>
      </c>
      <c r="N2863">
        <v>0.48</v>
      </c>
      <c r="O2863" s="3">
        <v>408.9</v>
      </c>
      <c r="P2863" s="3">
        <v>0.14000000000000001</v>
      </c>
      <c r="Q2863" s="3">
        <v>679.71</v>
      </c>
      <c r="R2863" s="3">
        <v>0.24</v>
      </c>
      <c r="S2863">
        <v>7</v>
      </c>
      <c r="T2863">
        <v>1639.78</v>
      </c>
      <c r="U2863">
        <v>83</v>
      </c>
      <c r="V2863">
        <v>0</v>
      </c>
      <c r="W2863">
        <v>395.02</v>
      </c>
      <c r="X2863">
        <v>1815.19</v>
      </c>
      <c r="Y2863" t="s">
        <v>31</v>
      </c>
      <c r="Z2863" s="3">
        <v>1125.18</v>
      </c>
      <c r="AA2863" t="s">
        <v>45</v>
      </c>
      <c r="AB2863" t="s">
        <v>33</v>
      </c>
      <c r="AC2863">
        <v>90.8</v>
      </c>
      <c r="AD2863" t="s">
        <v>34</v>
      </c>
      <c r="AE2863">
        <v>0</v>
      </c>
      <c r="AF2863">
        <v>0</v>
      </c>
    </row>
    <row r="2864" spans="3:32" x14ac:dyDescent="0.35">
      <c r="C2864" s="1">
        <v>45176</v>
      </c>
      <c r="D2864" s="2">
        <v>45170</v>
      </c>
      <c r="E2864">
        <v>1741</v>
      </c>
      <c r="F2864" s="3">
        <v>5114.97</v>
      </c>
      <c r="G2864" s="3">
        <v>2758.99</v>
      </c>
      <c r="H2864" s="3">
        <v>2355.98</v>
      </c>
      <c r="I2864" s="3">
        <v>0.54</v>
      </c>
      <c r="J2864">
        <v>0.21</v>
      </c>
      <c r="K2864">
        <v>2332.9899999999998</v>
      </c>
      <c r="L2864" t="s">
        <v>35</v>
      </c>
      <c r="M2864">
        <v>669</v>
      </c>
      <c r="N2864">
        <v>0.42</v>
      </c>
      <c r="O2864" s="3">
        <v>373.82</v>
      </c>
      <c r="P2864" s="3">
        <v>7.0000000000000007E-2</v>
      </c>
      <c r="Q2864" s="3">
        <v>662.39</v>
      </c>
      <c r="R2864" s="3">
        <v>0.13</v>
      </c>
      <c r="S2864">
        <v>2</v>
      </c>
      <c r="T2864">
        <v>700.11</v>
      </c>
      <c r="U2864">
        <v>94</v>
      </c>
      <c r="V2864">
        <v>0</v>
      </c>
      <c r="W2864">
        <v>720.78</v>
      </c>
      <c r="X2864">
        <v>1994.66</v>
      </c>
      <c r="Y2864" t="s">
        <v>36</v>
      </c>
      <c r="Z2864" s="3">
        <v>1284.0999999999999</v>
      </c>
      <c r="AA2864" t="s">
        <v>41</v>
      </c>
      <c r="AB2864" t="s">
        <v>33</v>
      </c>
      <c r="AC2864">
        <v>66.7</v>
      </c>
      <c r="AD2864" t="s">
        <v>38</v>
      </c>
      <c r="AE2864">
        <v>2355.98</v>
      </c>
      <c r="AF2864">
        <v>1</v>
      </c>
    </row>
    <row r="2865" spans="3:32" x14ac:dyDescent="0.35">
      <c r="C2865" s="1">
        <v>45176</v>
      </c>
      <c r="D2865" s="2">
        <v>45170</v>
      </c>
      <c r="E2865">
        <v>1107</v>
      </c>
      <c r="F2865" s="3">
        <v>5057.78</v>
      </c>
      <c r="G2865" s="3">
        <v>2746.16</v>
      </c>
      <c r="H2865" s="3">
        <v>2311.62</v>
      </c>
      <c r="I2865" s="3">
        <v>0.54</v>
      </c>
      <c r="J2865">
        <v>0.28999999999999998</v>
      </c>
      <c r="K2865">
        <v>2405.9299999999998</v>
      </c>
      <c r="L2865" t="s">
        <v>35</v>
      </c>
      <c r="M2865">
        <v>650</v>
      </c>
      <c r="N2865">
        <v>0.23</v>
      </c>
      <c r="O2865" s="3">
        <v>302.74</v>
      </c>
      <c r="P2865" s="3">
        <v>0.06</v>
      </c>
      <c r="Q2865" s="3">
        <v>580.91</v>
      </c>
      <c r="R2865" s="3">
        <v>0.11</v>
      </c>
      <c r="S2865">
        <v>4</v>
      </c>
      <c r="T2865">
        <v>1144.99</v>
      </c>
      <c r="U2865">
        <v>47</v>
      </c>
      <c r="V2865">
        <v>0</v>
      </c>
      <c r="W2865">
        <v>972.89</v>
      </c>
      <c r="X2865">
        <v>1328.22</v>
      </c>
      <c r="Y2865" t="s">
        <v>49</v>
      </c>
      <c r="Z2865" s="3">
        <v>464.1</v>
      </c>
      <c r="AA2865" t="s">
        <v>41</v>
      </c>
      <c r="AB2865" t="s">
        <v>44</v>
      </c>
      <c r="AC2865">
        <v>61.6</v>
      </c>
      <c r="AD2865" t="s">
        <v>34</v>
      </c>
      <c r="AE2865">
        <v>2311.62</v>
      </c>
      <c r="AF2865">
        <v>0</v>
      </c>
    </row>
    <row r="2866" spans="3:32" x14ac:dyDescent="0.35">
      <c r="C2866" s="1">
        <v>45176</v>
      </c>
      <c r="D2866" s="2">
        <v>45170</v>
      </c>
      <c r="E2866">
        <v>1461</v>
      </c>
      <c r="F2866" s="3">
        <v>4701.87</v>
      </c>
      <c r="G2866" s="3">
        <v>3653.78</v>
      </c>
      <c r="H2866" s="3">
        <v>1048.0899999999999</v>
      </c>
      <c r="I2866" s="3">
        <v>0.78</v>
      </c>
      <c r="J2866">
        <v>0.24</v>
      </c>
      <c r="K2866">
        <v>2787.34</v>
      </c>
      <c r="L2866" t="s">
        <v>30</v>
      </c>
      <c r="M2866">
        <v>680</v>
      </c>
      <c r="N2866">
        <v>0.49</v>
      </c>
      <c r="O2866" s="3">
        <v>396.26</v>
      </c>
      <c r="P2866" s="3">
        <v>0.08</v>
      </c>
      <c r="Q2866" s="3">
        <v>18.170000000000002</v>
      </c>
      <c r="R2866" s="3">
        <v>0</v>
      </c>
      <c r="S2866">
        <v>1</v>
      </c>
      <c r="T2866">
        <v>1289.83</v>
      </c>
      <c r="U2866">
        <v>48</v>
      </c>
      <c r="V2866">
        <v>0</v>
      </c>
      <c r="W2866">
        <v>256.68</v>
      </c>
      <c r="X2866">
        <v>2333.2399999999998</v>
      </c>
      <c r="Y2866" t="s">
        <v>31</v>
      </c>
      <c r="Z2866" s="3">
        <v>1348.23</v>
      </c>
      <c r="AA2866" t="s">
        <v>41</v>
      </c>
      <c r="AB2866" t="s">
        <v>42</v>
      </c>
      <c r="AC2866">
        <v>94</v>
      </c>
      <c r="AD2866" t="s">
        <v>38</v>
      </c>
      <c r="AE2866">
        <v>1048.0899999999999</v>
      </c>
      <c r="AF2866">
        <v>0</v>
      </c>
    </row>
    <row r="2867" spans="3:32" x14ac:dyDescent="0.35">
      <c r="C2867" s="1">
        <v>45176</v>
      </c>
      <c r="D2867" s="2">
        <v>45170</v>
      </c>
      <c r="E2867">
        <v>1444</v>
      </c>
      <c r="F2867" s="3">
        <v>4897.24</v>
      </c>
      <c r="G2867" s="3">
        <v>3723.44</v>
      </c>
      <c r="H2867" s="3">
        <v>1173.8</v>
      </c>
      <c r="I2867" s="3">
        <v>0.76</v>
      </c>
      <c r="J2867">
        <v>0.27</v>
      </c>
      <c r="K2867">
        <v>2734.32</v>
      </c>
      <c r="L2867" t="s">
        <v>30</v>
      </c>
      <c r="M2867">
        <v>721</v>
      </c>
      <c r="N2867">
        <v>0.32</v>
      </c>
      <c r="O2867" s="3">
        <v>388.29</v>
      </c>
      <c r="P2867" s="3">
        <v>0.08</v>
      </c>
      <c r="Q2867" s="3">
        <v>199.31</v>
      </c>
      <c r="R2867" s="3">
        <v>0.04</v>
      </c>
      <c r="S2867">
        <v>4</v>
      </c>
      <c r="T2867">
        <v>1119.7</v>
      </c>
      <c r="U2867">
        <v>61</v>
      </c>
      <c r="V2867">
        <v>0</v>
      </c>
      <c r="W2867">
        <v>482.28</v>
      </c>
      <c r="X2867">
        <v>1645.9</v>
      </c>
      <c r="Y2867" t="s">
        <v>36</v>
      </c>
      <c r="Z2867" s="3">
        <v>1134.32</v>
      </c>
      <c r="AA2867" t="s">
        <v>41</v>
      </c>
      <c r="AB2867" t="s">
        <v>33</v>
      </c>
      <c r="AC2867">
        <v>10.7</v>
      </c>
      <c r="AD2867" t="s">
        <v>34</v>
      </c>
      <c r="AE2867">
        <v>1173.8</v>
      </c>
      <c r="AF2867">
        <v>0</v>
      </c>
    </row>
    <row r="2868" spans="3:32" x14ac:dyDescent="0.35">
      <c r="C2868" s="1">
        <v>45176</v>
      </c>
      <c r="D2868" s="2">
        <v>45170</v>
      </c>
      <c r="E2868">
        <v>1335</v>
      </c>
      <c r="F2868" s="3">
        <v>3443.21</v>
      </c>
      <c r="G2868" s="3">
        <v>4512.55</v>
      </c>
      <c r="H2868" s="3">
        <v>-1069.3399999999999</v>
      </c>
      <c r="I2868" s="3">
        <v>1.31</v>
      </c>
      <c r="J2868">
        <v>0.06</v>
      </c>
      <c r="K2868">
        <v>2155.54</v>
      </c>
      <c r="L2868" t="s">
        <v>35</v>
      </c>
      <c r="M2868">
        <v>721</v>
      </c>
      <c r="N2868">
        <v>0.21</v>
      </c>
      <c r="O2868" s="3">
        <v>426.84</v>
      </c>
      <c r="P2868" s="3">
        <v>0.12</v>
      </c>
      <c r="Q2868" s="3">
        <v>420.61</v>
      </c>
      <c r="R2868" s="3">
        <v>0.12</v>
      </c>
      <c r="S2868">
        <v>7</v>
      </c>
      <c r="T2868">
        <v>1081.3900000000001</v>
      </c>
      <c r="U2868">
        <v>26</v>
      </c>
      <c r="V2868">
        <v>0</v>
      </c>
      <c r="W2868">
        <v>659.68</v>
      </c>
      <c r="X2868">
        <v>2393.65</v>
      </c>
      <c r="Y2868" t="s">
        <v>36</v>
      </c>
      <c r="Z2868" s="3">
        <v>1451.83</v>
      </c>
      <c r="AA2868" t="s">
        <v>47</v>
      </c>
      <c r="AB2868" t="s">
        <v>33</v>
      </c>
      <c r="AC2868">
        <v>32.200000000000003</v>
      </c>
      <c r="AD2868" t="s">
        <v>38</v>
      </c>
      <c r="AE2868">
        <v>0</v>
      </c>
      <c r="AF2868">
        <v>0</v>
      </c>
    </row>
    <row r="2869" spans="3:32" x14ac:dyDescent="0.35">
      <c r="C2869" s="1">
        <v>45176</v>
      </c>
      <c r="D2869" s="2">
        <v>45170</v>
      </c>
      <c r="E2869">
        <v>1898</v>
      </c>
      <c r="F2869" s="3">
        <v>4064.91</v>
      </c>
      <c r="G2869" s="3">
        <v>2974.73</v>
      </c>
      <c r="H2869" s="3">
        <v>1090.18</v>
      </c>
      <c r="I2869" s="3">
        <v>0.73</v>
      </c>
      <c r="J2869">
        <v>0.37</v>
      </c>
      <c r="K2869">
        <v>2656.61</v>
      </c>
      <c r="L2869" t="s">
        <v>35</v>
      </c>
      <c r="M2869">
        <v>681</v>
      </c>
      <c r="N2869">
        <v>0.4</v>
      </c>
      <c r="O2869" s="3">
        <v>244.79</v>
      </c>
      <c r="P2869" s="3">
        <v>0.06</v>
      </c>
      <c r="Q2869" s="3">
        <v>627.44000000000005</v>
      </c>
      <c r="R2869" s="3">
        <v>0.15</v>
      </c>
      <c r="S2869">
        <v>3</v>
      </c>
      <c r="T2869">
        <v>610.24</v>
      </c>
      <c r="U2869">
        <v>34</v>
      </c>
      <c r="V2869">
        <v>0</v>
      </c>
      <c r="W2869">
        <v>595.35</v>
      </c>
      <c r="X2869">
        <v>2577.54</v>
      </c>
      <c r="Y2869" t="s">
        <v>36</v>
      </c>
      <c r="Z2869" s="3">
        <v>1864.47</v>
      </c>
      <c r="AA2869" t="s">
        <v>48</v>
      </c>
      <c r="AB2869" t="s">
        <v>44</v>
      </c>
      <c r="AC2869">
        <v>98</v>
      </c>
      <c r="AD2869" t="s">
        <v>43</v>
      </c>
      <c r="AE2869">
        <v>1090.18</v>
      </c>
      <c r="AF2869">
        <v>0</v>
      </c>
    </row>
    <row r="2870" spans="3:32" x14ac:dyDescent="0.35">
      <c r="C2870" s="1">
        <v>45176</v>
      </c>
      <c r="D2870" s="2">
        <v>45170</v>
      </c>
      <c r="E2870">
        <v>1626</v>
      </c>
      <c r="F2870" s="3">
        <v>4088.05</v>
      </c>
      <c r="G2870" s="3">
        <v>3161.43</v>
      </c>
      <c r="H2870" s="3">
        <v>926.62</v>
      </c>
      <c r="I2870" s="3">
        <v>0.77</v>
      </c>
      <c r="J2870">
        <v>0.3</v>
      </c>
      <c r="K2870">
        <v>3451.91</v>
      </c>
      <c r="L2870" t="s">
        <v>35</v>
      </c>
      <c r="M2870">
        <v>657</v>
      </c>
      <c r="N2870">
        <v>0.28000000000000003</v>
      </c>
      <c r="O2870" s="3">
        <v>745.27</v>
      </c>
      <c r="P2870" s="3">
        <v>0.18</v>
      </c>
      <c r="Q2870" s="3">
        <v>751.72</v>
      </c>
      <c r="R2870" s="3">
        <v>0.18</v>
      </c>
      <c r="S2870">
        <v>8</v>
      </c>
      <c r="T2870">
        <v>66.510000000000005</v>
      </c>
      <c r="U2870">
        <v>85</v>
      </c>
      <c r="V2870">
        <v>0</v>
      </c>
      <c r="W2870">
        <v>460.52</v>
      </c>
      <c r="X2870">
        <v>1144.4000000000001</v>
      </c>
      <c r="Y2870" t="s">
        <v>36</v>
      </c>
      <c r="Z2870" s="3">
        <v>1528.61</v>
      </c>
      <c r="AA2870" t="s">
        <v>37</v>
      </c>
      <c r="AB2870" t="s">
        <v>33</v>
      </c>
      <c r="AC2870">
        <v>32.1</v>
      </c>
      <c r="AD2870" t="s">
        <v>43</v>
      </c>
      <c r="AE2870">
        <v>926.62</v>
      </c>
      <c r="AF2870">
        <v>0</v>
      </c>
    </row>
    <row r="2871" spans="3:32" x14ac:dyDescent="0.35">
      <c r="C2871" s="1">
        <v>45176</v>
      </c>
      <c r="D2871" s="2">
        <v>45170</v>
      </c>
      <c r="E2871">
        <v>1513</v>
      </c>
      <c r="F2871" s="3">
        <v>3970.83</v>
      </c>
      <c r="G2871" s="3">
        <v>2176.4699999999998</v>
      </c>
      <c r="H2871" s="3">
        <v>1794.36</v>
      </c>
      <c r="I2871" s="3">
        <v>0.55000000000000004</v>
      </c>
      <c r="J2871">
        <v>0.25</v>
      </c>
      <c r="K2871">
        <v>2483.4299999999998</v>
      </c>
      <c r="L2871" t="s">
        <v>35</v>
      </c>
      <c r="M2871">
        <v>685</v>
      </c>
      <c r="N2871">
        <v>0.4</v>
      </c>
      <c r="O2871" s="3">
        <v>709.49</v>
      </c>
      <c r="P2871" s="3">
        <v>0.18</v>
      </c>
      <c r="Q2871" s="3">
        <v>707.12</v>
      </c>
      <c r="R2871" s="3">
        <v>0.18</v>
      </c>
      <c r="S2871">
        <v>8</v>
      </c>
      <c r="T2871">
        <v>558.47</v>
      </c>
      <c r="U2871">
        <v>50</v>
      </c>
      <c r="V2871">
        <v>0</v>
      </c>
      <c r="W2871">
        <v>177.95</v>
      </c>
      <c r="X2871">
        <v>2220.6799999999998</v>
      </c>
      <c r="Y2871" t="s">
        <v>36</v>
      </c>
      <c r="Z2871" s="3">
        <v>1387.79</v>
      </c>
      <c r="AA2871" t="s">
        <v>51</v>
      </c>
      <c r="AB2871" t="s">
        <v>33</v>
      </c>
      <c r="AC2871">
        <v>45.9</v>
      </c>
      <c r="AD2871" t="s">
        <v>34</v>
      </c>
      <c r="AE2871">
        <v>1794.36</v>
      </c>
      <c r="AF2871">
        <v>0</v>
      </c>
    </row>
    <row r="2872" spans="3:32" x14ac:dyDescent="0.35">
      <c r="C2872" s="1">
        <v>45176</v>
      </c>
      <c r="D2872" s="2">
        <v>45170</v>
      </c>
      <c r="E2872">
        <v>1254</v>
      </c>
      <c r="F2872" s="3">
        <v>6438.55</v>
      </c>
      <c r="G2872" s="3">
        <v>3095.67</v>
      </c>
      <c r="H2872" s="3">
        <v>3342.88</v>
      </c>
      <c r="I2872" s="3">
        <v>0.48</v>
      </c>
      <c r="J2872">
        <v>0.11</v>
      </c>
      <c r="K2872">
        <v>2837.72</v>
      </c>
      <c r="L2872" t="s">
        <v>35</v>
      </c>
      <c r="M2872">
        <v>750</v>
      </c>
      <c r="N2872">
        <v>0.25</v>
      </c>
      <c r="O2872" s="3">
        <v>476.9</v>
      </c>
      <c r="P2872" s="3">
        <v>7.0000000000000007E-2</v>
      </c>
      <c r="Q2872" s="3">
        <v>678.8</v>
      </c>
      <c r="R2872" s="3">
        <v>0.11</v>
      </c>
      <c r="S2872">
        <v>6</v>
      </c>
      <c r="T2872">
        <v>1891.87</v>
      </c>
      <c r="U2872">
        <v>39</v>
      </c>
      <c r="V2872">
        <v>0</v>
      </c>
      <c r="W2872">
        <v>702.27</v>
      </c>
      <c r="X2872">
        <v>2523.37</v>
      </c>
      <c r="Y2872" t="s">
        <v>36</v>
      </c>
      <c r="Z2872" s="3">
        <v>1522.19</v>
      </c>
      <c r="AA2872" t="s">
        <v>46</v>
      </c>
      <c r="AB2872" t="s">
        <v>33</v>
      </c>
      <c r="AC2872">
        <v>67.900000000000006</v>
      </c>
      <c r="AD2872" t="s">
        <v>38</v>
      </c>
      <c r="AE2872">
        <v>3342.88</v>
      </c>
      <c r="AF2872">
        <v>1</v>
      </c>
    </row>
    <row r="2873" spans="3:32" x14ac:dyDescent="0.35">
      <c r="C2873" s="1">
        <v>45176</v>
      </c>
      <c r="D2873" s="2">
        <v>45170</v>
      </c>
      <c r="E2873">
        <v>1741</v>
      </c>
      <c r="F2873" s="3">
        <v>4396.7</v>
      </c>
      <c r="G2873" s="3">
        <v>3089.09</v>
      </c>
      <c r="H2873" s="3">
        <v>1307.6099999999999</v>
      </c>
      <c r="I2873" s="3">
        <v>0.7</v>
      </c>
      <c r="J2873">
        <v>0.05</v>
      </c>
      <c r="K2873">
        <v>3247.8</v>
      </c>
      <c r="L2873" t="s">
        <v>39</v>
      </c>
      <c r="M2873">
        <v>664</v>
      </c>
      <c r="N2873">
        <v>0.18</v>
      </c>
      <c r="O2873" s="3">
        <v>532.89</v>
      </c>
      <c r="P2873" s="3">
        <v>0.12</v>
      </c>
      <c r="Q2873" s="3">
        <v>563.82000000000005</v>
      </c>
      <c r="R2873" s="3">
        <v>0.13</v>
      </c>
      <c r="S2873">
        <v>2</v>
      </c>
      <c r="T2873">
        <v>368.2</v>
      </c>
      <c r="U2873">
        <v>56</v>
      </c>
      <c r="V2873">
        <v>0</v>
      </c>
      <c r="W2873">
        <v>478.19</v>
      </c>
      <c r="X2873">
        <v>2134.84</v>
      </c>
      <c r="Y2873" t="s">
        <v>36</v>
      </c>
      <c r="Z2873" s="3">
        <v>1915.08</v>
      </c>
      <c r="AA2873" t="s">
        <v>41</v>
      </c>
      <c r="AB2873" t="s">
        <v>33</v>
      </c>
      <c r="AC2873">
        <v>74.8</v>
      </c>
      <c r="AD2873" t="s">
        <v>34</v>
      </c>
      <c r="AE2873">
        <v>1307.6099999999999</v>
      </c>
      <c r="AF2873">
        <v>0</v>
      </c>
    </row>
    <row r="2874" spans="3:32" x14ac:dyDescent="0.35">
      <c r="C2874" s="1">
        <v>45176</v>
      </c>
      <c r="D2874" s="2">
        <v>45170</v>
      </c>
      <c r="E2874">
        <v>1729</v>
      </c>
      <c r="F2874" s="3">
        <v>5056.46</v>
      </c>
      <c r="G2874" s="3">
        <v>3923.15</v>
      </c>
      <c r="H2874" s="3">
        <v>1133.31</v>
      </c>
      <c r="I2874" s="3">
        <v>0.78</v>
      </c>
      <c r="J2874">
        <v>0.33</v>
      </c>
      <c r="K2874">
        <v>2480.91</v>
      </c>
      <c r="L2874" t="s">
        <v>35</v>
      </c>
      <c r="M2874">
        <v>656</v>
      </c>
      <c r="N2874">
        <v>0.21</v>
      </c>
      <c r="O2874" s="3">
        <v>649.64</v>
      </c>
      <c r="P2874" s="3">
        <v>0.13</v>
      </c>
      <c r="Q2874" s="3">
        <v>593.41999999999996</v>
      </c>
      <c r="R2874" s="3">
        <v>0.12</v>
      </c>
      <c r="S2874">
        <v>9</v>
      </c>
      <c r="T2874">
        <v>392.56</v>
      </c>
      <c r="U2874">
        <v>41</v>
      </c>
      <c r="V2874">
        <v>0</v>
      </c>
      <c r="W2874">
        <v>260.82</v>
      </c>
      <c r="X2874">
        <v>2065.56</v>
      </c>
      <c r="Y2874" t="s">
        <v>49</v>
      </c>
      <c r="Z2874" s="3">
        <v>721.74</v>
      </c>
      <c r="AA2874" t="s">
        <v>41</v>
      </c>
      <c r="AB2874" t="s">
        <v>42</v>
      </c>
      <c r="AC2874">
        <v>81</v>
      </c>
      <c r="AD2874" t="s">
        <v>34</v>
      </c>
      <c r="AE2874">
        <v>1133.31</v>
      </c>
      <c r="AF2874">
        <v>0</v>
      </c>
    </row>
    <row r="2875" spans="3:32" x14ac:dyDescent="0.35">
      <c r="C2875" s="1">
        <v>45176</v>
      </c>
      <c r="D2875" s="2">
        <v>45170</v>
      </c>
      <c r="E2875">
        <v>1976</v>
      </c>
      <c r="F2875" s="3">
        <v>5088.75</v>
      </c>
      <c r="G2875" s="3">
        <v>3202.1</v>
      </c>
      <c r="H2875" s="3">
        <v>1886.65</v>
      </c>
      <c r="I2875" s="3">
        <v>0.63</v>
      </c>
      <c r="J2875">
        <v>0.36</v>
      </c>
      <c r="K2875">
        <v>3361.34</v>
      </c>
      <c r="L2875" t="s">
        <v>39</v>
      </c>
      <c r="M2875">
        <v>775</v>
      </c>
      <c r="N2875">
        <v>0.38</v>
      </c>
      <c r="O2875" s="3">
        <v>774.5</v>
      </c>
      <c r="P2875" s="3">
        <v>0.15</v>
      </c>
      <c r="Q2875" s="3">
        <v>230.54</v>
      </c>
      <c r="R2875" s="3">
        <v>0.05</v>
      </c>
      <c r="S2875">
        <v>5</v>
      </c>
      <c r="T2875">
        <v>888.66</v>
      </c>
      <c r="U2875">
        <v>69</v>
      </c>
      <c r="V2875">
        <v>0</v>
      </c>
      <c r="W2875">
        <v>304.36</v>
      </c>
      <c r="X2875">
        <v>1610.54</v>
      </c>
      <c r="Y2875" t="s">
        <v>31</v>
      </c>
      <c r="Z2875" s="3">
        <v>519.92999999999995</v>
      </c>
      <c r="AA2875" t="s">
        <v>32</v>
      </c>
      <c r="AB2875" t="s">
        <v>33</v>
      </c>
      <c r="AC2875">
        <v>57.5</v>
      </c>
      <c r="AD2875" t="s">
        <v>43</v>
      </c>
      <c r="AE2875">
        <v>1886.65</v>
      </c>
      <c r="AF2875">
        <v>0</v>
      </c>
    </row>
    <row r="2876" spans="3:32" x14ac:dyDescent="0.35">
      <c r="C2876" s="1">
        <v>45176</v>
      </c>
      <c r="D2876" s="2">
        <v>45170</v>
      </c>
      <c r="E2876">
        <v>1412</v>
      </c>
      <c r="F2876" s="3">
        <v>4883.93</v>
      </c>
      <c r="G2876" s="3">
        <v>3110.23</v>
      </c>
      <c r="H2876" s="3">
        <v>1773.7</v>
      </c>
      <c r="I2876" s="3">
        <v>0.64</v>
      </c>
      <c r="J2876">
        <v>0.34</v>
      </c>
      <c r="K2876">
        <v>2736.36</v>
      </c>
      <c r="L2876" t="s">
        <v>30</v>
      </c>
      <c r="M2876">
        <v>618</v>
      </c>
      <c r="N2876">
        <v>0.25</v>
      </c>
      <c r="O2876" s="3">
        <v>476.69</v>
      </c>
      <c r="P2876" s="3">
        <v>0.1</v>
      </c>
      <c r="Q2876" s="3">
        <v>270.14</v>
      </c>
      <c r="R2876" s="3">
        <v>0.06</v>
      </c>
      <c r="S2876">
        <v>3</v>
      </c>
      <c r="T2876">
        <v>766.57</v>
      </c>
      <c r="U2876">
        <v>90</v>
      </c>
      <c r="V2876">
        <v>0</v>
      </c>
      <c r="W2876">
        <v>74.97</v>
      </c>
      <c r="X2876">
        <v>2341.91</v>
      </c>
      <c r="Y2876" t="s">
        <v>36</v>
      </c>
      <c r="Z2876" s="3">
        <v>1612.56</v>
      </c>
      <c r="AA2876" t="s">
        <v>37</v>
      </c>
      <c r="AB2876" t="s">
        <v>44</v>
      </c>
      <c r="AC2876">
        <v>36.5</v>
      </c>
      <c r="AD2876" t="s">
        <v>38</v>
      </c>
      <c r="AE2876">
        <v>1773.7</v>
      </c>
      <c r="AF2876">
        <v>0</v>
      </c>
    </row>
    <row r="2877" spans="3:32" x14ac:dyDescent="0.35">
      <c r="C2877" s="1">
        <v>45176</v>
      </c>
      <c r="D2877" s="2">
        <v>45170</v>
      </c>
      <c r="E2877">
        <v>1990</v>
      </c>
      <c r="F2877" s="3">
        <v>1647.78</v>
      </c>
      <c r="G2877" s="3">
        <v>3034.93</v>
      </c>
      <c r="H2877" s="3">
        <v>-1387.15</v>
      </c>
      <c r="I2877" s="3">
        <v>1.84</v>
      </c>
      <c r="J2877">
        <v>0.13</v>
      </c>
      <c r="K2877">
        <v>3153.17</v>
      </c>
      <c r="L2877" t="s">
        <v>39</v>
      </c>
      <c r="M2877">
        <v>667</v>
      </c>
      <c r="N2877">
        <v>0.28999999999999998</v>
      </c>
      <c r="O2877" s="3">
        <v>435.35</v>
      </c>
      <c r="P2877" s="3">
        <v>0.26</v>
      </c>
      <c r="Q2877" s="3">
        <v>948.11</v>
      </c>
      <c r="R2877" s="3">
        <v>0.57999999999999996</v>
      </c>
      <c r="S2877">
        <v>5</v>
      </c>
      <c r="T2877">
        <v>481.43</v>
      </c>
      <c r="U2877">
        <v>43</v>
      </c>
      <c r="V2877">
        <v>0</v>
      </c>
      <c r="W2877">
        <v>925.28</v>
      </c>
      <c r="X2877">
        <v>2206.3000000000002</v>
      </c>
      <c r="Y2877" t="s">
        <v>36</v>
      </c>
      <c r="Z2877" s="3">
        <v>1424.42</v>
      </c>
      <c r="AA2877" t="s">
        <v>32</v>
      </c>
      <c r="AB2877" t="s">
        <v>42</v>
      </c>
      <c r="AC2877">
        <v>63.4</v>
      </c>
      <c r="AD2877" t="s">
        <v>34</v>
      </c>
      <c r="AE2877">
        <v>0</v>
      </c>
      <c r="AF2877">
        <v>0</v>
      </c>
    </row>
    <row r="2878" spans="3:32" x14ac:dyDescent="0.35">
      <c r="C2878" s="1">
        <v>45176</v>
      </c>
      <c r="D2878" s="2">
        <v>45170</v>
      </c>
      <c r="E2878">
        <v>1142</v>
      </c>
      <c r="F2878" s="3">
        <v>3099.39</v>
      </c>
      <c r="G2878" s="3">
        <v>1935.96</v>
      </c>
      <c r="H2878" s="3">
        <v>1163.43</v>
      </c>
      <c r="I2878" s="3">
        <v>0.62</v>
      </c>
      <c r="J2878">
        <v>0.37</v>
      </c>
      <c r="K2878">
        <v>2527.7399999999998</v>
      </c>
      <c r="L2878" t="s">
        <v>39</v>
      </c>
      <c r="M2878">
        <v>621</v>
      </c>
      <c r="N2878">
        <v>0.32</v>
      </c>
      <c r="O2878" s="3">
        <v>526.39</v>
      </c>
      <c r="P2878" s="3">
        <v>0.17</v>
      </c>
      <c r="Q2878" s="3">
        <v>948.05</v>
      </c>
      <c r="R2878" s="3">
        <v>0.31</v>
      </c>
      <c r="S2878">
        <v>3</v>
      </c>
      <c r="T2878">
        <v>1131.99</v>
      </c>
      <c r="U2878">
        <v>24</v>
      </c>
      <c r="V2878">
        <v>0</v>
      </c>
      <c r="W2878">
        <v>433.98</v>
      </c>
      <c r="X2878">
        <v>1620.02</v>
      </c>
      <c r="Y2878" t="s">
        <v>36</v>
      </c>
      <c r="Z2878" s="3">
        <v>1179.57</v>
      </c>
      <c r="AA2878" t="s">
        <v>48</v>
      </c>
      <c r="AB2878" t="s">
        <v>44</v>
      </c>
      <c r="AC2878">
        <v>57.5</v>
      </c>
      <c r="AD2878" t="s">
        <v>34</v>
      </c>
      <c r="AE2878">
        <v>1163.43</v>
      </c>
      <c r="AF2878">
        <v>0</v>
      </c>
    </row>
    <row r="2879" spans="3:32" x14ac:dyDescent="0.35">
      <c r="C2879" s="1">
        <v>45176</v>
      </c>
      <c r="D2879" s="2">
        <v>45170</v>
      </c>
      <c r="E2879">
        <v>1806</v>
      </c>
      <c r="F2879" s="3">
        <v>4731.32</v>
      </c>
      <c r="G2879" s="3">
        <v>3076.65</v>
      </c>
      <c r="H2879" s="3">
        <v>1654.67</v>
      </c>
      <c r="I2879" s="3">
        <v>0.65</v>
      </c>
      <c r="J2879">
        <v>0.05</v>
      </c>
      <c r="K2879">
        <v>2563.6999999999998</v>
      </c>
      <c r="L2879" t="s">
        <v>35</v>
      </c>
      <c r="M2879">
        <v>656</v>
      </c>
      <c r="N2879">
        <v>0.53</v>
      </c>
      <c r="O2879" s="3">
        <v>717.88</v>
      </c>
      <c r="P2879" s="3">
        <v>0.15</v>
      </c>
      <c r="Q2879" s="3">
        <v>55.22</v>
      </c>
      <c r="R2879" s="3">
        <v>0.01</v>
      </c>
      <c r="S2879">
        <v>2</v>
      </c>
      <c r="T2879">
        <v>701.13</v>
      </c>
      <c r="U2879">
        <v>55</v>
      </c>
      <c r="V2879">
        <v>0</v>
      </c>
      <c r="W2879">
        <v>497.23</v>
      </c>
      <c r="X2879">
        <v>2412.4699999999998</v>
      </c>
      <c r="Y2879" t="s">
        <v>36</v>
      </c>
      <c r="Z2879" s="3">
        <v>1038.04</v>
      </c>
      <c r="AA2879" t="s">
        <v>47</v>
      </c>
      <c r="AB2879" t="s">
        <v>33</v>
      </c>
      <c r="AC2879">
        <v>61.9</v>
      </c>
      <c r="AD2879" t="s">
        <v>43</v>
      </c>
      <c r="AE2879">
        <v>1654.67</v>
      </c>
      <c r="AF2879">
        <v>0</v>
      </c>
    </row>
    <row r="2880" spans="3:32" x14ac:dyDescent="0.35">
      <c r="C2880" s="1">
        <v>45176</v>
      </c>
      <c r="D2880" s="2">
        <v>45170</v>
      </c>
      <c r="E2880">
        <v>1808</v>
      </c>
      <c r="F2880" s="3">
        <v>4901.8999999999996</v>
      </c>
      <c r="G2880" s="3">
        <v>2474.5700000000002</v>
      </c>
      <c r="H2880" s="3">
        <v>2427.33</v>
      </c>
      <c r="I2880" s="3">
        <v>0.5</v>
      </c>
      <c r="J2880">
        <v>0.33</v>
      </c>
      <c r="K2880">
        <v>3290.84</v>
      </c>
      <c r="L2880" t="s">
        <v>35</v>
      </c>
      <c r="M2880">
        <v>702</v>
      </c>
      <c r="N2880">
        <v>0.14000000000000001</v>
      </c>
      <c r="O2880" s="3">
        <v>624.75</v>
      </c>
      <c r="P2880" s="3">
        <v>0.13</v>
      </c>
      <c r="Q2880" s="3">
        <v>139.26</v>
      </c>
      <c r="R2880" s="3">
        <v>0.03</v>
      </c>
      <c r="S2880">
        <v>9</v>
      </c>
      <c r="T2880">
        <v>1022.56</v>
      </c>
      <c r="U2880">
        <v>60</v>
      </c>
      <c r="V2880">
        <v>0</v>
      </c>
      <c r="W2880">
        <v>397.56</v>
      </c>
      <c r="X2880">
        <v>2317.35</v>
      </c>
      <c r="Y2880" t="s">
        <v>36</v>
      </c>
      <c r="Z2880" s="3">
        <v>1336.84</v>
      </c>
      <c r="AA2880" t="s">
        <v>41</v>
      </c>
      <c r="AB2880" t="s">
        <v>33</v>
      </c>
      <c r="AC2880">
        <v>38.4</v>
      </c>
      <c r="AD2880" t="s">
        <v>38</v>
      </c>
      <c r="AE2880">
        <v>2427.33</v>
      </c>
      <c r="AF2880">
        <v>0</v>
      </c>
    </row>
    <row r="2881" spans="3:32" x14ac:dyDescent="0.35">
      <c r="C2881" s="1">
        <v>45176</v>
      </c>
      <c r="D2881" s="2">
        <v>45170</v>
      </c>
      <c r="E2881">
        <v>1575</v>
      </c>
      <c r="F2881" s="3">
        <v>3072.97</v>
      </c>
      <c r="G2881" s="3">
        <v>2631.25</v>
      </c>
      <c r="H2881" s="3">
        <v>441.72</v>
      </c>
      <c r="I2881" s="3">
        <v>0.86</v>
      </c>
      <c r="J2881">
        <v>0.28000000000000003</v>
      </c>
      <c r="K2881">
        <v>2137.69</v>
      </c>
      <c r="L2881" t="s">
        <v>35</v>
      </c>
      <c r="M2881">
        <v>647</v>
      </c>
      <c r="N2881">
        <v>0.49</v>
      </c>
      <c r="O2881" s="3">
        <v>530.17999999999995</v>
      </c>
      <c r="P2881" s="3">
        <v>0.17</v>
      </c>
      <c r="Q2881" s="3">
        <v>381.05</v>
      </c>
      <c r="R2881" s="3">
        <v>0.12</v>
      </c>
      <c r="S2881">
        <v>2</v>
      </c>
      <c r="T2881">
        <v>1255.95</v>
      </c>
      <c r="U2881">
        <v>50</v>
      </c>
      <c r="V2881">
        <v>0</v>
      </c>
      <c r="W2881">
        <v>524.66</v>
      </c>
      <c r="X2881">
        <v>2250.85</v>
      </c>
      <c r="Y2881" t="s">
        <v>36</v>
      </c>
      <c r="Z2881" s="3">
        <v>318.67</v>
      </c>
      <c r="AA2881" t="s">
        <v>47</v>
      </c>
      <c r="AB2881" t="s">
        <v>33</v>
      </c>
      <c r="AC2881">
        <v>94.6</v>
      </c>
      <c r="AD2881" t="s">
        <v>38</v>
      </c>
      <c r="AE2881">
        <v>441.72</v>
      </c>
      <c r="AF2881">
        <v>0</v>
      </c>
    </row>
    <row r="2882" spans="3:32" x14ac:dyDescent="0.35">
      <c r="C2882" s="1">
        <v>45176</v>
      </c>
      <c r="D2882" s="2">
        <v>45170</v>
      </c>
      <c r="E2882">
        <v>1488</v>
      </c>
      <c r="F2882" s="3">
        <v>3016.46</v>
      </c>
      <c r="G2882" s="3">
        <v>3568.26</v>
      </c>
      <c r="H2882" s="3">
        <v>-551.79999999999995</v>
      </c>
      <c r="I2882" s="3">
        <v>1.18</v>
      </c>
      <c r="J2882">
        <v>0.06</v>
      </c>
      <c r="K2882">
        <v>2831.4</v>
      </c>
      <c r="L2882" t="s">
        <v>35</v>
      </c>
      <c r="M2882">
        <v>708</v>
      </c>
      <c r="N2882">
        <v>0.21</v>
      </c>
      <c r="O2882" s="3">
        <v>606.54</v>
      </c>
      <c r="P2882" s="3">
        <v>0.2</v>
      </c>
      <c r="Q2882" s="3">
        <v>366.49</v>
      </c>
      <c r="R2882" s="3">
        <v>0.12</v>
      </c>
      <c r="S2882">
        <v>2</v>
      </c>
      <c r="T2882">
        <v>396.94</v>
      </c>
      <c r="U2882">
        <v>99</v>
      </c>
      <c r="V2882">
        <v>0</v>
      </c>
      <c r="W2882">
        <v>538.07000000000005</v>
      </c>
      <c r="X2882">
        <v>2030.54</v>
      </c>
      <c r="Y2882" t="s">
        <v>36</v>
      </c>
      <c r="Z2882" s="3">
        <v>1428.79</v>
      </c>
      <c r="AA2882" t="s">
        <v>37</v>
      </c>
      <c r="AB2882" t="s">
        <v>42</v>
      </c>
      <c r="AC2882">
        <v>91.1</v>
      </c>
      <c r="AD2882" t="s">
        <v>34</v>
      </c>
      <c r="AE2882">
        <v>0</v>
      </c>
      <c r="AF2882">
        <v>0</v>
      </c>
    </row>
    <row r="2883" spans="3:32" x14ac:dyDescent="0.35">
      <c r="C2883" s="1">
        <v>45176</v>
      </c>
      <c r="D2883" s="2">
        <v>45170</v>
      </c>
      <c r="E2883">
        <v>1245</v>
      </c>
      <c r="F2883" s="3">
        <v>2709.73</v>
      </c>
      <c r="G2883" s="3">
        <v>1843.03</v>
      </c>
      <c r="H2883" s="3">
        <v>866.7</v>
      </c>
      <c r="I2883" s="3">
        <v>0.68</v>
      </c>
      <c r="J2883">
        <v>7.0000000000000007E-2</v>
      </c>
      <c r="K2883">
        <v>2555.46</v>
      </c>
      <c r="L2883" t="s">
        <v>30</v>
      </c>
      <c r="M2883">
        <v>706</v>
      </c>
      <c r="N2883">
        <v>0.54</v>
      </c>
      <c r="O2883" s="3">
        <v>1054.0899999999999</v>
      </c>
      <c r="P2883" s="3">
        <v>0.39</v>
      </c>
      <c r="Q2883" s="3">
        <v>0</v>
      </c>
      <c r="R2883" s="3">
        <v>0</v>
      </c>
      <c r="S2883">
        <v>8</v>
      </c>
      <c r="T2883">
        <v>740.88</v>
      </c>
      <c r="U2883">
        <v>88</v>
      </c>
      <c r="V2883">
        <v>0</v>
      </c>
      <c r="W2883">
        <v>668.16</v>
      </c>
      <c r="X2883">
        <v>2216.13</v>
      </c>
      <c r="Y2883" t="s">
        <v>36</v>
      </c>
      <c r="Z2883" s="3">
        <v>407.91</v>
      </c>
      <c r="AA2883" t="s">
        <v>32</v>
      </c>
      <c r="AB2883" t="s">
        <v>44</v>
      </c>
      <c r="AC2883">
        <v>31.2</v>
      </c>
      <c r="AD2883" t="s">
        <v>34</v>
      </c>
      <c r="AE2883">
        <v>866.7</v>
      </c>
      <c r="AF2883">
        <v>0</v>
      </c>
    </row>
    <row r="2884" spans="3:32" x14ac:dyDescent="0.35">
      <c r="C2884" s="1">
        <v>45176</v>
      </c>
      <c r="D2884" s="2">
        <v>45170</v>
      </c>
      <c r="E2884">
        <v>1600</v>
      </c>
      <c r="F2884" s="3">
        <v>4659.99</v>
      </c>
      <c r="G2884" s="3">
        <v>2157.7399999999998</v>
      </c>
      <c r="H2884" s="3">
        <v>2502.25</v>
      </c>
      <c r="I2884" s="3">
        <v>0.46</v>
      </c>
      <c r="J2884">
        <v>7.0000000000000007E-2</v>
      </c>
      <c r="K2884">
        <v>2990.66</v>
      </c>
      <c r="L2884" t="s">
        <v>35</v>
      </c>
      <c r="M2884">
        <v>628</v>
      </c>
      <c r="N2884">
        <v>0.49</v>
      </c>
      <c r="O2884" s="3">
        <v>310.60000000000002</v>
      </c>
      <c r="P2884" s="3">
        <v>7.0000000000000007E-2</v>
      </c>
      <c r="Q2884" s="3">
        <v>161.55000000000001</v>
      </c>
      <c r="R2884" s="3">
        <v>0.03</v>
      </c>
      <c r="S2884">
        <v>5</v>
      </c>
      <c r="T2884">
        <v>1057.6300000000001</v>
      </c>
      <c r="U2884">
        <v>82</v>
      </c>
      <c r="V2884">
        <v>0</v>
      </c>
      <c r="W2884">
        <v>309.33</v>
      </c>
      <c r="X2884">
        <v>2229.73</v>
      </c>
      <c r="Y2884" t="s">
        <v>31</v>
      </c>
      <c r="Z2884" s="3">
        <v>789.66</v>
      </c>
      <c r="AA2884" t="s">
        <v>45</v>
      </c>
      <c r="AB2884" t="s">
        <v>33</v>
      </c>
      <c r="AC2884">
        <v>9.4</v>
      </c>
      <c r="AD2884" t="s">
        <v>34</v>
      </c>
      <c r="AE2884">
        <v>2502.25</v>
      </c>
      <c r="AF2884">
        <v>0</v>
      </c>
    </row>
    <row r="2885" spans="3:32" x14ac:dyDescent="0.35">
      <c r="C2885" s="1">
        <v>45176</v>
      </c>
      <c r="D2885" s="2">
        <v>45170</v>
      </c>
      <c r="E2885">
        <v>1413</v>
      </c>
      <c r="F2885" s="3">
        <v>3929.97</v>
      </c>
      <c r="G2885" s="3">
        <v>3000.16</v>
      </c>
      <c r="H2885" s="3">
        <v>929.81</v>
      </c>
      <c r="I2885" s="3">
        <v>0.76</v>
      </c>
      <c r="J2885">
        <v>0.19</v>
      </c>
      <c r="K2885">
        <v>2972.92</v>
      </c>
      <c r="L2885" t="s">
        <v>35</v>
      </c>
      <c r="M2885">
        <v>652</v>
      </c>
      <c r="N2885">
        <v>0.24</v>
      </c>
      <c r="O2885" s="3">
        <v>334.19</v>
      </c>
      <c r="P2885" s="3">
        <v>0.09</v>
      </c>
      <c r="Q2885" s="3">
        <v>498.13</v>
      </c>
      <c r="R2885" s="3">
        <v>0.13</v>
      </c>
      <c r="S2885">
        <v>9</v>
      </c>
      <c r="T2885">
        <v>800.62</v>
      </c>
      <c r="U2885">
        <v>84</v>
      </c>
      <c r="V2885">
        <v>0</v>
      </c>
      <c r="W2885">
        <v>141.18</v>
      </c>
      <c r="X2885">
        <v>1968.6</v>
      </c>
      <c r="Y2885" t="s">
        <v>36</v>
      </c>
      <c r="Z2885" s="3">
        <v>1887.99</v>
      </c>
      <c r="AA2885" t="s">
        <v>51</v>
      </c>
      <c r="AB2885" t="s">
        <v>44</v>
      </c>
      <c r="AC2885">
        <v>36.6</v>
      </c>
      <c r="AD2885" t="s">
        <v>38</v>
      </c>
      <c r="AE2885">
        <v>929.81</v>
      </c>
      <c r="AF2885">
        <v>0</v>
      </c>
    </row>
    <row r="2886" spans="3:32" x14ac:dyDescent="0.35">
      <c r="C2886" s="1">
        <v>45176</v>
      </c>
      <c r="D2886" s="2">
        <v>45170</v>
      </c>
      <c r="E2886">
        <v>1058</v>
      </c>
      <c r="F2886" s="3">
        <v>4145.3500000000004</v>
      </c>
      <c r="G2886" s="3">
        <v>2415.64</v>
      </c>
      <c r="H2886" s="3">
        <v>1729.71</v>
      </c>
      <c r="I2886" s="3">
        <v>0.57999999999999996</v>
      </c>
      <c r="J2886">
        <v>0.34</v>
      </c>
      <c r="K2886">
        <v>2055.9899999999998</v>
      </c>
      <c r="L2886" t="s">
        <v>39</v>
      </c>
      <c r="M2886">
        <v>607</v>
      </c>
      <c r="N2886">
        <v>0.28999999999999998</v>
      </c>
      <c r="O2886" s="3">
        <v>433.94</v>
      </c>
      <c r="P2886" s="3">
        <v>0.1</v>
      </c>
      <c r="Q2886" s="3">
        <v>872.65</v>
      </c>
      <c r="R2886" s="3">
        <v>0.21</v>
      </c>
      <c r="S2886">
        <v>8</v>
      </c>
      <c r="T2886">
        <v>728.68</v>
      </c>
      <c r="U2886">
        <v>79</v>
      </c>
      <c r="V2886">
        <v>0</v>
      </c>
      <c r="W2886">
        <v>635.17999999999995</v>
      </c>
      <c r="X2886">
        <v>1767.29</v>
      </c>
      <c r="Y2886" t="s">
        <v>36</v>
      </c>
      <c r="Z2886" s="3">
        <v>948.5</v>
      </c>
      <c r="AA2886" t="s">
        <v>46</v>
      </c>
      <c r="AB2886" t="s">
        <v>33</v>
      </c>
      <c r="AC2886">
        <v>1.9</v>
      </c>
      <c r="AD2886" t="s">
        <v>38</v>
      </c>
      <c r="AE2886">
        <v>1729.71</v>
      </c>
      <c r="AF2886">
        <v>0</v>
      </c>
    </row>
    <row r="2887" spans="3:32" x14ac:dyDescent="0.35">
      <c r="C2887" s="1">
        <v>45176</v>
      </c>
      <c r="D2887" s="2">
        <v>45170</v>
      </c>
      <c r="E2887">
        <v>1020</v>
      </c>
      <c r="F2887" s="3">
        <v>4412.3</v>
      </c>
      <c r="G2887" s="3">
        <v>3701.57</v>
      </c>
      <c r="H2887" s="3">
        <v>710.73</v>
      </c>
      <c r="I2887" s="3">
        <v>0.84</v>
      </c>
      <c r="J2887">
        <v>0.1</v>
      </c>
      <c r="K2887">
        <v>2433.98</v>
      </c>
      <c r="L2887" t="s">
        <v>35</v>
      </c>
      <c r="M2887">
        <v>682</v>
      </c>
      <c r="N2887">
        <v>0.18</v>
      </c>
      <c r="O2887" s="3">
        <v>510.98</v>
      </c>
      <c r="P2887" s="3">
        <v>0.12</v>
      </c>
      <c r="Q2887" s="3">
        <v>436.64</v>
      </c>
      <c r="R2887" s="3">
        <v>0.1</v>
      </c>
      <c r="S2887">
        <v>2</v>
      </c>
      <c r="T2887">
        <v>692.67</v>
      </c>
      <c r="U2887">
        <v>46</v>
      </c>
      <c r="V2887">
        <v>0</v>
      </c>
      <c r="W2887">
        <v>534.73</v>
      </c>
      <c r="X2887">
        <v>1741.92</v>
      </c>
      <c r="Y2887" t="s">
        <v>31</v>
      </c>
      <c r="Z2887" s="3">
        <v>574.99</v>
      </c>
      <c r="AA2887" t="s">
        <v>47</v>
      </c>
      <c r="AB2887" t="s">
        <v>33</v>
      </c>
      <c r="AC2887">
        <v>76</v>
      </c>
      <c r="AD2887" t="s">
        <v>38</v>
      </c>
      <c r="AE2887">
        <v>710.73</v>
      </c>
      <c r="AF2887">
        <v>0</v>
      </c>
    </row>
    <row r="2888" spans="3:32" x14ac:dyDescent="0.35">
      <c r="C2888" s="1">
        <v>45176</v>
      </c>
      <c r="D2888" s="2">
        <v>45170</v>
      </c>
      <c r="E2888">
        <v>1317</v>
      </c>
      <c r="F2888" s="3">
        <v>3769.06</v>
      </c>
      <c r="G2888" s="3">
        <v>2503.37</v>
      </c>
      <c r="H2888" s="3">
        <v>1265.69</v>
      </c>
      <c r="I2888" s="3">
        <v>0.66</v>
      </c>
      <c r="J2888">
        <v>0.3</v>
      </c>
      <c r="K2888">
        <v>2732.73</v>
      </c>
      <c r="L2888" t="s">
        <v>35</v>
      </c>
      <c r="M2888">
        <v>614</v>
      </c>
      <c r="N2888">
        <v>0.13</v>
      </c>
      <c r="O2888" s="3">
        <v>647.69000000000005</v>
      </c>
      <c r="P2888" s="3">
        <v>0.17</v>
      </c>
      <c r="Q2888" s="3">
        <v>533.04</v>
      </c>
      <c r="R2888" s="3">
        <v>0.14000000000000001</v>
      </c>
      <c r="S2888">
        <v>4</v>
      </c>
      <c r="T2888">
        <v>1710.69</v>
      </c>
      <c r="U2888">
        <v>91</v>
      </c>
      <c r="V2888">
        <v>0</v>
      </c>
      <c r="W2888">
        <v>492.02</v>
      </c>
      <c r="X2888">
        <v>2838.84</v>
      </c>
      <c r="Y2888" t="s">
        <v>36</v>
      </c>
      <c r="Z2888" s="3">
        <v>1455.23</v>
      </c>
      <c r="AA2888" t="s">
        <v>46</v>
      </c>
      <c r="AB2888" t="s">
        <v>42</v>
      </c>
      <c r="AC2888">
        <v>28.8</v>
      </c>
      <c r="AD2888" t="s">
        <v>34</v>
      </c>
      <c r="AE2888">
        <v>1265.69</v>
      </c>
      <c r="AF2888">
        <v>0</v>
      </c>
    </row>
    <row r="2889" spans="3:32" x14ac:dyDescent="0.35">
      <c r="C2889" s="1">
        <v>45176</v>
      </c>
      <c r="D2889" s="2">
        <v>45170</v>
      </c>
      <c r="E2889">
        <v>1224</v>
      </c>
      <c r="F2889" s="3">
        <v>3373.4</v>
      </c>
      <c r="G2889" s="3">
        <v>3374.24</v>
      </c>
      <c r="H2889" s="3">
        <v>-0.84</v>
      </c>
      <c r="I2889" s="3">
        <v>1</v>
      </c>
      <c r="J2889">
        <v>0.37</v>
      </c>
      <c r="K2889">
        <v>2677.72</v>
      </c>
      <c r="L2889" t="s">
        <v>35</v>
      </c>
      <c r="M2889">
        <v>756</v>
      </c>
      <c r="N2889">
        <v>0.38</v>
      </c>
      <c r="O2889" s="3">
        <v>475.08</v>
      </c>
      <c r="P2889" s="3">
        <v>0.14000000000000001</v>
      </c>
      <c r="Q2889" s="3">
        <v>230.82</v>
      </c>
      <c r="R2889" s="3">
        <v>7.0000000000000007E-2</v>
      </c>
      <c r="S2889">
        <v>3</v>
      </c>
      <c r="T2889">
        <v>2019.37</v>
      </c>
      <c r="U2889">
        <v>94</v>
      </c>
      <c r="V2889">
        <v>0</v>
      </c>
      <c r="W2889">
        <v>1030.8599999999999</v>
      </c>
      <c r="X2889">
        <v>1905.18</v>
      </c>
      <c r="Y2889" t="s">
        <v>36</v>
      </c>
      <c r="Z2889" s="3">
        <v>876.46</v>
      </c>
      <c r="AA2889" t="s">
        <v>48</v>
      </c>
      <c r="AB2889" t="s">
        <v>42</v>
      </c>
      <c r="AC2889">
        <v>90.2</v>
      </c>
      <c r="AD2889" t="s">
        <v>38</v>
      </c>
      <c r="AE2889">
        <v>0</v>
      </c>
      <c r="AF2889">
        <v>0</v>
      </c>
    </row>
    <row r="2890" spans="3:32" x14ac:dyDescent="0.35">
      <c r="C2890" s="1">
        <v>45176</v>
      </c>
      <c r="D2890" s="2">
        <v>45170</v>
      </c>
      <c r="E2890">
        <v>1025</v>
      </c>
      <c r="F2890" s="3">
        <v>4736.8900000000003</v>
      </c>
      <c r="G2890" s="3">
        <v>4031.38</v>
      </c>
      <c r="H2890" s="3">
        <v>705.51</v>
      </c>
      <c r="I2890" s="3">
        <v>0.85</v>
      </c>
      <c r="J2890">
        <v>0.17</v>
      </c>
      <c r="K2890">
        <v>2267.59</v>
      </c>
      <c r="L2890" t="s">
        <v>35</v>
      </c>
      <c r="M2890">
        <v>732</v>
      </c>
      <c r="N2890">
        <v>0.56999999999999995</v>
      </c>
      <c r="O2890" s="3">
        <v>546.04999999999995</v>
      </c>
      <c r="P2890" s="3">
        <v>0.12</v>
      </c>
      <c r="Q2890" s="3">
        <v>487.96</v>
      </c>
      <c r="R2890" s="3">
        <v>0.1</v>
      </c>
      <c r="S2890">
        <v>6</v>
      </c>
      <c r="T2890">
        <v>438.51</v>
      </c>
      <c r="U2890">
        <v>36</v>
      </c>
      <c r="V2890">
        <v>0</v>
      </c>
      <c r="W2890">
        <v>421.71</v>
      </c>
      <c r="X2890">
        <v>3366.02</v>
      </c>
      <c r="Y2890" t="s">
        <v>36</v>
      </c>
      <c r="Z2890" s="3">
        <v>1483.22</v>
      </c>
      <c r="AA2890" t="s">
        <v>40</v>
      </c>
      <c r="AB2890" t="s">
        <v>33</v>
      </c>
      <c r="AC2890">
        <v>31</v>
      </c>
      <c r="AD2890" t="s">
        <v>34</v>
      </c>
      <c r="AE2890">
        <v>705.51</v>
      </c>
      <c r="AF2890">
        <v>0</v>
      </c>
    </row>
    <row r="2891" spans="3:32" x14ac:dyDescent="0.35">
      <c r="C2891" s="1">
        <v>45176</v>
      </c>
      <c r="D2891" s="2">
        <v>45170</v>
      </c>
      <c r="E2891">
        <v>1639</v>
      </c>
      <c r="F2891" s="3">
        <v>5908.32</v>
      </c>
      <c r="G2891" s="3">
        <v>2688.55</v>
      </c>
      <c r="H2891" s="3">
        <v>3219.77</v>
      </c>
      <c r="I2891" s="3">
        <v>0.46</v>
      </c>
      <c r="J2891">
        <v>0.32</v>
      </c>
      <c r="K2891">
        <v>3037.53</v>
      </c>
      <c r="L2891" t="s">
        <v>39</v>
      </c>
      <c r="M2891">
        <v>645</v>
      </c>
      <c r="N2891">
        <v>0.12</v>
      </c>
      <c r="O2891" s="3">
        <v>492.64</v>
      </c>
      <c r="P2891" s="3">
        <v>0.08</v>
      </c>
      <c r="Q2891" s="3">
        <v>357.58</v>
      </c>
      <c r="R2891" s="3">
        <v>0.06</v>
      </c>
      <c r="S2891">
        <v>2</v>
      </c>
      <c r="T2891">
        <v>976.7</v>
      </c>
      <c r="U2891">
        <v>30</v>
      </c>
      <c r="V2891">
        <v>0</v>
      </c>
      <c r="W2891">
        <v>259.20999999999998</v>
      </c>
      <c r="X2891">
        <v>1954.44</v>
      </c>
      <c r="Y2891" t="s">
        <v>36</v>
      </c>
      <c r="Z2891" s="3">
        <v>1322.88</v>
      </c>
      <c r="AA2891" t="s">
        <v>50</v>
      </c>
      <c r="AB2891" t="s">
        <v>42</v>
      </c>
      <c r="AC2891">
        <v>96.5</v>
      </c>
      <c r="AD2891" t="s">
        <v>34</v>
      </c>
      <c r="AE2891">
        <v>3219.77</v>
      </c>
      <c r="AF2891">
        <v>1</v>
      </c>
    </row>
    <row r="2892" spans="3:32" x14ac:dyDescent="0.35">
      <c r="C2892" s="1">
        <v>45176</v>
      </c>
      <c r="D2892" s="2">
        <v>45170</v>
      </c>
      <c r="E2892">
        <v>1903</v>
      </c>
      <c r="F2892" s="3">
        <v>4628.71</v>
      </c>
      <c r="G2892" s="3">
        <v>3113.18</v>
      </c>
      <c r="H2892" s="3">
        <v>1515.53</v>
      </c>
      <c r="I2892" s="3">
        <v>0.67</v>
      </c>
      <c r="J2892">
        <v>0.24</v>
      </c>
      <c r="K2892">
        <v>2391.52</v>
      </c>
      <c r="L2892" t="s">
        <v>35</v>
      </c>
      <c r="M2892">
        <v>619</v>
      </c>
      <c r="N2892">
        <v>0.2</v>
      </c>
      <c r="O2892" s="3">
        <v>621.29</v>
      </c>
      <c r="P2892" s="3">
        <v>0.13</v>
      </c>
      <c r="Q2892" s="3">
        <v>0</v>
      </c>
      <c r="R2892" s="3">
        <v>0</v>
      </c>
      <c r="S2892">
        <v>3</v>
      </c>
      <c r="T2892">
        <v>481.99</v>
      </c>
      <c r="U2892">
        <v>41</v>
      </c>
      <c r="V2892">
        <v>0</v>
      </c>
      <c r="W2892">
        <v>266.14</v>
      </c>
      <c r="X2892">
        <v>2322.96</v>
      </c>
      <c r="Y2892" t="s">
        <v>36</v>
      </c>
      <c r="Z2892" s="3">
        <v>1301.1300000000001</v>
      </c>
      <c r="AA2892" t="s">
        <v>41</v>
      </c>
      <c r="AB2892" t="s">
        <v>33</v>
      </c>
      <c r="AC2892">
        <v>94.9</v>
      </c>
      <c r="AD2892" t="s">
        <v>34</v>
      </c>
      <c r="AE2892">
        <v>1515.53</v>
      </c>
      <c r="AF2892">
        <v>0</v>
      </c>
    </row>
    <row r="2893" spans="3:32" x14ac:dyDescent="0.35">
      <c r="C2893" s="1">
        <v>45176</v>
      </c>
      <c r="D2893" s="2">
        <v>45170</v>
      </c>
      <c r="E2893">
        <v>1864</v>
      </c>
      <c r="F2893" s="3">
        <v>6243.76</v>
      </c>
      <c r="G2893" s="3">
        <v>2682.7</v>
      </c>
      <c r="H2893" s="3">
        <v>3561.06</v>
      </c>
      <c r="I2893" s="3">
        <v>0.43</v>
      </c>
      <c r="J2893">
        <v>0.09</v>
      </c>
      <c r="K2893">
        <v>3283.75</v>
      </c>
      <c r="L2893" t="s">
        <v>30</v>
      </c>
      <c r="M2893">
        <v>655</v>
      </c>
      <c r="N2893">
        <v>0.51</v>
      </c>
      <c r="O2893" s="3">
        <v>486.07</v>
      </c>
      <c r="P2893" s="3">
        <v>0.08</v>
      </c>
      <c r="Q2893" s="3">
        <v>564.23</v>
      </c>
      <c r="R2893" s="3">
        <v>0.09</v>
      </c>
      <c r="S2893">
        <v>9</v>
      </c>
      <c r="T2893">
        <v>1276.92</v>
      </c>
      <c r="U2893">
        <v>40</v>
      </c>
      <c r="V2893">
        <v>0</v>
      </c>
      <c r="W2893">
        <v>496.04</v>
      </c>
      <c r="X2893">
        <v>2494.9499999999998</v>
      </c>
      <c r="Y2893" t="s">
        <v>31</v>
      </c>
      <c r="Z2893" s="3">
        <v>1253.07</v>
      </c>
      <c r="AA2893" t="s">
        <v>45</v>
      </c>
      <c r="AB2893" t="s">
        <v>33</v>
      </c>
      <c r="AC2893">
        <v>74.7</v>
      </c>
      <c r="AD2893" t="s">
        <v>38</v>
      </c>
      <c r="AE2893">
        <v>3561.06</v>
      </c>
      <c r="AF2893">
        <v>1</v>
      </c>
    </row>
    <row r="2894" spans="3:32" x14ac:dyDescent="0.35">
      <c r="C2894" s="1">
        <v>45176</v>
      </c>
      <c r="D2894" s="2">
        <v>45170</v>
      </c>
      <c r="E2894">
        <v>1146</v>
      </c>
      <c r="F2894" s="3">
        <v>3717.41</v>
      </c>
      <c r="G2894" s="3">
        <v>4470.21</v>
      </c>
      <c r="H2894" s="3">
        <v>-752.8</v>
      </c>
      <c r="I2894" s="3">
        <v>1.2</v>
      </c>
      <c r="J2894">
        <v>0.2</v>
      </c>
      <c r="K2894">
        <v>3481.11</v>
      </c>
      <c r="L2894" t="s">
        <v>39</v>
      </c>
      <c r="M2894">
        <v>717</v>
      </c>
      <c r="N2894">
        <v>0.49</v>
      </c>
      <c r="O2894" s="3">
        <v>356.72</v>
      </c>
      <c r="P2894" s="3">
        <v>0.1</v>
      </c>
      <c r="Q2894" s="3">
        <v>301.37</v>
      </c>
      <c r="R2894" s="3">
        <v>0.08</v>
      </c>
      <c r="S2894">
        <v>6</v>
      </c>
      <c r="T2894">
        <v>1397.1</v>
      </c>
      <c r="U2894">
        <v>74</v>
      </c>
      <c r="V2894">
        <v>0</v>
      </c>
      <c r="W2894">
        <v>915.12</v>
      </c>
      <c r="X2894">
        <v>2033.97</v>
      </c>
      <c r="Y2894" t="s">
        <v>49</v>
      </c>
      <c r="Z2894" s="3">
        <v>883.59</v>
      </c>
      <c r="AA2894" t="s">
        <v>41</v>
      </c>
      <c r="AB2894" t="s">
        <v>33</v>
      </c>
      <c r="AC2894">
        <v>67.400000000000006</v>
      </c>
      <c r="AD2894" t="s">
        <v>34</v>
      </c>
      <c r="AE2894">
        <v>0</v>
      </c>
      <c r="AF2894">
        <v>0</v>
      </c>
    </row>
    <row r="2895" spans="3:32" x14ac:dyDescent="0.35">
      <c r="C2895" s="1">
        <v>45176</v>
      </c>
      <c r="D2895" s="2">
        <v>45170</v>
      </c>
      <c r="E2895">
        <v>1739</v>
      </c>
      <c r="F2895" s="3">
        <v>5841.63</v>
      </c>
      <c r="G2895" s="3">
        <v>3496.89</v>
      </c>
      <c r="H2895" s="3">
        <v>2344.7399999999998</v>
      </c>
      <c r="I2895" s="3">
        <v>0.6</v>
      </c>
      <c r="J2895">
        <v>7.0000000000000007E-2</v>
      </c>
      <c r="K2895">
        <v>2666.34</v>
      </c>
      <c r="L2895" t="s">
        <v>35</v>
      </c>
      <c r="M2895">
        <v>670</v>
      </c>
      <c r="N2895">
        <v>0.28999999999999998</v>
      </c>
      <c r="O2895" s="3">
        <v>469.46</v>
      </c>
      <c r="P2895" s="3">
        <v>0.08</v>
      </c>
      <c r="Q2895" s="3">
        <v>117.53</v>
      </c>
      <c r="R2895" s="3">
        <v>0.02</v>
      </c>
      <c r="S2895">
        <v>2</v>
      </c>
      <c r="T2895">
        <v>1027.7</v>
      </c>
      <c r="U2895">
        <v>73</v>
      </c>
      <c r="V2895">
        <v>0</v>
      </c>
      <c r="W2895">
        <v>755.59</v>
      </c>
      <c r="X2895">
        <v>1929.26</v>
      </c>
      <c r="Y2895" t="s">
        <v>36</v>
      </c>
      <c r="Z2895" s="3">
        <v>2395.58</v>
      </c>
      <c r="AA2895" t="s">
        <v>37</v>
      </c>
      <c r="AB2895" t="s">
        <v>33</v>
      </c>
      <c r="AC2895">
        <v>45.8</v>
      </c>
      <c r="AD2895" t="s">
        <v>34</v>
      </c>
      <c r="AE2895">
        <v>2344.7399999999998</v>
      </c>
      <c r="AF2895">
        <v>0</v>
      </c>
    </row>
    <row r="2896" spans="3:32" x14ac:dyDescent="0.35">
      <c r="C2896" s="1">
        <v>45176</v>
      </c>
      <c r="D2896" s="2">
        <v>45170</v>
      </c>
      <c r="E2896">
        <v>1178</v>
      </c>
      <c r="F2896" s="3">
        <v>5030.67</v>
      </c>
      <c r="G2896" s="3">
        <v>2803.42</v>
      </c>
      <c r="H2896" s="3">
        <v>2227.25</v>
      </c>
      <c r="I2896" s="3">
        <v>0.56000000000000005</v>
      </c>
      <c r="J2896">
        <v>0.14000000000000001</v>
      </c>
      <c r="K2896">
        <v>2764.69</v>
      </c>
      <c r="L2896" t="s">
        <v>35</v>
      </c>
      <c r="M2896">
        <v>638</v>
      </c>
      <c r="N2896">
        <v>0.14000000000000001</v>
      </c>
      <c r="O2896" s="3">
        <v>529.14</v>
      </c>
      <c r="P2896" s="3">
        <v>0.11</v>
      </c>
      <c r="Q2896" s="3">
        <v>59.89</v>
      </c>
      <c r="R2896" s="3">
        <v>0.01</v>
      </c>
      <c r="S2896">
        <v>4</v>
      </c>
      <c r="T2896">
        <v>1147.8699999999999</v>
      </c>
      <c r="U2896">
        <v>85</v>
      </c>
      <c r="V2896">
        <v>0</v>
      </c>
      <c r="W2896">
        <v>447.49</v>
      </c>
      <c r="X2896">
        <v>1736.85</v>
      </c>
      <c r="Y2896" t="s">
        <v>36</v>
      </c>
      <c r="Z2896" s="3">
        <v>1293.03</v>
      </c>
      <c r="AA2896" t="s">
        <v>37</v>
      </c>
      <c r="AB2896" t="s">
        <v>33</v>
      </c>
      <c r="AC2896">
        <v>59.8</v>
      </c>
      <c r="AD2896" t="s">
        <v>38</v>
      </c>
      <c r="AE2896">
        <v>2227.25</v>
      </c>
      <c r="AF2896">
        <v>0</v>
      </c>
    </row>
    <row r="2897" spans="3:32" x14ac:dyDescent="0.35">
      <c r="C2897" s="1">
        <v>45176</v>
      </c>
      <c r="D2897" s="2">
        <v>45170</v>
      </c>
      <c r="E2897">
        <v>1339</v>
      </c>
      <c r="F2897" s="3">
        <v>3004.32</v>
      </c>
      <c r="G2897" s="3">
        <v>2638.58</v>
      </c>
      <c r="H2897" s="3">
        <v>365.74</v>
      </c>
      <c r="I2897" s="3">
        <v>0.88</v>
      </c>
      <c r="J2897">
        <v>0.32</v>
      </c>
      <c r="K2897">
        <v>3205.82</v>
      </c>
      <c r="L2897" t="s">
        <v>39</v>
      </c>
      <c r="M2897">
        <v>668</v>
      </c>
      <c r="N2897">
        <v>0.42</v>
      </c>
      <c r="O2897" s="3">
        <v>682.86</v>
      </c>
      <c r="P2897" s="3">
        <v>0.23</v>
      </c>
      <c r="Q2897" s="3">
        <v>374.24</v>
      </c>
      <c r="R2897" s="3">
        <v>0.12</v>
      </c>
      <c r="S2897">
        <v>7</v>
      </c>
      <c r="T2897">
        <v>701.97</v>
      </c>
      <c r="U2897">
        <v>79</v>
      </c>
      <c r="V2897">
        <v>0</v>
      </c>
      <c r="W2897">
        <v>214.6</v>
      </c>
      <c r="X2897">
        <v>1658.69</v>
      </c>
      <c r="Y2897" t="s">
        <v>31</v>
      </c>
      <c r="Z2897" s="3">
        <v>1406.91</v>
      </c>
      <c r="AA2897" t="s">
        <v>50</v>
      </c>
      <c r="AB2897" t="s">
        <v>33</v>
      </c>
      <c r="AC2897">
        <v>9.3000000000000007</v>
      </c>
      <c r="AD2897" t="s">
        <v>43</v>
      </c>
      <c r="AE2897">
        <v>365.74</v>
      </c>
      <c r="AF2897">
        <v>0</v>
      </c>
    </row>
    <row r="2898" spans="3:32" x14ac:dyDescent="0.35">
      <c r="C2898" s="1">
        <v>45176</v>
      </c>
      <c r="D2898" s="2">
        <v>45170</v>
      </c>
      <c r="E2898">
        <v>1537</v>
      </c>
      <c r="F2898" s="3">
        <v>5138.6099999999997</v>
      </c>
      <c r="G2898" s="3">
        <v>2285.36</v>
      </c>
      <c r="H2898" s="3">
        <v>2853.25</v>
      </c>
      <c r="I2898" s="3">
        <v>0.44</v>
      </c>
      <c r="J2898">
        <v>0.28999999999999998</v>
      </c>
      <c r="K2898">
        <v>2728.63</v>
      </c>
      <c r="L2898" t="s">
        <v>35</v>
      </c>
      <c r="M2898">
        <v>713</v>
      </c>
      <c r="N2898">
        <v>0.18</v>
      </c>
      <c r="O2898" s="3">
        <v>766.02</v>
      </c>
      <c r="P2898" s="3">
        <v>0.15</v>
      </c>
      <c r="Q2898" s="3">
        <v>313.06</v>
      </c>
      <c r="R2898" s="3">
        <v>0.06</v>
      </c>
      <c r="S2898">
        <v>9</v>
      </c>
      <c r="T2898">
        <v>932.81</v>
      </c>
      <c r="U2898">
        <v>43</v>
      </c>
      <c r="V2898">
        <v>0</v>
      </c>
      <c r="W2898">
        <v>980.04</v>
      </c>
      <c r="X2898">
        <v>2559.91</v>
      </c>
      <c r="Y2898" t="s">
        <v>36</v>
      </c>
      <c r="Z2898" s="3">
        <v>1278.18</v>
      </c>
      <c r="AA2898" t="s">
        <v>46</v>
      </c>
      <c r="AB2898" t="s">
        <v>33</v>
      </c>
      <c r="AC2898">
        <v>62.6</v>
      </c>
      <c r="AD2898" t="s">
        <v>34</v>
      </c>
      <c r="AE2898">
        <v>2853.25</v>
      </c>
      <c r="AF2898">
        <v>1</v>
      </c>
    </row>
    <row r="2899" spans="3:32" x14ac:dyDescent="0.35">
      <c r="C2899" s="1">
        <v>45176</v>
      </c>
      <c r="D2899" s="2">
        <v>45170</v>
      </c>
      <c r="E2899">
        <v>1108</v>
      </c>
      <c r="F2899" s="3">
        <v>2005.99</v>
      </c>
      <c r="G2899" s="3">
        <v>3629.29</v>
      </c>
      <c r="H2899" s="3">
        <v>-1623.3</v>
      </c>
      <c r="I2899" s="3">
        <v>1.81</v>
      </c>
      <c r="J2899">
        <v>0.32</v>
      </c>
      <c r="K2899">
        <v>3636.33</v>
      </c>
      <c r="L2899" t="s">
        <v>39</v>
      </c>
      <c r="M2899">
        <v>719</v>
      </c>
      <c r="N2899">
        <v>0.55000000000000004</v>
      </c>
      <c r="O2899" s="3">
        <v>511.48</v>
      </c>
      <c r="P2899" s="3">
        <v>0.25</v>
      </c>
      <c r="Q2899" s="3">
        <v>286.02</v>
      </c>
      <c r="R2899" s="3">
        <v>0.14000000000000001</v>
      </c>
      <c r="S2899">
        <v>8</v>
      </c>
      <c r="T2899">
        <v>909.45</v>
      </c>
      <c r="U2899">
        <v>47</v>
      </c>
      <c r="V2899">
        <v>0</v>
      </c>
      <c r="W2899">
        <v>233.64</v>
      </c>
      <c r="X2899">
        <v>1374.61</v>
      </c>
      <c r="Y2899" t="s">
        <v>49</v>
      </c>
      <c r="Z2899" s="3">
        <v>838.19</v>
      </c>
      <c r="AA2899" t="s">
        <v>51</v>
      </c>
      <c r="AB2899" t="s">
        <v>33</v>
      </c>
      <c r="AC2899">
        <v>29.1</v>
      </c>
      <c r="AD2899" t="s">
        <v>34</v>
      </c>
      <c r="AE2899">
        <v>0</v>
      </c>
      <c r="AF2899">
        <v>0</v>
      </c>
    </row>
    <row r="2900" spans="3:32" x14ac:dyDescent="0.35">
      <c r="C2900" s="1">
        <v>45176</v>
      </c>
      <c r="D2900" s="2">
        <v>45170</v>
      </c>
      <c r="E2900">
        <v>1651</v>
      </c>
      <c r="F2900" s="3">
        <v>3756.91</v>
      </c>
      <c r="G2900" s="3">
        <v>2873.61</v>
      </c>
      <c r="H2900" s="3">
        <v>883.3</v>
      </c>
      <c r="I2900" s="3">
        <v>0.76</v>
      </c>
      <c r="J2900">
        <v>0.24</v>
      </c>
      <c r="K2900">
        <v>2982.2</v>
      </c>
      <c r="L2900" t="s">
        <v>35</v>
      </c>
      <c r="M2900">
        <v>632</v>
      </c>
      <c r="N2900">
        <v>0.38</v>
      </c>
      <c r="O2900" s="3">
        <v>459.71</v>
      </c>
      <c r="P2900" s="3">
        <v>0.12</v>
      </c>
      <c r="Q2900" s="3">
        <v>230.33</v>
      </c>
      <c r="R2900" s="3">
        <v>0.06</v>
      </c>
      <c r="S2900">
        <v>5</v>
      </c>
      <c r="T2900">
        <v>485.76</v>
      </c>
      <c r="U2900">
        <v>88</v>
      </c>
      <c r="V2900">
        <v>0</v>
      </c>
      <c r="W2900">
        <v>196.84</v>
      </c>
      <c r="X2900">
        <v>3119.97</v>
      </c>
      <c r="Y2900" t="s">
        <v>36</v>
      </c>
      <c r="Z2900" s="3">
        <v>1047.01</v>
      </c>
      <c r="AA2900" t="s">
        <v>51</v>
      </c>
      <c r="AB2900" t="s">
        <v>44</v>
      </c>
      <c r="AC2900">
        <v>41.2</v>
      </c>
      <c r="AD2900" t="s">
        <v>34</v>
      </c>
      <c r="AE2900">
        <v>883.3</v>
      </c>
      <c r="AF2900">
        <v>0</v>
      </c>
    </row>
    <row r="2901" spans="3:32" x14ac:dyDescent="0.35">
      <c r="C2901" s="1">
        <v>45176</v>
      </c>
      <c r="D2901" s="2">
        <v>45170</v>
      </c>
      <c r="E2901">
        <v>1464</v>
      </c>
      <c r="F2901" s="3">
        <v>3691.1</v>
      </c>
      <c r="G2901" s="3">
        <v>3228.05</v>
      </c>
      <c r="H2901" s="3">
        <v>463.05</v>
      </c>
      <c r="I2901" s="3">
        <v>0.87</v>
      </c>
      <c r="J2901">
        <v>0.12</v>
      </c>
      <c r="K2901">
        <v>3893.53</v>
      </c>
      <c r="L2901" t="s">
        <v>35</v>
      </c>
      <c r="M2901">
        <v>626</v>
      </c>
      <c r="N2901">
        <v>0.12</v>
      </c>
      <c r="O2901" s="3">
        <v>621.01</v>
      </c>
      <c r="P2901" s="3">
        <v>0.17</v>
      </c>
      <c r="Q2901" s="3">
        <v>286.47000000000003</v>
      </c>
      <c r="R2901" s="3">
        <v>0.08</v>
      </c>
      <c r="S2901">
        <v>6</v>
      </c>
      <c r="T2901">
        <v>780.17</v>
      </c>
      <c r="U2901">
        <v>34</v>
      </c>
      <c r="V2901">
        <v>0</v>
      </c>
      <c r="W2901">
        <v>275.52999999999997</v>
      </c>
      <c r="X2901">
        <v>3231.56</v>
      </c>
      <c r="Y2901" t="s">
        <v>36</v>
      </c>
      <c r="Z2901" s="3">
        <v>790.68</v>
      </c>
      <c r="AA2901" t="s">
        <v>45</v>
      </c>
      <c r="AB2901" t="s">
        <v>42</v>
      </c>
      <c r="AC2901">
        <v>40.700000000000003</v>
      </c>
      <c r="AD2901" t="s">
        <v>43</v>
      </c>
      <c r="AE2901">
        <v>463.05</v>
      </c>
      <c r="AF2901">
        <v>0</v>
      </c>
    </row>
    <row r="2902" spans="3:32" x14ac:dyDescent="0.35">
      <c r="C2902" s="1">
        <v>45206</v>
      </c>
      <c r="D2902" s="2">
        <v>45200</v>
      </c>
      <c r="E2902">
        <v>1908</v>
      </c>
      <c r="F2902" s="3">
        <v>4268.09</v>
      </c>
      <c r="G2902" s="3">
        <v>2534.9899999999998</v>
      </c>
      <c r="H2902" s="3">
        <v>1733.1</v>
      </c>
      <c r="I2902" s="3">
        <v>0.59</v>
      </c>
      <c r="J2902">
        <v>0.13</v>
      </c>
      <c r="K2902">
        <v>1820.82</v>
      </c>
      <c r="L2902" t="s">
        <v>39</v>
      </c>
      <c r="M2902">
        <v>750</v>
      </c>
      <c r="N2902">
        <v>0.5</v>
      </c>
      <c r="O2902" s="3">
        <v>470.08</v>
      </c>
      <c r="P2902" s="3">
        <v>0.11</v>
      </c>
      <c r="Q2902" s="3">
        <v>499.18</v>
      </c>
      <c r="R2902" s="3">
        <v>0.12</v>
      </c>
      <c r="S2902">
        <v>3</v>
      </c>
      <c r="T2902">
        <v>928.08</v>
      </c>
      <c r="U2902">
        <v>80</v>
      </c>
      <c r="V2902">
        <v>0</v>
      </c>
      <c r="W2902">
        <v>430.83</v>
      </c>
      <c r="X2902">
        <v>2556.3000000000002</v>
      </c>
      <c r="Y2902" t="s">
        <v>31</v>
      </c>
      <c r="Z2902" s="3">
        <v>1076.83</v>
      </c>
      <c r="AA2902" t="s">
        <v>45</v>
      </c>
      <c r="AB2902" t="s">
        <v>33</v>
      </c>
      <c r="AC2902">
        <v>76</v>
      </c>
      <c r="AD2902" t="s">
        <v>34</v>
      </c>
      <c r="AE2902">
        <v>1733.1</v>
      </c>
      <c r="AF2902">
        <v>0</v>
      </c>
    </row>
    <row r="2903" spans="3:32" x14ac:dyDescent="0.35">
      <c r="C2903" s="1">
        <v>45206</v>
      </c>
      <c r="D2903" s="2">
        <v>45200</v>
      </c>
      <c r="E2903">
        <v>1410</v>
      </c>
      <c r="F2903" s="3">
        <v>3145.16</v>
      </c>
      <c r="G2903" s="3">
        <v>2220.4499999999998</v>
      </c>
      <c r="H2903" s="3">
        <v>924.71</v>
      </c>
      <c r="I2903" s="3">
        <v>0.71</v>
      </c>
      <c r="J2903">
        <v>0.32</v>
      </c>
      <c r="K2903">
        <v>3615.97</v>
      </c>
      <c r="L2903" t="s">
        <v>35</v>
      </c>
      <c r="M2903">
        <v>608</v>
      </c>
      <c r="N2903">
        <v>0.52</v>
      </c>
      <c r="O2903" s="3">
        <v>537.63</v>
      </c>
      <c r="P2903" s="3">
        <v>0.17</v>
      </c>
      <c r="Q2903" s="3">
        <v>821.14</v>
      </c>
      <c r="R2903" s="3">
        <v>0.26</v>
      </c>
      <c r="S2903">
        <v>6</v>
      </c>
      <c r="T2903">
        <v>593.19000000000005</v>
      </c>
      <c r="U2903">
        <v>37</v>
      </c>
      <c r="V2903">
        <v>0</v>
      </c>
      <c r="W2903">
        <v>778.07</v>
      </c>
      <c r="X2903">
        <v>2165.56</v>
      </c>
      <c r="Y2903" t="s">
        <v>36</v>
      </c>
      <c r="Z2903" s="3">
        <v>1445.45</v>
      </c>
      <c r="AA2903" t="s">
        <v>51</v>
      </c>
      <c r="AB2903" t="s">
        <v>44</v>
      </c>
      <c r="AC2903">
        <v>99.7</v>
      </c>
      <c r="AD2903" t="s">
        <v>34</v>
      </c>
      <c r="AE2903">
        <v>924.71</v>
      </c>
      <c r="AF2903">
        <v>0</v>
      </c>
    </row>
    <row r="2904" spans="3:32" x14ac:dyDescent="0.35">
      <c r="C2904" s="1">
        <v>45206</v>
      </c>
      <c r="D2904" s="2">
        <v>45200</v>
      </c>
      <c r="E2904">
        <v>1077</v>
      </c>
      <c r="F2904" s="3">
        <v>2216.9899999999998</v>
      </c>
      <c r="G2904" s="3">
        <v>3393.73</v>
      </c>
      <c r="H2904" s="3">
        <v>-1176.74</v>
      </c>
      <c r="I2904" s="3">
        <v>1.53</v>
      </c>
      <c r="J2904">
        <v>0.33</v>
      </c>
      <c r="K2904">
        <v>3273.4</v>
      </c>
      <c r="L2904" t="s">
        <v>39</v>
      </c>
      <c r="M2904">
        <v>718</v>
      </c>
      <c r="N2904">
        <v>0.27</v>
      </c>
      <c r="O2904" s="3">
        <v>977.65</v>
      </c>
      <c r="P2904" s="3">
        <v>0.44</v>
      </c>
      <c r="Q2904" s="3">
        <v>839.46</v>
      </c>
      <c r="R2904" s="3">
        <v>0.38</v>
      </c>
      <c r="S2904">
        <v>3</v>
      </c>
      <c r="T2904">
        <v>489.56</v>
      </c>
      <c r="U2904">
        <v>50</v>
      </c>
      <c r="V2904">
        <v>0</v>
      </c>
      <c r="W2904">
        <v>498.4</v>
      </c>
      <c r="X2904">
        <v>3829.47</v>
      </c>
      <c r="Y2904" t="s">
        <v>36</v>
      </c>
      <c r="Z2904" s="3">
        <v>785.53</v>
      </c>
      <c r="AA2904" t="s">
        <v>41</v>
      </c>
      <c r="AB2904" t="s">
        <v>44</v>
      </c>
      <c r="AC2904">
        <v>42.4</v>
      </c>
      <c r="AD2904" t="s">
        <v>43</v>
      </c>
      <c r="AE2904">
        <v>0</v>
      </c>
      <c r="AF2904">
        <v>0</v>
      </c>
    </row>
    <row r="2905" spans="3:32" x14ac:dyDescent="0.35">
      <c r="C2905" s="1">
        <v>45206</v>
      </c>
      <c r="D2905" s="2">
        <v>45200</v>
      </c>
      <c r="E2905">
        <v>1358</v>
      </c>
      <c r="F2905" s="3">
        <v>2303.02</v>
      </c>
      <c r="G2905" s="3">
        <v>3598.26</v>
      </c>
      <c r="H2905" s="3">
        <v>-1295.24</v>
      </c>
      <c r="I2905" s="3">
        <v>1.56</v>
      </c>
      <c r="J2905">
        <v>0.3</v>
      </c>
      <c r="K2905">
        <v>2229.4899999999998</v>
      </c>
      <c r="L2905" t="s">
        <v>35</v>
      </c>
      <c r="M2905">
        <v>663</v>
      </c>
      <c r="N2905">
        <v>0.44</v>
      </c>
      <c r="O2905" s="3">
        <v>455.64</v>
      </c>
      <c r="P2905" s="3">
        <v>0.2</v>
      </c>
      <c r="Q2905" s="3">
        <v>573.45000000000005</v>
      </c>
      <c r="R2905" s="3">
        <v>0.25</v>
      </c>
      <c r="S2905">
        <v>8</v>
      </c>
      <c r="T2905">
        <v>1127.97</v>
      </c>
      <c r="U2905">
        <v>64</v>
      </c>
      <c r="V2905">
        <v>0</v>
      </c>
      <c r="W2905">
        <v>708.84</v>
      </c>
      <c r="X2905">
        <v>2370.7800000000002</v>
      </c>
      <c r="Y2905" t="s">
        <v>36</v>
      </c>
      <c r="Z2905" s="3">
        <v>1711.78</v>
      </c>
      <c r="AA2905" t="s">
        <v>47</v>
      </c>
      <c r="AB2905" t="s">
        <v>33</v>
      </c>
      <c r="AC2905">
        <v>99</v>
      </c>
      <c r="AD2905" t="s">
        <v>43</v>
      </c>
      <c r="AE2905">
        <v>0</v>
      </c>
      <c r="AF2905">
        <v>0</v>
      </c>
    </row>
    <row r="2906" spans="3:32" x14ac:dyDescent="0.35">
      <c r="C2906" s="1">
        <v>45206</v>
      </c>
      <c r="D2906" s="2">
        <v>45200</v>
      </c>
      <c r="E2906">
        <v>1800</v>
      </c>
      <c r="F2906" s="3">
        <v>3390.22</v>
      </c>
      <c r="G2906" s="3">
        <v>3241.42</v>
      </c>
      <c r="H2906" s="3">
        <v>148.80000000000001</v>
      </c>
      <c r="I2906" s="3">
        <v>0.96</v>
      </c>
      <c r="J2906">
        <v>0.18</v>
      </c>
      <c r="K2906">
        <v>2988.99</v>
      </c>
      <c r="L2906" t="s">
        <v>30</v>
      </c>
      <c r="M2906">
        <v>717</v>
      </c>
      <c r="N2906">
        <v>0.56000000000000005</v>
      </c>
      <c r="O2906" s="3">
        <v>629.20000000000005</v>
      </c>
      <c r="P2906" s="3">
        <v>0.19</v>
      </c>
      <c r="Q2906" s="3">
        <v>574.91999999999996</v>
      </c>
      <c r="R2906" s="3">
        <v>0.17</v>
      </c>
      <c r="S2906">
        <v>6</v>
      </c>
      <c r="T2906">
        <v>965.47</v>
      </c>
      <c r="U2906">
        <v>77</v>
      </c>
      <c r="V2906">
        <v>0</v>
      </c>
      <c r="W2906">
        <v>781.08</v>
      </c>
      <c r="X2906">
        <v>2756.08</v>
      </c>
      <c r="Y2906" t="s">
        <v>36</v>
      </c>
      <c r="Z2906" s="3">
        <v>765.13</v>
      </c>
      <c r="AA2906" t="s">
        <v>50</v>
      </c>
      <c r="AB2906" t="s">
        <v>44</v>
      </c>
      <c r="AC2906">
        <v>95.5</v>
      </c>
      <c r="AD2906" t="s">
        <v>38</v>
      </c>
      <c r="AE2906">
        <v>148.80000000000001</v>
      </c>
      <c r="AF2906">
        <v>0</v>
      </c>
    </row>
    <row r="2907" spans="3:32" x14ac:dyDescent="0.35">
      <c r="C2907" s="1">
        <v>45206</v>
      </c>
      <c r="D2907" s="2">
        <v>45200</v>
      </c>
      <c r="E2907">
        <v>1260</v>
      </c>
      <c r="F2907" s="3">
        <v>4598.12</v>
      </c>
      <c r="G2907" s="3">
        <v>4700.46</v>
      </c>
      <c r="H2907" s="3">
        <v>-102.34</v>
      </c>
      <c r="I2907" s="3">
        <v>1.02</v>
      </c>
      <c r="J2907">
        <v>0.1</v>
      </c>
      <c r="K2907">
        <v>3017.97</v>
      </c>
      <c r="L2907" t="s">
        <v>39</v>
      </c>
      <c r="M2907">
        <v>634</v>
      </c>
      <c r="N2907">
        <v>0.17</v>
      </c>
      <c r="O2907" s="3">
        <v>751.03</v>
      </c>
      <c r="P2907" s="3">
        <v>0.16</v>
      </c>
      <c r="Q2907" s="3">
        <v>175.24</v>
      </c>
      <c r="R2907" s="3">
        <v>0.04</v>
      </c>
      <c r="S2907">
        <v>4</v>
      </c>
      <c r="T2907">
        <v>790.53</v>
      </c>
      <c r="U2907">
        <v>36</v>
      </c>
      <c r="V2907">
        <v>0</v>
      </c>
      <c r="W2907">
        <v>349.98</v>
      </c>
      <c r="X2907">
        <v>2447.52</v>
      </c>
      <c r="Y2907" t="s">
        <v>36</v>
      </c>
      <c r="Z2907" s="3">
        <v>1014.14</v>
      </c>
      <c r="AA2907" t="s">
        <v>40</v>
      </c>
      <c r="AB2907" t="s">
        <v>42</v>
      </c>
      <c r="AC2907">
        <v>63.7</v>
      </c>
      <c r="AD2907" t="s">
        <v>38</v>
      </c>
      <c r="AE2907">
        <v>0</v>
      </c>
      <c r="AF2907">
        <v>0</v>
      </c>
    </row>
    <row r="2908" spans="3:32" x14ac:dyDescent="0.35">
      <c r="C2908" s="1">
        <v>45206</v>
      </c>
      <c r="D2908" s="2">
        <v>45200</v>
      </c>
      <c r="E2908">
        <v>1340</v>
      </c>
      <c r="F2908" s="3">
        <v>5433.69</v>
      </c>
      <c r="G2908" s="3">
        <v>2753.66</v>
      </c>
      <c r="H2908" s="3">
        <v>2680.03</v>
      </c>
      <c r="I2908" s="3">
        <v>0.51</v>
      </c>
      <c r="J2908">
        <v>7.0000000000000007E-2</v>
      </c>
      <c r="K2908">
        <v>2053.35</v>
      </c>
      <c r="L2908" t="s">
        <v>35</v>
      </c>
      <c r="M2908">
        <v>681</v>
      </c>
      <c r="N2908">
        <v>0.26</v>
      </c>
      <c r="O2908" s="3">
        <v>547.88</v>
      </c>
      <c r="P2908" s="3">
        <v>0.1</v>
      </c>
      <c r="Q2908" s="3">
        <v>320.77999999999997</v>
      </c>
      <c r="R2908" s="3">
        <v>0.06</v>
      </c>
      <c r="S2908">
        <v>7</v>
      </c>
      <c r="T2908">
        <v>1996.78</v>
      </c>
      <c r="U2908">
        <v>50</v>
      </c>
      <c r="V2908">
        <v>0</v>
      </c>
      <c r="W2908">
        <v>144.97</v>
      </c>
      <c r="X2908">
        <v>2187.27</v>
      </c>
      <c r="Y2908" t="s">
        <v>36</v>
      </c>
      <c r="Z2908" s="3">
        <v>978.44</v>
      </c>
      <c r="AA2908" t="s">
        <v>50</v>
      </c>
      <c r="AB2908" t="s">
        <v>33</v>
      </c>
      <c r="AC2908">
        <v>15.3</v>
      </c>
      <c r="AD2908" t="s">
        <v>38</v>
      </c>
      <c r="AE2908">
        <v>2680.03</v>
      </c>
      <c r="AF2908">
        <v>1</v>
      </c>
    </row>
    <row r="2909" spans="3:32" x14ac:dyDescent="0.35">
      <c r="C2909" s="1">
        <v>45206</v>
      </c>
      <c r="D2909" s="2">
        <v>45200</v>
      </c>
      <c r="E2909">
        <v>1698</v>
      </c>
      <c r="F2909" s="3">
        <v>3798.38</v>
      </c>
      <c r="G2909" s="3">
        <v>2189.73</v>
      </c>
      <c r="H2909" s="3">
        <v>1608.65</v>
      </c>
      <c r="I2909" s="3">
        <v>0.57999999999999996</v>
      </c>
      <c r="J2909">
        <v>0.24</v>
      </c>
      <c r="K2909">
        <v>3649.27</v>
      </c>
      <c r="L2909" t="s">
        <v>39</v>
      </c>
      <c r="M2909">
        <v>707</v>
      </c>
      <c r="N2909">
        <v>0.28000000000000003</v>
      </c>
      <c r="O2909" s="3">
        <v>352.71</v>
      </c>
      <c r="P2909" s="3">
        <v>0.09</v>
      </c>
      <c r="Q2909" s="3">
        <v>728.75</v>
      </c>
      <c r="R2909" s="3">
        <v>0.19</v>
      </c>
      <c r="S2909">
        <v>5</v>
      </c>
      <c r="T2909">
        <v>2452.4699999999998</v>
      </c>
      <c r="U2909">
        <v>66</v>
      </c>
      <c r="V2909">
        <v>0</v>
      </c>
      <c r="W2909">
        <v>565.45000000000005</v>
      </c>
      <c r="X2909">
        <v>2561.88</v>
      </c>
      <c r="Y2909" t="s">
        <v>36</v>
      </c>
      <c r="Z2909" s="3">
        <v>1199.55</v>
      </c>
      <c r="AA2909" t="s">
        <v>46</v>
      </c>
      <c r="AB2909" t="s">
        <v>44</v>
      </c>
      <c r="AC2909">
        <v>5.3</v>
      </c>
      <c r="AD2909" t="s">
        <v>38</v>
      </c>
      <c r="AE2909">
        <v>1608.65</v>
      </c>
      <c r="AF2909">
        <v>0</v>
      </c>
    </row>
    <row r="2910" spans="3:32" x14ac:dyDescent="0.35">
      <c r="C2910" s="1">
        <v>45206</v>
      </c>
      <c r="D2910" s="2">
        <v>45200</v>
      </c>
      <c r="E2910">
        <v>1599</v>
      </c>
      <c r="F2910" s="3">
        <v>4682.2299999999996</v>
      </c>
      <c r="G2910" s="3">
        <v>3156.44</v>
      </c>
      <c r="H2910" s="3">
        <v>1525.79</v>
      </c>
      <c r="I2910" s="3">
        <v>0.67</v>
      </c>
      <c r="J2910">
        <v>0.35</v>
      </c>
      <c r="K2910">
        <v>3180.59</v>
      </c>
      <c r="L2910" t="s">
        <v>39</v>
      </c>
      <c r="M2910">
        <v>568</v>
      </c>
      <c r="N2910">
        <v>0.54</v>
      </c>
      <c r="O2910" s="3">
        <v>236.08</v>
      </c>
      <c r="P2910" s="3">
        <v>0.05</v>
      </c>
      <c r="Q2910" s="3">
        <v>406.4</v>
      </c>
      <c r="R2910" s="3">
        <v>0.09</v>
      </c>
      <c r="S2910">
        <v>9</v>
      </c>
      <c r="T2910">
        <v>207.06</v>
      </c>
      <c r="U2910">
        <v>20</v>
      </c>
      <c r="V2910">
        <v>0</v>
      </c>
      <c r="W2910">
        <v>474.09</v>
      </c>
      <c r="X2910">
        <v>1693.14</v>
      </c>
      <c r="Y2910" t="s">
        <v>36</v>
      </c>
      <c r="Z2910" s="3">
        <v>1483.89</v>
      </c>
      <c r="AA2910" t="s">
        <v>51</v>
      </c>
      <c r="AB2910" t="s">
        <v>42</v>
      </c>
      <c r="AC2910">
        <v>33</v>
      </c>
      <c r="AD2910" t="s">
        <v>34</v>
      </c>
      <c r="AE2910">
        <v>1525.79</v>
      </c>
      <c r="AF2910">
        <v>0</v>
      </c>
    </row>
    <row r="2911" spans="3:32" x14ac:dyDescent="0.35">
      <c r="C2911" s="1">
        <v>45206</v>
      </c>
      <c r="D2911" s="2">
        <v>45200</v>
      </c>
      <c r="E2911">
        <v>1670</v>
      </c>
      <c r="F2911" s="3">
        <v>4072.72</v>
      </c>
      <c r="G2911" s="3">
        <v>2032.31</v>
      </c>
      <c r="H2911" s="3">
        <v>2040.41</v>
      </c>
      <c r="I2911" s="3">
        <v>0.5</v>
      </c>
      <c r="J2911">
        <v>0.06</v>
      </c>
      <c r="K2911">
        <v>2682.71</v>
      </c>
      <c r="L2911" t="s">
        <v>30</v>
      </c>
      <c r="M2911">
        <v>694</v>
      </c>
      <c r="N2911">
        <v>0.22</v>
      </c>
      <c r="O2911" s="3">
        <v>652.77</v>
      </c>
      <c r="P2911" s="3">
        <v>0.16</v>
      </c>
      <c r="Q2911" s="3">
        <v>670.54</v>
      </c>
      <c r="R2911" s="3">
        <v>0.16</v>
      </c>
      <c r="S2911">
        <v>6</v>
      </c>
      <c r="T2911">
        <v>1048.08</v>
      </c>
      <c r="U2911">
        <v>51</v>
      </c>
      <c r="V2911">
        <v>0</v>
      </c>
      <c r="W2911">
        <v>181.12</v>
      </c>
      <c r="X2911">
        <v>2802.07</v>
      </c>
      <c r="Y2911" t="s">
        <v>36</v>
      </c>
      <c r="Z2911" s="3">
        <v>1283.18</v>
      </c>
      <c r="AA2911" t="s">
        <v>41</v>
      </c>
      <c r="AB2911" t="s">
        <v>33</v>
      </c>
      <c r="AC2911">
        <v>95.6</v>
      </c>
      <c r="AD2911" t="s">
        <v>34</v>
      </c>
      <c r="AE2911">
        <v>2040.41</v>
      </c>
      <c r="AF2911">
        <v>0</v>
      </c>
    </row>
    <row r="2912" spans="3:32" x14ac:dyDescent="0.35">
      <c r="C2912" s="1">
        <v>45206</v>
      </c>
      <c r="D2912" s="2">
        <v>45200</v>
      </c>
      <c r="E2912">
        <v>1156</v>
      </c>
      <c r="F2912" s="3">
        <v>5580.52</v>
      </c>
      <c r="G2912" s="3">
        <v>3513.19</v>
      </c>
      <c r="H2912" s="3">
        <v>2067.33</v>
      </c>
      <c r="I2912" s="3">
        <v>0.63</v>
      </c>
      <c r="J2912">
        <v>0.12</v>
      </c>
      <c r="K2912">
        <v>2823.33</v>
      </c>
      <c r="L2912" t="s">
        <v>35</v>
      </c>
      <c r="M2912">
        <v>680</v>
      </c>
      <c r="N2912">
        <v>0.54</v>
      </c>
      <c r="O2912" s="3">
        <v>494.01</v>
      </c>
      <c r="P2912" s="3">
        <v>0.09</v>
      </c>
      <c r="Q2912" s="3">
        <v>444.44</v>
      </c>
      <c r="R2912" s="3">
        <v>0.08</v>
      </c>
      <c r="S2912">
        <v>9</v>
      </c>
      <c r="T2912">
        <v>405.32</v>
      </c>
      <c r="U2912">
        <v>81</v>
      </c>
      <c r="V2912">
        <v>0</v>
      </c>
      <c r="W2912">
        <v>465.79</v>
      </c>
      <c r="X2912">
        <v>1592.32</v>
      </c>
      <c r="Y2912" t="s">
        <v>31</v>
      </c>
      <c r="Z2912" s="3">
        <v>783.34</v>
      </c>
      <c r="AA2912" t="s">
        <v>46</v>
      </c>
      <c r="AB2912" t="s">
        <v>33</v>
      </c>
      <c r="AC2912">
        <v>37.6</v>
      </c>
      <c r="AD2912" t="s">
        <v>43</v>
      </c>
      <c r="AE2912">
        <v>2067.33</v>
      </c>
      <c r="AF2912">
        <v>0</v>
      </c>
    </row>
    <row r="2913" spans="3:32" x14ac:dyDescent="0.35">
      <c r="C2913" s="1">
        <v>45206</v>
      </c>
      <c r="D2913" s="2">
        <v>45200</v>
      </c>
      <c r="E2913">
        <v>1552</v>
      </c>
      <c r="F2913" s="3">
        <v>3620.95</v>
      </c>
      <c r="G2913" s="3">
        <v>1901.57</v>
      </c>
      <c r="H2913" s="3">
        <v>1719.38</v>
      </c>
      <c r="I2913" s="3">
        <v>0.53</v>
      </c>
      <c r="J2913">
        <v>0.1</v>
      </c>
      <c r="K2913">
        <v>1999.31</v>
      </c>
      <c r="L2913" t="s">
        <v>39</v>
      </c>
      <c r="M2913">
        <v>667</v>
      </c>
      <c r="N2913">
        <v>0.19</v>
      </c>
      <c r="O2913" s="3">
        <v>282.26</v>
      </c>
      <c r="P2913" s="3">
        <v>0.08</v>
      </c>
      <c r="Q2913" s="3">
        <v>524.59</v>
      </c>
      <c r="R2913" s="3">
        <v>0.14000000000000001</v>
      </c>
      <c r="S2913">
        <v>4</v>
      </c>
      <c r="T2913">
        <v>813.78</v>
      </c>
      <c r="U2913">
        <v>89</v>
      </c>
      <c r="V2913">
        <v>0</v>
      </c>
      <c r="W2913">
        <v>587.22</v>
      </c>
      <c r="X2913">
        <v>2528.4</v>
      </c>
      <c r="Y2913" t="s">
        <v>31</v>
      </c>
      <c r="Z2913" s="3">
        <v>1966.71</v>
      </c>
      <c r="AA2913" t="s">
        <v>37</v>
      </c>
      <c r="AB2913" t="s">
        <v>42</v>
      </c>
      <c r="AC2913">
        <v>60.4</v>
      </c>
      <c r="AD2913" t="s">
        <v>34</v>
      </c>
      <c r="AE2913">
        <v>1719.38</v>
      </c>
      <c r="AF2913">
        <v>0</v>
      </c>
    </row>
    <row r="2914" spans="3:32" x14ac:dyDescent="0.35">
      <c r="C2914" s="1">
        <v>45206</v>
      </c>
      <c r="D2914" s="2">
        <v>45200</v>
      </c>
      <c r="E2914">
        <v>1837</v>
      </c>
      <c r="F2914" s="3">
        <v>2693.57</v>
      </c>
      <c r="G2914" s="3">
        <v>3726.2</v>
      </c>
      <c r="H2914" s="3">
        <v>-1032.6300000000001</v>
      </c>
      <c r="I2914" s="3">
        <v>1.38</v>
      </c>
      <c r="J2914">
        <v>0.2</v>
      </c>
      <c r="K2914">
        <v>2782.88</v>
      </c>
      <c r="L2914" t="s">
        <v>39</v>
      </c>
      <c r="M2914">
        <v>789</v>
      </c>
      <c r="N2914">
        <v>0.35</v>
      </c>
      <c r="O2914" s="3">
        <v>614.37</v>
      </c>
      <c r="P2914" s="3">
        <v>0.23</v>
      </c>
      <c r="Q2914" s="3">
        <v>682.18</v>
      </c>
      <c r="R2914" s="3">
        <v>0.25</v>
      </c>
      <c r="S2914">
        <v>6</v>
      </c>
      <c r="T2914">
        <v>880.4</v>
      </c>
      <c r="U2914">
        <v>46</v>
      </c>
      <c r="V2914">
        <v>0</v>
      </c>
      <c r="W2914">
        <v>573.96</v>
      </c>
      <c r="X2914">
        <v>1762.68</v>
      </c>
      <c r="Y2914" t="s">
        <v>36</v>
      </c>
      <c r="Z2914" s="3">
        <v>740.56</v>
      </c>
      <c r="AA2914" t="s">
        <v>51</v>
      </c>
      <c r="AB2914" t="s">
        <v>33</v>
      </c>
      <c r="AC2914">
        <v>66.2</v>
      </c>
      <c r="AD2914" t="s">
        <v>38</v>
      </c>
      <c r="AE2914">
        <v>0</v>
      </c>
      <c r="AF2914">
        <v>0</v>
      </c>
    </row>
    <row r="2915" spans="3:32" x14ac:dyDescent="0.35">
      <c r="C2915" s="1">
        <v>45206</v>
      </c>
      <c r="D2915" s="2">
        <v>45200</v>
      </c>
      <c r="E2915">
        <v>1196</v>
      </c>
      <c r="F2915" s="3">
        <v>2813.46</v>
      </c>
      <c r="G2915" s="3">
        <v>3690.77</v>
      </c>
      <c r="H2915" s="3">
        <v>-877.31</v>
      </c>
      <c r="I2915" s="3">
        <v>1.31</v>
      </c>
      <c r="J2915">
        <v>0.08</v>
      </c>
      <c r="K2915">
        <v>2403.04</v>
      </c>
      <c r="L2915" t="s">
        <v>39</v>
      </c>
      <c r="M2915">
        <v>735</v>
      </c>
      <c r="N2915">
        <v>0.13</v>
      </c>
      <c r="O2915" s="3">
        <v>663.07</v>
      </c>
      <c r="P2915" s="3">
        <v>0.24</v>
      </c>
      <c r="Q2915" s="3">
        <v>195.56</v>
      </c>
      <c r="R2915" s="3">
        <v>7.0000000000000007E-2</v>
      </c>
      <c r="S2915">
        <v>4</v>
      </c>
      <c r="T2915">
        <v>1054.55</v>
      </c>
      <c r="U2915">
        <v>71</v>
      </c>
      <c r="V2915">
        <v>0</v>
      </c>
      <c r="W2915">
        <v>287.52</v>
      </c>
      <c r="X2915">
        <v>1366.33</v>
      </c>
      <c r="Y2915" t="s">
        <v>36</v>
      </c>
      <c r="Z2915" s="3">
        <v>763.96</v>
      </c>
      <c r="AA2915" t="s">
        <v>41</v>
      </c>
      <c r="AB2915" t="s">
        <v>33</v>
      </c>
      <c r="AC2915">
        <v>54.3</v>
      </c>
      <c r="AD2915" t="s">
        <v>43</v>
      </c>
      <c r="AE2915">
        <v>0</v>
      </c>
      <c r="AF2915">
        <v>0</v>
      </c>
    </row>
    <row r="2916" spans="3:32" x14ac:dyDescent="0.35">
      <c r="C2916" s="1">
        <v>45206</v>
      </c>
      <c r="D2916" s="2">
        <v>45200</v>
      </c>
      <c r="E2916">
        <v>1687</v>
      </c>
      <c r="F2916" s="3">
        <v>3792.48</v>
      </c>
      <c r="G2916" s="3">
        <v>3748.54</v>
      </c>
      <c r="H2916" s="3">
        <v>43.94</v>
      </c>
      <c r="I2916" s="3">
        <v>0.99</v>
      </c>
      <c r="J2916">
        <v>0.25</v>
      </c>
      <c r="K2916">
        <v>2433.0100000000002</v>
      </c>
      <c r="L2916" t="s">
        <v>35</v>
      </c>
      <c r="M2916">
        <v>610</v>
      </c>
      <c r="N2916">
        <v>0.1</v>
      </c>
      <c r="O2916" s="3">
        <v>602.71</v>
      </c>
      <c r="P2916" s="3">
        <v>0.16</v>
      </c>
      <c r="Q2916" s="3">
        <v>775.47</v>
      </c>
      <c r="R2916" s="3">
        <v>0.2</v>
      </c>
      <c r="S2916">
        <v>2</v>
      </c>
      <c r="T2916">
        <v>1331.23</v>
      </c>
      <c r="U2916">
        <v>35</v>
      </c>
      <c r="V2916">
        <v>0</v>
      </c>
      <c r="W2916">
        <v>726.02</v>
      </c>
      <c r="X2916">
        <v>2458.62</v>
      </c>
      <c r="Y2916" t="s">
        <v>31</v>
      </c>
      <c r="Z2916" s="3">
        <v>754.88</v>
      </c>
      <c r="AA2916" t="s">
        <v>47</v>
      </c>
      <c r="AB2916" t="s">
        <v>44</v>
      </c>
      <c r="AC2916">
        <v>19.600000000000001</v>
      </c>
      <c r="AD2916" t="s">
        <v>43</v>
      </c>
      <c r="AE2916">
        <v>43.94</v>
      </c>
      <c r="AF2916">
        <v>0</v>
      </c>
    </row>
    <row r="2917" spans="3:32" x14ac:dyDescent="0.35">
      <c r="C2917" s="1">
        <v>45206</v>
      </c>
      <c r="D2917" s="2">
        <v>45200</v>
      </c>
      <c r="E2917">
        <v>1575</v>
      </c>
      <c r="F2917" s="3">
        <v>6577.71</v>
      </c>
      <c r="G2917" s="3">
        <v>3415.79</v>
      </c>
      <c r="H2917" s="3">
        <v>3161.92</v>
      </c>
      <c r="I2917" s="3">
        <v>0.52</v>
      </c>
      <c r="J2917">
        <v>0.34</v>
      </c>
      <c r="K2917">
        <v>2234.61</v>
      </c>
      <c r="L2917" t="s">
        <v>39</v>
      </c>
      <c r="M2917">
        <v>787</v>
      </c>
      <c r="N2917">
        <v>0.32</v>
      </c>
      <c r="O2917" s="3">
        <v>471.39</v>
      </c>
      <c r="P2917" s="3">
        <v>7.0000000000000007E-2</v>
      </c>
      <c r="Q2917" s="3">
        <v>651.29</v>
      </c>
      <c r="R2917" s="3">
        <v>0.1</v>
      </c>
      <c r="S2917">
        <v>8</v>
      </c>
      <c r="T2917">
        <v>371.98</v>
      </c>
      <c r="U2917">
        <v>37</v>
      </c>
      <c r="V2917">
        <v>0</v>
      </c>
      <c r="W2917">
        <v>392.6</v>
      </c>
      <c r="X2917">
        <v>2439.4</v>
      </c>
      <c r="Y2917" t="s">
        <v>36</v>
      </c>
      <c r="Z2917" s="3">
        <v>1662.06</v>
      </c>
      <c r="AA2917" t="s">
        <v>47</v>
      </c>
      <c r="AB2917" t="s">
        <v>42</v>
      </c>
      <c r="AC2917">
        <v>92.6</v>
      </c>
      <c r="AD2917" t="s">
        <v>43</v>
      </c>
      <c r="AE2917">
        <v>3161.92</v>
      </c>
      <c r="AF2917">
        <v>1</v>
      </c>
    </row>
    <row r="2918" spans="3:32" x14ac:dyDescent="0.35">
      <c r="C2918" s="1">
        <v>45206</v>
      </c>
      <c r="D2918" s="2">
        <v>45200</v>
      </c>
      <c r="E2918">
        <v>1260</v>
      </c>
      <c r="F2918" s="3">
        <v>2971.84</v>
      </c>
      <c r="G2918" s="3">
        <v>4285.42</v>
      </c>
      <c r="H2918" s="3">
        <v>-1313.58</v>
      </c>
      <c r="I2918" s="3">
        <v>1.44</v>
      </c>
      <c r="J2918">
        <v>0.27</v>
      </c>
      <c r="K2918">
        <v>2372.9</v>
      </c>
      <c r="L2918" t="s">
        <v>30</v>
      </c>
      <c r="M2918">
        <v>606</v>
      </c>
      <c r="N2918">
        <v>0.25</v>
      </c>
      <c r="O2918" s="3">
        <v>624.85</v>
      </c>
      <c r="P2918" s="3">
        <v>0.21</v>
      </c>
      <c r="Q2918" s="3">
        <v>251.53</v>
      </c>
      <c r="R2918" s="3">
        <v>0.08</v>
      </c>
      <c r="S2918">
        <v>3</v>
      </c>
      <c r="T2918">
        <v>1225.5899999999999</v>
      </c>
      <c r="U2918">
        <v>51</v>
      </c>
      <c r="V2918">
        <v>0</v>
      </c>
      <c r="W2918">
        <v>615.97</v>
      </c>
      <c r="X2918">
        <v>1617.93</v>
      </c>
      <c r="Y2918" t="s">
        <v>36</v>
      </c>
      <c r="Z2918" s="3">
        <v>1456.88</v>
      </c>
      <c r="AA2918" t="s">
        <v>47</v>
      </c>
      <c r="AB2918" t="s">
        <v>33</v>
      </c>
      <c r="AC2918">
        <v>46.8</v>
      </c>
      <c r="AD2918" t="s">
        <v>34</v>
      </c>
      <c r="AE2918">
        <v>0</v>
      </c>
      <c r="AF2918">
        <v>0</v>
      </c>
    </row>
    <row r="2919" spans="3:32" x14ac:dyDescent="0.35">
      <c r="C2919" s="1">
        <v>45206</v>
      </c>
      <c r="D2919" s="2">
        <v>45200</v>
      </c>
      <c r="E2919">
        <v>1192</v>
      </c>
      <c r="F2919" s="3">
        <v>4153.46</v>
      </c>
      <c r="G2919" s="3">
        <v>2379.73</v>
      </c>
      <c r="H2919" s="3">
        <v>1773.73</v>
      </c>
      <c r="I2919" s="3">
        <v>0.56999999999999995</v>
      </c>
      <c r="J2919">
        <v>0.11</v>
      </c>
      <c r="K2919">
        <v>2829.91</v>
      </c>
      <c r="L2919" t="s">
        <v>39</v>
      </c>
      <c r="M2919">
        <v>688</v>
      </c>
      <c r="N2919">
        <v>0.44</v>
      </c>
      <c r="O2919" s="3">
        <v>545.29999999999995</v>
      </c>
      <c r="P2919" s="3">
        <v>0.13</v>
      </c>
      <c r="Q2919" s="3">
        <v>251.99</v>
      </c>
      <c r="R2919" s="3">
        <v>0.06</v>
      </c>
      <c r="S2919">
        <v>4</v>
      </c>
      <c r="T2919">
        <v>1626.61</v>
      </c>
      <c r="U2919">
        <v>81</v>
      </c>
      <c r="V2919">
        <v>0</v>
      </c>
      <c r="W2919">
        <v>733.31</v>
      </c>
      <c r="X2919">
        <v>1630.62</v>
      </c>
      <c r="Y2919" t="s">
        <v>36</v>
      </c>
      <c r="Z2919" s="3">
        <v>903.09</v>
      </c>
      <c r="AA2919" t="s">
        <v>46</v>
      </c>
      <c r="AB2919" t="s">
        <v>44</v>
      </c>
      <c r="AC2919">
        <v>14.5</v>
      </c>
      <c r="AD2919" t="s">
        <v>34</v>
      </c>
      <c r="AE2919">
        <v>1773.73</v>
      </c>
      <c r="AF2919">
        <v>0</v>
      </c>
    </row>
    <row r="2920" spans="3:32" x14ac:dyDescent="0.35">
      <c r="C2920" s="1">
        <v>45206</v>
      </c>
      <c r="D2920" s="2">
        <v>45200</v>
      </c>
      <c r="E2920">
        <v>1899</v>
      </c>
      <c r="F2920" s="3">
        <v>6398.69</v>
      </c>
      <c r="G2920" s="3">
        <v>4022.54</v>
      </c>
      <c r="H2920" s="3">
        <v>2376.15</v>
      </c>
      <c r="I2920" s="3">
        <v>0.63</v>
      </c>
      <c r="J2920">
        <v>0.36</v>
      </c>
      <c r="K2920">
        <v>1700.95</v>
      </c>
      <c r="L2920" t="s">
        <v>35</v>
      </c>
      <c r="M2920">
        <v>746</v>
      </c>
      <c r="N2920">
        <v>0.32</v>
      </c>
      <c r="O2920" s="3">
        <v>545.66</v>
      </c>
      <c r="P2920" s="3">
        <v>0.09</v>
      </c>
      <c r="Q2920" s="3">
        <v>658.45</v>
      </c>
      <c r="R2920" s="3">
        <v>0.1</v>
      </c>
      <c r="S2920">
        <v>4</v>
      </c>
      <c r="T2920">
        <v>981.18</v>
      </c>
      <c r="U2920">
        <v>70</v>
      </c>
      <c r="V2920">
        <v>0</v>
      </c>
      <c r="W2920">
        <v>615.02</v>
      </c>
      <c r="X2920">
        <v>2081.12</v>
      </c>
      <c r="Y2920" t="s">
        <v>36</v>
      </c>
      <c r="Z2920" s="3">
        <v>1711</v>
      </c>
      <c r="AA2920" t="s">
        <v>48</v>
      </c>
      <c r="AB2920" t="s">
        <v>42</v>
      </c>
      <c r="AC2920">
        <v>51.7</v>
      </c>
      <c r="AD2920" t="s">
        <v>38</v>
      </c>
      <c r="AE2920">
        <v>2376.15</v>
      </c>
      <c r="AF2920">
        <v>1</v>
      </c>
    </row>
    <row r="2921" spans="3:32" x14ac:dyDescent="0.35">
      <c r="C2921" s="1">
        <v>45206</v>
      </c>
      <c r="D2921" s="2">
        <v>45200</v>
      </c>
      <c r="E2921">
        <v>1575</v>
      </c>
      <c r="F2921" s="3">
        <v>4786.91</v>
      </c>
      <c r="G2921" s="3">
        <v>2609.64</v>
      </c>
      <c r="H2921" s="3">
        <v>2177.27</v>
      </c>
      <c r="I2921" s="3">
        <v>0.55000000000000004</v>
      </c>
      <c r="J2921">
        <v>0.34</v>
      </c>
      <c r="K2921">
        <v>2861.68</v>
      </c>
      <c r="L2921" t="s">
        <v>35</v>
      </c>
      <c r="M2921">
        <v>807</v>
      </c>
      <c r="N2921">
        <v>0.49</v>
      </c>
      <c r="O2921" s="3">
        <v>634.97</v>
      </c>
      <c r="P2921" s="3">
        <v>0.13</v>
      </c>
      <c r="Q2921" s="3">
        <v>358.59</v>
      </c>
      <c r="R2921" s="3">
        <v>7.0000000000000007E-2</v>
      </c>
      <c r="S2921">
        <v>6</v>
      </c>
      <c r="T2921">
        <v>199.43</v>
      </c>
      <c r="U2921">
        <v>50</v>
      </c>
      <c r="V2921">
        <v>0</v>
      </c>
      <c r="W2921">
        <v>180.51</v>
      </c>
      <c r="X2921">
        <v>2078.15</v>
      </c>
      <c r="Y2921" t="s">
        <v>31</v>
      </c>
      <c r="Z2921" s="3">
        <v>1738.27</v>
      </c>
      <c r="AA2921" t="s">
        <v>46</v>
      </c>
      <c r="AB2921" t="s">
        <v>33</v>
      </c>
      <c r="AC2921">
        <v>99.4</v>
      </c>
      <c r="AD2921" t="s">
        <v>38</v>
      </c>
      <c r="AE2921">
        <v>2177.27</v>
      </c>
      <c r="AF2921">
        <v>0</v>
      </c>
    </row>
    <row r="2922" spans="3:32" x14ac:dyDescent="0.35">
      <c r="C2922" s="1">
        <v>45206</v>
      </c>
      <c r="D2922" s="2">
        <v>45200</v>
      </c>
      <c r="E2922">
        <v>1126</v>
      </c>
      <c r="F2922" s="3">
        <v>4832.32</v>
      </c>
      <c r="G2922" s="3">
        <v>3022.15</v>
      </c>
      <c r="H2922" s="3">
        <v>1810.17</v>
      </c>
      <c r="I2922" s="3">
        <v>0.63</v>
      </c>
      <c r="J2922">
        <v>0.35</v>
      </c>
      <c r="K2922">
        <v>2763.64</v>
      </c>
      <c r="L2922" t="s">
        <v>39</v>
      </c>
      <c r="M2922">
        <v>670</v>
      </c>
      <c r="N2922">
        <v>0.17</v>
      </c>
      <c r="O2922" s="3">
        <v>376.52</v>
      </c>
      <c r="P2922" s="3">
        <v>0.08</v>
      </c>
      <c r="Q2922" s="3">
        <v>308.44</v>
      </c>
      <c r="R2922" s="3">
        <v>0.06</v>
      </c>
      <c r="S2922">
        <v>1</v>
      </c>
      <c r="T2922">
        <v>1797.72</v>
      </c>
      <c r="U2922">
        <v>55</v>
      </c>
      <c r="V2922">
        <v>0</v>
      </c>
      <c r="W2922">
        <v>290.22000000000003</v>
      </c>
      <c r="X2922">
        <v>1370.3</v>
      </c>
      <c r="Y2922" t="s">
        <v>49</v>
      </c>
      <c r="Z2922" s="3">
        <v>1585.73</v>
      </c>
      <c r="AA2922" t="s">
        <v>32</v>
      </c>
      <c r="AB2922" t="s">
        <v>33</v>
      </c>
      <c r="AC2922">
        <v>26.1</v>
      </c>
      <c r="AD2922" t="s">
        <v>43</v>
      </c>
      <c r="AE2922">
        <v>1810.17</v>
      </c>
      <c r="AF2922">
        <v>0</v>
      </c>
    </row>
    <row r="2923" spans="3:32" x14ac:dyDescent="0.35">
      <c r="C2923" s="1">
        <v>45206</v>
      </c>
      <c r="D2923" s="2">
        <v>45200</v>
      </c>
      <c r="E2923">
        <v>1149</v>
      </c>
      <c r="F2923" s="3">
        <v>5549.63</v>
      </c>
      <c r="G2923" s="3">
        <v>3175.02</v>
      </c>
      <c r="H2923" s="3">
        <v>2374.61</v>
      </c>
      <c r="I2923" s="3">
        <v>0.56999999999999995</v>
      </c>
      <c r="J2923">
        <v>0.15</v>
      </c>
      <c r="K2923">
        <v>2398.8200000000002</v>
      </c>
      <c r="L2923" t="s">
        <v>35</v>
      </c>
      <c r="M2923">
        <v>595</v>
      </c>
      <c r="N2923">
        <v>0.52</v>
      </c>
      <c r="O2923" s="3">
        <v>586.84</v>
      </c>
      <c r="P2923" s="3">
        <v>0.11</v>
      </c>
      <c r="Q2923" s="3">
        <v>641.09</v>
      </c>
      <c r="R2923" s="3">
        <v>0.12</v>
      </c>
      <c r="S2923">
        <v>9</v>
      </c>
      <c r="T2923">
        <v>1166.6199999999999</v>
      </c>
      <c r="U2923">
        <v>89</v>
      </c>
      <c r="V2923">
        <v>0</v>
      </c>
      <c r="W2923">
        <v>599.47</v>
      </c>
      <c r="X2923">
        <v>2879.58</v>
      </c>
      <c r="Y2923" t="s">
        <v>36</v>
      </c>
      <c r="Z2923" s="3">
        <v>1092.28</v>
      </c>
      <c r="AA2923" t="s">
        <v>51</v>
      </c>
      <c r="AB2923" t="s">
        <v>33</v>
      </c>
      <c r="AC2923">
        <v>45</v>
      </c>
      <c r="AD2923" t="s">
        <v>34</v>
      </c>
      <c r="AE2923">
        <v>2374.61</v>
      </c>
      <c r="AF2923">
        <v>0</v>
      </c>
    </row>
    <row r="2924" spans="3:32" x14ac:dyDescent="0.35">
      <c r="C2924" s="1">
        <v>45206</v>
      </c>
      <c r="D2924" s="2">
        <v>45200</v>
      </c>
      <c r="E2924">
        <v>1703</v>
      </c>
      <c r="F2924" s="3">
        <v>5223.46</v>
      </c>
      <c r="G2924" s="3">
        <v>3049.92</v>
      </c>
      <c r="H2924" s="3">
        <v>2173.54</v>
      </c>
      <c r="I2924" s="3">
        <v>0.57999999999999996</v>
      </c>
      <c r="J2924">
        <v>0.14000000000000001</v>
      </c>
      <c r="K2924">
        <v>3008.39</v>
      </c>
      <c r="L2924" t="s">
        <v>30</v>
      </c>
      <c r="M2924">
        <v>643</v>
      </c>
      <c r="N2924">
        <v>0.16</v>
      </c>
      <c r="O2924" s="3">
        <v>796.37</v>
      </c>
      <c r="P2924" s="3">
        <v>0.15</v>
      </c>
      <c r="Q2924" s="3">
        <v>0</v>
      </c>
      <c r="R2924" s="3">
        <v>0</v>
      </c>
      <c r="S2924">
        <v>2</v>
      </c>
      <c r="T2924">
        <v>659.47</v>
      </c>
      <c r="U2924">
        <v>78</v>
      </c>
      <c r="V2924">
        <v>0</v>
      </c>
      <c r="W2924">
        <v>368.79</v>
      </c>
      <c r="X2924">
        <v>2756.54</v>
      </c>
      <c r="Y2924" t="s">
        <v>36</v>
      </c>
      <c r="Z2924" s="3">
        <v>2016.03</v>
      </c>
      <c r="AA2924" t="s">
        <v>48</v>
      </c>
      <c r="AB2924" t="s">
        <v>33</v>
      </c>
      <c r="AC2924">
        <v>18.5</v>
      </c>
      <c r="AD2924" t="s">
        <v>38</v>
      </c>
      <c r="AE2924">
        <v>2173.54</v>
      </c>
      <c r="AF2924">
        <v>0</v>
      </c>
    </row>
    <row r="2925" spans="3:32" x14ac:dyDescent="0.35">
      <c r="C2925" s="1">
        <v>45206</v>
      </c>
      <c r="D2925" s="2">
        <v>45200</v>
      </c>
      <c r="E2925">
        <v>1137</v>
      </c>
      <c r="F2925" s="3">
        <v>3688.64</v>
      </c>
      <c r="G2925" s="3">
        <v>2393.4899999999998</v>
      </c>
      <c r="H2925" s="3">
        <v>1295.1500000000001</v>
      </c>
      <c r="I2925" s="3">
        <v>0.65</v>
      </c>
      <c r="J2925">
        <v>0.18</v>
      </c>
      <c r="K2925">
        <v>2847.23</v>
      </c>
      <c r="L2925" t="s">
        <v>35</v>
      </c>
      <c r="M2925">
        <v>664</v>
      </c>
      <c r="N2925">
        <v>0.52</v>
      </c>
      <c r="O2925" s="3">
        <v>207.58</v>
      </c>
      <c r="P2925" s="3">
        <v>0.06</v>
      </c>
      <c r="Q2925" s="3">
        <v>192.45</v>
      </c>
      <c r="R2925" s="3">
        <v>0.05</v>
      </c>
      <c r="S2925">
        <v>9</v>
      </c>
      <c r="T2925">
        <v>1857.33</v>
      </c>
      <c r="U2925">
        <v>62</v>
      </c>
      <c r="V2925">
        <v>0</v>
      </c>
      <c r="W2925">
        <v>542.26</v>
      </c>
      <c r="X2925">
        <v>2242.48</v>
      </c>
      <c r="Y2925" t="s">
        <v>36</v>
      </c>
      <c r="Z2925" s="3">
        <v>1443.14</v>
      </c>
      <c r="AA2925" t="s">
        <v>51</v>
      </c>
      <c r="AB2925" t="s">
        <v>33</v>
      </c>
      <c r="AC2925">
        <v>76.8</v>
      </c>
      <c r="AD2925" t="s">
        <v>34</v>
      </c>
      <c r="AE2925">
        <v>1295.1500000000001</v>
      </c>
      <c r="AF2925">
        <v>0</v>
      </c>
    </row>
    <row r="2926" spans="3:32" x14ac:dyDescent="0.35">
      <c r="C2926" s="1">
        <v>45206</v>
      </c>
      <c r="D2926" s="2">
        <v>45200</v>
      </c>
      <c r="E2926">
        <v>1764</v>
      </c>
      <c r="F2926" s="3">
        <v>3548.34</v>
      </c>
      <c r="G2926" s="3">
        <v>2338.92</v>
      </c>
      <c r="H2926" s="3">
        <v>1209.42</v>
      </c>
      <c r="I2926" s="3">
        <v>0.66</v>
      </c>
      <c r="J2926">
        <v>0.32</v>
      </c>
      <c r="K2926">
        <v>2499.1</v>
      </c>
      <c r="L2926" t="s">
        <v>39</v>
      </c>
      <c r="M2926">
        <v>646</v>
      </c>
      <c r="N2926">
        <v>0.42</v>
      </c>
      <c r="O2926" s="3">
        <v>335.91</v>
      </c>
      <c r="P2926" s="3">
        <v>0.09</v>
      </c>
      <c r="Q2926" s="3">
        <v>83.15</v>
      </c>
      <c r="R2926" s="3">
        <v>0.02</v>
      </c>
      <c r="S2926">
        <v>2</v>
      </c>
      <c r="T2926">
        <v>1344.89</v>
      </c>
      <c r="U2926">
        <v>36</v>
      </c>
      <c r="V2926">
        <v>0</v>
      </c>
      <c r="W2926">
        <v>561.44000000000005</v>
      </c>
      <c r="X2926">
        <v>3068.61</v>
      </c>
      <c r="Y2926" t="s">
        <v>36</v>
      </c>
      <c r="Z2926" s="3">
        <v>939.26</v>
      </c>
      <c r="AA2926" t="s">
        <v>37</v>
      </c>
      <c r="AB2926" t="s">
        <v>42</v>
      </c>
      <c r="AC2926">
        <v>90.2</v>
      </c>
      <c r="AD2926" t="s">
        <v>43</v>
      </c>
      <c r="AE2926">
        <v>1209.42</v>
      </c>
      <c r="AF2926">
        <v>0</v>
      </c>
    </row>
    <row r="2927" spans="3:32" x14ac:dyDescent="0.35">
      <c r="C2927" s="1">
        <v>45206</v>
      </c>
      <c r="D2927" s="2">
        <v>45200</v>
      </c>
      <c r="E2927">
        <v>1171</v>
      </c>
      <c r="F2927" s="3">
        <v>5306.27</v>
      </c>
      <c r="G2927" s="3">
        <v>3696.89</v>
      </c>
      <c r="H2927" s="3">
        <v>1609.38</v>
      </c>
      <c r="I2927" s="3">
        <v>0.7</v>
      </c>
      <c r="J2927">
        <v>0.08</v>
      </c>
      <c r="K2927">
        <v>3383.34</v>
      </c>
      <c r="L2927" t="s">
        <v>35</v>
      </c>
      <c r="M2927">
        <v>699</v>
      </c>
      <c r="N2927">
        <v>0.57999999999999996</v>
      </c>
      <c r="O2927" s="3">
        <v>700.74</v>
      </c>
      <c r="P2927" s="3">
        <v>0.13</v>
      </c>
      <c r="Q2927" s="3">
        <v>543.37</v>
      </c>
      <c r="R2927" s="3">
        <v>0.1</v>
      </c>
      <c r="S2927">
        <v>8</v>
      </c>
      <c r="T2927">
        <v>808.38</v>
      </c>
      <c r="U2927">
        <v>29</v>
      </c>
      <c r="V2927">
        <v>0</v>
      </c>
      <c r="W2927">
        <v>977.02</v>
      </c>
      <c r="X2927">
        <v>2531.66</v>
      </c>
      <c r="Y2927" t="s">
        <v>36</v>
      </c>
      <c r="Z2927" s="3">
        <v>1411.12</v>
      </c>
      <c r="AA2927" t="s">
        <v>51</v>
      </c>
      <c r="AB2927" t="s">
        <v>33</v>
      </c>
      <c r="AC2927">
        <v>25.7</v>
      </c>
      <c r="AD2927" t="s">
        <v>38</v>
      </c>
      <c r="AE2927">
        <v>1609.38</v>
      </c>
      <c r="AF2927">
        <v>0</v>
      </c>
    </row>
    <row r="2928" spans="3:32" x14ac:dyDescent="0.35">
      <c r="C2928" s="1">
        <v>45206</v>
      </c>
      <c r="D2928" s="2">
        <v>45200</v>
      </c>
      <c r="E2928">
        <v>1359</v>
      </c>
      <c r="F2928" s="3">
        <v>4057.35</v>
      </c>
      <c r="G2928" s="3">
        <v>2628.82</v>
      </c>
      <c r="H2928" s="3">
        <v>1428.53</v>
      </c>
      <c r="I2928" s="3">
        <v>0.65</v>
      </c>
      <c r="J2928">
        <v>0.24</v>
      </c>
      <c r="K2928">
        <v>1907.53</v>
      </c>
      <c r="L2928" t="s">
        <v>39</v>
      </c>
      <c r="M2928">
        <v>637</v>
      </c>
      <c r="N2928">
        <v>0.36</v>
      </c>
      <c r="O2928" s="3">
        <v>827.69</v>
      </c>
      <c r="P2928" s="3">
        <v>0.2</v>
      </c>
      <c r="Q2928" s="3">
        <v>333.87</v>
      </c>
      <c r="R2928" s="3">
        <v>0.08</v>
      </c>
      <c r="S2928">
        <v>6</v>
      </c>
      <c r="T2928">
        <v>1131.5899999999999</v>
      </c>
      <c r="U2928">
        <v>74</v>
      </c>
      <c r="V2928">
        <v>0</v>
      </c>
      <c r="W2928">
        <v>539.71</v>
      </c>
      <c r="X2928">
        <v>1918.68</v>
      </c>
      <c r="Y2928" t="s">
        <v>36</v>
      </c>
      <c r="Z2928" s="3">
        <v>883.56</v>
      </c>
      <c r="AA2928" t="s">
        <v>45</v>
      </c>
      <c r="AB2928" t="s">
        <v>33</v>
      </c>
      <c r="AC2928">
        <v>93.1</v>
      </c>
      <c r="AD2928" t="s">
        <v>43</v>
      </c>
      <c r="AE2928">
        <v>1428.53</v>
      </c>
      <c r="AF2928">
        <v>0</v>
      </c>
    </row>
    <row r="2929" spans="3:32" x14ac:dyDescent="0.35">
      <c r="C2929" s="1">
        <v>45206</v>
      </c>
      <c r="D2929" s="2">
        <v>45200</v>
      </c>
      <c r="E2929">
        <v>1927</v>
      </c>
      <c r="F2929" s="3">
        <v>4096.16</v>
      </c>
      <c r="G2929" s="3">
        <v>1338.47</v>
      </c>
      <c r="H2929" s="3">
        <v>2757.69</v>
      </c>
      <c r="I2929" s="3">
        <v>0.33</v>
      </c>
      <c r="J2929">
        <v>0.25</v>
      </c>
      <c r="K2929">
        <v>2767.26</v>
      </c>
      <c r="L2929" t="s">
        <v>39</v>
      </c>
      <c r="M2929">
        <v>654</v>
      </c>
      <c r="N2929">
        <v>0.47</v>
      </c>
      <c r="O2929" s="3">
        <v>550.47</v>
      </c>
      <c r="P2929" s="3">
        <v>0.13</v>
      </c>
      <c r="Q2929" s="3">
        <v>405.9</v>
      </c>
      <c r="R2929" s="3">
        <v>0.1</v>
      </c>
      <c r="S2929">
        <v>8</v>
      </c>
      <c r="T2929">
        <v>602.69000000000005</v>
      </c>
      <c r="U2929">
        <v>99</v>
      </c>
      <c r="V2929">
        <v>0</v>
      </c>
      <c r="W2929">
        <v>432.5</v>
      </c>
      <c r="X2929">
        <v>2397.42</v>
      </c>
      <c r="Y2929" t="s">
        <v>36</v>
      </c>
      <c r="Z2929" s="3">
        <v>1323.8</v>
      </c>
      <c r="AA2929" t="s">
        <v>47</v>
      </c>
      <c r="AB2929" t="s">
        <v>33</v>
      </c>
      <c r="AC2929">
        <v>80.8</v>
      </c>
      <c r="AD2929" t="s">
        <v>34</v>
      </c>
      <c r="AE2929">
        <v>2757.69</v>
      </c>
      <c r="AF2929">
        <v>0</v>
      </c>
    </row>
    <row r="2930" spans="3:32" x14ac:dyDescent="0.35">
      <c r="C2930" s="1">
        <v>45206</v>
      </c>
      <c r="D2930" s="2">
        <v>45200</v>
      </c>
      <c r="E2930">
        <v>1743</v>
      </c>
      <c r="F2930" s="3">
        <v>5524.03</v>
      </c>
      <c r="G2930" s="3">
        <v>3049.45</v>
      </c>
      <c r="H2930" s="3">
        <v>2474.58</v>
      </c>
      <c r="I2930" s="3">
        <v>0.55000000000000004</v>
      </c>
      <c r="J2930">
        <v>0.19</v>
      </c>
      <c r="K2930">
        <v>2638.43</v>
      </c>
      <c r="L2930" t="s">
        <v>35</v>
      </c>
      <c r="M2930">
        <v>694</v>
      </c>
      <c r="N2930">
        <v>0.16</v>
      </c>
      <c r="O2930" s="3">
        <v>347.43</v>
      </c>
      <c r="P2930" s="3">
        <v>0.06</v>
      </c>
      <c r="Q2930" s="3">
        <v>336.43</v>
      </c>
      <c r="R2930" s="3">
        <v>0.06</v>
      </c>
      <c r="S2930">
        <v>6</v>
      </c>
      <c r="T2930">
        <v>1386.71</v>
      </c>
      <c r="U2930">
        <v>59</v>
      </c>
      <c r="V2930">
        <v>0</v>
      </c>
      <c r="W2930">
        <v>606.53</v>
      </c>
      <c r="X2930">
        <v>2229.71</v>
      </c>
      <c r="Y2930" t="s">
        <v>36</v>
      </c>
      <c r="Z2930" s="3">
        <v>2146</v>
      </c>
      <c r="AA2930" t="s">
        <v>45</v>
      </c>
      <c r="AB2930" t="s">
        <v>33</v>
      </c>
      <c r="AC2930">
        <v>88.1</v>
      </c>
      <c r="AD2930" t="s">
        <v>43</v>
      </c>
      <c r="AE2930">
        <v>2474.58</v>
      </c>
      <c r="AF2930">
        <v>0</v>
      </c>
    </row>
    <row r="2931" spans="3:32" x14ac:dyDescent="0.35">
      <c r="C2931" s="1">
        <v>45206</v>
      </c>
      <c r="D2931" s="2">
        <v>45200</v>
      </c>
      <c r="E2931">
        <v>1232</v>
      </c>
      <c r="F2931" s="3">
        <v>3708.16</v>
      </c>
      <c r="G2931" s="3">
        <v>2684.72</v>
      </c>
      <c r="H2931" s="3">
        <v>1023.44</v>
      </c>
      <c r="I2931" s="3">
        <v>0.72</v>
      </c>
      <c r="J2931">
        <v>0.18</v>
      </c>
      <c r="K2931">
        <v>2564.35</v>
      </c>
      <c r="L2931" t="s">
        <v>35</v>
      </c>
      <c r="M2931">
        <v>644</v>
      </c>
      <c r="N2931">
        <v>0.49</v>
      </c>
      <c r="O2931" s="3">
        <v>676.63</v>
      </c>
      <c r="P2931" s="3">
        <v>0.18</v>
      </c>
      <c r="Q2931" s="3">
        <v>547.28</v>
      </c>
      <c r="R2931" s="3">
        <v>0.15</v>
      </c>
      <c r="S2931">
        <v>7</v>
      </c>
      <c r="T2931">
        <v>0</v>
      </c>
      <c r="U2931">
        <v>39</v>
      </c>
      <c r="V2931">
        <v>0</v>
      </c>
      <c r="W2931">
        <v>557.38</v>
      </c>
      <c r="X2931">
        <v>1660.45</v>
      </c>
      <c r="Y2931" t="s">
        <v>36</v>
      </c>
      <c r="Z2931" s="3">
        <v>1372.48</v>
      </c>
      <c r="AA2931" t="s">
        <v>40</v>
      </c>
      <c r="AB2931" t="s">
        <v>44</v>
      </c>
      <c r="AC2931">
        <v>6.6</v>
      </c>
      <c r="AD2931" t="s">
        <v>38</v>
      </c>
      <c r="AE2931">
        <v>1023.44</v>
      </c>
      <c r="AF2931">
        <v>0</v>
      </c>
    </row>
    <row r="2932" spans="3:32" x14ac:dyDescent="0.35">
      <c r="C2932" s="1">
        <v>45206</v>
      </c>
      <c r="D2932" s="2">
        <v>45200</v>
      </c>
      <c r="E2932">
        <v>1153</v>
      </c>
      <c r="F2932" s="3">
        <v>4012.15</v>
      </c>
      <c r="G2932" s="3">
        <v>3452.36</v>
      </c>
      <c r="H2932" s="3">
        <v>559.79</v>
      </c>
      <c r="I2932" s="3">
        <v>0.86</v>
      </c>
      <c r="J2932">
        <v>0.32</v>
      </c>
      <c r="K2932">
        <v>2098.94</v>
      </c>
      <c r="L2932" t="s">
        <v>35</v>
      </c>
      <c r="M2932">
        <v>669</v>
      </c>
      <c r="N2932">
        <v>0.13</v>
      </c>
      <c r="O2932" s="3">
        <v>554.36</v>
      </c>
      <c r="P2932" s="3">
        <v>0.14000000000000001</v>
      </c>
      <c r="Q2932" s="3">
        <v>509.31</v>
      </c>
      <c r="R2932" s="3">
        <v>0.13</v>
      </c>
      <c r="S2932">
        <v>2</v>
      </c>
      <c r="T2932">
        <v>2282.94</v>
      </c>
      <c r="U2932">
        <v>73</v>
      </c>
      <c r="V2932">
        <v>0</v>
      </c>
      <c r="W2932">
        <v>499.34</v>
      </c>
      <c r="X2932">
        <v>2079.25</v>
      </c>
      <c r="Y2932" t="s">
        <v>36</v>
      </c>
      <c r="Z2932" s="3">
        <v>567.54999999999995</v>
      </c>
      <c r="AA2932" t="s">
        <v>32</v>
      </c>
      <c r="AB2932" t="s">
        <v>42</v>
      </c>
      <c r="AC2932">
        <v>22.4</v>
      </c>
      <c r="AD2932" t="s">
        <v>43</v>
      </c>
      <c r="AE2932">
        <v>559.79</v>
      </c>
      <c r="AF2932">
        <v>0</v>
      </c>
    </row>
    <row r="2933" spans="3:32" x14ac:dyDescent="0.35">
      <c r="C2933" s="1">
        <v>45206</v>
      </c>
      <c r="D2933" s="2">
        <v>45200</v>
      </c>
      <c r="E2933">
        <v>1770</v>
      </c>
      <c r="F2933" s="3">
        <v>3151.96</v>
      </c>
      <c r="G2933" s="3">
        <v>2472.65</v>
      </c>
      <c r="H2933" s="3">
        <v>679.31</v>
      </c>
      <c r="I2933" s="3">
        <v>0.78</v>
      </c>
      <c r="J2933">
        <v>0.15</v>
      </c>
      <c r="K2933">
        <v>2128.48</v>
      </c>
      <c r="L2933" t="s">
        <v>35</v>
      </c>
      <c r="M2933">
        <v>656</v>
      </c>
      <c r="N2933">
        <v>0.12</v>
      </c>
      <c r="O2933" s="3">
        <v>795.81</v>
      </c>
      <c r="P2933" s="3">
        <v>0.25</v>
      </c>
      <c r="Q2933" s="3">
        <v>194.65</v>
      </c>
      <c r="R2933" s="3">
        <v>0.06</v>
      </c>
      <c r="S2933">
        <v>2</v>
      </c>
      <c r="T2933">
        <v>1152.45</v>
      </c>
      <c r="U2933">
        <v>29</v>
      </c>
      <c r="V2933">
        <v>0</v>
      </c>
      <c r="W2933">
        <v>131.05000000000001</v>
      </c>
      <c r="X2933">
        <v>1802.04</v>
      </c>
      <c r="Y2933" t="s">
        <v>36</v>
      </c>
      <c r="Z2933" s="3">
        <v>1549.68</v>
      </c>
      <c r="AA2933" t="s">
        <v>51</v>
      </c>
      <c r="AB2933" t="s">
        <v>33</v>
      </c>
      <c r="AC2933">
        <v>29.2</v>
      </c>
      <c r="AD2933" t="s">
        <v>38</v>
      </c>
      <c r="AE2933">
        <v>679.31</v>
      </c>
      <c r="AF2933">
        <v>0</v>
      </c>
    </row>
    <row r="2934" spans="3:32" x14ac:dyDescent="0.35">
      <c r="C2934" s="1">
        <v>45206</v>
      </c>
      <c r="D2934" s="2">
        <v>45200</v>
      </c>
      <c r="E2934">
        <v>1821</v>
      </c>
      <c r="F2934" s="3">
        <v>3971.76</v>
      </c>
      <c r="G2934" s="3">
        <v>3619.08</v>
      </c>
      <c r="H2934" s="3">
        <v>352.68</v>
      </c>
      <c r="I2934" s="3">
        <v>0.91</v>
      </c>
      <c r="J2934">
        <v>0.16</v>
      </c>
      <c r="K2934">
        <v>3010.36</v>
      </c>
      <c r="L2934" t="s">
        <v>35</v>
      </c>
      <c r="M2934">
        <v>621</v>
      </c>
      <c r="N2934">
        <v>0.15</v>
      </c>
      <c r="O2934" s="3">
        <v>553.5</v>
      </c>
      <c r="P2934" s="3">
        <v>0.14000000000000001</v>
      </c>
      <c r="Q2934" s="3">
        <v>349.9</v>
      </c>
      <c r="R2934" s="3">
        <v>0.09</v>
      </c>
      <c r="S2934">
        <v>2</v>
      </c>
      <c r="T2934">
        <v>1257.7</v>
      </c>
      <c r="U2934">
        <v>36</v>
      </c>
      <c r="V2934">
        <v>0</v>
      </c>
      <c r="W2934">
        <v>233.1</v>
      </c>
      <c r="X2934">
        <v>1880.56</v>
      </c>
      <c r="Y2934" t="s">
        <v>49</v>
      </c>
      <c r="Z2934" s="3">
        <v>1066.6199999999999</v>
      </c>
      <c r="AA2934" t="s">
        <v>50</v>
      </c>
      <c r="AB2934" t="s">
        <v>33</v>
      </c>
      <c r="AC2934">
        <v>64.900000000000006</v>
      </c>
      <c r="AD2934" t="s">
        <v>34</v>
      </c>
      <c r="AE2934">
        <v>352.68</v>
      </c>
      <c r="AF2934">
        <v>0</v>
      </c>
    </row>
    <row r="2935" spans="3:32" x14ac:dyDescent="0.35">
      <c r="C2935" s="1">
        <v>45206</v>
      </c>
      <c r="D2935" s="2">
        <v>45200</v>
      </c>
      <c r="E2935">
        <v>1126</v>
      </c>
      <c r="F2935" s="3">
        <v>5446.46</v>
      </c>
      <c r="G2935" s="3">
        <v>2191.7800000000002</v>
      </c>
      <c r="H2935" s="3">
        <v>3254.68</v>
      </c>
      <c r="I2935" s="3">
        <v>0.4</v>
      </c>
      <c r="J2935">
        <v>0.19</v>
      </c>
      <c r="K2935">
        <v>3530.29</v>
      </c>
      <c r="L2935" t="s">
        <v>35</v>
      </c>
      <c r="M2935">
        <v>615</v>
      </c>
      <c r="N2935">
        <v>0.11</v>
      </c>
      <c r="O2935" s="3">
        <v>141.47</v>
      </c>
      <c r="P2935" s="3">
        <v>0.03</v>
      </c>
      <c r="Q2935" s="3">
        <v>522.14</v>
      </c>
      <c r="R2935" s="3">
        <v>0.1</v>
      </c>
      <c r="S2935">
        <v>5</v>
      </c>
      <c r="T2935">
        <v>1208.54</v>
      </c>
      <c r="U2935">
        <v>85</v>
      </c>
      <c r="V2935">
        <v>0</v>
      </c>
      <c r="W2935">
        <v>614.67999999999995</v>
      </c>
      <c r="X2935">
        <v>2542.08</v>
      </c>
      <c r="Y2935" t="s">
        <v>36</v>
      </c>
      <c r="Z2935" s="3">
        <v>865.5</v>
      </c>
      <c r="AA2935" t="s">
        <v>32</v>
      </c>
      <c r="AB2935" t="s">
        <v>33</v>
      </c>
      <c r="AC2935">
        <v>76.3</v>
      </c>
      <c r="AD2935" t="s">
        <v>34</v>
      </c>
      <c r="AE2935">
        <v>3254.68</v>
      </c>
      <c r="AF2935">
        <v>0</v>
      </c>
    </row>
    <row r="2936" spans="3:32" x14ac:dyDescent="0.35">
      <c r="C2936" s="1">
        <v>45206</v>
      </c>
      <c r="D2936" s="2">
        <v>45200</v>
      </c>
      <c r="E2936">
        <v>1244</v>
      </c>
      <c r="F2936" s="3">
        <v>4046.42</v>
      </c>
      <c r="G2936" s="3">
        <v>3766.9</v>
      </c>
      <c r="H2936" s="3">
        <v>279.52</v>
      </c>
      <c r="I2936" s="3">
        <v>0.93</v>
      </c>
      <c r="J2936">
        <v>0.33</v>
      </c>
      <c r="K2936">
        <v>2778.19</v>
      </c>
      <c r="L2936" t="s">
        <v>35</v>
      </c>
      <c r="M2936">
        <v>657</v>
      </c>
      <c r="N2936">
        <v>0.13</v>
      </c>
      <c r="O2936" s="3">
        <v>214.19</v>
      </c>
      <c r="P2936" s="3">
        <v>0.05</v>
      </c>
      <c r="Q2936" s="3">
        <v>0</v>
      </c>
      <c r="R2936" s="3">
        <v>0</v>
      </c>
      <c r="S2936">
        <v>9</v>
      </c>
      <c r="T2936">
        <v>1627.97</v>
      </c>
      <c r="U2936">
        <v>31</v>
      </c>
      <c r="V2936">
        <v>0</v>
      </c>
      <c r="W2936">
        <v>723.02</v>
      </c>
      <c r="X2936">
        <v>1608.52</v>
      </c>
      <c r="Y2936" t="s">
        <v>36</v>
      </c>
      <c r="Z2936" s="3">
        <v>1015.79</v>
      </c>
      <c r="AA2936" t="s">
        <v>48</v>
      </c>
      <c r="AB2936" t="s">
        <v>33</v>
      </c>
      <c r="AC2936">
        <v>7.5</v>
      </c>
      <c r="AD2936" t="s">
        <v>43</v>
      </c>
      <c r="AE2936">
        <v>279.52</v>
      </c>
      <c r="AF2936">
        <v>0</v>
      </c>
    </row>
    <row r="2937" spans="3:32" x14ac:dyDescent="0.35">
      <c r="C2937" s="1">
        <v>45206</v>
      </c>
      <c r="D2937" s="2">
        <v>45200</v>
      </c>
      <c r="E2937">
        <v>1978</v>
      </c>
      <c r="F2937" s="3">
        <v>3766.28</v>
      </c>
      <c r="G2937" s="3">
        <v>3669.91</v>
      </c>
      <c r="H2937" s="3">
        <v>96.37</v>
      </c>
      <c r="I2937" s="3">
        <v>0.97</v>
      </c>
      <c r="J2937">
        <v>0.28000000000000003</v>
      </c>
      <c r="K2937">
        <v>2631.72</v>
      </c>
      <c r="L2937" t="s">
        <v>35</v>
      </c>
      <c r="M2937">
        <v>721</v>
      </c>
      <c r="N2937">
        <v>0.14000000000000001</v>
      </c>
      <c r="O2937" s="3">
        <v>830.47</v>
      </c>
      <c r="P2937" s="3">
        <v>0.22</v>
      </c>
      <c r="Q2937" s="3">
        <v>501.98</v>
      </c>
      <c r="R2937" s="3">
        <v>0.13</v>
      </c>
      <c r="S2937">
        <v>1</v>
      </c>
      <c r="T2937">
        <v>1167.3900000000001</v>
      </c>
      <c r="U2937">
        <v>27</v>
      </c>
      <c r="V2937">
        <v>0</v>
      </c>
      <c r="W2937">
        <v>497.03</v>
      </c>
      <c r="X2937">
        <v>2884.35</v>
      </c>
      <c r="Y2937" t="s">
        <v>49</v>
      </c>
      <c r="Z2937" s="3">
        <v>1161.8900000000001</v>
      </c>
      <c r="AA2937" t="s">
        <v>47</v>
      </c>
      <c r="AB2937" t="s">
        <v>33</v>
      </c>
      <c r="AC2937">
        <v>70</v>
      </c>
      <c r="AD2937" t="s">
        <v>43</v>
      </c>
      <c r="AE2937">
        <v>96.37</v>
      </c>
      <c r="AF2937">
        <v>0</v>
      </c>
    </row>
    <row r="2938" spans="3:32" x14ac:dyDescent="0.35">
      <c r="C2938" s="1">
        <v>45206</v>
      </c>
      <c r="D2938" s="2">
        <v>45200</v>
      </c>
      <c r="E2938">
        <v>1502</v>
      </c>
      <c r="F2938" s="3">
        <v>3108.18</v>
      </c>
      <c r="G2938" s="3">
        <v>3185.75</v>
      </c>
      <c r="H2938" s="3">
        <v>-77.569999999999993</v>
      </c>
      <c r="I2938" s="3">
        <v>1.02</v>
      </c>
      <c r="J2938">
        <v>0.4</v>
      </c>
      <c r="K2938">
        <v>2978.05</v>
      </c>
      <c r="L2938" t="s">
        <v>30</v>
      </c>
      <c r="M2938">
        <v>755</v>
      </c>
      <c r="N2938">
        <v>0.28000000000000003</v>
      </c>
      <c r="O2938" s="3">
        <v>368.21</v>
      </c>
      <c r="P2938" s="3">
        <v>0.12</v>
      </c>
      <c r="Q2938" s="3">
        <v>344.38</v>
      </c>
      <c r="R2938" s="3">
        <v>0.11</v>
      </c>
      <c r="S2938">
        <v>5</v>
      </c>
      <c r="T2938">
        <v>719.58</v>
      </c>
      <c r="U2938">
        <v>43</v>
      </c>
      <c r="V2938">
        <v>0</v>
      </c>
      <c r="W2938">
        <v>227.6</v>
      </c>
      <c r="X2938">
        <v>1570.88</v>
      </c>
      <c r="Y2938" t="s">
        <v>36</v>
      </c>
      <c r="Z2938" s="3">
        <v>1127.31</v>
      </c>
      <c r="AA2938" t="s">
        <v>45</v>
      </c>
      <c r="AB2938" t="s">
        <v>33</v>
      </c>
      <c r="AC2938">
        <v>82.8</v>
      </c>
      <c r="AD2938" t="s">
        <v>34</v>
      </c>
      <c r="AE2938">
        <v>0</v>
      </c>
      <c r="AF2938">
        <v>0</v>
      </c>
    </row>
    <row r="2939" spans="3:32" x14ac:dyDescent="0.35">
      <c r="C2939" s="1">
        <v>45206</v>
      </c>
      <c r="D2939" s="2">
        <v>45200</v>
      </c>
      <c r="E2939">
        <v>1583</v>
      </c>
      <c r="F2939" s="3">
        <v>3661.73</v>
      </c>
      <c r="G2939" s="3">
        <v>2472.35</v>
      </c>
      <c r="H2939" s="3">
        <v>1189.3800000000001</v>
      </c>
      <c r="I2939" s="3">
        <v>0.68</v>
      </c>
      <c r="J2939">
        <v>0.31</v>
      </c>
      <c r="K2939">
        <v>3060.18</v>
      </c>
      <c r="L2939" t="s">
        <v>35</v>
      </c>
      <c r="M2939">
        <v>664</v>
      </c>
      <c r="N2939">
        <v>0.54</v>
      </c>
      <c r="O2939" s="3">
        <v>635</v>
      </c>
      <c r="P2939" s="3">
        <v>0.17</v>
      </c>
      <c r="Q2939" s="3">
        <v>294.95999999999998</v>
      </c>
      <c r="R2939" s="3">
        <v>0.08</v>
      </c>
      <c r="S2939">
        <v>1</v>
      </c>
      <c r="T2939">
        <v>1219.51</v>
      </c>
      <c r="U2939">
        <v>86</v>
      </c>
      <c r="V2939">
        <v>0</v>
      </c>
      <c r="W2939">
        <v>278.5</v>
      </c>
      <c r="X2939">
        <v>2474.15</v>
      </c>
      <c r="Y2939" t="s">
        <v>36</v>
      </c>
      <c r="Z2939" s="3">
        <v>636.09</v>
      </c>
      <c r="AA2939" t="s">
        <v>47</v>
      </c>
      <c r="AB2939" t="s">
        <v>42</v>
      </c>
      <c r="AC2939">
        <v>19.899999999999999</v>
      </c>
      <c r="AD2939" t="s">
        <v>34</v>
      </c>
      <c r="AE2939">
        <v>1189.3800000000001</v>
      </c>
      <c r="AF2939">
        <v>0</v>
      </c>
    </row>
    <row r="2940" spans="3:32" x14ac:dyDescent="0.35">
      <c r="C2940" s="1">
        <v>45206</v>
      </c>
      <c r="D2940" s="2">
        <v>45200</v>
      </c>
      <c r="E2940">
        <v>1514</v>
      </c>
      <c r="F2940" s="3">
        <v>4197.8999999999996</v>
      </c>
      <c r="G2940" s="3">
        <v>2379.33</v>
      </c>
      <c r="H2940" s="3">
        <v>1818.57</v>
      </c>
      <c r="I2940" s="3">
        <v>0.56999999999999995</v>
      </c>
      <c r="J2940">
        <v>0.19</v>
      </c>
      <c r="K2940">
        <v>2995.86</v>
      </c>
      <c r="L2940" t="s">
        <v>30</v>
      </c>
      <c r="M2940">
        <v>657</v>
      </c>
      <c r="N2940">
        <v>0.31</v>
      </c>
      <c r="O2940" s="3">
        <v>735.43</v>
      </c>
      <c r="P2940" s="3">
        <v>0.18</v>
      </c>
      <c r="Q2940" s="3">
        <v>222.66</v>
      </c>
      <c r="R2940" s="3">
        <v>0.05</v>
      </c>
      <c r="S2940">
        <v>1</v>
      </c>
      <c r="T2940">
        <v>1026.72</v>
      </c>
      <c r="U2940">
        <v>54</v>
      </c>
      <c r="V2940">
        <v>0</v>
      </c>
      <c r="W2940">
        <v>552.89</v>
      </c>
      <c r="X2940">
        <v>2730.31</v>
      </c>
      <c r="Y2940" t="s">
        <v>49</v>
      </c>
      <c r="Z2940" s="3">
        <v>1060.23</v>
      </c>
      <c r="AA2940" t="s">
        <v>48</v>
      </c>
      <c r="AB2940" t="s">
        <v>33</v>
      </c>
      <c r="AC2940">
        <v>92.3</v>
      </c>
      <c r="AD2940" t="s">
        <v>43</v>
      </c>
      <c r="AE2940">
        <v>1818.57</v>
      </c>
      <c r="AF2940">
        <v>0</v>
      </c>
    </row>
    <row r="2941" spans="3:32" x14ac:dyDescent="0.35">
      <c r="C2941" s="1">
        <v>45206</v>
      </c>
      <c r="D2941" s="2">
        <v>45200</v>
      </c>
      <c r="E2941">
        <v>1728</v>
      </c>
      <c r="F2941" s="3">
        <v>3257.15</v>
      </c>
      <c r="G2941" s="3">
        <v>3760.08</v>
      </c>
      <c r="H2941" s="3">
        <v>-502.93</v>
      </c>
      <c r="I2941" s="3">
        <v>1.1499999999999999</v>
      </c>
      <c r="J2941">
        <v>0.31</v>
      </c>
      <c r="K2941">
        <v>3867.5</v>
      </c>
      <c r="L2941" t="s">
        <v>35</v>
      </c>
      <c r="M2941">
        <v>727</v>
      </c>
      <c r="N2941">
        <v>0.4</v>
      </c>
      <c r="O2941" s="3">
        <v>0</v>
      </c>
      <c r="P2941" s="3">
        <v>0</v>
      </c>
      <c r="Q2941" s="3">
        <v>83.95</v>
      </c>
      <c r="R2941" s="3">
        <v>0.03</v>
      </c>
      <c r="S2941">
        <v>4</v>
      </c>
      <c r="T2941">
        <v>1661.76</v>
      </c>
      <c r="U2941">
        <v>70</v>
      </c>
      <c r="V2941">
        <v>0</v>
      </c>
      <c r="W2941">
        <v>246.4</v>
      </c>
      <c r="X2941">
        <v>1222.9100000000001</v>
      </c>
      <c r="Y2941" t="s">
        <v>31</v>
      </c>
      <c r="Z2941" s="3">
        <v>747.08</v>
      </c>
      <c r="AA2941" t="s">
        <v>45</v>
      </c>
      <c r="AB2941" t="s">
        <v>33</v>
      </c>
      <c r="AC2941">
        <v>96.3</v>
      </c>
      <c r="AD2941" t="s">
        <v>34</v>
      </c>
      <c r="AE2941">
        <v>0</v>
      </c>
      <c r="AF2941">
        <v>0</v>
      </c>
    </row>
    <row r="2942" spans="3:32" x14ac:dyDescent="0.35">
      <c r="C2942" s="1">
        <v>45206</v>
      </c>
      <c r="D2942" s="2">
        <v>45200</v>
      </c>
      <c r="E2942">
        <v>1811</v>
      </c>
      <c r="F2942" s="3">
        <v>4854.04</v>
      </c>
      <c r="G2942" s="3">
        <v>3668.64</v>
      </c>
      <c r="H2942" s="3">
        <v>1185.4000000000001</v>
      </c>
      <c r="I2942" s="3">
        <v>0.76</v>
      </c>
      <c r="J2942">
        <v>0.15</v>
      </c>
      <c r="K2942">
        <v>2842.35</v>
      </c>
      <c r="L2942" t="s">
        <v>35</v>
      </c>
      <c r="M2942">
        <v>643</v>
      </c>
      <c r="N2942">
        <v>0.43</v>
      </c>
      <c r="O2942" s="3">
        <v>377.64</v>
      </c>
      <c r="P2942" s="3">
        <v>0.08</v>
      </c>
      <c r="Q2942" s="3">
        <v>851.14</v>
      </c>
      <c r="R2942" s="3">
        <v>0.18</v>
      </c>
      <c r="S2942">
        <v>5</v>
      </c>
      <c r="T2942">
        <v>1611.73</v>
      </c>
      <c r="U2942">
        <v>73</v>
      </c>
      <c r="V2942">
        <v>0</v>
      </c>
      <c r="W2942">
        <v>387.9</v>
      </c>
      <c r="X2942">
        <v>1973.57</v>
      </c>
      <c r="Y2942" t="s">
        <v>36</v>
      </c>
      <c r="Z2942" s="3">
        <v>1389.02</v>
      </c>
      <c r="AA2942" t="s">
        <v>40</v>
      </c>
      <c r="AB2942" t="s">
        <v>42</v>
      </c>
      <c r="AC2942">
        <v>11.2</v>
      </c>
      <c r="AD2942" t="s">
        <v>34</v>
      </c>
      <c r="AE2942">
        <v>1185.4000000000001</v>
      </c>
      <c r="AF2942">
        <v>0</v>
      </c>
    </row>
    <row r="2943" spans="3:32" x14ac:dyDescent="0.35">
      <c r="C2943" s="1">
        <v>45206</v>
      </c>
      <c r="D2943" s="2">
        <v>45200</v>
      </c>
      <c r="E2943">
        <v>1223</v>
      </c>
      <c r="F2943" s="3">
        <v>4291</v>
      </c>
      <c r="G2943" s="3">
        <v>3549.45</v>
      </c>
      <c r="H2943" s="3">
        <v>741.55</v>
      </c>
      <c r="I2943" s="3">
        <v>0.83</v>
      </c>
      <c r="J2943">
        <v>0.09</v>
      </c>
      <c r="K2943">
        <v>1847.11</v>
      </c>
      <c r="L2943" t="s">
        <v>35</v>
      </c>
      <c r="M2943">
        <v>736</v>
      </c>
      <c r="N2943">
        <v>0.4</v>
      </c>
      <c r="O2943" s="3">
        <v>485.58</v>
      </c>
      <c r="P2943" s="3">
        <v>0.11</v>
      </c>
      <c r="Q2943" s="3">
        <v>932.51</v>
      </c>
      <c r="R2943" s="3">
        <v>0.22</v>
      </c>
      <c r="S2943">
        <v>9</v>
      </c>
      <c r="T2943">
        <v>1565.97</v>
      </c>
      <c r="U2943">
        <v>66</v>
      </c>
      <c r="V2943">
        <v>0</v>
      </c>
      <c r="W2943">
        <v>592.51</v>
      </c>
      <c r="X2943">
        <v>2230.04</v>
      </c>
      <c r="Y2943" t="s">
        <v>36</v>
      </c>
      <c r="Z2943" s="3">
        <v>1323.82</v>
      </c>
      <c r="AA2943" t="s">
        <v>51</v>
      </c>
      <c r="AB2943" t="s">
        <v>44</v>
      </c>
      <c r="AC2943">
        <v>57.2</v>
      </c>
      <c r="AD2943" t="s">
        <v>34</v>
      </c>
      <c r="AE2943">
        <v>741.55</v>
      </c>
      <c r="AF2943">
        <v>0</v>
      </c>
    </row>
    <row r="2944" spans="3:32" x14ac:dyDescent="0.35">
      <c r="C2944" s="1">
        <v>45206</v>
      </c>
      <c r="D2944" s="2">
        <v>45200</v>
      </c>
      <c r="E2944">
        <v>1194</v>
      </c>
      <c r="F2944" s="3">
        <v>2527.4499999999998</v>
      </c>
      <c r="G2944" s="3">
        <v>2186.44</v>
      </c>
      <c r="H2944" s="3">
        <v>341.01</v>
      </c>
      <c r="I2944" s="3">
        <v>0.87</v>
      </c>
      <c r="J2944">
        <v>0.08</v>
      </c>
      <c r="K2944">
        <v>2687.78</v>
      </c>
      <c r="L2944" t="s">
        <v>35</v>
      </c>
      <c r="M2944">
        <v>744</v>
      </c>
      <c r="N2944">
        <v>0.22</v>
      </c>
      <c r="O2944" s="3">
        <v>652.42999999999995</v>
      </c>
      <c r="P2944" s="3">
        <v>0.26</v>
      </c>
      <c r="Q2944" s="3">
        <v>349.25</v>
      </c>
      <c r="R2944" s="3">
        <v>0.14000000000000001</v>
      </c>
      <c r="S2944">
        <v>4</v>
      </c>
      <c r="T2944">
        <v>1800.38</v>
      </c>
      <c r="U2944">
        <v>57</v>
      </c>
      <c r="V2944">
        <v>0</v>
      </c>
      <c r="W2944">
        <v>704.94</v>
      </c>
      <c r="X2944">
        <v>1917.09</v>
      </c>
      <c r="Y2944" t="s">
        <v>36</v>
      </c>
      <c r="Z2944" s="3">
        <v>1421.32</v>
      </c>
      <c r="AA2944" t="s">
        <v>37</v>
      </c>
      <c r="AB2944" t="s">
        <v>44</v>
      </c>
      <c r="AC2944">
        <v>57.9</v>
      </c>
      <c r="AD2944" t="s">
        <v>43</v>
      </c>
      <c r="AE2944">
        <v>341.01</v>
      </c>
      <c r="AF2944">
        <v>0</v>
      </c>
    </row>
    <row r="2945" spans="3:32" x14ac:dyDescent="0.35">
      <c r="C2945" s="1">
        <v>45206</v>
      </c>
      <c r="D2945" s="2">
        <v>45200</v>
      </c>
      <c r="E2945">
        <v>1028</v>
      </c>
      <c r="F2945" s="3">
        <v>2202.11</v>
      </c>
      <c r="G2945" s="3">
        <v>1916.99</v>
      </c>
      <c r="H2945" s="3">
        <v>285.12</v>
      </c>
      <c r="I2945" s="3">
        <v>0.87</v>
      </c>
      <c r="J2945">
        <v>0.35</v>
      </c>
      <c r="K2945">
        <v>2166.9</v>
      </c>
      <c r="L2945" t="s">
        <v>30</v>
      </c>
      <c r="M2945">
        <v>707</v>
      </c>
      <c r="N2945">
        <v>0.27</v>
      </c>
      <c r="O2945" s="3">
        <v>614.86</v>
      </c>
      <c r="P2945" s="3">
        <v>0.28000000000000003</v>
      </c>
      <c r="Q2945" s="3">
        <v>277.25</v>
      </c>
      <c r="R2945" s="3">
        <v>0.13</v>
      </c>
      <c r="S2945">
        <v>2</v>
      </c>
      <c r="T2945">
        <v>1634.6</v>
      </c>
      <c r="U2945">
        <v>30</v>
      </c>
      <c r="V2945">
        <v>0</v>
      </c>
      <c r="W2945">
        <v>224.33</v>
      </c>
      <c r="X2945">
        <v>2760.52</v>
      </c>
      <c r="Y2945" t="s">
        <v>36</v>
      </c>
      <c r="Z2945" s="3">
        <v>511.56</v>
      </c>
      <c r="AA2945" t="s">
        <v>45</v>
      </c>
      <c r="AB2945" t="s">
        <v>33</v>
      </c>
      <c r="AC2945">
        <v>74</v>
      </c>
      <c r="AD2945" t="s">
        <v>43</v>
      </c>
      <c r="AE2945">
        <v>285.12</v>
      </c>
      <c r="AF2945">
        <v>0</v>
      </c>
    </row>
    <row r="2946" spans="3:32" x14ac:dyDescent="0.35">
      <c r="C2946" s="1">
        <v>45206</v>
      </c>
      <c r="D2946" s="2">
        <v>45200</v>
      </c>
      <c r="E2946">
        <v>1075</v>
      </c>
      <c r="F2946" s="3">
        <v>3005</v>
      </c>
      <c r="G2946" s="3">
        <v>3515.83</v>
      </c>
      <c r="H2946" s="3">
        <v>-510.83</v>
      </c>
      <c r="I2946" s="3">
        <v>1.17</v>
      </c>
      <c r="J2946">
        <v>0.16</v>
      </c>
      <c r="K2946">
        <v>2947.88</v>
      </c>
      <c r="L2946" t="s">
        <v>30</v>
      </c>
      <c r="M2946">
        <v>691</v>
      </c>
      <c r="N2946">
        <v>0.46</v>
      </c>
      <c r="O2946" s="3">
        <v>325.10000000000002</v>
      </c>
      <c r="P2946" s="3">
        <v>0.11</v>
      </c>
      <c r="Q2946" s="3">
        <v>403.75</v>
      </c>
      <c r="R2946" s="3">
        <v>0.13</v>
      </c>
      <c r="S2946">
        <v>9</v>
      </c>
      <c r="T2946">
        <v>778.46</v>
      </c>
      <c r="U2946">
        <v>95</v>
      </c>
      <c r="V2946">
        <v>0</v>
      </c>
      <c r="W2946">
        <v>762.79</v>
      </c>
      <c r="X2946">
        <v>2293.56</v>
      </c>
      <c r="Y2946" t="s">
        <v>49</v>
      </c>
      <c r="Z2946" s="3">
        <v>1689.84</v>
      </c>
      <c r="AA2946" t="s">
        <v>47</v>
      </c>
      <c r="AB2946" t="s">
        <v>33</v>
      </c>
      <c r="AC2946">
        <v>45.1</v>
      </c>
      <c r="AD2946" t="s">
        <v>38</v>
      </c>
      <c r="AE2946">
        <v>0</v>
      </c>
      <c r="AF2946">
        <v>0</v>
      </c>
    </row>
    <row r="2947" spans="3:32" x14ac:dyDescent="0.35">
      <c r="C2947" s="1">
        <v>45206</v>
      </c>
      <c r="D2947" s="2">
        <v>45200</v>
      </c>
      <c r="E2947">
        <v>1821</v>
      </c>
      <c r="F2947" s="3">
        <v>3771.84</v>
      </c>
      <c r="G2947" s="3">
        <v>3244.96</v>
      </c>
      <c r="H2947" s="3">
        <v>526.88</v>
      </c>
      <c r="I2947" s="3">
        <v>0.86</v>
      </c>
      <c r="J2947">
        <v>0.08</v>
      </c>
      <c r="K2947">
        <v>2780.08</v>
      </c>
      <c r="L2947" t="s">
        <v>39</v>
      </c>
      <c r="M2947">
        <v>667</v>
      </c>
      <c r="N2947">
        <v>0.39</v>
      </c>
      <c r="O2947" s="3">
        <v>421.53</v>
      </c>
      <c r="P2947" s="3">
        <v>0.11</v>
      </c>
      <c r="Q2947" s="3">
        <v>557.29</v>
      </c>
      <c r="R2947" s="3">
        <v>0.15</v>
      </c>
      <c r="S2947">
        <v>8</v>
      </c>
      <c r="T2947">
        <v>794.06</v>
      </c>
      <c r="U2947">
        <v>41</v>
      </c>
      <c r="V2947">
        <v>0</v>
      </c>
      <c r="W2947">
        <v>479.25</v>
      </c>
      <c r="X2947">
        <v>2849.38</v>
      </c>
      <c r="Y2947" t="s">
        <v>36</v>
      </c>
      <c r="Z2947" s="3">
        <v>1104.26</v>
      </c>
      <c r="AA2947" t="s">
        <v>37</v>
      </c>
      <c r="AB2947" t="s">
        <v>42</v>
      </c>
      <c r="AC2947">
        <v>8.5</v>
      </c>
      <c r="AD2947" t="s">
        <v>34</v>
      </c>
      <c r="AE2947">
        <v>526.88</v>
      </c>
      <c r="AF2947">
        <v>0</v>
      </c>
    </row>
    <row r="2948" spans="3:32" x14ac:dyDescent="0.35">
      <c r="C2948" s="1">
        <v>45206</v>
      </c>
      <c r="D2948" s="2">
        <v>45200</v>
      </c>
      <c r="E2948">
        <v>1933</v>
      </c>
      <c r="F2948" s="3">
        <v>6079.53</v>
      </c>
      <c r="G2948" s="3">
        <v>4533.26</v>
      </c>
      <c r="H2948" s="3">
        <v>1546.27</v>
      </c>
      <c r="I2948" s="3">
        <v>0.75</v>
      </c>
      <c r="J2948">
        <v>0.22</v>
      </c>
      <c r="K2948">
        <v>2864.57</v>
      </c>
      <c r="L2948" t="s">
        <v>35</v>
      </c>
      <c r="M2948">
        <v>685</v>
      </c>
      <c r="N2948">
        <v>0.51</v>
      </c>
      <c r="O2948" s="3">
        <v>447.13</v>
      </c>
      <c r="P2948" s="3">
        <v>7.0000000000000007E-2</v>
      </c>
      <c r="Q2948" s="3">
        <v>664</v>
      </c>
      <c r="R2948" s="3">
        <v>0.11</v>
      </c>
      <c r="S2948">
        <v>1</v>
      </c>
      <c r="T2948">
        <v>1045.78</v>
      </c>
      <c r="U2948">
        <v>20</v>
      </c>
      <c r="V2948">
        <v>0</v>
      </c>
      <c r="W2948">
        <v>439.98</v>
      </c>
      <c r="X2948">
        <v>2437.29</v>
      </c>
      <c r="Y2948" t="s">
        <v>49</v>
      </c>
      <c r="Z2948" s="3">
        <v>1262.53</v>
      </c>
      <c r="AA2948" t="s">
        <v>32</v>
      </c>
      <c r="AB2948" t="s">
        <v>42</v>
      </c>
      <c r="AC2948">
        <v>74.099999999999994</v>
      </c>
      <c r="AD2948" t="s">
        <v>38</v>
      </c>
      <c r="AE2948">
        <v>1546.27</v>
      </c>
      <c r="AF2948">
        <v>0</v>
      </c>
    </row>
    <row r="2949" spans="3:32" x14ac:dyDescent="0.35">
      <c r="C2949" s="1">
        <v>45206</v>
      </c>
      <c r="D2949" s="2">
        <v>45200</v>
      </c>
      <c r="E2949">
        <v>1317</v>
      </c>
      <c r="F2949" s="3">
        <v>3198.63</v>
      </c>
      <c r="G2949" s="3">
        <v>3813.3</v>
      </c>
      <c r="H2949" s="3">
        <v>-614.66999999999996</v>
      </c>
      <c r="I2949" s="3">
        <v>1.19</v>
      </c>
      <c r="J2949">
        <v>0.31</v>
      </c>
      <c r="K2949">
        <v>3126.13</v>
      </c>
      <c r="L2949" t="s">
        <v>35</v>
      </c>
      <c r="M2949">
        <v>624</v>
      </c>
      <c r="N2949">
        <v>0.53</v>
      </c>
      <c r="O2949" s="3">
        <v>620.29999999999995</v>
      </c>
      <c r="P2949" s="3">
        <v>0.19</v>
      </c>
      <c r="Q2949" s="3">
        <v>561.44000000000005</v>
      </c>
      <c r="R2949" s="3">
        <v>0.18</v>
      </c>
      <c r="S2949">
        <v>1</v>
      </c>
      <c r="T2949">
        <v>1007.28</v>
      </c>
      <c r="U2949">
        <v>99</v>
      </c>
      <c r="V2949">
        <v>0</v>
      </c>
      <c r="W2949">
        <v>648.54</v>
      </c>
      <c r="X2949">
        <v>2034.08</v>
      </c>
      <c r="Y2949" t="s">
        <v>36</v>
      </c>
      <c r="Z2949" s="3">
        <v>1482.48</v>
      </c>
      <c r="AA2949" t="s">
        <v>51</v>
      </c>
      <c r="AB2949" t="s">
        <v>33</v>
      </c>
      <c r="AC2949">
        <v>89</v>
      </c>
      <c r="AD2949" t="s">
        <v>34</v>
      </c>
      <c r="AE2949">
        <v>0</v>
      </c>
      <c r="AF2949">
        <v>0</v>
      </c>
    </row>
    <row r="2950" spans="3:32" x14ac:dyDescent="0.35">
      <c r="C2950" s="1">
        <v>45206</v>
      </c>
      <c r="D2950" s="2">
        <v>45200</v>
      </c>
      <c r="E2950">
        <v>1265</v>
      </c>
      <c r="F2950" s="3">
        <v>3703.98</v>
      </c>
      <c r="G2950" s="3">
        <v>2988.52</v>
      </c>
      <c r="H2950" s="3">
        <v>715.46</v>
      </c>
      <c r="I2950" s="3">
        <v>0.81</v>
      </c>
      <c r="J2950">
        <v>0.15</v>
      </c>
      <c r="K2950">
        <v>3138.36</v>
      </c>
      <c r="L2950" t="s">
        <v>30</v>
      </c>
      <c r="M2950">
        <v>627</v>
      </c>
      <c r="N2950">
        <v>0.12</v>
      </c>
      <c r="O2950" s="3">
        <v>133.25</v>
      </c>
      <c r="P2950" s="3">
        <v>0.04</v>
      </c>
      <c r="Q2950" s="3">
        <v>524.12</v>
      </c>
      <c r="R2950" s="3">
        <v>0.14000000000000001</v>
      </c>
      <c r="S2950">
        <v>6</v>
      </c>
      <c r="T2950">
        <v>794.85</v>
      </c>
      <c r="U2950">
        <v>59</v>
      </c>
      <c r="V2950">
        <v>0</v>
      </c>
      <c r="W2950">
        <v>1029.8399999999999</v>
      </c>
      <c r="X2950">
        <v>2069.5100000000002</v>
      </c>
      <c r="Y2950" t="s">
        <v>49</v>
      </c>
      <c r="Z2950" s="3">
        <v>1895.62</v>
      </c>
      <c r="AA2950" t="s">
        <v>47</v>
      </c>
      <c r="AB2950" t="s">
        <v>33</v>
      </c>
      <c r="AC2950">
        <v>18.100000000000001</v>
      </c>
      <c r="AD2950" t="s">
        <v>43</v>
      </c>
      <c r="AE2950">
        <v>715.46</v>
      </c>
      <c r="AF2950">
        <v>0</v>
      </c>
    </row>
    <row r="2951" spans="3:32" x14ac:dyDescent="0.35">
      <c r="C2951" s="1">
        <v>45206</v>
      </c>
      <c r="D2951" s="2">
        <v>45200</v>
      </c>
      <c r="E2951">
        <v>1346</v>
      </c>
      <c r="F2951" s="3">
        <v>3133.24</v>
      </c>
      <c r="G2951" s="3">
        <v>4335.72</v>
      </c>
      <c r="H2951" s="3">
        <v>-1202.48</v>
      </c>
      <c r="I2951" s="3">
        <v>1.38</v>
      </c>
      <c r="J2951">
        <v>0.08</v>
      </c>
      <c r="K2951">
        <v>2854.72</v>
      </c>
      <c r="L2951" t="s">
        <v>30</v>
      </c>
      <c r="M2951">
        <v>628</v>
      </c>
      <c r="N2951">
        <v>0.42</v>
      </c>
      <c r="O2951" s="3">
        <v>650.23</v>
      </c>
      <c r="P2951" s="3">
        <v>0.21</v>
      </c>
      <c r="Q2951" s="3">
        <v>966.6</v>
      </c>
      <c r="R2951" s="3">
        <v>0.31</v>
      </c>
      <c r="S2951">
        <v>2</v>
      </c>
      <c r="T2951">
        <v>712.12</v>
      </c>
      <c r="U2951">
        <v>92</v>
      </c>
      <c r="V2951">
        <v>0</v>
      </c>
      <c r="W2951">
        <v>373.85</v>
      </c>
      <c r="X2951">
        <v>2305.14</v>
      </c>
      <c r="Y2951" t="s">
        <v>36</v>
      </c>
      <c r="Z2951" s="3">
        <v>903.82</v>
      </c>
      <c r="AA2951" t="s">
        <v>45</v>
      </c>
      <c r="AB2951" t="s">
        <v>33</v>
      </c>
      <c r="AC2951">
        <v>57.1</v>
      </c>
      <c r="AD2951" t="s">
        <v>34</v>
      </c>
      <c r="AE2951">
        <v>0</v>
      </c>
      <c r="AF2951">
        <v>0</v>
      </c>
    </row>
    <row r="2952" spans="3:32" x14ac:dyDescent="0.35">
      <c r="C2952" s="1">
        <v>45236</v>
      </c>
      <c r="D2952" s="2">
        <v>45231</v>
      </c>
      <c r="E2952">
        <v>1585</v>
      </c>
      <c r="F2952" s="3">
        <v>5466.77</v>
      </c>
      <c r="G2952" s="3">
        <v>3518.15</v>
      </c>
      <c r="H2952" s="3">
        <v>1948.62</v>
      </c>
      <c r="I2952" s="3">
        <v>0.64</v>
      </c>
      <c r="J2952">
        <v>0.15</v>
      </c>
      <c r="K2952">
        <v>3075.67</v>
      </c>
      <c r="L2952" t="s">
        <v>35</v>
      </c>
      <c r="M2952">
        <v>675</v>
      </c>
      <c r="N2952">
        <v>0.33</v>
      </c>
      <c r="O2952" s="3">
        <v>300.01</v>
      </c>
      <c r="P2952" s="3">
        <v>0.05</v>
      </c>
      <c r="Q2952" s="3">
        <v>419.52</v>
      </c>
      <c r="R2952" s="3">
        <v>0.08</v>
      </c>
      <c r="S2952">
        <v>8</v>
      </c>
      <c r="T2952">
        <v>872.66</v>
      </c>
      <c r="U2952">
        <v>29</v>
      </c>
      <c r="V2952">
        <v>0</v>
      </c>
      <c r="W2952">
        <v>555.20000000000005</v>
      </c>
      <c r="X2952">
        <v>2010.92</v>
      </c>
      <c r="Y2952" t="s">
        <v>36</v>
      </c>
      <c r="Z2952" s="3">
        <v>1257.5</v>
      </c>
      <c r="AA2952" t="s">
        <v>46</v>
      </c>
      <c r="AB2952" t="s">
        <v>33</v>
      </c>
      <c r="AC2952">
        <v>87.6</v>
      </c>
      <c r="AD2952" t="s">
        <v>34</v>
      </c>
      <c r="AE2952">
        <v>1948.62</v>
      </c>
      <c r="AF2952">
        <v>0</v>
      </c>
    </row>
    <row r="2953" spans="3:32" x14ac:dyDescent="0.35">
      <c r="C2953" s="1">
        <v>45236</v>
      </c>
      <c r="D2953" s="2">
        <v>45231</v>
      </c>
      <c r="E2953">
        <v>1389</v>
      </c>
      <c r="F2953" s="3">
        <v>3360.3</v>
      </c>
      <c r="G2953" s="3">
        <v>5853.2</v>
      </c>
      <c r="H2953" s="3">
        <v>-2492.9</v>
      </c>
      <c r="I2953" s="3">
        <v>1.74</v>
      </c>
      <c r="J2953">
        <v>0.12</v>
      </c>
      <c r="K2953">
        <v>3016.99</v>
      </c>
      <c r="L2953" t="s">
        <v>35</v>
      </c>
      <c r="M2953">
        <v>693</v>
      </c>
      <c r="N2953">
        <v>0.56999999999999995</v>
      </c>
      <c r="O2953" s="3">
        <v>565.83000000000004</v>
      </c>
      <c r="P2953" s="3">
        <v>0.17</v>
      </c>
      <c r="Q2953" s="3">
        <v>392.04</v>
      </c>
      <c r="R2953" s="3">
        <v>0.12</v>
      </c>
      <c r="S2953">
        <v>5</v>
      </c>
      <c r="T2953">
        <v>1104.1400000000001</v>
      </c>
      <c r="U2953">
        <v>50</v>
      </c>
      <c r="V2953">
        <v>0</v>
      </c>
      <c r="W2953">
        <v>887.86</v>
      </c>
      <c r="X2953">
        <v>2093.06</v>
      </c>
      <c r="Y2953" t="s">
        <v>36</v>
      </c>
      <c r="Z2953" s="3">
        <v>1119.7</v>
      </c>
      <c r="AA2953" t="s">
        <v>40</v>
      </c>
      <c r="AB2953" t="s">
        <v>33</v>
      </c>
      <c r="AC2953">
        <v>31.7</v>
      </c>
      <c r="AD2953" t="s">
        <v>43</v>
      </c>
      <c r="AE2953">
        <v>0</v>
      </c>
      <c r="AF2953">
        <v>0</v>
      </c>
    </row>
    <row r="2954" spans="3:32" x14ac:dyDescent="0.35">
      <c r="C2954" s="1">
        <v>45236</v>
      </c>
      <c r="D2954" s="2">
        <v>45231</v>
      </c>
      <c r="E2954">
        <v>1848</v>
      </c>
      <c r="F2954" s="3">
        <v>4581.92</v>
      </c>
      <c r="G2954" s="3">
        <v>4121.99</v>
      </c>
      <c r="H2954" s="3">
        <v>459.93</v>
      </c>
      <c r="I2954" s="3">
        <v>0.9</v>
      </c>
      <c r="J2954">
        <v>0.39</v>
      </c>
      <c r="K2954">
        <v>2635.18</v>
      </c>
      <c r="L2954" t="s">
        <v>35</v>
      </c>
      <c r="M2954">
        <v>680</v>
      </c>
      <c r="N2954">
        <v>0.51</v>
      </c>
      <c r="O2954" s="3">
        <v>475.71</v>
      </c>
      <c r="P2954" s="3">
        <v>0.1</v>
      </c>
      <c r="Q2954" s="3">
        <v>81.650000000000006</v>
      </c>
      <c r="R2954" s="3">
        <v>0.02</v>
      </c>
      <c r="S2954">
        <v>3</v>
      </c>
      <c r="T2954">
        <v>2116.1</v>
      </c>
      <c r="U2954">
        <v>81</v>
      </c>
      <c r="V2954">
        <v>0</v>
      </c>
      <c r="W2954">
        <v>300.61</v>
      </c>
      <c r="X2954">
        <v>2129.0700000000002</v>
      </c>
      <c r="Y2954" t="s">
        <v>36</v>
      </c>
      <c r="Z2954" s="3">
        <v>1371.69</v>
      </c>
      <c r="AA2954" t="s">
        <v>40</v>
      </c>
      <c r="AB2954" t="s">
        <v>33</v>
      </c>
      <c r="AC2954">
        <v>28.7</v>
      </c>
      <c r="AD2954" t="s">
        <v>38</v>
      </c>
      <c r="AE2954">
        <v>459.93</v>
      </c>
      <c r="AF2954">
        <v>0</v>
      </c>
    </row>
    <row r="2955" spans="3:32" x14ac:dyDescent="0.35">
      <c r="C2955" s="1">
        <v>45236</v>
      </c>
      <c r="D2955" s="2">
        <v>45231</v>
      </c>
      <c r="E2955">
        <v>1676</v>
      </c>
      <c r="F2955" s="3">
        <v>3441.61</v>
      </c>
      <c r="G2955" s="3">
        <v>3902.53</v>
      </c>
      <c r="H2955" s="3">
        <v>-460.92</v>
      </c>
      <c r="I2955" s="3">
        <v>1.1299999999999999</v>
      </c>
      <c r="J2955">
        <v>0.18</v>
      </c>
      <c r="K2955">
        <v>2686.9</v>
      </c>
      <c r="L2955" t="s">
        <v>30</v>
      </c>
      <c r="M2955">
        <v>720</v>
      </c>
      <c r="N2955">
        <v>0.37</v>
      </c>
      <c r="O2955" s="3">
        <v>362.76</v>
      </c>
      <c r="P2955" s="3">
        <v>0.11</v>
      </c>
      <c r="Q2955" s="3">
        <v>726.65</v>
      </c>
      <c r="R2955" s="3">
        <v>0.21</v>
      </c>
      <c r="S2955">
        <v>9</v>
      </c>
      <c r="T2955">
        <v>1653.31</v>
      </c>
      <c r="U2955">
        <v>46</v>
      </c>
      <c r="V2955">
        <v>0</v>
      </c>
      <c r="W2955">
        <v>538.13</v>
      </c>
      <c r="X2955">
        <v>2155.96</v>
      </c>
      <c r="Y2955" t="s">
        <v>49</v>
      </c>
      <c r="Z2955" s="3">
        <v>1816.79</v>
      </c>
      <c r="AA2955" t="s">
        <v>40</v>
      </c>
      <c r="AB2955" t="s">
        <v>33</v>
      </c>
      <c r="AC2955">
        <v>71</v>
      </c>
      <c r="AD2955" t="s">
        <v>43</v>
      </c>
      <c r="AE2955">
        <v>0</v>
      </c>
      <c r="AF2955">
        <v>0</v>
      </c>
    </row>
    <row r="2956" spans="3:32" x14ac:dyDescent="0.35">
      <c r="C2956" s="1">
        <v>45236</v>
      </c>
      <c r="D2956" s="2">
        <v>45231</v>
      </c>
      <c r="E2956">
        <v>1037</v>
      </c>
      <c r="F2956" s="3">
        <v>4140.54</v>
      </c>
      <c r="G2956" s="3">
        <v>2259.2399999999998</v>
      </c>
      <c r="H2956" s="3">
        <v>1881.3</v>
      </c>
      <c r="I2956" s="3">
        <v>0.55000000000000004</v>
      </c>
      <c r="J2956">
        <v>0.38</v>
      </c>
      <c r="K2956">
        <v>2878.09</v>
      </c>
      <c r="L2956" t="s">
        <v>35</v>
      </c>
      <c r="M2956">
        <v>695</v>
      </c>
      <c r="N2956">
        <v>0.48</v>
      </c>
      <c r="O2956" s="3">
        <v>580.84</v>
      </c>
      <c r="P2956" s="3">
        <v>0.14000000000000001</v>
      </c>
      <c r="Q2956" s="3">
        <v>512.94000000000005</v>
      </c>
      <c r="R2956" s="3">
        <v>0.12</v>
      </c>
      <c r="S2956">
        <v>8</v>
      </c>
      <c r="T2956">
        <v>184.94</v>
      </c>
      <c r="U2956">
        <v>74</v>
      </c>
      <c r="V2956">
        <v>0</v>
      </c>
      <c r="W2956">
        <v>302.81</v>
      </c>
      <c r="X2956">
        <v>2611.3200000000002</v>
      </c>
      <c r="Y2956" t="s">
        <v>36</v>
      </c>
      <c r="Z2956" s="3">
        <v>1370.45</v>
      </c>
      <c r="AA2956" t="s">
        <v>32</v>
      </c>
      <c r="AB2956" t="s">
        <v>33</v>
      </c>
      <c r="AC2956">
        <v>26</v>
      </c>
      <c r="AD2956" t="s">
        <v>38</v>
      </c>
      <c r="AE2956">
        <v>1881.3</v>
      </c>
      <c r="AF2956">
        <v>0</v>
      </c>
    </row>
    <row r="2957" spans="3:32" x14ac:dyDescent="0.35">
      <c r="C2957" s="1">
        <v>45236</v>
      </c>
      <c r="D2957" s="2">
        <v>45231</v>
      </c>
      <c r="E2957">
        <v>1924</v>
      </c>
      <c r="F2957" s="3">
        <v>4760.7700000000004</v>
      </c>
      <c r="G2957" s="3">
        <v>2188.63</v>
      </c>
      <c r="H2957" s="3">
        <v>2572.14</v>
      </c>
      <c r="I2957" s="3">
        <v>0.46</v>
      </c>
      <c r="J2957">
        <v>0.32</v>
      </c>
      <c r="K2957">
        <v>2455.71</v>
      </c>
      <c r="L2957" t="s">
        <v>39</v>
      </c>
      <c r="M2957">
        <v>663</v>
      </c>
      <c r="N2957">
        <v>0.11</v>
      </c>
      <c r="O2957" s="3">
        <v>491.41</v>
      </c>
      <c r="P2957" s="3">
        <v>0.1</v>
      </c>
      <c r="Q2957" s="3">
        <v>284.51</v>
      </c>
      <c r="R2957" s="3">
        <v>0.06</v>
      </c>
      <c r="S2957">
        <v>4</v>
      </c>
      <c r="T2957">
        <v>1162.7</v>
      </c>
      <c r="U2957">
        <v>94</v>
      </c>
      <c r="V2957">
        <v>0</v>
      </c>
      <c r="W2957">
        <v>528.26</v>
      </c>
      <c r="X2957">
        <v>2426.13</v>
      </c>
      <c r="Y2957" t="s">
        <v>36</v>
      </c>
      <c r="Z2957" s="3">
        <v>1330.08</v>
      </c>
      <c r="AA2957" t="s">
        <v>40</v>
      </c>
      <c r="AB2957" t="s">
        <v>33</v>
      </c>
      <c r="AC2957">
        <v>88.4</v>
      </c>
      <c r="AD2957" t="s">
        <v>43</v>
      </c>
      <c r="AE2957">
        <v>2572.14</v>
      </c>
      <c r="AF2957">
        <v>1</v>
      </c>
    </row>
    <row r="2958" spans="3:32" x14ac:dyDescent="0.35">
      <c r="C2958" s="1">
        <v>45236</v>
      </c>
      <c r="D2958" s="2">
        <v>45231</v>
      </c>
      <c r="E2958">
        <v>1103</v>
      </c>
      <c r="F2958" s="3">
        <v>3993.72</v>
      </c>
      <c r="G2958" s="3">
        <v>3079.16</v>
      </c>
      <c r="H2958" s="3">
        <v>914.56</v>
      </c>
      <c r="I2958" s="3">
        <v>0.77</v>
      </c>
      <c r="J2958">
        <v>0.1</v>
      </c>
      <c r="K2958">
        <v>3330.02</v>
      </c>
      <c r="L2958" t="s">
        <v>35</v>
      </c>
      <c r="M2958">
        <v>660</v>
      </c>
      <c r="N2958">
        <v>0.12</v>
      </c>
      <c r="O2958" s="3">
        <v>615.86</v>
      </c>
      <c r="P2958" s="3">
        <v>0.15</v>
      </c>
      <c r="Q2958" s="3">
        <v>452.5</v>
      </c>
      <c r="R2958" s="3">
        <v>0.11</v>
      </c>
      <c r="S2958">
        <v>3</v>
      </c>
      <c r="T2958">
        <v>1459.83</v>
      </c>
      <c r="U2958">
        <v>26</v>
      </c>
      <c r="V2958">
        <v>0</v>
      </c>
      <c r="W2958">
        <v>727.98</v>
      </c>
      <c r="X2958">
        <v>2721.92</v>
      </c>
      <c r="Y2958" t="s">
        <v>36</v>
      </c>
      <c r="Z2958" s="3">
        <v>1241.8800000000001</v>
      </c>
      <c r="AA2958" t="s">
        <v>37</v>
      </c>
      <c r="AB2958" t="s">
        <v>33</v>
      </c>
      <c r="AC2958">
        <v>24.3</v>
      </c>
      <c r="AD2958" t="s">
        <v>34</v>
      </c>
      <c r="AE2958">
        <v>914.56</v>
      </c>
      <c r="AF2958">
        <v>0</v>
      </c>
    </row>
    <row r="2959" spans="3:32" x14ac:dyDescent="0.35">
      <c r="C2959" s="1">
        <v>45236</v>
      </c>
      <c r="D2959" s="2">
        <v>45231</v>
      </c>
      <c r="E2959">
        <v>1253</v>
      </c>
      <c r="F2959" s="3">
        <v>3540.81</v>
      </c>
      <c r="G2959" s="3">
        <v>3080.81</v>
      </c>
      <c r="H2959" s="3">
        <v>460</v>
      </c>
      <c r="I2959" s="3">
        <v>0.87</v>
      </c>
      <c r="J2959">
        <v>0.09</v>
      </c>
      <c r="K2959">
        <v>2182.71</v>
      </c>
      <c r="L2959" t="s">
        <v>35</v>
      </c>
      <c r="M2959">
        <v>591</v>
      </c>
      <c r="N2959">
        <v>0.55000000000000004</v>
      </c>
      <c r="O2959" s="3">
        <v>493.2</v>
      </c>
      <c r="P2959" s="3">
        <v>0.14000000000000001</v>
      </c>
      <c r="Q2959" s="3">
        <v>320.02</v>
      </c>
      <c r="R2959" s="3">
        <v>0.09</v>
      </c>
      <c r="S2959">
        <v>7</v>
      </c>
      <c r="T2959">
        <v>674.35</v>
      </c>
      <c r="U2959">
        <v>33</v>
      </c>
      <c r="V2959">
        <v>0</v>
      </c>
      <c r="W2959">
        <v>512.78</v>
      </c>
      <c r="X2959">
        <v>2341.85</v>
      </c>
      <c r="Y2959" t="s">
        <v>49</v>
      </c>
      <c r="Z2959" s="3">
        <v>865.64</v>
      </c>
      <c r="AA2959" t="s">
        <v>37</v>
      </c>
      <c r="AB2959" t="s">
        <v>33</v>
      </c>
      <c r="AC2959">
        <v>75.599999999999994</v>
      </c>
      <c r="AD2959" t="s">
        <v>34</v>
      </c>
      <c r="AE2959">
        <v>460</v>
      </c>
      <c r="AF2959">
        <v>0</v>
      </c>
    </row>
    <row r="2960" spans="3:32" x14ac:dyDescent="0.35">
      <c r="C2960" s="1">
        <v>45236</v>
      </c>
      <c r="D2960" s="2">
        <v>45231</v>
      </c>
      <c r="E2960">
        <v>1673</v>
      </c>
      <c r="F2960" s="3">
        <v>5169.3900000000003</v>
      </c>
      <c r="G2960" s="3">
        <v>2540.2600000000002</v>
      </c>
      <c r="H2960" s="3">
        <v>2629.13</v>
      </c>
      <c r="I2960" s="3">
        <v>0.49</v>
      </c>
      <c r="J2960">
        <v>0.22</v>
      </c>
      <c r="K2960">
        <v>3386.44</v>
      </c>
      <c r="L2960" t="s">
        <v>39</v>
      </c>
      <c r="M2960">
        <v>653</v>
      </c>
      <c r="N2960">
        <v>0.51</v>
      </c>
      <c r="O2960" s="3">
        <v>225.26</v>
      </c>
      <c r="P2960" s="3">
        <v>0.04</v>
      </c>
      <c r="Q2960" s="3">
        <v>544.15</v>
      </c>
      <c r="R2960" s="3">
        <v>0.11</v>
      </c>
      <c r="S2960">
        <v>1</v>
      </c>
      <c r="T2960">
        <v>2129.11</v>
      </c>
      <c r="U2960">
        <v>76</v>
      </c>
      <c r="V2960">
        <v>0</v>
      </c>
      <c r="W2960">
        <v>304.83999999999997</v>
      </c>
      <c r="X2960">
        <v>2456.7399999999998</v>
      </c>
      <c r="Y2960" t="s">
        <v>36</v>
      </c>
      <c r="Z2960" s="3">
        <v>1697.81</v>
      </c>
      <c r="AA2960" t="s">
        <v>32</v>
      </c>
      <c r="AB2960" t="s">
        <v>33</v>
      </c>
      <c r="AC2960">
        <v>74</v>
      </c>
      <c r="AD2960" t="s">
        <v>34</v>
      </c>
      <c r="AE2960">
        <v>2629.13</v>
      </c>
      <c r="AF2960">
        <v>0</v>
      </c>
    </row>
    <row r="2961" spans="3:32" x14ac:dyDescent="0.35">
      <c r="C2961" s="1">
        <v>45236</v>
      </c>
      <c r="D2961" s="2">
        <v>45231</v>
      </c>
      <c r="E2961">
        <v>1933</v>
      </c>
      <c r="F2961" s="3">
        <v>4019.7</v>
      </c>
      <c r="G2961" s="3">
        <v>2752.15</v>
      </c>
      <c r="H2961" s="3">
        <v>1267.55</v>
      </c>
      <c r="I2961" s="3">
        <v>0.68</v>
      </c>
      <c r="J2961">
        <v>0.28000000000000003</v>
      </c>
      <c r="K2961">
        <v>2701.8</v>
      </c>
      <c r="L2961" t="s">
        <v>35</v>
      </c>
      <c r="M2961">
        <v>689</v>
      </c>
      <c r="N2961">
        <v>0.33</v>
      </c>
      <c r="O2961" s="3">
        <v>426.17</v>
      </c>
      <c r="P2961" s="3">
        <v>0.11</v>
      </c>
      <c r="Q2961" s="3">
        <v>353.85</v>
      </c>
      <c r="R2961" s="3">
        <v>0.09</v>
      </c>
      <c r="S2961">
        <v>7</v>
      </c>
      <c r="T2961">
        <v>1568.92</v>
      </c>
      <c r="U2961">
        <v>25</v>
      </c>
      <c r="V2961">
        <v>0</v>
      </c>
      <c r="W2961">
        <v>593.34</v>
      </c>
      <c r="X2961">
        <v>1068.6400000000001</v>
      </c>
      <c r="Y2961" t="s">
        <v>36</v>
      </c>
      <c r="Z2961" s="3">
        <v>1865.37</v>
      </c>
      <c r="AA2961" t="s">
        <v>41</v>
      </c>
      <c r="AB2961" t="s">
        <v>33</v>
      </c>
      <c r="AC2961">
        <v>82.2</v>
      </c>
      <c r="AD2961" t="s">
        <v>34</v>
      </c>
      <c r="AE2961">
        <v>1267.55</v>
      </c>
      <c r="AF2961">
        <v>0</v>
      </c>
    </row>
    <row r="2962" spans="3:32" x14ac:dyDescent="0.35">
      <c r="C2962" s="1">
        <v>45236</v>
      </c>
      <c r="D2962" s="2">
        <v>45231</v>
      </c>
      <c r="E2962">
        <v>1925</v>
      </c>
      <c r="F2962" s="3">
        <v>4917.63</v>
      </c>
      <c r="G2962" s="3">
        <v>3581.68</v>
      </c>
      <c r="H2962" s="3">
        <v>1335.95</v>
      </c>
      <c r="I2962" s="3">
        <v>0.73</v>
      </c>
      <c r="J2962">
        <v>0.24</v>
      </c>
      <c r="K2962">
        <v>3443.1</v>
      </c>
      <c r="L2962" t="s">
        <v>35</v>
      </c>
      <c r="M2962">
        <v>596</v>
      </c>
      <c r="N2962">
        <v>0.22</v>
      </c>
      <c r="O2962" s="3">
        <v>349.85</v>
      </c>
      <c r="P2962" s="3">
        <v>7.0000000000000007E-2</v>
      </c>
      <c r="Q2962" s="3">
        <v>429.32</v>
      </c>
      <c r="R2962" s="3">
        <v>0.09</v>
      </c>
      <c r="S2962">
        <v>8</v>
      </c>
      <c r="T2962">
        <v>1504.53</v>
      </c>
      <c r="U2962">
        <v>95</v>
      </c>
      <c r="V2962">
        <v>0</v>
      </c>
      <c r="W2962">
        <v>134.81</v>
      </c>
      <c r="X2962">
        <v>2684.61</v>
      </c>
      <c r="Y2962" t="s">
        <v>36</v>
      </c>
      <c r="Z2962" s="3">
        <v>1184.6300000000001</v>
      </c>
      <c r="AA2962" t="s">
        <v>41</v>
      </c>
      <c r="AB2962" t="s">
        <v>44</v>
      </c>
      <c r="AC2962">
        <v>55.8</v>
      </c>
      <c r="AD2962" t="s">
        <v>43</v>
      </c>
      <c r="AE2962">
        <v>1335.95</v>
      </c>
      <c r="AF2962">
        <v>0</v>
      </c>
    </row>
    <row r="2963" spans="3:32" x14ac:dyDescent="0.35">
      <c r="C2963" s="1">
        <v>45236</v>
      </c>
      <c r="D2963" s="2">
        <v>45231</v>
      </c>
      <c r="E2963">
        <v>1865</v>
      </c>
      <c r="F2963" s="3">
        <v>3535.77</v>
      </c>
      <c r="G2963" s="3">
        <v>3728.75</v>
      </c>
      <c r="H2963" s="3">
        <v>-192.98</v>
      </c>
      <c r="I2963" s="3">
        <v>1.05</v>
      </c>
      <c r="J2963">
        <v>0.38</v>
      </c>
      <c r="K2963">
        <v>3244.4</v>
      </c>
      <c r="L2963" t="s">
        <v>30</v>
      </c>
      <c r="M2963">
        <v>692</v>
      </c>
      <c r="N2963">
        <v>0.2</v>
      </c>
      <c r="O2963" s="3">
        <v>568.16999999999996</v>
      </c>
      <c r="P2963" s="3">
        <v>0.16</v>
      </c>
      <c r="Q2963" s="3">
        <v>727.25</v>
      </c>
      <c r="R2963" s="3">
        <v>0.21</v>
      </c>
      <c r="S2963">
        <v>4</v>
      </c>
      <c r="T2963">
        <v>784.2</v>
      </c>
      <c r="U2963">
        <v>82</v>
      </c>
      <c r="V2963">
        <v>0</v>
      </c>
      <c r="W2963">
        <v>223.32</v>
      </c>
      <c r="X2963">
        <v>2538.4499999999998</v>
      </c>
      <c r="Y2963" t="s">
        <v>36</v>
      </c>
      <c r="Z2963" s="3">
        <v>1466.76</v>
      </c>
      <c r="AA2963" t="s">
        <v>48</v>
      </c>
      <c r="AB2963" t="s">
        <v>33</v>
      </c>
      <c r="AC2963">
        <v>34.9</v>
      </c>
      <c r="AD2963" t="s">
        <v>34</v>
      </c>
      <c r="AE2963">
        <v>0</v>
      </c>
      <c r="AF2963">
        <v>0</v>
      </c>
    </row>
    <row r="2964" spans="3:32" x14ac:dyDescent="0.35">
      <c r="C2964" s="1">
        <v>45236</v>
      </c>
      <c r="D2964" s="2">
        <v>45231</v>
      </c>
      <c r="E2964">
        <v>1784</v>
      </c>
      <c r="F2964" s="3">
        <v>4705.75</v>
      </c>
      <c r="G2964" s="3">
        <v>3407.7</v>
      </c>
      <c r="H2964" s="3">
        <v>1298.05</v>
      </c>
      <c r="I2964" s="3">
        <v>0.72</v>
      </c>
      <c r="J2964">
        <v>0.14000000000000001</v>
      </c>
      <c r="K2964">
        <v>3156.19</v>
      </c>
      <c r="L2964" t="s">
        <v>30</v>
      </c>
      <c r="M2964">
        <v>515</v>
      </c>
      <c r="N2964">
        <v>0.24</v>
      </c>
      <c r="O2964" s="3">
        <v>598.24</v>
      </c>
      <c r="P2964" s="3">
        <v>0.13</v>
      </c>
      <c r="Q2964" s="3">
        <v>191.9</v>
      </c>
      <c r="R2964" s="3">
        <v>0.04</v>
      </c>
      <c r="S2964">
        <v>2</v>
      </c>
      <c r="T2964">
        <v>1033.55</v>
      </c>
      <c r="U2964">
        <v>26</v>
      </c>
      <c r="V2964">
        <v>0</v>
      </c>
      <c r="W2964">
        <v>213.2</v>
      </c>
      <c r="X2964">
        <v>1526.11</v>
      </c>
      <c r="Y2964" t="s">
        <v>36</v>
      </c>
      <c r="Z2964" s="3">
        <v>879.13</v>
      </c>
      <c r="AA2964" t="s">
        <v>50</v>
      </c>
      <c r="AB2964" t="s">
        <v>42</v>
      </c>
      <c r="AC2964">
        <v>36.6</v>
      </c>
      <c r="AD2964" t="s">
        <v>38</v>
      </c>
      <c r="AE2964">
        <v>1298.05</v>
      </c>
      <c r="AF2964">
        <v>0</v>
      </c>
    </row>
    <row r="2965" spans="3:32" x14ac:dyDescent="0.35">
      <c r="C2965" s="1">
        <v>45236</v>
      </c>
      <c r="D2965" s="2">
        <v>45231</v>
      </c>
      <c r="E2965">
        <v>1217</v>
      </c>
      <c r="F2965" s="3">
        <v>7085.77</v>
      </c>
      <c r="G2965" s="3">
        <v>2634.49</v>
      </c>
      <c r="H2965" s="3">
        <v>4451.28</v>
      </c>
      <c r="I2965" s="3">
        <v>0.37</v>
      </c>
      <c r="J2965">
        <v>0.2</v>
      </c>
      <c r="K2965">
        <v>3372.32</v>
      </c>
      <c r="L2965" t="s">
        <v>35</v>
      </c>
      <c r="M2965">
        <v>591</v>
      </c>
      <c r="N2965">
        <v>0.15</v>
      </c>
      <c r="O2965" s="3">
        <v>277.08999999999997</v>
      </c>
      <c r="P2965" s="3">
        <v>0.04</v>
      </c>
      <c r="Q2965" s="3">
        <v>249.5</v>
      </c>
      <c r="R2965" s="3">
        <v>0.04</v>
      </c>
      <c r="S2965">
        <v>5</v>
      </c>
      <c r="T2965">
        <v>1285.7</v>
      </c>
      <c r="U2965">
        <v>68</v>
      </c>
      <c r="V2965">
        <v>0</v>
      </c>
      <c r="W2965">
        <v>935.51</v>
      </c>
      <c r="X2965">
        <v>2036.02</v>
      </c>
      <c r="Y2965" t="s">
        <v>49</v>
      </c>
      <c r="Z2965" s="3">
        <v>1961.03</v>
      </c>
      <c r="AA2965" t="s">
        <v>40</v>
      </c>
      <c r="AB2965" t="s">
        <v>44</v>
      </c>
      <c r="AC2965">
        <v>79.2</v>
      </c>
      <c r="AD2965" t="s">
        <v>43</v>
      </c>
      <c r="AE2965">
        <v>4451.28</v>
      </c>
      <c r="AF2965">
        <v>1</v>
      </c>
    </row>
    <row r="2966" spans="3:32" x14ac:dyDescent="0.35">
      <c r="C2966" s="1">
        <v>45236</v>
      </c>
      <c r="D2966" s="2">
        <v>45231</v>
      </c>
      <c r="E2966">
        <v>1613</v>
      </c>
      <c r="F2966" s="3">
        <v>3821.93</v>
      </c>
      <c r="G2966" s="3">
        <v>1798.56</v>
      </c>
      <c r="H2966" s="3">
        <v>2023.37</v>
      </c>
      <c r="I2966" s="3">
        <v>0.47</v>
      </c>
      <c r="J2966">
        <v>0.36</v>
      </c>
      <c r="K2966">
        <v>2854.14</v>
      </c>
      <c r="L2966" t="s">
        <v>35</v>
      </c>
      <c r="M2966">
        <v>621</v>
      </c>
      <c r="N2966">
        <v>0.1</v>
      </c>
      <c r="O2966" s="3">
        <v>396.48</v>
      </c>
      <c r="P2966" s="3">
        <v>0.1</v>
      </c>
      <c r="Q2966" s="3">
        <v>621.16</v>
      </c>
      <c r="R2966" s="3">
        <v>0.16</v>
      </c>
      <c r="S2966">
        <v>9</v>
      </c>
      <c r="T2966">
        <v>1107.3800000000001</v>
      </c>
      <c r="U2966">
        <v>59</v>
      </c>
      <c r="V2966">
        <v>0</v>
      </c>
      <c r="W2966">
        <v>920.25</v>
      </c>
      <c r="X2966">
        <v>2021.03</v>
      </c>
      <c r="Y2966" t="s">
        <v>36</v>
      </c>
      <c r="Z2966" s="3">
        <v>1274.3399999999999</v>
      </c>
      <c r="AA2966" t="s">
        <v>41</v>
      </c>
      <c r="AB2966" t="s">
        <v>44</v>
      </c>
      <c r="AC2966">
        <v>77.8</v>
      </c>
      <c r="AD2966" t="s">
        <v>34</v>
      </c>
      <c r="AE2966">
        <v>2023.37</v>
      </c>
      <c r="AF2966">
        <v>0</v>
      </c>
    </row>
    <row r="2967" spans="3:32" x14ac:dyDescent="0.35">
      <c r="C2967" s="1">
        <v>45236</v>
      </c>
      <c r="D2967" s="2">
        <v>45231</v>
      </c>
      <c r="E2967">
        <v>1277</v>
      </c>
      <c r="F2967" s="3">
        <v>3717.91</v>
      </c>
      <c r="G2967" s="3">
        <v>2049.8000000000002</v>
      </c>
      <c r="H2967" s="3">
        <v>1668.11</v>
      </c>
      <c r="I2967" s="3">
        <v>0.55000000000000004</v>
      </c>
      <c r="J2967">
        <v>0.31</v>
      </c>
      <c r="K2967">
        <v>2998.43</v>
      </c>
      <c r="L2967" t="s">
        <v>35</v>
      </c>
      <c r="M2967">
        <v>692</v>
      </c>
      <c r="N2967">
        <v>0.32</v>
      </c>
      <c r="O2967" s="3">
        <v>413</v>
      </c>
      <c r="P2967" s="3">
        <v>0.11</v>
      </c>
      <c r="Q2967" s="3">
        <v>626.19000000000005</v>
      </c>
      <c r="R2967" s="3">
        <v>0.17</v>
      </c>
      <c r="S2967">
        <v>2</v>
      </c>
      <c r="T2967">
        <v>817.84</v>
      </c>
      <c r="U2967">
        <v>97</v>
      </c>
      <c r="V2967">
        <v>0</v>
      </c>
      <c r="W2967">
        <v>572.41999999999996</v>
      </c>
      <c r="X2967">
        <v>1529.86</v>
      </c>
      <c r="Y2967" t="s">
        <v>36</v>
      </c>
      <c r="Z2967" s="3">
        <v>1238.01</v>
      </c>
      <c r="AA2967" t="s">
        <v>41</v>
      </c>
      <c r="AB2967" t="s">
        <v>33</v>
      </c>
      <c r="AC2967">
        <v>10.5</v>
      </c>
      <c r="AD2967" t="s">
        <v>43</v>
      </c>
      <c r="AE2967">
        <v>1668.11</v>
      </c>
      <c r="AF2967">
        <v>0</v>
      </c>
    </row>
    <row r="2968" spans="3:32" x14ac:dyDescent="0.35">
      <c r="C2968" s="1">
        <v>45236</v>
      </c>
      <c r="D2968" s="2">
        <v>45231</v>
      </c>
      <c r="E2968">
        <v>1955</v>
      </c>
      <c r="F2968" s="3">
        <v>3076.59</v>
      </c>
      <c r="G2968" s="3">
        <v>2690.71</v>
      </c>
      <c r="H2968" s="3">
        <v>385.88</v>
      </c>
      <c r="I2968" s="3">
        <v>0.87</v>
      </c>
      <c r="J2968">
        <v>0.28999999999999998</v>
      </c>
      <c r="K2968">
        <v>3164.19</v>
      </c>
      <c r="L2968" t="s">
        <v>39</v>
      </c>
      <c r="M2968">
        <v>764</v>
      </c>
      <c r="N2968">
        <v>0.43</v>
      </c>
      <c r="O2968" s="3">
        <v>707.03</v>
      </c>
      <c r="P2968" s="3">
        <v>0.23</v>
      </c>
      <c r="Q2968" s="3">
        <v>284.49</v>
      </c>
      <c r="R2968" s="3">
        <v>0.09</v>
      </c>
      <c r="S2968">
        <v>4</v>
      </c>
      <c r="T2968">
        <v>1590.81</v>
      </c>
      <c r="U2968">
        <v>61</v>
      </c>
      <c r="V2968">
        <v>0</v>
      </c>
      <c r="W2968">
        <v>327.61</v>
      </c>
      <c r="X2968">
        <v>1421.09</v>
      </c>
      <c r="Y2968" t="s">
        <v>31</v>
      </c>
      <c r="Z2968" s="3">
        <v>921.86</v>
      </c>
      <c r="AA2968" t="s">
        <v>40</v>
      </c>
      <c r="AB2968" t="s">
        <v>33</v>
      </c>
      <c r="AC2968">
        <v>70.900000000000006</v>
      </c>
      <c r="AD2968" t="s">
        <v>34</v>
      </c>
      <c r="AE2968">
        <v>385.88</v>
      </c>
      <c r="AF2968">
        <v>0</v>
      </c>
    </row>
    <row r="2969" spans="3:32" x14ac:dyDescent="0.35">
      <c r="C2969" s="1">
        <v>45236</v>
      </c>
      <c r="D2969" s="2">
        <v>45231</v>
      </c>
      <c r="E2969">
        <v>1607</v>
      </c>
      <c r="F2969" s="3">
        <v>4085.13</v>
      </c>
      <c r="G2969" s="3">
        <v>3709.59</v>
      </c>
      <c r="H2969" s="3">
        <v>375.54</v>
      </c>
      <c r="I2969" s="3">
        <v>0.91</v>
      </c>
      <c r="J2969">
        <v>0.14000000000000001</v>
      </c>
      <c r="K2969">
        <v>3127.78</v>
      </c>
      <c r="L2969" t="s">
        <v>39</v>
      </c>
      <c r="M2969">
        <v>608</v>
      </c>
      <c r="N2969">
        <v>0.46</v>
      </c>
      <c r="O2969" s="3">
        <v>464.2</v>
      </c>
      <c r="P2969" s="3">
        <v>0.11</v>
      </c>
      <c r="Q2969" s="3">
        <v>449.21</v>
      </c>
      <c r="R2969" s="3">
        <v>0.11</v>
      </c>
      <c r="S2969">
        <v>3</v>
      </c>
      <c r="T2969">
        <v>1672.94</v>
      </c>
      <c r="U2969">
        <v>95</v>
      </c>
      <c r="V2969">
        <v>0</v>
      </c>
      <c r="W2969">
        <v>263.63</v>
      </c>
      <c r="X2969">
        <v>2501.9499999999998</v>
      </c>
      <c r="Y2969" t="s">
        <v>36</v>
      </c>
      <c r="Z2969" s="3">
        <v>1501.33</v>
      </c>
      <c r="AA2969" t="s">
        <v>41</v>
      </c>
      <c r="AB2969" t="s">
        <v>44</v>
      </c>
      <c r="AC2969">
        <v>99</v>
      </c>
      <c r="AD2969" t="s">
        <v>34</v>
      </c>
      <c r="AE2969">
        <v>375.54</v>
      </c>
      <c r="AF2969">
        <v>0</v>
      </c>
    </row>
    <row r="2970" spans="3:32" x14ac:dyDescent="0.35">
      <c r="C2970" s="1">
        <v>45236</v>
      </c>
      <c r="D2970" s="2">
        <v>45231</v>
      </c>
      <c r="E2970">
        <v>1961</v>
      </c>
      <c r="F2970" s="3">
        <v>6130.53</v>
      </c>
      <c r="G2970" s="3">
        <v>2355.21</v>
      </c>
      <c r="H2970" s="3">
        <v>3775.32</v>
      </c>
      <c r="I2970" s="3">
        <v>0.38</v>
      </c>
      <c r="J2970">
        <v>0.31</v>
      </c>
      <c r="K2970">
        <v>1752.34</v>
      </c>
      <c r="L2970" t="s">
        <v>35</v>
      </c>
      <c r="M2970">
        <v>625</v>
      </c>
      <c r="N2970">
        <v>0.39</v>
      </c>
      <c r="O2970" s="3">
        <v>377.35</v>
      </c>
      <c r="P2970" s="3">
        <v>0.06</v>
      </c>
      <c r="Q2970" s="3">
        <v>27.32</v>
      </c>
      <c r="R2970" s="3">
        <v>0</v>
      </c>
      <c r="S2970">
        <v>1</v>
      </c>
      <c r="T2970">
        <v>1003.21</v>
      </c>
      <c r="U2970">
        <v>33</v>
      </c>
      <c r="V2970">
        <v>0</v>
      </c>
      <c r="W2970">
        <v>535.32000000000005</v>
      </c>
      <c r="X2970">
        <v>1544.37</v>
      </c>
      <c r="Y2970" t="s">
        <v>36</v>
      </c>
      <c r="Z2970" s="3">
        <v>1004.25</v>
      </c>
      <c r="AA2970" t="s">
        <v>50</v>
      </c>
      <c r="AB2970" t="s">
        <v>42</v>
      </c>
      <c r="AC2970">
        <v>7.7</v>
      </c>
      <c r="AD2970" t="s">
        <v>43</v>
      </c>
      <c r="AE2970">
        <v>3775.32</v>
      </c>
      <c r="AF2970">
        <v>1</v>
      </c>
    </row>
    <row r="2971" spans="3:32" x14ac:dyDescent="0.35">
      <c r="C2971" s="1">
        <v>45236</v>
      </c>
      <c r="D2971" s="2">
        <v>45231</v>
      </c>
      <c r="E2971">
        <v>1280</v>
      </c>
      <c r="F2971" s="3">
        <v>5019.8500000000004</v>
      </c>
      <c r="G2971" s="3">
        <v>3903.22</v>
      </c>
      <c r="H2971" s="3">
        <v>1116.6300000000001</v>
      </c>
      <c r="I2971" s="3">
        <v>0.78</v>
      </c>
      <c r="J2971">
        <v>0.22</v>
      </c>
      <c r="K2971">
        <v>2802.2</v>
      </c>
      <c r="L2971" t="s">
        <v>35</v>
      </c>
      <c r="M2971">
        <v>688</v>
      </c>
      <c r="N2971">
        <v>0.35</v>
      </c>
      <c r="O2971" s="3">
        <v>319.39999999999998</v>
      </c>
      <c r="P2971" s="3">
        <v>0.06</v>
      </c>
      <c r="Q2971" s="3">
        <v>842.65</v>
      </c>
      <c r="R2971" s="3">
        <v>0.17</v>
      </c>
      <c r="S2971">
        <v>7</v>
      </c>
      <c r="T2971">
        <v>818.09</v>
      </c>
      <c r="U2971">
        <v>48</v>
      </c>
      <c r="V2971">
        <v>0</v>
      </c>
      <c r="W2971">
        <v>732.69</v>
      </c>
      <c r="X2971">
        <v>1353.04</v>
      </c>
      <c r="Y2971" t="s">
        <v>49</v>
      </c>
      <c r="Z2971" s="3">
        <v>1379.58</v>
      </c>
      <c r="AA2971" t="s">
        <v>46</v>
      </c>
      <c r="AB2971" t="s">
        <v>42</v>
      </c>
      <c r="AC2971">
        <v>43.2</v>
      </c>
      <c r="AD2971" t="s">
        <v>34</v>
      </c>
      <c r="AE2971">
        <v>1116.6300000000001</v>
      </c>
      <c r="AF2971">
        <v>0</v>
      </c>
    </row>
    <row r="2972" spans="3:32" x14ac:dyDescent="0.35">
      <c r="C2972" s="1">
        <v>45236</v>
      </c>
      <c r="D2972" s="2">
        <v>45231</v>
      </c>
      <c r="E2972">
        <v>1743</v>
      </c>
      <c r="F2972" s="3">
        <v>5293.43</v>
      </c>
      <c r="G2972" s="3">
        <v>3244.6</v>
      </c>
      <c r="H2972" s="3">
        <v>2048.83</v>
      </c>
      <c r="I2972" s="3">
        <v>0.61</v>
      </c>
      <c r="J2972">
        <v>0.21</v>
      </c>
      <c r="K2972">
        <v>3186.01</v>
      </c>
      <c r="L2972" t="s">
        <v>35</v>
      </c>
      <c r="M2972">
        <v>675</v>
      </c>
      <c r="N2972">
        <v>0.24</v>
      </c>
      <c r="O2972" s="3">
        <v>446.59</v>
      </c>
      <c r="P2972" s="3">
        <v>0.08</v>
      </c>
      <c r="Q2972" s="3">
        <v>571.69000000000005</v>
      </c>
      <c r="R2972" s="3">
        <v>0.11</v>
      </c>
      <c r="S2972">
        <v>8</v>
      </c>
      <c r="T2972">
        <v>1089.06</v>
      </c>
      <c r="U2972">
        <v>69</v>
      </c>
      <c r="V2972">
        <v>0</v>
      </c>
      <c r="W2972">
        <v>349.78</v>
      </c>
      <c r="X2972">
        <v>1712.78</v>
      </c>
      <c r="Y2972" t="s">
        <v>36</v>
      </c>
      <c r="Z2972" s="3">
        <v>818.61</v>
      </c>
      <c r="AA2972" t="s">
        <v>48</v>
      </c>
      <c r="AB2972" t="s">
        <v>44</v>
      </c>
      <c r="AC2972">
        <v>30.5</v>
      </c>
      <c r="AD2972" t="s">
        <v>43</v>
      </c>
      <c r="AE2972">
        <v>2048.83</v>
      </c>
      <c r="AF2972">
        <v>0</v>
      </c>
    </row>
    <row r="2973" spans="3:32" x14ac:dyDescent="0.35">
      <c r="C2973" s="1">
        <v>45236</v>
      </c>
      <c r="D2973" s="2">
        <v>45231</v>
      </c>
      <c r="E2973">
        <v>1097</v>
      </c>
      <c r="F2973" s="3">
        <v>3821.33</v>
      </c>
      <c r="G2973" s="3">
        <v>2415.4</v>
      </c>
      <c r="H2973" s="3">
        <v>1405.93</v>
      </c>
      <c r="I2973" s="3">
        <v>0.63</v>
      </c>
      <c r="J2973">
        <v>0.22</v>
      </c>
      <c r="K2973">
        <v>3811.81</v>
      </c>
      <c r="L2973" t="s">
        <v>35</v>
      </c>
      <c r="M2973">
        <v>649</v>
      </c>
      <c r="N2973">
        <v>0.47</v>
      </c>
      <c r="O2973" s="3">
        <v>395.1</v>
      </c>
      <c r="P2973" s="3">
        <v>0.1</v>
      </c>
      <c r="Q2973" s="3">
        <v>531.62</v>
      </c>
      <c r="R2973" s="3">
        <v>0.14000000000000001</v>
      </c>
      <c r="S2973">
        <v>6</v>
      </c>
      <c r="T2973">
        <v>1327.73</v>
      </c>
      <c r="U2973">
        <v>71</v>
      </c>
      <c r="V2973">
        <v>0</v>
      </c>
      <c r="W2973">
        <v>374.75</v>
      </c>
      <c r="X2973">
        <v>1864.64</v>
      </c>
      <c r="Y2973" t="s">
        <v>36</v>
      </c>
      <c r="Z2973" s="3">
        <v>786.62</v>
      </c>
      <c r="AA2973" t="s">
        <v>47</v>
      </c>
      <c r="AB2973" t="s">
        <v>33</v>
      </c>
      <c r="AC2973">
        <v>30.6</v>
      </c>
      <c r="AD2973" t="s">
        <v>34</v>
      </c>
      <c r="AE2973">
        <v>1405.93</v>
      </c>
      <c r="AF2973">
        <v>0</v>
      </c>
    </row>
    <row r="2974" spans="3:32" x14ac:dyDescent="0.35">
      <c r="C2974" s="1">
        <v>45236</v>
      </c>
      <c r="D2974" s="2">
        <v>45231</v>
      </c>
      <c r="E2974">
        <v>1321</v>
      </c>
      <c r="F2974" s="3">
        <v>4537.59</v>
      </c>
      <c r="G2974" s="3">
        <v>3100.27</v>
      </c>
      <c r="H2974" s="3">
        <v>1437.32</v>
      </c>
      <c r="I2974" s="3">
        <v>0.68</v>
      </c>
      <c r="J2974">
        <v>0.24</v>
      </c>
      <c r="K2974">
        <v>2650.22</v>
      </c>
      <c r="L2974" t="s">
        <v>35</v>
      </c>
      <c r="M2974">
        <v>546</v>
      </c>
      <c r="N2974">
        <v>0.17</v>
      </c>
      <c r="O2974" s="3">
        <v>779.36</v>
      </c>
      <c r="P2974" s="3">
        <v>0.17</v>
      </c>
      <c r="Q2974" s="3">
        <v>214.66</v>
      </c>
      <c r="R2974" s="3">
        <v>0.05</v>
      </c>
      <c r="S2974">
        <v>2</v>
      </c>
      <c r="T2974">
        <v>942.52</v>
      </c>
      <c r="U2974">
        <v>89</v>
      </c>
      <c r="V2974">
        <v>0</v>
      </c>
      <c r="W2974">
        <v>333.35</v>
      </c>
      <c r="X2974">
        <v>1960.12</v>
      </c>
      <c r="Y2974" t="s">
        <v>49</v>
      </c>
      <c r="Z2974" s="3">
        <v>1519.75</v>
      </c>
      <c r="AA2974" t="s">
        <v>47</v>
      </c>
      <c r="AB2974" t="s">
        <v>33</v>
      </c>
      <c r="AC2974">
        <v>26.5</v>
      </c>
      <c r="AD2974" t="s">
        <v>34</v>
      </c>
      <c r="AE2974">
        <v>1437.32</v>
      </c>
      <c r="AF2974">
        <v>0</v>
      </c>
    </row>
    <row r="2975" spans="3:32" x14ac:dyDescent="0.35">
      <c r="C2975" s="1">
        <v>45236</v>
      </c>
      <c r="D2975" s="2">
        <v>45231</v>
      </c>
      <c r="E2975">
        <v>1970</v>
      </c>
      <c r="F2975" s="3">
        <v>4707.74</v>
      </c>
      <c r="G2975" s="3">
        <v>3634.79</v>
      </c>
      <c r="H2975" s="3">
        <v>1072.95</v>
      </c>
      <c r="I2975" s="3">
        <v>0.77</v>
      </c>
      <c r="J2975">
        <v>0.19</v>
      </c>
      <c r="K2975">
        <v>3333.43</v>
      </c>
      <c r="L2975" t="s">
        <v>30</v>
      </c>
      <c r="M2975">
        <v>689</v>
      </c>
      <c r="N2975">
        <v>0.12</v>
      </c>
      <c r="O2975" s="3">
        <v>491.14</v>
      </c>
      <c r="P2975" s="3">
        <v>0.1</v>
      </c>
      <c r="Q2975" s="3">
        <v>408.65</v>
      </c>
      <c r="R2975" s="3">
        <v>0.09</v>
      </c>
      <c r="S2975">
        <v>7</v>
      </c>
      <c r="T2975">
        <v>643.49</v>
      </c>
      <c r="U2975">
        <v>31</v>
      </c>
      <c r="V2975">
        <v>0</v>
      </c>
      <c r="W2975">
        <v>416.49</v>
      </c>
      <c r="X2975">
        <v>1849.32</v>
      </c>
      <c r="Y2975" t="s">
        <v>36</v>
      </c>
      <c r="Z2975" s="3">
        <v>1623.36</v>
      </c>
      <c r="AA2975" t="s">
        <v>32</v>
      </c>
      <c r="AB2975" t="s">
        <v>44</v>
      </c>
      <c r="AC2975">
        <v>64</v>
      </c>
      <c r="AD2975" t="s">
        <v>38</v>
      </c>
      <c r="AE2975">
        <v>1072.95</v>
      </c>
      <c r="AF2975">
        <v>0</v>
      </c>
    </row>
    <row r="2976" spans="3:32" x14ac:dyDescent="0.35">
      <c r="C2976" s="1">
        <v>45236</v>
      </c>
      <c r="D2976" s="2">
        <v>45231</v>
      </c>
      <c r="E2976">
        <v>1246</v>
      </c>
      <c r="F2976" s="3">
        <v>5105.78</v>
      </c>
      <c r="G2976" s="3">
        <v>4312.92</v>
      </c>
      <c r="H2976" s="3">
        <v>792.86</v>
      </c>
      <c r="I2976" s="3">
        <v>0.84</v>
      </c>
      <c r="J2976">
        <v>0.27</v>
      </c>
      <c r="K2976">
        <v>2546.52</v>
      </c>
      <c r="L2976" t="s">
        <v>30</v>
      </c>
      <c r="M2976">
        <v>669</v>
      </c>
      <c r="N2976">
        <v>0.33</v>
      </c>
      <c r="O2976" s="3">
        <v>365.65</v>
      </c>
      <c r="P2976" s="3">
        <v>7.0000000000000007E-2</v>
      </c>
      <c r="Q2976" s="3">
        <v>450.53</v>
      </c>
      <c r="R2976" s="3">
        <v>0.09</v>
      </c>
      <c r="S2976">
        <v>6</v>
      </c>
      <c r="T2976">
        <v>951.81</v>
      </c>
      <c r="U2976">
        <v>33</v>
      </c>
      <c r="V2976">
        <v>0</v>
      </c>
      <c r="W2976">
        <v>279.31</v>
      </c>
      <c r="X2976">
        <v>1543.7</v>
      </c>
      <c r="Y2976" t="s">
        <v>36</v>
      </c>
      <c r="Z2976" s="3">
        <v>1112.81</v>
      </c>
      <c r="AA2976" t="s">
        <v>40</v>
      </c>
      <c r="AB2976" t="s">
        <v>42</v>
      </c>
      <c r="AC2976">
        <v>20.2</v>
      </c>
      <c r="AD2976" t="s">
        <v>34</v>
      </c>
      <c r="AE2976">
        <v>792.86</v>
      </c>
      <c r="AF2976">
        <v>0</v>
      </c>
    </row>
    <row r="2977" spans="3:32" x14ac:dyDescent="0.35">
      <c r="C2977" s="1">
        <v>45236</v>
      </c>
      <c r="D2977" s="2">
        <v>45231</v>
      </c>
      <c r="E2977">
        <v>1329</v>
      </c>
      <c r="F2977" s="3">
        <v>5344.28</v>
      </c>
      <c r="G2977" s="3">
        <v>2860.93</v>
      </c>
      <c r="H2977" s="3">
        <v>2483.35</v>
      </c>
      <c r="I2977" s="3">
        <v>0.54</v>
      </c>
      <c r="J2977">
        <v>0.15</v>
      </c>
      <c r="K2977">
        <v>3085.08</v>
      </c>
      <c r="L2977" t="s">
        <v>35</v>
      </c>
      <c r="M2977">
        <v>633</v>
      </c>
      <c r="N2977">
        <v>0.42</v>
      </c>
      <c r="O2977" s="3">
        <v>491.61</v>
      </c>
      <c r="P2977" s="3">
        <v>0.09</v>
      </c>
      <c r="Q2977" s="3">
        <v>494.4</v>
      </c>
      <c r="R2977" s="3">
        <v>0.09</v>
      </c>
      <c r="S2977">
        <v>1</v>
      </c>
      <c r="T2977">
        <v>1745.29</v>
      </c>
      <c r="U2977">
        <v>71</v>
      </c>
      <c r="V2977">
        <v>0</v>
      </c>
      <c r="W2977">
        <v>505.87</v>
      </c>
      <c r="X2977">
        <v>2400.02</v>
      </c>
      <c r="Y2977" t="s">
        <v>31</v>
      </c>
      <c r="Z2977" s="3">
        <v>864.91</v>
      </c>
      <c r="AA2977" t="s">
        <v>37</v>
      </c>
      <c r="AB2977" t="s">
        <v>33</v>
      </c>
      <c r="AC2977">
        <v>13</v>
      </c>
      <c r="AD2977" t="s">
        <v>43</v>
      </c>
      <c r="AE2977">
        <v>2483.35</v>
      </c>
      <c r="AF2977">
        <v>0</v>
      </c>
    </row>
    <row r="2978" spans="3:32" x14ac:dyDescent="0.35">
      <c r="C2978" s="1">
        <v>45236</v>
      </c>
      <c r="D2978" s="2">
        <v>45231</v>
      </c>
      <c r="E2978">
        <v>1897</v>
      </c>
      <c r="F2978" s="3">
        <v>5045.76</v>
      </c>
      <c r="G2978" s="3">
        <v>2943.55</v>
      </c>
      <c r="H2978" s="3">
        <v>2102.21</v>
      </c>
      <c r="I2978" s="3">
        <v>0.57999999999999996</v>
      </c>
      <c r="J2978">
        <v>0.32</v>
      </c>
      <c r="K2978">
        <v>3155.78</v>
      </c>
      <c r="L2978" t="s">
        <v>39</v>
      </c>
      <c r="M2978">
        <v>650</v>
      </c>
      <c r="N2978">
        <v>0.53</v>
      </c>
      <c r="O2978" s="3">
        <v>144.9</v>
      </c>
      <c r="P2978" s="3">
        <v>0.03</v>
      </c>
      <c r="Q2978" s="3">
        <v>252.05</v>
      </c>
      <c r="R2978" s="3">
        <v>0.05</v>
      </c>
      <c r="S2978">
        <v>7</v>
      </c>
      <c r="T2978">
        <v>916.85</v>
      </c>
      <c r="U2978">
        <v>74</v>
      </c>
      <c r="V2978">
        <v>0</v>
      </c>
      <c r="W2978">
        <v>236.15</v>
      </c>
      <c r="X2978">
        <v>2533.14</v>
      </c>
      <c r="Y2978" t="s">
        <v>31</v>
      </c>
      <c r="Z2978" s="3">
        <v>1414.57</v>
      </c>
      <c r="AA2978" t="s">
        <v>45</v>
      </c>
      <c r="AB2978" t="s">
        <v>33</v>
      </c>
      <c r="AC2978">
        <v>16.8</v>
      </c>
      <c r="AD2978" t="s">
        <v>34</v>
      </c>
      <c r="AE2978">
        <v>2102.21</v>
      </c>
      <c r="AF2978">
        <v>0</v>
      </c>
    </row>
    <row r="2979" spans="3:32" x14ac:dyDescent="0.35">
      <c r="C2979" s="1">
        <v>45236</v>
      </c>
      <c r="D2979" s="2">
        <v>45231</v>
      </c>
      <c r="E2979">
        <v>1492</v>
      </c>
      <c r="F2979" s="3">
        <v>4878.8900000000003</v>
      </c>
      <c r="G2979" s="3">
        <v>3662.04</v>
      </c>
      <c r="H2979" s="3">
        <v>1216.8499999999999</v>
      </c>
      <c r="I2979" s="3">
        <v>0.75</v>
      </c>
      <c r="J2979">
        <v>0.35</v>
      </c>
      <c r="K2979">
        <v>2757.33</v>
      </c>
      <c r="L2979" t="s">
        <v>35</v>
      </c>
      <c r="M2979">
        <v>672</v>
      </c>
      <c r="N2979">
        <v>0.51</v>
      </c>
      <c r="O2979" s="3">
        <v>756.85</v>
      </c>
      <c r="P2979" s="3">
        <v>0.16</v>
      </c>
      <c r="Q2979" s="3">
        <v>727.19</v>
      </c>
      <c r="R2979" s="3">
        <v>0.15</v>
      </c>
      <c r="S2979">
        <v>4</v>
      </c>
      <c r="T2979">
        <v>1055.98</v>
      </c>
      <c r="U2979">
        <v>95</v>
      </c>
      <c r="V2979">
        <v>0</v>
      </c>
      <c r="W2979">
        <v>757.55</v>
      </c>
      <c r="X2979">
        <v>1119.4000000000001</v>
      </c>
      <c r="Y2979" t="s">
        <v>36</v>
      </c>
      <c r="Z2979" s="3">
        <v>1139.55</v>
      </c>
      <c r="AA2979" t="s">
        <v>47</v>
      </c>
      <c r="AB2979" t="s">
        <v>33</v>
      </c>
      <c r="AC2979">
        <v>18</v>
      </c>
      <c r="AD2979" t="s">
        <v>34</v>
      </c>
      <c r="AE2979">
        <v>1216.8499999999999</v>
      </c>
      <c r="AF2979">
        <v>0</v>
      </c>
    </row>
    <row r="2980" spans="3:32" x14ac:dyDescent="0.35">
      <c r="C2980" s="1">
        <v>45236</v>
      </c>
      <c r="D2980" s="2">
        <v>45231</v>
      </c>
      <c r="E2980">
        <v>1013</v>
      </c>
      <c r="F2980" s="3">
        <v>3254.2</v>
      </c>
      <c r="G2980" s="3">
        <v>2740</v>
      </c>
      <c r="H2980" s="3">
        <v>514.20000000000005</v>
      </c>
      <c r="I2980" s="3">
        <v>0.84</v>
      </c>
      <c r="J2980">
        <v>0.16</v>
      </c>
      <c r="K2980">
        <v>2253.54</v>
      </c>
      <c r="L2980" t="s">
        <v>39</v>
      </c>
      <c r="M2980">
        <v>602</v>
      </c>
      <c r="N2980">
        <v>0.21</v>
      </c>
      <c r="O2980" s="3">
        <v>681.61</v>
      </c>
      <c r="P2980" s="3">
        <v>0.21</v>
      </c>
      <c r="Q2980" s="3">
        <v>537.53</v>
      </c>
      <c r="R2980" s="3">
        <v>0.17</v>
      </c>
      <c r="S2980">
        <v>8</v>
      </c>
      <c r="T2980">
        <v>886.88</v>
      </c>
      <c r="U2980">
        <v>97</v>
      </c>
      <c r="V2980">
        <v>0</v>
      </c>
      <c r="W2980">
        <v>477.01</v>
      </c>
      <c r="X2980">
        <v>1921.14</v>
      </c>
      <c r="Y2980" t="s">
        <v>49</v>
      </c>
      <c r="Z2980" s="3">
        <v>1299.95</v>
      </c>
      <c r="AA2980" t="s">
        <v>45</v>
      </c>
      <c r="AB2980" t="s">
        <v>42</v>
      </c>
      <c r="AC2980">
        <v>9.1</v>
      </c>
      <c r="AD2980" t="s">
        <v>34</v>
      </c>
      <c r="AE2980">
        <v>514.20000000000005</v>
      </c>
      <c r="AF2980">
        <v>0</v>
      </c>
    </row>
    <row r="2981" spans="3:32" x14ac:dyDescent="0.35">
      <c r="C2981" s="1">
        <v>45236</v>
      </c>
      <c r="D2981" s="2">
        <v>45231</v>
      </c>
      <c r="E2981">
        <v>1827</v>
      </c>
      <c r="F2981" s="3">
        <v>4226.82</v>
      </c>
      <c r="G2981" s="3">
        <v>4527.5200000000004</v>
      </c>
      <c r="H2981" s="3">
        <v>-300.7</v>
      </c>
      <c r="I2981" s="3">
        <v>1.07</v>
      </c>
      <c r="J2981">
        <v>0.24</v>
      </c>
      <c r="K2981">
        <v>2301.23</v>
      </c>
      <c r="L2981" t="s">
        <v>35</v>
      </c>
      <c r="M2981">
        <v>656</v>
      </c>
      <c r="N2981">
        <v>0.46</v>
      </c>
      <c r="O2981" s="3">
        <v>683.38</v>
      </c>
      <c r="P2981" s="3">
        <v>0.16</v>
      </c>
      <c r="Q2981" s="3">
        <v>646.02</v>
      </c>
      <c r="R2981" s="3">
        <v>0.15</v>
      </c>
      <c r="S2981">
        <v>1</v>
      </c>
      <c r="T2981">
        <v>512.03</v>
      </c>
      <c r="U2981">
        <v>88</v>
      </c>
      <c r="V2981">
        <v>0</v>
      </c>
      <c r="W2981">
        <v>91.09</v>
      </c>
      <c r="X2981">
        <v>2126.5</v>
      </c>
      <c r="Y2981" t="s">
        <v>36</v>
      </c>
      <c r="Z2981" s="3">
        <v>1049.1300000000001</v>
      </c>
      <c r="AA2981" t="s">
        <v>37</v>
      </c>
      <c r="AB2981" t="s">
        <v>33</v>
      </c>
      <c r="AC2981">
        <v>79.8</v>
      </c>
      <c r="AD2981" t="s">
        <v>34</v>
      </c>
      <c r="AE2981">
        <v>0</v>
      </c>
      <c r="AF2981">
        <v>0</v>
      </c>
    </row>
    <row r="2982" spans="3:32" x14ac:dyDescent="0.35">
      <c r="C2982" s="1">
        <v>45236</v>
      </c>
      <c r="D2982" s="2">
        <v>45231</v>
      </c>
      <c r="E2982">
        <v>1891</v>
      </c>
      <c r="F2982" s="3">
        <v>2791.51</v>
      </c>
      <c r="G2982" s="3">
        <v>4801.3900000000003</v>
      </c>
      <c r="H2982" s="3">
        <v>-2009.88</v>
      </c>
      <c r="I2982" s="3">
        <v>1.72</v>
      </c>
      <c r="J2982">
        <v>0.38</v>
      </c>
      <c r="K2982">
        <v>2442.02</v>
      </c>
      <c r="L2982" t="s">
        <v>35</v>
      </c>
      <c r="M2982">
        <v>688</v>
      </c>
      <c r="N2982">
        <v>0.35</v>
      </c>
      <c r="O2982" s="3">
        <v>559.33000000000004</v>
      </c>
      <c r="P2982" s="3">
        <v>0.2</v>
      </c>
      <c r="Q2982" s="3">
        <v>622.26</v>
      </c>
      <c r="R2982" s="3">
        <v>0.22</v>
      </c>
      <c r="S2982">
        <v>5</v>
      </c>
      <c r="T2982">
        <v>848.97</v>
      </c>
      <c r="U2982">
        <v>71</v>
      </c>
      <c r="V2982">
        <v>0</v>
      </c>
      <c r="W2982">
        <v>810</v>
      </c>
      <c r="X2982">
        <v>1501.37</v>
      </c>
      <c r="Y2982" t="s">
        <v>36</v>
      </c>
      <c r="Z2982" s="3">
        <v>1672.34</v>
      </c>
      <c r="AA2982" t="s">
        <v>51</v>
      </c>
      <c r="AB2982" t="s">
        <v>33</v>
      </c>
      <c r="AC2982">
        <v>99.9</v>
      </c>
      <c r="AD2982" t="s">
        <v>34</v>
      </c>
      <c r="AE2982">
        <v>0</v>
      </c>
      <c r="AF2982">
        <v>0</v>
      </c>
    </row>
    <row r="2983" spans="3:32" x14ac:dyDescent="0.35">
      <c r="C2983" s="1">
        <v>45236</v>
      </c>
      <c r="D2983" s="2">
        <v>45231</v>
      </c>
      <c r="E2983">
        <v>1897</v>
      </c>
      <c r="F2983" s="3">
        <v>4253.97</v>
      </c>
      <c r="G2983" s="3">
        <v>2055.75</v>
      </c>
      <c r="H2983" s="3">
        <v>2198.2199999999998</v>
      </c>
      <c r="I2983" s="3">
        <v>0.48</v>
      </c>
      <c r="J2983">
        <v>0.35</v>
      </c>
      <c r="K2983">
        <v>3253.34</v>
      </c>
      <c r="L2983" t="s">
        <v>35</v>
      </c>
      <c r="M2983">
        <v>646</v>
      </c>
      <c r="N2983">
        <v>0.56000000000000005</v>
      </c>
      <c r="O2983" s="3">
        <v>420.35</v>
      </c>
      <c r="P2983" s="3">
        <v>0.1</v>
      </c>
      <c r="Q2983" s="3">
        <v>477.02</v>
      </c>
      <c r="R2983" s="3">
        <v>0.11</v>
      </c>
      <c r="S2983">
        <v>8</v>
      </c>
      <c r="T2983">
        <v>682.06</v>
      </c>
      <c r="U2983">
        <v>87</v>
      </c>
      <c r="V2983">
        <v>0</v>
      </c>
      <c r="W2983">
        <v>692.93</v>
      </c>
      <c r="X2983">
        <v>2005.84</v>
      </c>
      <c r="Y2983" t="s">
        <v>36</v>
      </c>
      <c r="Z2983" s="3">
        <v>1007.35</v>
      </c>
      <c r="AA2983" t="s">
        <v>40</v>
      </c>
      <c r="AB2983" t="s">
        <v>33</v>
      </c>
      <c r="AC2983">
        <v>28.7</v>
      </c>
      <c r="AD2983" t="s">
        <v>34</v>
      </c>
      <c r="AE2983">
        <v>2198.2199999999998</v>
      </c>
      <c r="AF2983">
        <v>0</v>
      </c>
    </row>
    <row r="2984" spans="3:32" x14ac:dyDescent="0.35">
      <c r="C2984" s="1">
        <v>45236</v>
      </c>
      <c r="D2984" s="2">
        <v>45231</v>
      </c>
      <c r="E2984">
        <v>1355</v>
      </c>
      <c r="F2984" s="3">
        <v>3512.92</v>
      </c>
      <c r="G2984" s="3">
        <v>2574.23</v>
      </c>
      <c r="H2984" s="3">
        <v>938.69</v>
      </c>
      <c r="I2984" s="3">
        <v>0.73</v>
      </c>
      <c r="J2984">
        <v>7.0000000000000007E-2</v>
      </c>
      <c r="K2984">
        <v>3035.28</v>
      </c>
      <c r="L2984" t="s">
        <v>39</v>
      </c>
      <c r="M2984">
        <v>620</v>
      </c>
      <c r="N2984">
        <v>0.52</v>
      </c>
      <c r="O2984" s="3">
        <v>937.52</v>
      </c>
      <c r="P2984" s="3">
        <v>0.27</v>
      </c>
      <c r="Q2984" s="3">
        <v>376.35</v>
      </c>
      <c r="R2984" s="3">
        <v>0.11</v>
      </c>
      <c r="S2984">
        <v>9</v>
      </c>
      <c r="T2984">
        <v>1263.92</v>
      </c>
      <c r="U2984">
        <v>76</v>
      </c>
      <c r="V2984">
        <v>0</v>
      </c>
      <c r="W2984">
        <v>784.23</v>
      </c>
      <c r="X2984">
        <v>2539.04</v>
      </c>
      <c r="Y2984" t="s">
        <v>36</v>
      </c>
      <c r="Z2984" s="3">
        <v>1150.8399999999999</v>
      </c>
      <c r="AA2984" t="s">
        <v>46</v>
      </c>
      <c r="AB2984" t="s">
        <v>44</v>
      </c>
      <c r="AC2984">
        <v>69.900000000000006</v>
      </c>
      <c r="AD2984" t="s">
        <v>34</v>
      </c>
      <c r="AE2984">
        <v>938.69</v>
      </c>
      <c r="AF2984">
        <v>0</v>
      </c>
    </row>
    <row r="2985" spans="3:32" x14ac:dyDescent="0.35">
      <c r="C2985" s="1">
        <v>45236</v>
      </c>
      <c r="D2985" s="2">
        <v>45231</v>
      </c>
      <c r="E2985">
        <v>1811</v>
      </c>
      <c r="F2985" s="3">
        <v>4347.2299999999996</v>
      </c>
      <c r="G2985" s="3">
        <v>3037.27</v>
      </c>
      <c r="H2985" s="3">
        <v>1309.96</v>
      </c>
      <c r="I2985" s="3">
        <v>0.7</v>
      </c>
      <c r="J2985">
        <v>0.34</v>
      </c>
      <c r="K2985">
        <v>3340.02</v>
      </c>
      <c r="L2985" t="s">
        <v>35</v>
      </c>
      <c r="M2985">
        <v>692</v>
      </c>
      <c r="N2985">
        <v>0.11</v>
      </c>
      <c r="O2985" s="3">
        <v>843.25</v>
      </c>
      <c r="P2985" s="3">
        <v>0.19</v>
      </c>
      <c r="Q2985" s="3">
        <v>201.37</v>
      </c>
      <c r="R2985" s="3">
        <v>0.05</v>
      </c>
      <c r="S2985">
        <v>4</v>
      </c>
      <c r="T2985">
        <v>1815.56</v>
      </c>
      <c r="U2985">
        <v>43</v>
      </c>
      <c r="V2985">
        <v>0</v>
      </c>
      <c r="W2985">
        <v>657.06</v>
      </c>
      <c r="X2985">
        <v>2414.84</v>
      </c>
      <c r="Y2985" t="s">
        <v>36</v>
      </c>
      <c r="Z2985" s="3">
        <v>921.1</v>
      </c>
      <c r="AA2985" t="s">
        <v>48</v>
      </c>
      <c r="AB2985" t="s">
        <v>33</v>
      </c>
      <c r="AC2985">
        <v>31.4</v>
      </c>
      <c r="AD2985" t="s">
        <v>34</v>
      </c>
      <c r="AE2985">
        <v>1309.96</v>
      </c>
      <c r="AF2985">
        <v>0</v>
      </c>
    </row>
    <row r="2986" spans="3:32" x14ac:dyDescent="0.35">
      <c r="C2986" s="1">
        <v>45236</v>
      </c>
      <c r="D2986" s="2">
        <v>45231</v>
      </c>
      <c r="E2986">
        <v>1343</v>
      </c>
      <c r="F2986" s="3">
        <v>5797.88</v>
      </c>
      <c r="G2986" s="3">
        <v>4329.41</v>
      </c>
      <c r="H2986" s="3">
        <v>1468.47</v>
      </c>
      <c r="I2986" s="3">
        <v>0.75</v>
      </c>
      <c r="J2986">
        <v>0.06</v>
      </c>
      <c r="K2986">
        <v>2497.1799999999998</v>
      </c>
      <c r="L2986" t="s">
        <v>30</v>
      </c>
      <c r="M2986">
        <v>600</v>
      </c>
      <c r="N2986">
        <v>0.23</v>
      </c>
      <c r="O2986" s="3">
        <v>423.71</v>
      </c>
      <c r="P2986" s="3">
        <v>7.0000000000000007E-2</v>
      </c>
      <c r="Q2986" s="3">
        <v>97.52</v>
      </c>
      <c r="R2986" s="3">
        <v>0.02</v>
      </c>
      <c r="S2986">
        <v>5</v>
      </c>
      <c r="T2986">
        <v>1641.01</v>
      </c>
      <c r="U2986">
        <v>80</v>
      </c>
      <c r="V2986">
        <v>0</v>
      </c>
      <c r="W2986">
        <v>0</v>
      </c>
      <c r="X2986">
        <v>2625.18</v>
      </c>
      <c r="Y2986" t="s">
        <v>31</v>
      </c>
      <c r="Z2986" s="3">
        <v>1061.48</v>
      </c>
      <c r="AA2986" t="s">
        <v>47</v>
      </c>
      <c r="AB2986" t="s">
        <v>33</v>
      </c>
      <c r="AC2986">
        <v>25.6</v>
      </c>
      <c r="AD2986" t="s">
        <v>34</v>
      </c>
      <c r="AE2986">
        <v>1468.47</v>
      </c>
      <c r="AF2986">
        <v>0</v>
      </c>
    </row>
    <row r="2987" spans="3:32" x14ac:dyDescent="0.35">
      <c r="C2987" s="1">
        <v>45236</v>
      </c>
      <c r="D2987" s="2">
        <v>45231</v>
      </c>
      <c r="E2987">
        <v>1780</v>
      </c>
      <c r="F2987" s="3">
        <v>5169.9399999999996</v>
      </c>
      <c r="G2987" s="3">
        <v>2739.42</v>
      </c>
      <c r="H2987" s="3">
        <v>2430.52</v>
      </c>
      <c r="I2987" s="3">
        <v>0.53</v>
      </c>
      <c r="J2987">
        <v>0.34</v>
      </c>
      <c r="K2987">
        <v>2583.0700000000002</v>
      </c>
      <c r="L2987" t="s">
        <v>30</v>
      </c>
      <c r="M2987">
        <v>742</v>
      </c>
      <c r="N2987">
        <v>0.15</v>
      </c>
      <c r="O2987" s="3">
        <v>626.79</v>
      </c>
      <c r="P2987" s="3">
        <v>0.12</v>
      </c>
      <c r="Q2987" s="3">
        <v>0</v>
      </c>
      <c r="R2987" s="3">
        <v>0</v>
      </c>
      <c r="S2987">
        <v>4</v>
      </c>
      <c r="T2987">
        <v>882.85</v>
      </c>
      <c r="U2987">
        <v>21</v>
      </c>
      <c r="V2987">
        <v>0</v>
      </c>
      <c r="W2987">
        <v>661.37</v>
      </c>
      <c r="X2987">
        <v>2025.34</v>
      </c>
      <c r="Y2987" t="s">
        <v>36</v>
      </c>
      <c r="Z2987" s="3">
        <v>616.79999999999995</v>
      </c>
      <c r="AA2987" t="s">
        <v>48</v>
      </c>
      <c r="AB2987" t="s">
        <v>44</v>
      </c>
      <c r="AC2987">
        <v>1.6</v>
      </c>
      <c r="AD2987" t="s">
        <v>34</v>
      </c>
      <c r="AE2987">
        <v>2430.52</v>
      </c>
      <c r="AF2987">
        <v>0</v>
      </c>
    </row>
    <row r="2988" spans="3:32" x14ac:dyDescent="0.35">
      <c r="C2988" s="1">
        <v>45236</v>
      </c>
      <c r="D2988" s="2">
        <v>45231</v>
      </c>
      <c r="E2988">
        <v>1707</v>
      </c>
      <c r="F2988" s="3">
        <v>3192.26</v>
      </c>
      <c r="G2988" s="3">
        <v>2997.43</v>
      </c>
      <c r="H2988" s="3">
        <v>194.83</v>
      </c>
      <c r="I2988" s="3">
        <v>0.94</v>
      </c>
      <c r="J2988">
        <v>0.33</v>
      </c>
      <c r="K2988">
        <v>3083.63</v>
      </c>
      <c r="L2988" t="s">
        <v>35</v>
      </c>
      <c r="M2988">
        <v>685</v>
      </c>
      <c r="N2988">
        <v>0.26</v>
      </c>
      <c r="O2988" s="3">
        <v>641.14</v>
      </c>
      <c r="P2988" s="3">
        <v>0.2</v>
      </c>
      <c r="Q2988" s="3">
        <v>220.62</v>
      </c>
      <c r="R2988" s="3">
        <v>7.0000000000000007E-2</v>
      </c>
      <c r="S2988">
        <v>1</v>
      </c>
      <c r="T2988">
        <v>1617.45</v>
      </c>
      <c r="U2988">
        <v>67</v>
      </c>
      <c r="V2988">
        <v>0</v>
      </c>
      <c r="W2988">
        <v>513.13</v>
      </c>
      <c r="X2988">
        <v>1076.3399999999999</v>
      </c>
      <c r="Y2988" t="s">
        <v>36</v>
      </c>
      <c r="Z2988" s="3">
        <v>1246.56</v>
      </c>
      <c r="AA2988" t="s">
        <v>51</v>
      </c>
      <c r="AB2988" t="s">
        <v>33</v>
      </c>
      <c r="AC2988">
        <v>86.4</v>
      </c>
      <c r="AD2988" t="s">
        <v>38</v>
      </c>
      <c r="AE2988">
        <v>194.83</v>
      </c>
      <c r="AF2988">
        <v>0</v>
      </c>
    </row>
    <row r="2989" spans="3:32" x14ac:dyDescent="0.35">
      <c r="C2989" s="1">
        <v>45236</v>
      </c>
      <c r="D2989" s="2">
        <v>45231</v>
      </c>
      <c r="E2989">
        <v>1834</v>
      </c>
      <c r="F2989" s="3">
        <v>3284.41</v>
      </c>
      <c r="G2989" s="3">
        <v>2811.95</v>
      </c>
      <c r="H2989" s="3">
        <v>472.46</v>
      </c>
      <c r="I2989" s="3">
        <v>0.86</v>
      </c>
      <c r="J2989">
        <v>0.17</v>
      </c>
      <c r="K2989">
        <v>2479.6799999999998</v>
      </c>
      <c r="L2989" t="s">
        <v>35</v>
      </c>
      <c r="M2989">
        <v>609</v>
      </c>
      <c r="N2989">
        <v>0.27</v>
      </c>
      <c r="O2989" s="3">
        <v>347.2</v>
      </c>
      <c r="P2989" s="3">
        <v>0.11</v>
      </c>
      <c r="Q2989" s="3">
        <v>207.8</v>
      </c>
      <c r="R2989" s="3">
        <v>0.06</v>
      </c>
      <c r="S2989">
        <v>2</v>
      </c>
      <c r="T2989">
        <v>1442.11</v>
      </c>
      <c r="U2989">
        <v>89</v>
      </c>
      <c r="V2989">
        <v>0</v>
      </c>
      <c r="W2989">
        <v>606.5</v>
      </c>
      <c r="X2989">
        <v>1970.58</v>
      </c>
      <c r="Y2989" t="s">
        <v>36</v>
      </c>
      <c r="Z2989" s="3">
        <v>1292.2</v>
      </c>
      <c r="AA2989" t="s">
        <v>48</v>
      </c>
      <c r="AB2989" t="s">
        <v>42</v>
      </c>
      <c r="AC2989">
        <v>12</v>
      </c>
      <c r="AD2989" t="s">
        <v>34</v>
      </c>
      <c r="AE2989">
        <v>472.46</v>
      </c>
      <c r="AF2989">
        <v>0</v>
      </c>
    </row>
    <row r="2990" spans="3:32" x14ac:dyDescent="0.35">
      <c r="C2990" s="1">
        <v>45236</v>
      </c>
      <c r="D2990" s="2">
        <v>45231</v>
      </c>
      <c r="E2990">
        <v>1259</v>
      </c>
      <c r="F2990" s="3">
        <v>4053.15</v>
      </c>
      <c r="G2990" s="3">
        <v>2630.87</v>
      </c>
      <c r="H2990" s="3">
        <v>1422.28</v>
      </c>
      <c r="I2990" s="3">
        <v>0.65</v>
      </c>
      <c r="J2990">
        <v>0.37</v>
      </c>
      <c r="K2990">
        <v>3306.3</v>
      </c>
      <c r="L2990" t="s">
        <v>35</v>
      </c>
      <c r="M2990">
        <v>686</v>
      </c>
      <c r="N2990">
        <v>0.32</v>
      </c>
      <c r="O2990" s="3">
        <v>376.17</v>
      </c>
      <c r="P2990" s="3">
        <v>0.09</v>
      </c>
      <c r="Q2990" s="3">
        <v>50.44</v>
      </c>
      <c r="R2990" s="3">
        <v>0.01</v>
      </c>
      <c r="S2990">
        <v>9</v>
      </c>
      <c r="T2990">
        <v>1663.81</v>
      </c>
      <c r="U2990">
        <v>85</v>
      </c>
      <c r="V2990">
        <v>0</v>
      </c>
      <c r="W2990">
        <v>612.62</v>
      </c>
      <c r="X2990">
        <v>2412.8200000000002</v>
      </c>
      <c r="Y2990" t="s">
        <v>36</v>
      </c>
      <c r="Z2990" s="3">
        <v>1050.02</v>
      </c>
      <c r="AA2990" t="s">
        <v>41</v>
      </c>
      <c r="AB2990" t="s">
        <v>44</v>
      </c>
      <c r="AC2990">
        <v>47.1</v>
      </c>
      <c r="AD2990" t="s">
        <v>34</v>
      </c>
      <c r="AE2990">
        <v>1422.28</v>
      </c>
      <c r="AF2990">
        <v>0</v>
      </c>
    </row>
    <row r="2991" spans="3:32" x14ac:dyDescent="0.35">
      <c r="C2991" s="1">
        <v>45236</v>
      </c>
      <c r="D2991" s="2">
        <v>45231</v>
      </c>
      <c r="E2991">
        <v>1777</v>
      </c>
      <c r="F2991" s="3">
        <v>2370.23</v>
      </c>
      <c r="G2991" s="3">
        <v>2163.91</v>
      </c>
      <c r="H2991" s="3">
        <v>206.32</v>
      </c>
      <c r="I2991" s="3">
        <v>0.91</v>
      </c>
      <c r="J2991">
        <v>0.09</v>
      </c>
      <c r="K2991">
        <v>3943.01</v>
      </c>
      <c r="L2991" t="s">
        <v>35</v>
      </c>
      <c r="M2991">
        <v>668</v>
      </c>
      <c r="N2991">
        <v>0.3</v>
      </c>
      <c r="O2991" s="3">
        <v>0</v>
      </c>
      <c r="P2991" s="3">
        <v>0</v>
      </c>
      <c r="Q2991" s="3">
        <v>594.87</v>
      </c>
      <c r="R2991" s="3">
        <v>0.25</v>
      </c>
      <c r="S2991">
        <v>2</v>
      </c>
      <c r="T2991">
        <v>1146.28</v>
      </c>
      <c r="U2991">
        <v>56</v>
      </c>
      <c r="V2991">
        <v>0</v>
      </c>
      <c r="W2991">
        <v>683.55</v>
      </c>
      <c r="X2991">
        <v>1742.87</v>
      </c>
      <c r="Y2991" t="s">
        <v>49</v>
      </c>
      <c r="Z2991" s="3">
        <v>968.74</v>
      </c>
      <c r="AA2991" t="s">
        <v>40</v>
      </c>
      <c r="AB2991" t="s">
        <v>42</v>
      </c>
      <c r="AC2991">
        <v>2.7</v>
      </c>
      <c r="AD2991" t="s">
        <v>34</v>
      </c>
      <c r="AE2991">
        <v>206.32</v>
      </c>
      <c r="AF2991">
        <v>0</v>
      </c>
    </row>
    <row r="2992" spans="3:32" x14ac:dyDescent="0.35">
      <c r="C2992" s="1">
        <v>45236</v>
      </c>
      <c r="D2992" s="2">
        <v>45231</v>
      </c>
      <c r="E2992">
        <v>1871</v>
      </c>
      <c r="F2992" s="3">
        <v>5061.6499999999996</v>
      </c>
      <c r="G2992" s="3">
        <v>2452.19</v>
      </c>
      <c r="H2992" s="3">
        <v>2609.46</v>
      </c>
      <c r="I2992" s="3">
        <v>0.48</v>
      </c>
      <c r="J2992">
        <v>0.13</v>
      </c>
      <c r="K2992">
        <v>1593.19</v>
      </c>
      <c r="L2992" t="s">
        <v>39</v>
      </c>
      <c r="M2992">
        <v>661</v>
      </c>
      <c r="N2992">
        <v>0.15</v>
      </c>
      <c r="O2992" s="3">
        <v>444.09</v>
      </c>
      <c r="P2992" s="3">
        <v>0.09</v>
      </c>
      <c r="Q2992" s="3">
        <v>365.03</v>
      </c>
      <c r="R2992" s="3">
        <v>7.0000000000000007E-2</v>
      </c>
      <c r="S2992">
        <v>8</v>
      </c>
      <c r="T2992">
        <v>713.16</v>
      </c>
      <c r="U2992">
        <v>76</v>
      </c>
      <c r="V2992">
        <v>0</v>
      </c>
      <c r="W2992">
        <v>356.85</v>
      </c>
      <c r="X2992">
        <v>2260.37</v>
      </c>
      <c r="Y2992" t="s">
        <v>36</v>
      </c>
      <c r="Z2992" s="3">
        <v>687.92</v>
      </c>
      <c r="AA2992" t="s">
        <v>50</v>
      </c>
      <c r="AB2992" t="s">
        <v>44</v>
      </c>
      <c r="AC2992">
        <v>45.2</v>
      </c>
      <c r="AD2992" t="s">
        <v>34</v>
      </c>
      <c r="AE2992">
        <v>2609.46</v>
      </c>
      <c r="AF2992">
        <v>1</v>
      </c>
    </row>
    <row r="2993" spans="3:32" x14ac:dyDescent="0.35">
      <c r="C2993" s="1">
        <v>45236</v>
      </c>
      <c r="D2993" s="2">
        <v>45231</v>
      </c>
      <c r="E2993">
        <v>1506</v>
      </c>
      <c r="F2993" s="3">
        <v>4418.16</v>
      </c>
      <c r="G2993" s="3">
        <v>2315.04</v>
      </c>
      <c r="H2993" s="3">
        <v>2103.12</v>
      </c>
      <c r="I2993" s="3">
        <v>0.52</v>
      </c>
      <c r="J2993">
        <v>0.12</v>
      </c>
      <c r="K2993">
        <v>3166.28</v>
      </c>
      <c r="L2993" t="s">
        <v>39</v>
      </c>
      <c r="M2993">
        <v>696</v>
      </c>
      <c r="N2993">
        <v>0.21</v>
      </c>
      <c r="O2993" s="3">
        <v>652.11</v>
      </c>
      <c r="P2993" s="3">
        <v>0.15</v>
      </c>
      <c r="Q2993" s="3">
        <v>0</v>
      </c>
      <c r="R2993" s="3">
        <v>0</v>
      </c>
      <c r="S2993">
        <v>5</v>
      </c>
      <c r="T2993">
        <v>438.74</v>
      </c>
      <c r="U2993">
        <v>37</v>
      </c>
      <c r="V2993">
        <v>0</v>
      </c>
      <c r="W2993">
        <v>722.9</v>
      </c>
      <c r="X2993">
        <v>3358.05</v>
      </c>
      <c r="Y2993" t="s">
        <v>36</v>
      </c>
      <c r="Z2993" s="3">
        <v>1663.98</v>
      </c>
      <c r="AA2993" t="s">
        <v>46</v>
      </c>
      <c r="AB2993" t="s">
        <v>42</v>
      </c>
      <c r="AC2993">
        <v>56.3</v>
      </c>
      <c r="AD2993" t="s">
        <v>34</v>
      </c>
      <c r="AE2993">
        <v>2103.12</v>
      </c>
      <c r="AF2993">
        <v>0</v>
      </c>
    </row>
    <row r="2994" spans="3:32" x14ac:dyDescent="0.35">
      <c r="C2994" s="1">
        <v>45236</v>
      </c>
      <c r="D2994" s="2">
        <v>45231</v>
      </c>
      <c r="E2994">
        <v>1371</v>
      </c>
      <c r="F2994" s="3">
        <v>3751.63</v>
      </c>
      <c r="G2994" s="3">
        <v>4124.7</v>
      </c>
      <c r="H2994" s="3">
        <v>-373.07</v>
      </c>
      <c r="I2994" s="3">
        <v>1.1000000000000001</v>
      </c>
      <c r="J2994">
        <v>0.18</v>
      </c>
      <c r="K2994">
        <v>2508.1</v>
      </c>
      <c r="L2994" t="s">
        <v>35</v>
      </c>
      <c r="M2994">
        <v>591</v>
      </c>
      <c r="N2994">
        <v>0.47</v>
      </c>
      <c r="O2994" s="3">
        <v>807.68</v>
      </c>
      <c r="P2994" s="3">
        <v>0.22</v>
      </c>
      <c r="Q2994" s="3">
        <v>313.76</v>
      </c>
      <c r="R2994" s="3">
        <v>0.08</v>
      </c>
      <c r="S2994">
        <v>7</v>
      </c>
      <c r="T2994">
        <v>425.34</v>
      </c>
      <c r="U2994">
        <v>70</v>
      </c>
      <c r="V2994">
        <v>0</v>
      </c>
      <c r="W2994">
        <v>764.69</v>
      </c>
      <c r="X2994">
        <v>2006.19</v>
      </c>
      <c r="Y2994" t="s">
        <v>36</v>
      </c>
      <c r="Z2994" s="3">
        <v>919.07</v>
      </c>
      <c r="AA2994" t="s">
        <v>50</v>
      </c>
      <c r="AB2994" t="s">
        <v>33</v>
      </c>
      <c r="AC2994">
        <v>67.5</v>
      </c>
      <c r="AD2994" t="s">
        <v>43</v>
      </c>
      <c r="AE2994">
        <v>0</v>
      </c>
      <c r="AF2994">
        <v>0</v>
      </c>
    </row>
    <row r="2995" spans="3:32" x14ac:dyDescent="0.35">
      <c r="C2995" s="1">
        <v>45236</v>
      </c>
      <c r="D2995" s="2">
        <v>45231</v>
      </c>
      <c r="E2995">
        <v>1979</v>
      </c>
      <c r="F2995" s="3">
        <v>4675.2299999999996</v>
      </c>
      <c r="G2995" s="3">
        <v>3685.93</v>
      </c>
      <c r="H2995" s="3">
        <v>989.3</v>
      </c>
      <c r="I2995" s="3">
        <v>0.79</v>
      </c>
      <c r="J2995">
        <v>0.22</v>
      </c>
      <c r="K2995">
        <v>2877.53</v>
      </c>
      <c r="L2995" t="s">
        <v>35</v>
      </c>
      <c r="M2995">
        <v>716</v>
      </c>
      <c r="N2995">
        <v>0.22</v>
      </c>
      <c r="O2995" s="3">
        <v>335.96</v>
      </c>
      <c r="P2995" s="3">
        <v>7.0000000000000007E-2</v>
      </c>
      <c r="Q2995" s="3">
        <v>194.28</v>
      </c>
      <c r="R2995" s="3">
        <v>0.04</v>
      </c>
      <c r="S2995">
        <v>2</v>
      </c>
      <c r="T2995">
        <v>1091.0999999999999</v>
      </c>
      <c r="U2995">
        <v>51</v>
      </c>
      <c r="V2995">
        <v>0</v>
      </c>
      <c r="W2995">
        <v>616.83000000000004</v>
      </c>
      <c r="X2995">
        <v>1514.07</v>
      </c>
      <c r="Y2995" t="s">
        <v>36</v>
      </c>
      <c r="Z2995" s="3">
        <v>987.65</v>
      </c>
      <c r="AA2995" t="s">
        <v>40</v>
      </c>
      <c r="AB2995" t="s">
        <v>33</v>
      </c>
      <c r="AC2995">
        <v>84.8</v>
      </c>
      <c r="AD2995" t="s">
        <v>34</v>
      </c>
      <c r="AE2995">
        <v>989.3</v>
      </c>
      <c r="AF2995">
        <v>0</v>
      </c>
    </row>
    <row r="2996" spans="3:32" x14ac:dyDescent="0.35">
      <c r="C2996" s="1">
        <v>45236</v>
      </c>
      <c r="D2996" s="2">
        <v>45231</v>
      </c>
      <c r="E2996">
        <v>1502</v>
      </c>
      <c r="F2996" s="3">
        <v>4444.28</v>
      </c>
      <c r="G2996" s="3">
        <v>3586.98</v>
      </c>
      <c r="H2996" s="3">
        <v>857.3</v>
      </c>
      <c r="I2996" s="3">
        <v>0.81</v>
      </c>
      <c r="J2996">
        <v>0.16</v>
      </c>
      <c r="K2996">
        <v>3158.17</v>
      </c>
      <c r="L2996" t="s">
        <v>30</v>
      </c>
      <c r="M2996">
        <v>658</v>
      </c>
      <c r="N2996">
        <v>0.43</v>
      </c>
      <c r="O2996" s="3">
        <v>243.02</v>
      </c>
      <c r="P2996" s="3">
        <v>0.05</v>
      </c>
      <c r="Q2996" s="3">
        <v>0</v>
      </c>
      <c r="R2996" s="3">
        <v>0</v>
      </c>
      <c r="S2996">
        <v>6</v>
      </c>
      <c r="T2996">
        <v>573.79999999999995</v>
      </c>
      <c r="U2996">
        <v>62</v>
      </c>
      <c r="V2996">
        <v>0</v>
      </c>
      <c r="W2996">
        <v>634.53</v>
      </c>
      <c r="X2996">
        <v>2430.87</v>
      </c>
      <c r="Y2996" t="s">
        <v>36</v>
      </c>
      <c r="Z2996" s="3">
        <v>1651.43</v>
      </c>
      <c r="AA2996" t="s">
        <v>45</v>
      </c>
      <c r="AB2996" t="s">
        <v>42</v>
      </c>
      <c r="AC2996">
        <v>92.2</v>
      </c>
      <c r="AD2996" t="s">
        <v>38</v>
      </c>
      <c r="AE2996">
        <v>857.3</v>
      </c>
      <c r="AF2996">
        <v>0</v>
      </c>
    </row>
    <row r="2997" spans="3:32" x14ac:dyDescent="0.35">
      <c r="C2997" s="1">
        <v>45236</v>
      </c>
      <c r="D2997" s="2">
        <v>45231</v>
      </c>
      <c r="E2997">
        <v>1582</v>
      </c>
      <c r="F2997" s="3">
        <v>4735.7299999999996</v>
      </c>
      <c r="G2997" s="3">
        <v>1392.36</v>
      </c>
      <c r="H2997" s="3">
        <v>3343.37</v>
      </c>
      <c r="I2997" s="3">
        <v>0.28999999999999998</v>
      </c>
      <c r="J2997">
        <v>0.18</v>
      </c>
      <c r="K2997">
        <v>2826.4</v>
      </c>
      <c r="L2997" t="s">
        <v>30</v>
      </c>
      <c r="M2997">
        <v>671</v>
      </c>
      <c r="N2997">
        <v>0.49</v>
      </c>
      <c r="O2997" s="3">
        <v>428.61</v>
      </c>
      <c r="P2997" s="3">
        <v>0.09</v>
      </c>
      <c r="Q2997" s="3">
        <v>748.8</v>
      </c>
      <c r="R2997" s="3">
        <v>0.16</v>
      </c>
      <c r="S2997">
        <v>5</v>
      </c>
      <c r="T2997">
        <v>874.75</v>
      </c>
      <c r="U2997">
        <v>68</v>
      </c>
      <c r="V2997">
        <v>0</v>
      </c>
      <c r="W2997">
        <v>150.96</v>
      </c>
      <c r="X2997">
        <v>3448.23</v>
      </c>
      <c r="Y2997" t="s">
        <v>36</v>
      </c>
      <c r="Z2997" s="3">
        <v>1142.43</v>
      </c>
      <c r="AA2997" t="s">
        <v>50</v>
      </c>
      <c r="AB2997" t="s">
        <v>42</v>
      </c>
      <c r="AC2997">
        <v>96.6</v>
      </c>
      <c r="AD2997" t="s">
        <v>43</v>
      </c>
      <c r="AE2997">
        <v>3343.37</v>
      </c>
      <c r="AF2997">
        <v>1</v>
      </c>
    </row>
    <row r="2998" spans="3:32" x14ac:dyDescent="0.35">
      <c r="C2998" s="1">
        <v>45236</v>
      </c>
      <c r="D2998" s="2">
        <v>45231</v>
      </c>
      <c r="E2998">
        <v>1241</v>
      </c>
      <c r="F2998" s="3">
        <v>3771.22</v>
      </c>
      <c r="G2998" s="3">
        <v>4103.3999999999996</v>
      </c>
      <c r="H2998" s="3">
        <v>-332.18</v>
      </c>
      <c r="I2998" s="3">
        <v>1.0900000000000001</v>
      </c>
      <c r="J2998">
        <v>0.32</v>
      </c>
      <c r="K2998">
        <v>2979.76</v>
      </c>
      <c r="L2998" t="s">
        <v>39</v>
      </c>
      <c r="M2998">
        <v>727</v>
      </c>
      <c r="N2998">
        <v>0.46</v>
      </c>
      <c r="O2998" s="3">
        <v>459.2</v>
      </c>
      <c r="P2998" s="3">
        <v>0.12</v>
      </c>
      <c r="Q2998" s="3">
        <v>541.03</v>
      </c>
      <c r="R2998" s="3">
        <v>0.14000000000000001</v>
      </c>
      <c r="S2998">
        <v>6</v>
      </c>
      <c r="T2998">
        <v>1602.49</v>
      </c>
      <c r="U2998">
        <v>73</v>
      </c>
      <c r="V2998">
        <v>0</v>
      </c>
      <c r="W2998">
        <v>270.14999999999998</v>
      </c>
      <c r="X2998">
        <v>1849.38</v>
      </c>
      <c r="Y2998" t="s">
        <v>36</v>
      </c>
      <c r="Z2998" s="3">
        <v>1400.58</v>
      </c>
      <c r="AA2998" t="s">
        <v>47</v>
      </c>
      <c r="AB2998" t="s">
        <v>33</v>
      </c>
      <c r="AC2998">
        <v>39.1</v>
      </c>
      <c r="AD2998" t="s">
        <v>34</v>
      </c>
      <c r="AE2998">
        <v>0</v>
      </c>
      <c r="AF2998">
        <v>0</v>
      </c>
    </row>
    <row r="2999" spans="3:32" x14ac:dyDescent="0.35">
      <c r="C2999" s="1">
        <v>45236</v>
      </c>
      <c r="D2999" s="2">
        <v>45231</v>
      </c>
      <c r="E2999">
        <v>1579</v>
      </c>
      <c r="F2999" s="3">
        <v>4783.3900000000003</v>
      </c>
      <c r="G2999" s="3">
        <v>3650.01</v>
      </c>
      <c r="H2999" s="3">
        <v>1133.3800000000001</v>
      </c>
      <c r="I2999" s="3">
        <v>0.76</v>
      </c>
      <c r="J2999">
        <v>0.39</v>
      </c>
      <c r="K2999">
        <v>1480.23</v>
      </c>
      <c r="L2999" t="s">
        <v>35</v>
      </c>
      <c r="M2999">
        <v>609</v>
      </c>
      <c r="N2999">
        <v>0.28000000000000003</v>
      </c>
      <c r="O2999" s="3">
        <v>480.78</v>
      </c>
      <c r="P2999" s="3">
        <v>0.1</v>
      </c>
      <c r="Q2999" s="3">
        <v>664.2</v>
      </c>
      <c r="R2999" s="3">
        <v>0.14000000000000001</v>
      </c>
      <c r="S2999">
        <v>4</v>
      </c>
      <c r="T2999">
        <v>2225.8200000000002</v>
      </c>
      <c r="U2999">
        <v>33</v>
      </c>
      <c r="V2999">
        <v>0</v>
      </c>
      <c r="W2999">
        <v>522.71</v>
      </c>
      <c r="X2999">
        <v>2563.09</v>
      </c>
      <c r="Y2999" t="s">
        <v>36</v>
      </c>
      <c r="Z2999" s="3">
        <v>1076.6199999999999</v>
      </c>
      <c r="AA2999" t="s">
        <v>32</v>
      </c>
      <c r="AB2999" t="s">
        <v>42</v>
      </c>
      <c r="AC2999">
        <v>77.5</v>
      </c>
      <c r="AD2999" t="s">
        <v>34</v>
      </c>
      <c r="AE2999">
        <v>1133.3800000000001</v>
      </c>
      <c r="AF2999">
        <v>0</v>
      </c>
    </row>
    <row r="3000" spans="3:32" x14ac:dyDescent="0.35">
      <c r="C3000" s="1">
        <v>45236</v>
      </c>
      <c r="D3000" s="2">
        <v>45231</v>
      </c>
      <c r="E3000">
        <v>1027</v>
      </c>
      <c r="F3000" s="3">
        <v>3598.08</v>
      </c>
      <c r="G3000" s="3">
        <v>2577.1999999999998</v>
      </c>
      <c r="H3000" s="3">
        <v>1020.88</v>
      </c>
      <c r="I3000" s="3">
        <v>0.72</v>
      </c>
      <c r="J3000">
        <v>0.21</v>
      </c>
      <c r="K3000">
        <v>3437.93</v>
      </c>
      <c r="L3000" t="s">
        <v>39</v>
      </c>
      <c r="M3000">
        <v>640</v>
      </c>
      <c r="N3000">
        <v>0.32</v>
      </c>
      <c r="O3000" s="3">
        <v>591.17999999999995</v>
      </c>
      <c r="P3000" s="3">
        <v>0.16</v>
      </c>
      <c r="Q3000" s="3">
        <v>779.54</v>
      </c>
      <c r="R3000" s="3">
        <v>0.22</v>
      </c>
      <c r="S3000">
        <v>5</v>
      </c>
      <c r="T3000">
        <v>686.19</v>
      </c>
      <c r="U3000">
        <v>48</v>
      </c>
      <c r="V3000">
        <v>0</v>
      </c>
      <c r="W3000">
        <v>611.64</v>
      </c>
      <c r="X3000">
        <v>1729.19</v>
      </c>
      <c r="Y3000" t="s">
        <v>36</v>
      </c>
      <c r="Z3000" s="3">
        <v>1202.26</v>
      </c>
      <c r="AA3000" t="s">
        <v>41</v>
      </c>
      <c r="AB3000" t="s">
        <v>33</v>
      </c>
      <c r="AC3000">
        <v>44.3</v>
      </c>
      <c r="AD3000" t="s">
        <v>38</v>
      </c>
      <c r="AE3000">
        <v>1020.88</v>
      </c>
      <c r="AF3000">
        <v>0</v>
      </c>
    </row>
    <row r="3001" spans="3:32" x14ac:dyDescent="0.35">
      <c r="C3001" s="1">
        <v>45236</v>
      </c>
      <c r="D3001" s="2">
        <v>45231</v>
      </c>
      <c r="E3001">
        <v>1140</v>
      </c>
      <c r="F3001" s="3">
        <v>4090.06</v>
      </c>
      <c r="G3001" s="3">
        <v>3546.83</v>
      </c>
      <c r="H3001" s="3">
        <v>543.23</v>
      </c>
      <c r="I3001" s="3">
        <v>0.87</v>
      </c>
      <c r="J3001">
        <v>0.23</v>
      </c>
      <c r="K3001">
        <v>2365.61</v>
      </c>
      <c r="L3001" t="s">
        <v>35</v>
      </c>
      <c r="M3001">
        <v>655</v>
      </c>
      <c r="N3001">
        <v>0.46</v>
      </c>
      <c r="O3001" s="3">
        <v>117.15</v>
      </c>
      <c r="P3001" s="3">
        <v>0.03</v>
      </c>
      <c r="Q3001" s="3">
        <v>0</v>
      </c>
      <c r="R3001" s="3">
        <v>0</v>
      </c>
      <c r="S3001">
        <v>5</v>
      </c>
      <c r="T3001">
        <v>902.69</v>
      </c>
      <c r="U3001">
        <v>78</v>
      </c>
      <c r="V3001">
        <v>0</v>
      </c>
      <c r="W3001">
        <v>695.36</v>
      </c>
      <c r="X3001">
        <v>3142.37</v>
      </c>
      <c r="Y3001" t="s">
        <v>36</v>
      </c>
      <c r="Z3001" s="3">
        <v>316.24</v>
      </c>
      <c r="AA3001" t="s">
        <v>51</v>
      </c>
      <c r="AB3001" t="s">
        <v>33</v>
      </c>
      <c r="AC3001">
        <v>54.8</v>
      </c>
      <c r="AD3001" t="s">
        <v>34</v>
      </c>
      <c r="AE3001">
        <v>543.23</v>
      </c>
      <c r="AF3001">
        <v>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583A-0FA1-43D8-A9C8-CD7450CF0A91}">
  <dimension ref="A1:H84"/>
  <sheetViews>
    <sheetView workbookViewId="0">
      <selection activeCell="B2" sqref="B2"/>
    </sheetView>
  </sheetViews>
  <sheetFormatPr defaultRowHeight="14.5" x14ac:dyDescent="0.35"/>
  <cols>
    <col min="1" max="1" width="17.36328125" bestFit="1" customWidth="1"/>
    <col min="2" max="2" width="16.26953125" bestFit="1" customWidth="1"/>
    <col min="3" max="3" width="22.7265625" bestFit="1" customWidth="1"/>
    <col min="4" max="4" width="28.54296875" bestFit="1" customWidth="1"/>
    <col min="5" max="5" width="25.453125" bestFit="1" customWidth="1"/>
    <col min="6" max="6" width="9.26953125" bestFit="1" customWidth="1"/>
    <col min="8" max="8" width="9.26953125" bestFit="1" customWidth="1"/>
  </cols>
  <sheetData>
    <row r="1" spans="1:5" x14ac:dyDescent="0.35">
      <c r="A1" t="s">
        <v>59</v>
      </c>
    </row>
    <row r="2" spans="1:5" x14ac:dyDescent="0.35">
      <c r="A2" s="3">
        <v>12012802.039999995</v>
      </c>
      <c r="B2" s="6">
        <f>GETPIVOTDATA("Monthly_Income",$A$1)</f>
        <v>12012802.039999995</v>
      </c>
      <c r="D2" t="s">
        <v>63</v>
      </c>
    </row>
    <row r="3" spans="1:5" x14ac:dyDescent="0.35">
      <c r="D3" s="20">
        <v>71</v>
      </c>
      <c r="E3">
        <f>GETPIVOTDATA("Fraud_Flag",$D$2)</f>
        <v>71</v>
      </c>
    </row>
    <row r="4" spans="1:5" x14ac:dyDescent="0.35">
      <c r="A4" t="s">
        <v>60</v>
      </c>
    </row>
    <row r="5" spans="1:5" x14ac:dyDescent="0.35">
      <c r="A5" s="3">
        <v>9035046.6900000181</v>
      </c>
      <c r="B5" s="6">
        <f>GETPIVOTDATA("Monthly_Expense_Total",$A$4)</f>
        <v>9035046.6900000181</v>
      </c>
      <c r="D5" t="s">
        <v>69</v>
      </c>
    </row>
    <row r="6" spans="1:5" x14ac:dyDescent="0.35">
      <c r="D6" s="20">
        <v>1005.3498300000016</v>
      </c>
      <c r="E6" s="6">
        <f>GETPIVOTDATA("Emergency_Fund",$D$5)</f>
        <v>1005.3498300000016</v>
      </c>
    </row>
    <row r="7" spans="1:5" x14ac:dyDescent="0.35">
      <c r="A7" t="s">
        <v>67</v>
      </c>
    </row>
    <row r="8" spans="1:5" x14ac:dyDescent="0.35">
      <c r="A8" s="3">
        <v>4004.2673466666652</v>
      </c>
      <c r="B8" s="6">
        <f>GETPIVOTDATA("Monthly_Income",$A$7)</f>
        <v>4004.2673466666652</v>
      </c>
    </row>
    <row r="10" spans="1:5" x14ac:dyDescent="0.35">
      <c r="A10" t="s">
        <v>68</v>
      </c>
    </row>
    <row r="11" spans="1:5" x14ac:dyDescent="0.35">
      <c r="A11" s="3">
        <v>3011.6822300000063</v>
      </c>
      <c r="B11" s="6">
        <f>GETPIVOTDATA("Monthly_Expense_Total",$A$10)</f>
        <v>3011.6822300000063</v>
      </c>
      <c r="D11" t="s">
        <v>70</v>
      </c>
    </row>
    <row r="12" spans="1:5" x14ac:dyDescent="0.35">
      <c r="D12" s="20">
        <v>4.9749999999999996</v>
      </c>
      <c r="E12" s="6">
        <f>GETPIVOTDATA("Subscription_Services",$D$11)</f>
        <v>4.9749999999999996</v>
      </c>
    </row>
    <row r="13" spans="1:5" x14ac:dyDescent="0.35">
      <c r="A13" t="s">
        <v>61</v>
      </c>
    </row>
    <row r="14" spans="1:5" x14ac:dyDescent="0.35">
      <c r="A14" s="3">
        <v>2977755.35</v>
      </c>
      <c r="B14" s="6">
        <f>GETPIVOTDATA("Net_Savings",$A$13)</f>
        <v>2977755.35</v>
      </c>
    </row>
    <row r="17" spans="1:4" x14ac:dyDescent="0.35">
      <c r="A17" s="4" t="s">
        <v>52</v>
      </c>
      <c r="B17" t="s">
        <v>59</v>
      </c>
      <c r="C17" t="s">
        <v>60</v>
      </c>
    </row>
    <row r="18" spans="1:4" x14ac:dyDescent="0.35">
      <c r="A18" s="5" t="s">
        <v>54</v>
      </c>
      <c r="B18" s="3">
        <v>2599931.0599999987</v>
      </c>
      <c r="C18" s="3">
        <v>1968028.0899999994</v>
      </c>
    </row>
    <row r="19" spans="1:4" x14ac:dyDescent="0.35">
      <c r="A19" s="5" t="s">
        <v>55</v>
      </c>
      <c r="B19" s="3">
        <v>2412986.7900000005</v>
      </c>
      <c r="C19" s="3">
        <v>1778517.5700000003</v>
      </c>
    </row>
    <row r="20" spans="1:4" x14ac:dyDescent="0.35">
      <c r="A20" s="5" t="s">
        <v>56</v>
      </c>
      <c r="B20" s="3">
        <v>2338867.6000000034</v>
      </c>
      <c r="C20" s="3">
        <v>1807187.1899999995</v>
      </c>
    </row>
    <row r="21" spans="1:4" x14ac:dyDescent="0.35">
      <c r="A21" s="5" t="s">
        <v>57</v>
      </c>
      <c r="B21" s="3">
        <v>2416203.2099999995</v>
      </c>
      <c r="C21" s="3">
        <v>1812961.9400000006</v>
      </c>
    </row>
    <row r="22" spans="1:4" x14ac:dyDescent="0.35">
      <c r="A22" s="5" t="s">
        <v>58</v>
      </c>
      <c r="B22" s="3">
        <v>2244813.3799999985</v>
      </c>
      <c r="C22" s="3">
        <v>1668351.8999999973</v>
      </c>
    </row>
    <row r="23" spans="1:4" x14ac:dyDescent="0.35">
      <c r="A23" s="5" t="s">
        <v>53</v>
      </c>
      <c r="B23" s="3">
        <v>12012802.040000001</v>
      </c>
      <c r="C23" s="3">
        <v>9035046.6899999976</v>
      </c>
    </row>
    <row r="28" spans="1:4" x14ac:dyDescent="0.35">
      <c r="A28" s="4" t="s">
        <v>52</v>
      </c>
      <c r="B28" t="s">
        <v>64</v>
      </c>
      <c r="C28" t="s">
        <v>65</v>
      </c>
    </row>
    <row r="29" spans="1:4" x14ac:dyDescent="0.35">
      <c r="A29" s="5" t="s">
        <v>54</v>
      </c>
      <c r="B29" s="20">
        <v>731057.59999999974</v>
      </c>
      <c r="C29" s="20">
        <v>1834921.4000000004</v>
      </c>
      <c r="D29" s="7"/>
    </row>
    <row r="30" spans="1:4" x14ac:dyDescent="0.35">
      <c r="A30" s="5" t="s">
        <v>55</v>
      </c>
      <c r="B30" s="20">
        <v>729006.17000000039</v>
      </c>
      <c r="C30" s="20">
        <v>1680673.8199999984</v>
      </c>
    </row>
    <row r="31" spans="1:4" x14ac:dyDescent="0.35">
      <c r="A31" s="5" t="s">
        <v>56</v>
      </c>
      <c r="B31" s="20">
        <v>649478.5499999997</v>
      </c>
      <c r="C31" s="20">
        <v>1695554.9799999991</v>
      </c>
    </row>
    <row r="32" spans="1:4" x14ac:dyDescent="0.35">
      <c r="A32" s="5" t="s">
        <v>57</v>
      </c>
      <c r="B32" s="20">
        <v>699120.83999999973</v>
      </c>
      <c r="C32" s="20">
        <v>1678956.3299999975</v>
      </c>
    </row>
    <row r="33" spans="1:5" x14ac:dyDescent="0.35">
      <c r="A33" s="5" t="s">
        <v>58</v>
      </c>
      <c r="B33" s="20">
        <v>660592.21</v>
      </c>
      <c r="C33" s="20">
        <v>1543104.86</v>
      </c>
    </row>
    <row r="34" spans="1:5" x14ac:dyDescent="0.35">
      <c r="A34" s="5" t="s">
        <v>53</v>
      </c>
      <c r="B34" s="20">
        <v>3469255.3699999996</v>
      </c>
      <c r="C34" s="20">
        <v>8433211.389999995</v>
      </c>
    </row>
    <row r="39" spans="1:5" x14ac:dyDescent="0.35">
      <c r="A39" s="4" t="s">
        <v>52</v>
      </c>
      <c r="B39" t="s">
        <v>60</v>
      </c>
      <c r="D39" s="9"/>
    </row>
    <row r="40" spans="1:5" x14ac:dyDescent="0.35">
      <c r="A40" s="5" t="s">
        <v>40</v>
      </c>
      <c r="B40" s="3">
        <v>937793.16000000015</v>
      </c>
      <c r="E40" s="6"/>
    </row>
    <row r="41" spans="1:5" x14ac:dyDescent="0.35">
      <c r="A41" s="5" t="s">
        <v>46</v>
      </c>
      <c r="B41" s="3">
        <v>849563.38999999966</v>
      </c>
      <c r="E41" s="3"/>
    </row>
    <row r="42" spans="1:5" x14ac:dyDescent="0.35">
      <c r="A42" s="5" t="s">
        <v>51</v>
      </c>
      <c r="B42" s="3">
        <v>884818.83000000007</v>
      </c>
    </row>
    <row r="43" spans="1:5" x14ac:dyDescent="0.35">
      <c r="A43" s="5" t="s">
        <v>48</v>
      </c>
      <c r="B43" s="3">
        <v>947379.5</v>
      </c>
    </row>
    <row r="44" spans="1:5" x14ac:dyDescent="0.35">
      <c r="A44" s="5" t="s">
        <v>47</v>
      </c>
      <c r="B44" s="3">
        <v>922570.97000000009</v>
      </c>
    </row>
    <row r="45" spans="1:5" x14ac:dyDescent="0.35">
      <c r="A45" s="5" t="s">
        <v>37</v>
      </c>
      <c r="B45" s="3">
        <v>985392.72999999975</v>
      </c>
    </row>
    <row r="46" spans="1:5" x14ac:dyDescent="0.35">
      <c r="A46" s="5" t="s">
        <v>32</v>
      </c>
      <c r="B46" s="3">
        <v>846820.25</v>
      </c>
    </row>
    <row r="47" spans="1:5" x14ac:dyDescent="0.35">
      <c r="A47" s="5" t="s">
        <v>50</v>
      </c>
      <c r="B47" s="3">
        <v>779081.42999999935</v>
      </c>
    </row>
    <row r="48" spans="1:5" x14ac:dyDescent="0.35">
      <c r="A48" s="5" t="s">
        <v>41</v>
      </c>
      <c r="B48" s="3">
        <v>905593.39999999967</v>
      </c>
    </row>
    <row r="49" spans="1:3" x14ac:dyDescent="0.35">
      <c r="A49" s="5" t="s">
        <v>45</v>
      </c>
      <c r="B49" s="3">
        <v>976033.02999999956</v>
      </c>
    </row>
    <row r="50" spans="1:3" x14ac:dyDescent="0.35">
      <c r="A50" s="5" t="s">
        <v>53</v>
      </c>
      <c r="B50" s="3">
        <v>9035046.6899999976</v>
      </c>
    </row>
    <row r="54" spans="1:3" x14ac:dyDescent="0.35">
      <c r="A54" s="4" t="s">
        <v>52</v>
      </c>
      <c r="B54" t="s">
        <v>62</v>
      </c>
      <c r="C54" t="s">
        <v>66</v>
      </c>
    </row>
    <row r="55" spans="1:3" x14ac:dyDescent="0.35">
      <c r="A55" s="5" t="s">
        <v>30</v>
      </c>
      <c r="B55" s="20">
        <v>0.22842592592592612</v>
      </c>
      <c r="C55" s="3">
        <v>0.81359567901234575</v>
      </c>
    </row>
    <row r="56" spans="1:3" x14ac:dyDescent="0.35">
      <c r="A56" s="5" t="s">
        <v>35</v>
      </c>
      <c r="B56" s="20">
        <v>0.22395629672225395</v>
      </c>
      <c r="C56" s="3">
        <v>0.80506037952846454</v>
      </c>
    </row>
    <row r="57" spans="1:3" x14ac:dyDescent="0.35">
      <c r="A57" s="5" t="s">
        <v>39</v>
      </c>
      <c r="B57" s="20">
        <v>0.22872756933115829</v>
      </c>
      <c r="C57" s="3">
        <v>0.83938009787928203</v>
      </c>
    </row>
    <row r="58" spans="1:3" x14ac:dyDescent="0.35">
      <c r="A58" s="5" t="s">
        <v>53</v>
      </c>
      <c r="B58" s="20">
        <v>0.22589666666666711</v>
      </c>
      <c r="C58" s="3">
        <v>0.81391666666666596</v>
      </c>
    </row>
    <row r="62" spans="1:3" x14ac:dyDescent="0.35">
      <c r="A62" s="4" t="s">
        <v>52</v>
      </c>
      <c r="B62" t="s">
        <v>63</v>
      </c>
    </row>
    <row r="63" spans="1:3" x14ac:dyDescent="0.35">
      <c r="A63" s="5" t="s">
        <v>54</v>
      </c>
      <c r="B63" s="20">
        <v>11</v>
      </c>
    </row>
    <row r="64" spans="1:3" x14ac:dyDescent="0.35">
      <c r="A64" s="5" t="s">
        <v>55</v>
      </c>
      <c r="B64" s="20">
        <v>14</v>
      </c>
    </row>
    <row r="65" spans="1:8" x14ac:dyDescent="0.35">
      <c r="A65" s="5" t="s">
        <v>56</v>
      </c>
      <c r="B65" s="20">
        <v>17</v>
      </c>
    </row>
    <row r="66" spans="1:8" x14ac:dyDescent="0.35">
      <c r="A66" s="5" t="s">
        <v>57</v>
      </c>
      <c r="B66" s="20">
        <v>19</v>
      </c>
    </row>
    <row r="67" spans="1:8" x14ac:dyDescent="0.35">
      <c r="A67" s="5" t="s">
        <v>58</v>
      </c>
      <c r="B67" s="20">
        <v>10</v>
      </c>
    </row>
    <row r="68" spans="1:8" x14ac:dyDescent="0.35">
      <c r="A68" s="5" t="s">
        <v>53</v>
      </c>
      <c r="B68" s="20">
        <v>71</v>
      </c>
    </row>
    <row r="74" spans="1:8" x14ac:dyDescent="0.35">
      <c r="A74" s="4" t="s">
        <v>52</v>
      </c>
      <c r="B74" t="s">
        <v>67</v>
      </c>
      <c r="C74" t="s">
        <v>62</v>
      </c>
    </row>
    <row r="75" spans="1:8" x14ac:dyDescent="0.35">
      <c r="A75" s="5" t="s">
        <v>36</v>
      </c>
      <c r="B75" s="3">
        <v>4004.0682636954543</v>
      </c>
      <c r="C75" s="20">
        <v>0.22662952646239526</v>
      </c>
      <c r="D75" s="10">
        <f>GETPIVOTDATA("Average of Monthly_Income",$A$74,"Income_Type","Salary")</f>
        <v>4004.0682636954543</v>
      </c>
      <c r="E75" s="8">
        <f>D75/D78</f>
        <v>0.33263007912162801</v>
      </c>
      <c r="G75" t="s">
        <v>36</v>
      </c>
      <c r="H75" s="6">
        <f>GETPIVOTDATA("Average of Monthly_Income",$A$74,"Income_Type","Salary")</f>
        <v>4004.0682636954543</v>
      </c>
    </row>
    <row r="76" spans="1:8" x14ac:dyDescent="0.35">
      <c r="A76" s="5" t="s">
        <v>31</v>
      </c>
      <c r="B76" s="3">
        <v>3968.9105482041591</v>
      </c>
      <c r="C76" s="20">
        <v>0.2238941398865783</v>
      </c>
      <c r="D76" s="10">
        <f>GETPIVOTDATA("Average of Monthly_Income",$A$74,"Income_Type","Freelance")</f>
        <v>3968.9105482041591</v>
      </c>
      <c r="E76" s="8">
        <f>D76/D78</f>
        <v>0.32970942120187219</v>
      </c>
      <c r="G76" t="s">
        <v>71</v>
      </c>
      <c r="H76" s="6">
        <f>GETPIVOTDATA("Average of Monthly_Income",$A$74,"Income_Type","Freelance")+GETPIVOTDATA("Average of Monthly_Income",$A$74,"Income_Type","Mixed")</f>
        <v>8033.5330087719849</v>
      </c>
    </row>
    <row r="77" spans="1:8" x14ac:dyDescent="0.35">
      <c r="A77" s="5" t="s">
        <v>49</v>
      </c>
      <c r="B77" s="3">
        <v>4064.6224605678258</v>
      </c>
      <c r="C77" s="20">
        <v>0.22425867507886446</v>
      </c>
      <c r="D77" s="10">
        <f>GETPIVOTDATA("Average of Monthly_Income",$A$74,"Income_Type","Mixed")</f>
        <v>4064.6224605678258</v>
      </c>
      <c r="E77" s="8">
        <f>D77/D78</f>
        <v>0.33766049967649986</v>
      </c>
    </row>
    <row r="78" spans="1:8" x14ac:dyDescent="0.35">
      <c r="A78" s="5" t="s">
        <v>53</v>
      </c>
      <c r="B78" s="3">
        <v>4004.2673466666638</v>
      </c>
      <c r="C78" s="20">
        <v>0.22589666666666661</v>
      </c>
      <c r="D78" s="6">
        <f>SUM(D75:D77)</f>
        <v>12037.601272467438</v>
      </c>
    </row>
    <row r="79" spans="1:8" x14ac:dyDescent="0.35">
      <c r="G79" t="s">
        <v>31</v>
      </c>
      <c r="H79" s="6">
        <f>GETPIVOTDATA("Average of Monthly_Income",$A$74,"Income_Type","Freelance")</f>
        <v>3968.9105482041591</v>
      </c>
    </row>
    <row r="80" spans="1:8" x14ac:dyDescent="0.35">
      <c r="G80" t="s">
        <v>71</v>
      </c>
      <c r="H80" s="6">
        <f>GETPIVOTDATA("Average of Monthly_Income",$A$74,"Income_Type","Salary")+GETPIVOTDATA("Average of Monthly_Income",$A$74,"Income_Type","Mixed")</f>
        <v>8068.6907242632806</v>
      </c>
    </row>
    <row r="83" spans="7:8" x14ac:dyDescent="0.35">
      <c r="G83" t="s">
        <v>49</v>
      </c>
      <c r="H83" s="6">
        <f>GETPIVOTDATA("Average of Monthly_Income",$A$74,"Income_Type","Mixed")</f>
        <v>4064.6224605678258</v>
      </c>
    </row>
    <row r="84" spans="7:8" x14ac:dyDescent="0.35">
      <c r="G84" t="s">
        <v>71</v>
      </c>
      <c r="H84" s="6">
        <f>GETPIVOTDATA("Average of Monthly_Income",$A$74,"Income_Type","Salary")+GETPIVOTDATA("Average of Monthly_Income",$A$74,"Income_Type","Freelance")</f>
        <v>7972.978811899613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F1DE-FECE-4BB0-AC73-1F1FA773DBA7}">
  <dimension ref="C3:L87"/>
  <sheetViews>
    <sheetView zoomScale="76" workbookViewId="0"/>
  </sheetViews>
  <sheetFormatPr defaultRowHeight="14.5" x14ac:dyDescent="0.35"/>
  <cols>
    <col min="3" max="3" width="31.453125" bestFit="1" customWidth="1"/>
    <col min="4" max="4" width="22.08984375" bestFit="1" customWidth="1"/>
    <col min="5" max="5" width="29.36328125" bestFit="1" customWidth="1"/>
    <col min="7" max="7" width="13.6328125" bestFit="1" customWidth="1"/>
    <col min="8" max="8" width="22" bestFit="1" customWidth="1"/>
    <col min="9" max="9" width="23.453125" bestFit="1" customWidth="1"/>
  </cols>
  <sheetData>
    <row r="3" spans="3:12" ht="15" thickBot="1" x14ac:dyDescent="0.4">
      <c r="C3" s="18" t="s">
        <v>77</v>
      </c>
      <c r="D3" s="19"/>
      <c r="E3" s="19"/>
      <c r="G3" s="18" t="s">
        <v>74</v>
      </c>
      <c r="H3" s="19"/>
    </row>
    <row r="4" spans="3:12" ht="15.5" thickTop="1" thickBot="1" x14ac:dyDescent="0.4">
      <c r="C4" s="15" t="s">
        <v>59</v>
      </c>
      <c r="E4" s="15" t="s">
        <v>63</v>
      </c>
      <c r="G4" s="4" t="s">
        <v>52</v>
      </c>
      <c r="H4" t="s">
        <v>60</v>
      </c>
    </row>
    <row r="5" spans="3:12" ht="15.5" thickTop="1" thickBot="1" x14ac:dyDescent="0.4">
      <c r="C5" s="14">
        <v>12012802.039999995</v>
      </c>
      <c r="D5" s="6"/>
      <c r="E5" s="21">
        <v>71</v>
      </c>
      <c r="G5" s="5" t="s">
        <v>40</v>
      </c>
      <c r="H5" s="3">
        <v>937793.16000000015</v>
      </c>
    </row>
    <row r="6" spans="3:12" ht="15.5" thickTop="1" thickBot="1" x14ac:dyDescent="0.4">
      <c r="C6" s="11"/>
      <c r="E6" s="12"/>
      <c r="G6" s="5" t="s">
        <v>46</v>
      </c>
      <c r="H6" s="3">
        <v>849563.38999999966</v>
      </c>
    </row>
    <row r="7" spans="3:12" ht="15.5" thickTop="1" thickBot="1" x14ac:dyDescent="0.4">
      <c r="C7" s="15" t="s">
        <v>60</v>
      </c>
      <c r="E7" s="15" t="s">
        <v>69</v>
      </c>
      <c r="G7" s="5" t="s">
        <v>51</v>
      </c>
      <c r="H7" s="3">
        <v>884818.83000000007</v>
      </c>
    </row>
    <row r="8" spans="3:12" ht="15.5" thickTop="1" thickBot="1" x14ac:dyDescent="0.4">
      <c r="C8" s="14">
        <v>9035046.6900000181</v>
      </c>
      <c r="D8" s="6"/>
      <c r="E8" s="21">
        <v>1005.3498300000016</v>
      </c>
      <c r="G8" s="5" t="s">
        <v>48</v>
      </c>
      <c r="H8" s="3">
        <v>947379.5</v>
      </c>
    </row>
    <row r="9" spans="3:12" ht="15.5" thickTop="1" thickBot="1" x14ac:dyDescent="0.4">
      <c r="C9" s="11"/>
      <c r="E9" s="12"/>
      <c r="G9" s="5" t="s">
        <v>47</v>
      </c>
      <c r="H9" s="3">
        <v>922570.97000000009</v>
      </c>
    </row>
    <row r="10" spans="3:12" ht="15.5" thickTop="1" thickBot="1" x14ac:dyDescent="0.4">
      <c r="C10" s="15" t="s">
        <v>67</v>
      </c>
      <c r="E10" s="15" t="s">
        <v>70</v>
      </c>
      <c r="G10" s="5" t="s">
        <v>37</v>
      </c>
      <c r="H10" s="3">
        <v>985392.72999999975</v>
      </c>
    </row>
    <row r="11" spans="3:12" ht="15.5" thickTop="1" thickBot="1" x14ac:dyDescent="0.4">
      <c r="C11" s="14">
        <v>4004.2673466666652</v>
      </c>
      <c r="D11" s="6"/>
      <c r="E11" s="21">
        <v>4.9749999999999996</v>
      </c>
      <c r="G11" s="5" t="s">
        <v>32</v>
      </c>
      <c r="H11" s="3">
        <v>846820.25</v>
      </c>
    </row>
    <row r="12" spans="3:12" ht="15.5" thickTop="1" thickBot="1" x14ac:dyDescent="0.4">
      <c r="C12" s="11"/>
      <c r="E12" s="12"/>
      <c r="G12" s="5" t="s">
        <v>50</v>
      </c>
      <c r="H12" s="3">
        <v>779081.42999999935</v>
      </c>
    </row>
    <row r="13" spans="3:12" ht="15.5" thickTop="1" thickBot="1" x14ac:dyDescent="0.4">
      <c r="C13" s="15" t="s">
        <v>68</v>
      </c>
      <c r="E13" s="15" t="s">
        <v>61</v>
      </c>
      <c r="G13" s="5" t="s">
        <v>41</v>
      </c>
      <c r="H13" s="3">
        <v>905593.39999999967</v>
      </c>
      <c r="L13" s="17"/>
    </row>
    <row r="14" spans="3:12" ht="15.5" thickTop="1" thickBot="1" x14ac:dyDescent="0.4">
      <c r="C14" s="14">
        <v>3011.6822300000063</v>
      </c>
      <c r="D14" s="13"/>
      <c r="E14" s="14">
        <v>2977755.35</v>
      </c>
      <c r="G14" s="5" t="s">
        <v>45</v>
      </c>
      <c r="H14" s="3">
        <v>976033.02999999956</v>
      </c>
    </row>
    <row r="15" spans="3:12" ht="15" thickTop="1" x14ac:dyDescent="0.35">
      <c r="G15" s="5" t="s">
        <v>53</v>
      </c>
      <c r="H15" s="3">
        <v>9035046.6899999976</v>
      </c>
    </row>
    <row r="16" spans="3:12" x14ac:dyDescent="0.35">
      <c r="C16" s="18" t="s">
        <v>72</v>
      </c>
      <c r="D16" s="19"/>
      <c r="E16" s="19"/>
    </row>
    <row r="17" spans="3:11" x14ac:dyDescent="0.35">
      <c r="C17" s="28" t="s">
        <v>52</v>
      </c>
      <c r="D17" s="28" t="s">
        <v>59</v>
      </c>
      <c r="E17" s="28" t="s">
        <v>60</v>
      </c>
      <c r="G17" s="18" t="s">
        <v>75</v>
      </c>
      <c r="H17" s="19"/>
    </row>
    <row r="18" spans="3:11" x14ac:dyDescent="0.35">
      <c r="C18" s="22" t="s">
        <v>54</v>
      </c>
      <c r="D18" s="24">
        <v>2599931.0599999987</v>
      </c>
      <c r="E18" s="24">
        <v>1968028.0899999994</v>
      </c>
      <c r="G18" s="28" t="s">
        <v>52</v>
      </c>
      <c r="H18" s="28" t="s">
        <v>63</v>
      </c>
    </row>
    <row r="19" spans="3:11" x14ac:dyDescent="0.35">
      <c r="C19" s="22" t="s">
        <v>55</v>
      </c>
      <c r="D19" s="24">
        <v>2412986.7900000005</v>
      </c>
      <c r="E19" s="24">
        <v>1778517.5700000003</v>
      </c>
      <c r="G19" s="22" t="s">
        <v>54</v>
      </c>
      <c r="H19" s="23">
        <v>11</v>
      </c>
    </row>
    <row r="20" spans="3:11" x14ac:dyDescent="0.35">
      <c r="C20" s="22" t="s">
        <v>56</v>
      </c>
      <c r="D20" s="24">
        <v>2338867.6000000034</v>
      </c>
      <c r="E20" s="24">
        <v>1807187.1899999995</v>
      </c>
      <c r="G20" s="22" t="s">
        <v>55</v>
      </c>
      <c r="H20" s="23">
        <v>14</v>
      </c>
    </row>
    <row r="21" spans="3:11" x14ac:dyDescent="0.35">
      <c r="C21" s="22" t="s">
        <v>57</v>
      </c>
      <c r="D21" s="24">
        <v>2416203.2099999995</v>
      </c>
      <c r="E21" s="24">
        <v>1812961.9400000006</v>
      </c>
      <c r="G21" s="22" t="s">
        <v>56</v>
      </c>
      <c r="H21" s="23">
        <v>17</v>
      </c>
      <c r="K21" s="16"/>
    </row>
    <row r="22" spans="3:11" x14ac:dyDescent="0.35">
      <c r="C22" s="22" t="s">
        <v>58</v>
      </c>
      <c r="D22" s="24">
        <v>2244813.3799999985</v>
      </c>
      <c r="E22" s="24">
        <v>1668351.8999999973</v>
      </c>
      <c r="G22" s="22" t="s">
        <v>57</v>
      </c>
      <c r="H22" s="23">
        <v>19</v>
      </c>
    </row>
    <row r="23" spans="3:11" x14ac:dyDescent="0.35">
      <c r="C23" s="28" t="s">
        <v>53</v>
      </c>
      <c r="D23" s="29">
        <v>12012802.040000001</v>
      </c>
      <c r="E23" s="29">
        <v>9035046.6899999976</v>
      </c>
      <c r="G23" s="22" t="s">
        <v>58</v>
      </c>
      <c r="H23" s="23">
        <v>10</v>
      </c>
    </row>
    <row r="24" spans="3:11" x14ac:dyDescent="0.35">
      <c r="G24" s="28" t="s">
        <v>53</v>
      </c>
      <c r="H24" s="23">
        <v>71</v>
      </c>
    </row>
    <row r="25" spans="3:11" x14ac:dyDescent="0.35">
      <c r="C25" s="18" t="s">
        <v>73</v>
      </c>
      <c r="D25" s="19"/>
      <c r="E25" s="19"/>
    </row>
    <row r="26" spans="3:11" x14ac:dyDescent="0.35">
      <c r="C26" s="4" t="s">
        <v>52</v>
      </c>
      <c r="D26" t="s">
        <v>64</v>
      </c>
      <c r="E26" t="s">
        <v>65</v>
      </c>
      <c r="G26" s="18" t="s">
        <v>76</v>
      </c>
      <c r="H26" s="19"/>
      <c r="I26" s="19"/>
    </row>
    <row r="27" spans="3:11" x14ac:dyDescent="0.35">
      <c r="C27" s="5" t="s">
        <v>54</v>
      </c>
      <c r="D27" s="20">
        <v>731057.59999999974</v>
      </c>
      <c r="E27" s="20">
        <v>1834921.4000000004</v>
      </c>
      <c r="G27" s="25" t="s">
        <v>52</v>
      </c>
      <c r="H27" s="25" t="s">
        <v>62</v>
      </c>
      <c r="I27" s="25" t="s">
        <v>66</v>
      </c>
    </row>
    <row r="28" spans="3:11" x14ac:dyDescent="0.35">
      <c r="C28" s="5" t="s">
        <v>55</v>
      </c>
      <c r="D28" s="20">
        <v>729006.17000000039</v>
      </c>
      <c r="E28" s="20">
        <v>1680673.8199999984</v>
      </c>
      <c r="G28" s="22" t="s">
        <v>30</v>
      </c>
      <c r="H28" s="23">
        <v>0.22842592592592612</v>
      </c>
      <c r="I28" s="24">
        <v>0.81359567901234575</v>
      </c>
    </row>
    <row r="29" spans="3:11" x14ac:dyDescent="0.35">
      <c r="C29" s="5" t="s">
        <v>56</v>
      </c>
      <c r="D29" s="20">
        <v>649478.5499999997</v>
      </c>
      <c r="E29" s="20">
        <v>1695554.9799999991</v>
      </c>
      <c r="G29" s="22" t="s">
        <v>35</v>
      </c>
      <c r="H29" s="23">
        <v>0.22395629672225395</v>
      </c>
      <c r="I29" s="24">
        <v>0.80506037952846454</v>
      </c>
    </row>
    <row r="30" spans="3:11" x14ac:dyDescent="0.35">
      <c r="C30" s="5" t="s">
        <v>57</v>
      </c>
      <c r="D30" s="20">
        <v>699120.83999999973</v>
      </c>
      <c r="E30" s="20">
        <v>1678956.3299999975</v>
      </c>
      <c r="G30" s="22" t="s">
        <v>39</v>
      </c>
      <c r="H30" s="23">
        <v>0.22872756933115829</v>
      </c>
      <c r="I30" s="24">
        <v>0.83938009787928203</v>
      </c>
    </row>
    <row r="31" spans="3:11" x14ac:dyDescent="0.35">
      <c r="C31" s="5" t="s">
        <v>58</v>
      </c>
      <c r="D31" s="20">
        <v>660592.21</v>
      </c>
      <c r="E31" s="20">
        <v>1543104.86</v>
      </c>
      <c r="G31" s="25" t="s">
        <v>53</v>
      </c>
      <c r="H31" s="26">
        <v>0.22589666666666711</v>
      </c>
      <c r="I31" s="27">
        <v>0.81391666666666596</v>
      </c>
    </row>
    <row r="32" spans="3:11" x14ac:dyDescent="0.35">
      <c r="C32" s="5" t="s">
        <v>53</v>
      </c>
      <c r="D32" s="20">
        <v>3469255.3699999996</v>
      </c>
      <c r="E32" s="20">
        <v>8433211.389999995</v>
      </c>
      <c r="F32" s="7"/>
    </row>
    <row r="35" spans="3:8" x14ac:dyDescent="0.35">
      <c r="C35" s="18" t="s">
        <v>78</v>
      </c>
      <c r="D35" s="19"/>
      <c r="E35" s="19"/>
    </row>
    <row r="36" spans="3:8" x14ac:dyDescent="0.35">
      <c r="C36" s="4" t="s">
        <v>52</v>
      </c>
      <c r="D36" t="s">
        <v>67</v>
      </c>
      <c r="E36" t="s">
        <v>62</v>
      </c>
    </row>
    <row r="37" spans="3:8" x14ac:dyDescent="0.35">
      <c r="C37" s="5" t="s">
        <v>36</v>
      </c>
      <c r="D37" s="3">
        <v>4004.0682636954543</v>
      </c>
      <c r="E37" s="20">
        <v>0.22662952646239526</v>
      </c>
      <c r="H37" s="17"/>
    </row>
    <row r="38" spans="3:8" x14ac:dyDescent="0.35">
      <c r="C38" s="5" t="s">
        <v>31</v>
      </c>
      <c r="D38" s="3">
        <v>3968.9105482041591</v>
      </c>
      <c r="E38" s="20">
        <v>0.2238941398865783</v>
      </c>
    </row>
    <row r="39" spans="3:8" x14ac:dyDescent="0.35">
      <c r="C39" s="5" t="s">
        <v>49</v>
      </c>
      <c r="D39" s="3">
        <v>4064.6224605678258</v>
      </c>
      <c r="E39" s="20">
        <v>0.22425867507886446</v>
      </c>
    </row>
    <row r="40" spans="3:8" x14ac:dyDescent="0.35">
      <c r="C40" s="5" t="s">
        <v>53</v>
      </c>
      <c r="D40" s="3">
        <v>4004.2673466666638</v>
      </c>
      <c r="E40" s="20">
        <v>0.22589666666666661</v>
      </c>
    </row>
    <row r="42" spans="3:8" x14ac:dyDescent="0.35">
      <c r="F42" s="9"/>
    </row>
    <row r="43" spans="3:8" x14ac:dyDescent="0.35">
      <c r="G43" s="6"/>
    </row>
    <row r="44" spans="3:8" x14ac:dyDescent="0.35">
      <c r="G44" s="3"/>
    </row>
    <row r="78" spans="6:10" x14ac:dyDescent="0.35">
      <c r="F78" s="10"/>
      <c r="G78" s="8"/>
      <c r="J78" s="6"/>
    </row>
    <row r="79" spans="6:10" x14ac:dyDescent="0.35">
      <c r="F79" s="10"/>
      <c r="G79" s="8"/>
      <c r="J79" s="6"/>
    </row>
    <row r="80" spans="6:10" x14ac:dyDescent="0.35">
      <c r="F80" s="10"/>
      <c r="G80" s="8"/>
    </row>
    <row r="81" spans="6:10" x14ac:dyDescent="0.35">
      <c r="F81" s="6"/>
    </row>
    <row r="82" spans="6:10" x14ac:dyDescent="0.35">
      <c r="J82" s="6"/>
    </row>
    <row r="83" spans="6:10" x14ac:dyDescent="0.35">
      <c r="J83" s="6"/>
    </row>
    <row r="86" spans="6:10" x14ac:dyDescent="0.35">
      <c r="J86" s="6"/>
    </row>
    <row r="87" spans="6:10" x14ac:dyDescent="0.35">
      <c r="J87" s="6"/>
    </row>
  </sheetData>
  <mergeCells count="7">
    <mergeCell ref="C35:E35"/>
    <mergeCell ref="C16:E16"/>
    <mergeCell ref="C25:E25"/>
    <mergeCell ref="G3:H3"/>
    <mergeCell ref="G17:H17"/>
    <mergeCell ref="G26:I26"/>
    <mergeCell ref="C3:E3"/>
  </mergeCell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Tables</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Onkar Patil</dc:creator>
  <cp:lastModifiedBy>Onkar Patil</cp:lastModifiedBy>
  <dcterms:created xsi:type="dcterms:W3CDTF">2026-04-16T04:13:07Z</dcterms:created>
  <dcterms:modified xsi:type="dcterms:W3CDTF">2026-04-17T10:29:08Z</dcterms:modified>
</cp:coreProperties>
</file>